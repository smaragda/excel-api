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omments4.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chart17.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janmarcis/source/excelapi/"/>
    </mc:Choice>
  </mc:AlternateContent>
  <xr:revisionPtr revIDLastSave="0" documentId="8_{8BE23936-EB3D-5A45-B083-4C20504596E4}" xr6:coauthVersionLast="47" xr6:coauthVersionMax="47" xr10:uidLastSave="{00000000-0000-0000-0000-000000000000}"/>
  <bookViews>
    <workbookView xWindow="0" yWindow="500" windowWidth="28800" windowHeight="14020" tabRatio="592" firstSheet="3" activeTab="11" xr2:uid="{00000000-000D-0000-FFFF-FFFF00000000}"/>
  </bookViews>
  <sheets>
    <sheet name="GISTM Consequences" sheetId="53" state="hidden" r:id="rId1"/>
    <sheet name="numbering" sheetId="166" r:id="rId2"/>
    <sheet name="Calculation" sheetId="162" r:id="rId3"/>
    <sheet name="Descriptor maps" sheetId="7" r:id="rId4"/>
    <sheet name="Slope stability" sheetId="2" r:id="rId5"/>
    <sheet name="Fdn piping" sheetId="5" r:id="rId6"/>
    <sheet name="Emb-Fdn piping" sheetId="4" r:id="rId7"/>
    <sheet name="Embankment piping" sheetId="3" r:id="rId8"/>
    <sheet name="FMEA Trees" sheetId="6" r:id="rId9"/>
    <sheet name="Outputs" sheetId="115" r:id="rId10"/>
    <sheet name="Audit Characteristic Mapping" sheetId="165" r:id="rId11"/>
    <sheet name="Risk Only" sheetId="167" r:id="rId12"/>
  </sheets>
  <functionGroups builtInGroupCount="19"/>
  <definedNames>
    <definedName name="_xlnm._FilterDatabase" localSheetId="2" hidden="1">Calculation!$A$1:$ED$568</definedName>
    <definedName name="_xlnm._FilterDatabase" localSheetId="3" hidden="1">'Descriptor maps'!$A$1:$L$1769</definedName>
    <definedName name="_xlnm._FilterDatabase" localSheetId="6" hidden="1">'Emb-Fdn piping'!#REF!</definedName>
    <definedName name="_xlnm._FilterDatabase" localSheetId="7" hidden="1">'Embankment piping'!$A$60:$M$73</definedName>
    <definedName name="_xlnm._FilterDatabase" localSheetId="5" hidden="1">'Fdn piping'!$A$61:$M$75</definedName>
    <definedName name="_xlnm._FilterDatabase" localSheetId="1" hidden="1">numbering!$N$17:$O$30</definedName>
    <definedName name="_xlnm._FilterDatabase" localSheetId="11" hidden="1">'Risk Only'!$A$2:$CB$153</definedName>
    <definedName name="A">'Descriptor maps'!$F$7:$F$10</definedName>
    <definedName name="ID_1">'Descriptor maps'!$F$7:$F$10</definedName>
    <definedName name="seismiczone">'Descriptor maps'!$F$7:$F$10</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398" i="162" l="1"/>
  <c r="F397" i="162"/>
  <c r="F396" i="162"/>
  <c r="F395" i="162"/>
  <c r="F394" i="162"/>
  <c r="F393" i="162"/>
  <c r="F392" i="162"/>
  <c r="F391" i="162"/>
  <c r="F390" i="162"/>
  <c r="F389" i="162"/>
  <c r="F388" i="162"/>
  <c r="F387" i="162"/>
  <c r="F386" i="162"/>
  <c r="F385" i="162"/>
  <c r="F384" i="162"/>
  <c r="F383" i="162"/>
  <c r="F382" i="162"/>
  <c r="F380" i="162"/>
  <c r="F379" i="162"/>
  <c r="F378" i="162"/>
  <c r="F377" i="162"/>
  <c r="F376" i="162"/>
  <c r="F375" i="162"/>
  <c r="F374" i="162"/>
  <c r="F371" i="162"/>
  <c r="F369" i="162"/>
  <c r="F368" i="162"/>
  <c r="F284" i="162"/>
  <c r="F283" i="162"/>
  <c r="F282" i="162"/>
  <c r="F281" i="162"/>
  <c r="F280" i="162"/>
  <c r="F279" i="162"/>
  <c r="F253" i="162"/>
  <c r="F246" i="162"/>
  <c r="F210" i="162"/>
  <c r="F209" i="162"/>
  <c r="F198" i="162"/>
  <c r="F197" i="162"/>
  <c r="F196" i="162"/>
  <c r="F195" i="162"/>
  <c r="F194" i="162"/>
  <c r="F193" i="162"/>
  <c r="F192" i="162"/>
  <c r="F166" i="162"/>
  <c r="F165" i="162"/>
  <c r="F164" i="162"/>
  <c r="F149" i="162"/>
  <c r="F148" i="162"/>
  <c r="F146" i="162"/>
  <c r="F145" i="162"/>
  <c r="F144" i="162"/>
  <c r="F143" i="162"/>
  <c r="F142" i="162"/>
  <c r="F141" i="162"/>
  <c r="F140" i="162"/>
  <c r="F128" i="162"/>
  <c r="F119" i="162"/>
  <c r="F97" i="162"/>
  <c r="F96" i="162"/>
  <c r="F95" i="162"/>
  <c r="F93" i="162"/>
  <c r="F92" i="162"/>
  <c r="F91" i="162"/>
  <c r="F90" i="162"/>
  <c r="F89" i="162"/>
  <c r="F88" i="162"/>
  <c r="F87" i="162"/>
  <c r="F86" i="162"/>
  <c r="F85" i="162"/>
  <c r="F84" i="162"/>
  <c r="F83" i="162"/>
  <c r="F82" i="162"/>
  <c r="F81" i="162"/>
  <c r="F80" i="162"/>
  <c r="F74" i="162"/>
  <c r="F72" i="162"/>
  <c r="F70" i="162"/>
  <c r="F21" i="162"/>
  <c r="F18" i="162"/>
  <c r="F17" i="162"/>
  <c r="F16" i="162"/>
  <c r="F15" i="162"/>
  <c r="F13" i="162"/>
  <c r="F12" i="162"/>
  <c r="F5" i="162"/>
  <c r="F4" i="162"/>
  <c r="F3" i="162"/>
  <c r="F2" i="162"/>
  <c r="AP83" i="167" l="1"/>
  <c r="AS83" i="167"/>
  <c r="AT83" i="167"/>
  <c r="BD83" i="167"/>
  <c r="BF83" i="167"/>
  <c r="BQ83" i="167"/>
  <c r="BR83" i="167"/>
  <c r="BT83" i="167"/>
  <c r="H13" i="167" a="1"/>
  <c r="H13" i="167" s="1"/>
  <c r="I13" i="167" a="1"/>
  <c r="I13" i="167" s="1"/>
  <c r="H14" i="167" a="1"/>
  <c r="H14" i="167" s="1"/>
  <c r="AQ14" i="167" s="1"/>
  <c r="I14" i="167" a="1"/>
  <c r="I14" i="167" s="1"/>
  <c r="AR14" i="167" s="1"/>
  <c r="I52" i="167" a="1"/>
  <c r="I52" i="167" s="1"/>
  <c r="H52" i="167" a="1"/>
  <c r="H52" i="167" s="1"/>
  <c r="G52" i="167" a="1"/>
  <c r="G52" i="167" s="1"/>
  <c r="E52" i="167"/>
  <c r="C830" i="7"/>
  <c r="C831" i="7"/>
  <c r="C832" i="7"/>
  <c r="C829" i="7"/>
  <c r="J4" i="167"/>
  <c r="J5" i="167"/>
  <c r="J6" i="167"/>
  <c r="J7" i="167"/>
  <c r="J8" i="167"/>
  <c r="J9" i="167"/>
  <c r="J10" i="167"/>
  <c r="J11" i="167"/>
  <c r="J12" i="167"/>
  <c r="J34" i="167"/>
  <c r="J3" i="167"/>
  <c r="F1340" i="7"/>
  <c r="F1348" i="7"/>
  <c r="F1349" i="7" s="1"/>
  <c r="F1350" i="7" s="1"/>
  <c r="F1354" i="7"/>
  <c r="F1356" i="7"/>
  <c r="F1357" i="7" s="1"/>
  <c r="F1358" i="7" s="1"/>
  <c r="F1360" i="7"/>
  <c r="F1362" i="7"/>
  <c r="F1390" i="7"/>
  <c r="F1391" i="7" s="1"/>
  <c r="F1392" i="7" s="1"/>
  <c r="F1394" i="7"/>
  <c r="F1395" i="7" s="1"/>
  <c r="F1396" i="7" s="1"/>
  <c r="F1398" i="7"/>
  <c r="F1399" i="7" s="1"/>
  <c r="F1400" i="7" s="1"/>
  <c r="F1402" i="7"/>
  <c r="F1403" i="7" s="1"/>
  <c r="F1404" i="7" s="1"/>
  <c r="F1406" i="7"/>
  <c r="F1407" i="7" s="1"/>
  <c r="F1408" i="7" s="1"/>
  <c r="F1410" i="7"/>
  <c r="F1411" i="7" s="1"/>
  <c r="F1412" i="7" s="1"/>
  <c r="F1416" i="7"/>
  <c r="F1417" i="7" s="1"/>
  <c r="F1418" i="7" s="1"/>
  <c r="F1420" i="7"/>
  <c r="F1421" i="7" s="1"/>
  <c r="F1422" i="7" s="1"/>
  <c r="F1424" i="7"/>
  <c r="F1425" i="7" s="1"/>
  <c r="F1426" i="7" s="1"/>
  <c r="F1428" i="7"/>
  <c r="F1429" i="7" s="1"/>
  <c r="F1430" i="7" s="1"/>
  <c r="F1432" i="7"/>
  <c r="F1433" i="7" s="1"/>
  <c r="F1434" i="7" s="1"/>
  <c r="F1436" i="7"/>
  <c r="F1438" i="7"/>
  <c r="F1439" i="7" s="1"/>
  <c r="F1440" i="7" s="1"/>
  <c r="F1442" i="7"/>
  <c r="F1443" i="7" s="1"/>
  <c r="F1444" i="7" s="1"/>
  <c r="F1446" i="7"/>
  <c r="F1447" i="7" s="1"/>
  <c r="F1448" i="7" s="1"/>
  <c r="F1450" i="7"/>
  <c r="F1451" i="7" s="1"/>
  <c r="F1452" i="7" s="1"/>
  <c r="F1454" i="7"/>
  <c r="F1455" i="7" s="1"/>
  <c r="F1456" i="7" s="1"/>
  <c r="F1458" i="7"/>
  <c r="F1459" i="7" s="1"/>
  <c r="F1460" i="7" s="1"/>
  <c r="F1462" i="7"/>
  <c r="F1463" i="7" s="1"/>
  <c r="F1464" i="7" s="1"/>
  <c r="F1466" i="7"/>
  <c r="F1467" i="7" s="1"/>
  <c r="F1468" i="7" s="1"/>
  <c r="F1470" i="7"/>
  <c r="F1471" i="7" s="1"/>
  <c r="F1472" i="7" s="1"/>
  <c r="F1474" i="7"/>
  <c r="F1475" i="7" s="1"/>
  <c r="F1476" i="7" s="1"/>
  <c r="F1478" i="7"/>
  <c r="F1479" i="7" s="1"/>
  <c r="F1480" i="7" s="1"/>
  <c r="F1482" i="7"/>
  <c r="F1483" i="7" s="1"/>
  <c r="F1484" i="7" s="1"/>
  <c r="F1486" i="7"/>
  <c r="F1487" i="7" s="1"/>
  <c r="F1488" i="7" s="1"/>
  <c r="F1490" i="7"/>
  <c r="F1491" i="7" s="1"/>
  <c r="F1492" i="7" s="1"/>
  <c r="F1494" i="7"/>
  <c r="F1495" i="7" s="1"/>
  <c r="F1496" i="7" s="1"/>
  <c r="F1498" i="7"/>
  <c r="F1499" i="7" s="1"/>
  <c r="F1500" i="7" s="1"/>
  <c r="F1502" i="7"/>
  <c r="F1503" i="7" s="1"/>
  <c r="F1504" i="7" s="1"/>
  <c r="F1506" i="7"/>
  <c r="F1507" i="7" s="1"/>
  <c r="F1508" i="7" s="1"/>
  <c r="F1510" i="7"/>
  <c r="F1511" i="7" s="1"/>
  <c r="F1512" i="7" s="1"/>
  <c r="F1514" i="7"/>
  <c r="F1515" i="7" s="1"/>
  <c r="F1516" i="7" s="1"/>
  <c r="F1518" i="7"/>
  <c r="F1519" i="7" s="1"/>
  <c r="F1520" i="7" s="1"/>
  <c r="F1522" i="7"/>
  <c r="F1523" i="7" s="1"/>
  <c r="F1524" i="7" s="1"/>
  <c r="F1526" i="7"/>
  <c r="F1527" i="7" s="1"/>
  <c r="F1528" i="7" s="1"/>
  <c r="F1530" i="7"/>
  <c r="F1531" i="7" s="1"/>
  <c r="F1532" i="7" s="1"/>
  <c r="F1534" i="7"/>
  <c r="F1535" i="7" s="1"/>
  <c r="F1536" i="7" s="1"/>
  <c r="F1538" i="7"/>
  <c r="F1539" i="7" s="1"/>
  <c r="F1540" i="7" s="1"/>
  <c r="F1542" i="7"/>
  <c r="F1543" i="7" s="1"/>
  <c r="F1544" i="7" s="1"/>
  <c r="F1550" i="7"/>
  <c r="F1551" i="7" s="1"/>
  <c r="F1552" i="7" s="1"/>
  <c r="F1554" i="7"/>
  <c r="F1555" i="7" s="1"/>
  <c r="F1556" i="7" s="1"/>
  <c r="F1558" i="7"/>
  <c r="F1559" i="7" s="1"/>
  <c r="F1560" i="7" s="1"/>
  <c r="F1562" i="7"/>
  <c r="F1563" i="7" s="1"/>
  <c r="F1564" i="7" s="1"/>
  <c r="F1566" i="7"/>
  <c r="F1567" i="7" s="1"/>
  <c r="F1568" i="7" s="1"/>
  <c r="F1570" i="7"/>
  <c r="F1571" i="7" s="1"/>
  <c r="F1572" i="7" s="1"/>
  <c r="F1574" i="7"/>
  <c r="F1575" i="7" s="1"/>
  <c r="F1576" i="7" s="1"/>
  <c r="F1578" i="7"/>
  <c r="F1579" i="7" s="1"/>
  <c r="F1580" i="7" s="1"/>
  <c r="F1582" i="7"/>
  <c r="F1583" i="7" s="1"/>
  <c r="F1584" i="7" s="1"/>
  <c r="F1586" i="7"/>
  <c r="F1587" i="7" s="1"/>
  <c r="F1588" i="7" s="1"/>
  <c r="F1590" i="7"/>
  <c r="F1591" i="7" s="1"/>
  <c r="F1592" i="7" s="1"/>
  <c r="F1594" i="7"/>
  <c r="F1595" i="7" s="1"/>
  <c r="F1596" i="7" s="1"/>
  <c r="F1598" i="7"/>
  <c r="F1599" i="7" s="1"/>
  <c r="F1600" i="7" s="1"/>
  <c r="F1602" i="7"/>
  <c r="F1603" i="7" s="1"/>
  <c r="F1604" i="7" s="1"/>
  <c r="F1606" i="7"/>
  <c r="F1607" i="7" s="1"/>
  <c r="F1608" i="7" s="1"/>
  <c r="F1610" i="7"/>
  <c r="F1611" i="7" s="1"/>
  <c r="F1612" i="7" s="1"/>
  <c r="F1614" i="7"/>
  <c r="F1615" i="7" s="1"/>
  <c r="F1616" i="7" s="1"/>
  <c r="F1618" i="7"/>
  <c r="F1619" i="7" s="1"/>
  <c r="F1620" i="7" s="1"/>
  <c r="F1622" i="7"/>
  <c r="F1623" i="7" s="1"/>
  <c r="F1624" i="7" s="1"/>
  <c r="F1626" i="7"/>
  <c r="F1627" i="7" s="1"/>
  <c r="F1628" i="7" s="1"/>
  <c r="E50" i="167"/>
  <c r="E43" i="167"/>
  <c r="E41" i="167"/>
  <c r="E25" i="167"/>
  <c r="G8" i="167" a="1"/>
  <c r="G8" i="167" s="1"/>
  <c r="K1366" i="7"/>
  <c r="C1366" i="7"/>
  <c r="K1367" i="7"/>
  <c r="C1367" i="7"/>
  <c r="E47" i="167"/>
  <c r="E46" i="167"/>
  <c r="AQ13" i="167" l="1"/>
  <c r="BS13" i="167"/>
  <c r="AQ82" i="167"/>
  <c r="AR83" i="167"/>
  <c r="AR82" i="167"/>
  <c r="AQ83" i="167"/>
  <c r="AQ116" i="167"/>
  <c r="J14" i="167"/>
  <c r="AA52" i="167"/>
  <c r="K52" i="167"/>
  <c r="M52" i="167"/>
  <c r="Z52" i="167"/>
  <c r="Y52" i="167"/>
  <c r="T52" i="167"/>
  <c r="S52" i="167"/>
  <c r="R52" i="167"/>
  <c r="L52" i="167"/>
  <c r="F1322" i="7"/>
  <c r="F1298" i="7"/>
  <c r="H31" i="167" a="1"/>
  <c r="H31" i="167" s="1"/>
  <c r="AE31" i="167" s="1"/>
  <c r="J31" i="167" s="1"/>
  <c r="I3" i="167" a="1"/>
  <c r="I3" i="167" s="1"/>
  <c r="I4" i="167" a="1"/>
  <c r="I4" i="167" s="1"/>
  <c r="I5" i="167" a="1"/>
  <c r="I5" i="167" s="1"/>
  <c r="I6" i="167" a="1"/>
  <c r="I6" i="167" s="1"/>
  <c r="I7" i="167" a="1"/>
  <c r="I7" i="167" s="1"/>
  <c r="I8" i="167" a="1"/>
  <c r="I8" i="167" s="1"/>
  <c r="I9" i="167" a="1"/>
  <c r="I9" i="167" s="1"/>
  <c r="I10" i="167" a="1"/>
  <c r="I10" i="167" s="1"/>
  <c r="I11" i="167" a="1"/>
  <c r="I11" i="167" s="1"/>
  <c r="I12" i="167" a="1"/>
  <c r="I12" i="167" s="1"/>
  <c r="I15" i="167" a="1"/>
  <c r="I15" i="167" s="1"/>
  <c r="I16" i="167" a="1"/>
  <c r="I16" i="167" s="1"/>
  <c r="I18" i="167" a="1"/>
  <c r="I18" i="167" s="1"/>
  <c r="I19" i="167" a="1"/>
  <c r="I19" i="167" s="1"/>
  <c r="I20" i="167" a="1"/>
  <c r="I20" i="167" s="1"/>
  <c r="I21" i="167" a="1"/>
  <c r="I21" i="167" s="1"/>
  <c r="I22" i="167" a="1"/>
  <c r="I22" i="167" s="1"/>
  <c r="I23" i="167" a="1"/>
  <c r="I23" i="167" s="1"/>
  <c r="I24" i="167" a="1"/>
  <c r="I24" i="167" s="1"/>
  <c r="I25" i="167" a="1"/>
  <c r="I25" i="167" s="1"/>
  <c r="BH25" i="167" s="1"/>
  <c r="I26" i="167" a="1"/>
  <c r="I26" i="167" s="1"/>
  <c r="AX26" i="167" s="1"/>
  <c r="I27" i="167" a="1"/>
  <c r="I27" i="167" s="1"/>
  <c r="BG27" i="167" s="1"/>
  <c r="I28" i="167" a="1"/>
  <c r="I28" i="167" s="1"/>
  <c r="BN28" i="167" s="1"/>
  <c r="I29" i="167" a="1"/>
  <c r="I29" i="167" s="1"/>
  <c r="I30" i="167" a="1"/>
  <c r="I30" i="167" s="1"/>
  <c r="I31" i="167" a="1"/>
  <c r="I31" i="167" s="1"/>
  <c r="I32" i="167" a="1"/>
  <c r="I32" i="167" s="1"/>
  <c r="I33" i="167" a="1"/>
  <c r="I33" i="167" s="1"/>
  <c r="AL33" i="167" s="1"/>
  <c r="I34" i="167" a="1"/>
  <c r="I34" i="167" s="1"/>
  <c r="I35" i="167" a="1"/>
  <c r="I35" i="167" s="1"/>
  <c r="I38" i="167" a="1"/>
  <c r="I38" i="167" s="1"/>
  <c r="I39" i="167" a="1"/>
  <c r="I39" i="167" s="1"/>
  <c r="I40" i="167" a="1"/>
  <c r="I40" i="167" s="1"/>
  <c r="I41" i="167" a="1"/>
  <c r="I41" i="167" s="1"/>
  <c r="I46" i="167" a="1"/>
  <c r="I46" i="167" s="1"/>
  <c r="I47" i="167" a="1"/>
  <c r="I47" i="167" s="1"/>
  <c r="I36" i="167" a="1"/>
  <c r="I36" i="167" s="1"/>
  <c r="I37" i="167" a="1"/>
  <c r="I37" i="167" s="1"/>
  <c r="I44" i="167" a="1"/>
  <c r="I44" i="167" s="1"/>
  <c r="I45" i="167" a="1"/>
  <c r="I45" i="167" s="1"/>
  <c r="I48" i="167" a="1"/>
  <c r="I48" i="167" s="1"/>
  <c r="I42" i="167" a="1"/>
  <c r="I42" i="167" s="1"/>
  <c r="I43" i="167" a="1"/>
  <c r="I43" i="167" s="1"/>
  <c r="I49" i="167" a="1"/>
  <c r="I49" i="167" s="1"/>
  <c r="I50" i="167" a="1"/>
  <c r="I50" i="167" s="1"/>
  <c r="I51" i="167" a="1"/>
  <c r="I51" i="167" s="1"/>
  <c r="I54" i="167" a="1"/>
  <c r="I54" i="167" s="1"/>
  <c r="I53" i="167" a="1"/>
  <c r="I53" i="167" s="1"/>
  <c r="I55" i="167" a="1"/>
  <c r="I55" i="167" s="1"/>
  <c r="I56" i="167" a="1"/>
  <c r="I56" i="167" s="1"/>
  <c r="I57" i="167" a="1"/>
  <c r="I57" i="167" s="1"/>
  <c r="I58" i="167" a="1"/>
  <c r="I58" i="167" s="1"/>
  <c r="I59" i="167" a="1"/>
  <c r="I59" i="167" s="1"/>
  <c r="I60" i="167" a="1"/>
  <c r="I60" i="167" s="1"/>
  <c r="I61" i="167" a="1"/>
  <c r="I61" i="167" s="1"/>
  <c r="I62" i="167" a="1"/>
  <c r="I62" i="167" s="1"/>
  <c r="I63" i="167" a="1"/>
  <c r="I63" i="167" s="1"/>
  <c r="I64" i="167" a="1"/>
  <c r="I64" i="167" s="1"/>
  <c r="I65" i="167" a="1"/>
  <c r="I65" i="167" s="1"/>
  <c r="I66" i="167" a="1"/>
  <c r="I66" i="167" s="1"/>
  <c r="I67" i="167" a="1"/>
  <c r="I67" i="167" s="1"/>
  <c r="I68" i="167" a="1"/>
  <c r="I68" i="167" s="1"/>
  <c r="I69" i="167" a="1"/>
  <c r="I69" i="167" s="1"/>
  <c r="I70" i="167" a="1"/>
  <c r="I70" i="167" s="1"/>
  <c r="I71" i="167" a="1"/>
  <c r="I71" i="167" s="1"/>
  <c r="I72" i="167" a="1"/>
  <c r="I72" i="167" s="1"/>
  <c r="I73" i="167" a="1"/>
  <c r="I73" i="167" s="1"/>
  <c r="I74" i="167" a="1"/>
  <c r="I74" i="167" s="1"/>
  <c r="I75" i="167" a="1"/>
  <c r="I75" i="167" s="1"/>
  <c r="I76" i="167" a="1"/>
  <c r="I76" i="167" s="1"/>
  <c r="I77" i="167" a="1"/>
  <c r="I77" i="167" s="1"/>
  <c r="I81" i="167" a="1"/>
  <c r="I81" i="167" s="1"/>
  <c r="I78" i="167" a="1"/>
  <c r="I78" i="167" s="1"/>
  <c r="I79" i="167" a="1"/>
  <c r="I79" i="167" s="1"/>
  <c r="AN79" i="167" s="1"/>
  <c r="I80" i="167" a="1"/>
  <c r="I80" i="167" s="1"/>
  <c r="BA80" i="167" s="1"/>
  <c r="H10" i="167" a="1"/>
  <c r="H10" i="167" s="1"/>
  <c r="H7" i="167" a="1"/>
  <c r="H7" i="167" s="1"/>
  <c r="H15" i="167" a="1"/>
  <c r="H15" i="167" s="1"/>
  <c r="H16" i="167" a="1"/>
  <c r="H16" i="167" s="1"/>
  <c r="AG16" i="167" s="1"/>
  <c r="AG82" i="167" s="1"/>
  <c r="H17" i="167" a="1"/>
  <c r="H17" i="167" s="1"/>
  <c r="Q17" i="167" s="1"/>
  <c r="Q82" i="167" s="1"/>
  <c r="H18" i="167" a="1"/>
  <c r="H18" i="167" s="1"/>
  <c r="X18" i="167" s="1"/>
  <c r="X82" i="167" s="1"/>
  <c r="H19" i="167" a="1"/>
  <c r="H19" i="167" s="1"/>
  <c r="AE19" i="167" s="1"/>
  <c r="AE82" i="167" s="1"/>
  <c r="H20" i="167" a="1"/>
  <c r="H20" i="167" s="1"/>
  <c r="H21" i="167" a="1"/>
  <c r="H21" i="167" s="1"/>
  <c r="AU21" i="167" s="1"/>
  <c r="H22" i="167" a="1"/>
  <c r="H22" i="167" s="1"/>
  <c r="BL22" i="167" s="1"/>
  <c r="H23" i="167" a="1"/>
  <c r="H23" i="167" s="1"/>
  <c r="BM23" i="167" s="1"/>
  <c r="H24" i="167" a="1"/>
  <c r="H24" i="167" s="1"/>
  <c r="AV24" i="167" s="1"/>
  <c r="H25" i="167" a="1"/>
  <c r="H25" i="167" s="1"/>
  <c r="AZ25" i="167" s="1"/>
  <c r="H26" i="167" a="1"/>
  <c r="H26" i="167" s="1"/>
  <c r="AW26" i="167" s="1"/>
  <c r="H27" i="167" a="1"/>
  <c r="H27" i="167" s="1"/>
  <c r="H28" i="167" a="1"/>
  <c r="H28" i="167" s="1"/>
  <c r="H29" i="167" a="1"/>
  <c r="H29" i="167" s="1"/>
  <c r="BJ29" i="167" s="1"/>
  <c r="H30" i="167" a="1"/>
  <c r="H30" i="167" s="1"/>
  <c r="BK30" i="167" s="1"/>
  <c r="H32" i="167" a="1"/>
  <c r="H32" i="167" s="1"/>
  <c r="BI32" i="167" s="1"/>
  <c r="H33" i="167" a="1"/>
  <c r="H33" i="167" s="1"/>
  <c r="H34" i="167" a="1"/>
  <c r="H34" i="167" s="1"/>
  <c r="H35" i="167" a="1"/>
  <c r="H35" i="167" s="1"/>
  <c r="AF35" i="167" s="1"/>
  <c r="AF82" i="167" s="1"/>
  <c r="H38" i="167" a="1"/>
  <c r="H38" i="167" s="1"/>
  <c r="R38" i="167" s="1"/>
  <c r="H39" i="167" a="1"/>
  <c r="H39" i="167" s="1"/>
  <c r="Y39" i="167" s="1"/>
  <c r="H40" i="167" a="1"/>
  <c r="H40" i="167" s="1"/>
  <c r="H41" i="167" a="1"/>
  <c r="H41" i="167" s="1"/>
  <c r="H46" i="167" a="1"/>
  <c r="H46" i="167" s="1"/>
  <c r="Y46" i="167" s="1"/>
  <c r="J46" i="167" s="1"/>
  <c r="H47" i="167" a="1"/>
  <c r="H47" i="167" s="1"/>
  <c r="Y47" i="167" s="1"/>
  <c r="J47" i="167" s="1"/>
  <c r="H36" i="167" a="1"/>
  <c r="H36" i="167" s="1"/>
  <c r="M36" i="167" s="1"/>
  <c r="H37" i="167" a="1"/>
  <c r="H37" i="167" s="1"/>
  <c r="H44" i="167" a="1"/>
  <c r="H44" i="167" s="1"/>
  <c r="H45" i="167" a="1"/>
  <c r="H45" i="167" s="1"/>
  <c r="T45" i="167" s="1"/>
  <c r="J45" i="167" s="1"/>
  <c r="H48" i="167" a="1"/>
  <c r="H48" i="167" s="1"/>
  <c r="AA48" i="167" s="1"/>
  <c r="J48" i="167" s="1"/>
  <c r="H42" i="167" a="1"/>
  <c r="H42" i="167" s="1"/>
  <c r="AA42" i="167" s="1"/>
  <c r="H43" i="167" a="1"/>
  <c r="H43" i="167" s="1"/>
  <c r="AA43" i="167" s="1"/>
  <c r="H49" i="167" a="1"/>
  <c r="H49" i="167" s="1"/>
  <c r="AA49" i="167" s="1"/>
  <c r="H50" i="167" a="1"/>
  <c r="H50" i="167" s="1"/>
  <c r="T50" i="167" s="1"/>
  <c r="H51" i="167" a="1"/>
  <c r="H51" i="167" s="1"/>
  <c r="H54" i="167" a="1"/>
  <c r="H54" i="167" s="1"/>
  <c r="AH54" i="167" s="1"/>
  <c r="H53" i="167" a="1"/>
  <c r="H53" i="167" s="1"/>
  <c r="AY53" i="167" s="1"/>
  <c r="H55" i="167" a="1"/>
  <c r="H55" i="167" s="1"/>
  <c r="AY55" i="167" s="1"/>
  <c r="H56" i="167" a="1"/>
  <c r="H56" i="167" s="1"/>
  <c r="U56" i="167" s="1"/>
  <c r="H57" i="167" a="1"/>
  <c r="H57" i="167" s="1"/>
  <c r="AH57" i="167" s="1"/>
  <c r="H58" i="167" a="1"/>
  <c r="H58" i="167" s="1"/>
  <c r="AY58" i="167" s="1"/>
  <c r="H59" i="167" a="1"/>
  <c r="H59" i="167" s="1"/>
  <c r="BP59" i="167" s="1"/>
  <c r="H60" i="167" a="1"/>
  <c r="H60" i="167" s="1"/>
  <c r="V60" i="167" s="1"/>
  <c r="H61" i="167" a="1"/>
  <c r="H61" i="167" s="1"/>
  <c r="AC61" i="167" s="1"/>
  <c r="H62" i="167" a="1"/>
  <c r="H62" i="167" s="1"/>
  <c r="AC62" i="167" s="1"/>
  <c r="H63" i="167" a="1"/>
  <c r="H63" i="167" s="1"/>
  <c r="AC63" i="167" s="1"/>
  <c r="H64" i="167" a="1"/>
  <c r="H64" i="167" s="1"/>
  <c r="AC64" i="167" s="1"/>
  <c r="H65" i="167" a="1"/>
  <c r="H65" i="167" s="1"/>
  <c r="AC65" i="167" s="1"/>
  <c r="H66" i="167" a="1"/>
  <c r="H66" i="167" s="1"/>
  <c r="V66" i="167" s="1"/>
  <c r="H67" i="167" a="1"/>
  <c r="H67" i="167" s="1"/>
  <c r="AC67" i="167" s="1"/>
  <c r="H68" i="167" a="1"/>
  <c r="H68" i="167" s="1"/>
  <c r="AC68" i="167" s="1"/>
  <c r="H69" i="167" a="1"/>
  <c r="H69" i="167" s="1"/>
  <c r="H70" i="167" a="1"/>
  <c r="H70" i="167" s="1"/>
  <c r="H71" i="167" a="1"/>
  <c r="H71" i="167" s="1"/>
  <c r="O71" i="167" s="1"/>
  <c r="H72" i="167" a="1"/>
  <c r="H72" i="167" s="1"/>
  <c r="AC72" i="167" s="1"/>
  <c r="H73" i="167" a="1"/>
  <c r="H73" i="167" s="1"/>
  <c r="AC73" i="167" s="1"/>
  <c r="H74" i="167" a="1"/>
  <c r="H74" i="167" s="1"/>
  <c r="AC74" i="167" s="1"/>
  <c r="H75" i="167" a="1"/>
  <c r="H75" i="167" s="1"/>
  <c r="V75" i="167" s="1"/>
  <c r="H76" i="167" a="1"/>
  <c r="H76" i="167" s="1"/>
  <c r="AC76" i="167" s="1"/>
  <c r="H77" i="167" a="1"/>
  <c r="H77" i="167" s="1"/>
  <c r="H78" i="167" a="1"/>
  <c r="H78" i="167" s="1"/>
  <c r="H79" i="167" a="1"/>
  <c r="H79" i="167" s="1"/>
  <c r="O79" i="167" s="1"/>
  <c r="V79" i="167" s="1"/>
  <c r="AC79" i="167" s="1"/>
  <c r="H80" i="167" a="1"/>
  <c r="H80" i="167" s="1"/>
  <c r="O80" i="167" s="1"/>
  <c r="H81" i="167" a="1"/>
  <c r="H81" i="167" s="1"/>
  <c r="AU81" i="167" s="1"/>
  <c r="H11" i="167" a="1"/>
  <c r="H11" i="167" s="1"/>
  <c r="H12" i="167" a="1"/>
  <c r="H12" i="167" s="1"/>
  <c r="H3" i="167" a="1"/>
  <c r="H3" i="167" s="1"/>
  <c r="H4" i="167" a="1"/>
  <c r="H4" i="167" s="1"/>
  <c r="H5" i="167" a="1"/>
  <c r="H5" i="167" s="1"/>
  <c r="H6" i="167" a="1"/>
  <c r="H6" i="167" s="1"/>
  <c r="H8" i="167" a="1"/>
  <c r="H8" i="167" s="1"/>
  <c r="H9" i="167" a="1"/>
  <c r="H9" i="167" s="1"/>
  <c r="G9" i="167" a="1"/>
  <c r="G9" i="167" s="1"/>
  <c r="E4" i="167"/>
  <c r="E5" i="167"/>
  <c r="E6" i="167"/>
  <c r="E8" i="167"/>
  <c r="E9" i="167"/>
  <c r="E10" i="167"/>
  <c r="E13" i="167"/>
  <c r="E7" i="167"/>
  <c r="E14" i="167"/>
  <c r="E15" i="167"/>
  <c r="E16" i="167"/>
  <c r="E17" i="167"/>
  <c r="E18" i="167"/>
  <c r="E19" i="167"/>
  <c r="E20" i="167"/>
  <c r="E21" i="167"/>
  <c r="E22" i="167"/>
  <c r="E23" i="167"/>
  <c r="E24" i="167"/>
  <c r="E26" i="167"/>
  <c r="E27" i="167"/>
  <c r="E28" i="167"/>
  <c r="E29" i="167"/>
  <c r="E30" i="167"/>
  <c r="E31" i="167"/>
  <c r="E32" i="167"/>
  <c r="E33" i="167"/>
  <c r="E34" i="167"/>
  <c r="E35" i="167"/>
  <c r="E38" i="167"/>
  <c r="E39" i="167"/>
  <c r="E40" i="167"/>
  <c r="E36" i="167"/>
  <c r="E37" i="167"/>
  <c r="E44" i="167"/>
  <c r="E45" i="167"/>
  <c r="E48" i="167"/>
  <c r="E42" i="167"/>
  <c r="E49" i="167"/>
  <c r="E51" i="167"/>
  <c r="E54" i="167"/>
  <c r="E53" i="167"/>
  <c r="E55" i="167"/>
  <c r="E56" i="167"/>
  <c r="E57" i="167"/>
  <c r="E58" i="167"/>
  <c r="E59" i="167"/>
  <c r="E60" i="167"/>
  <c r="E61" i="167"/>
  <c r="E62" i="167"/>
  <c r="E63" i="167"/>
  <c r="E64" i="167"/>
  <c r="E65" i="167"/>
  <c r="E66" i="167"/>
  <c r="E67" i="167"/>
  <c r="E68" i="167"/>
  <c r="E69" i="167"/>
  <c r="E70" i="167"/>
  <c r="E71" i="167"/>
  <c r="E72" i="167"/>
  <c r="E73" i="167"/>
  <c r="E74" i="167"/>
  <c r="E75" i="167"/>
  <c r="E76" i="167"/>
  <c r="E77" i="167"/>
  <c r="E78" i="167"/>
  <c r="E79" i="167"/>
  <c r="E80" i="167"/>
  <c r="E81" i="167"/>
  <c r="E11" i="167"/>
  <c r="E12" i="167"/>
  <c r="E3" i="167"/>
  <c r="G29" i="167" a="1"/>
  <c r="G29" i="167" s="1"/>
  <c r="G3" i="167" a="1"/>
  <c r="G3" i="167" s="1"/>
  <c r="G76" i="167" a="1"/>
  <c r="G76" i="167" s="1"/>
  <c r="G11" i="167" a="1"/>
  <c r="G11" i="167" s="1"/>
  <c r="G12" i="167" a="1"/>
  <c r="G12" i="167" s="1"/>
  <c r="G53" i="167" a="1"/>
  <c r="G53" i="167" s="1"/>
  <c r="G55" i="167" a="1"/>
  <c r="G55" i="167" s="1"/>
  <c r="G56" i="167" a="1"/>
  <c r="G56" i="167" s="1"/>
  <c r="G57" i="167" a="1"/>
  <c r="G57" i="167" s="1"/>
  <c r="G58" i="167" a="1"/>
  <c r="G58" i="167" s="1"/>
  <c r="G59" i="167" a="1"/>
  <c r="G59" i="167" s="1"/>
  <c r="G60" i="167" a="1"/>
  <c r="G60" i="167" s="1"/>
  <c r="G61" i="167" a="1"/>
  <c r="G61" i="167" s="1"/>
  <c r="G62" i="167" a="1"/>
  <c r="G62" i="167" s="1"/>
  <c r="G63" i="167" a="1"/>
  <c r="G63" i="167" s="1"/>
  <c r="G64" i="167" a="1"/>
  <c r="G64" i="167" s="1"/>
  <c r="G65" i="167" a="1"/>
  <c r="G65" i="167" s="1"/>
  <c r="G66" i="167" a="1"/>
  <c r="G66" i="167" s="1"/>
  <c r="G67" i="167" a="1"/>
  <c r="G67" i="167" s="1"/>
  <c r="G68" i="167" a="1"/>
  <c r="G68" i="167" s="1"/>
  <c r="G69" i="167" a="1"/>
  <c r="G69" i="167" s="1"/>
  <c r="G70" i="167" a="1"/>
  <c r="G70" i="167" s="1"/>
  <c r="G71" i="167" a="1"/>
  <c r="G71" i="167" s="1"/>
  <c r="G72" i="167" a="1"/>
  <c r="G72" i="167" s="1"/>
  <c r="G73" i="167" a="1"/>
  <c r="G73" i="167" s="1"/>
  <c r="G74" i="167" a="1"/>
  <c r="G74" i="167" s="1"/>
  <c r="G75" i="167" a="1"/>
  <c r="G75" i="167" s="1"/>
  <c r="G77" i="167" a="1"/>
  <c r="G77" i="167" s="1"/>
  <c r="G78" i="167" a="1"/>
  <c r="G78" i="167" s="1"/>
  <c r="G79" i="167" a="1"/>
  <c r="G79" i="167" s="1"/>
  <c r="G80" i="167" a="1"/>
  <c r="G80" i="167" s="1"/>
  <c r="G81" i="167" a="1"/>
  <c r="G81" i="167" s="1"/>
  <c r="G18" i="167" a="1"/>
  <c r="G18" i="167" s="1"/>
  <c r="G19" i="167" a="1"/>
  <c r="G19" i="167" s="1"/>
  <c r="G20" i="167" a="1"/>
  <c r="G20" i="167" s="1"/>
  <c r="AH20" i="167" s="1"/>
  <c r="G21" i="167" a="1"/>
  <c r="G21" i="167" s="1"/>
  <c r="G22" i="167" a="1"/>
  <c r="G22" i="167" s="1"/>
  <c r="G23" i="167" a="1"/>
  <c r="G23" i="167" s="1"/>
  <c r="G24" i="167" a="1"/>
  <c r="G24" i="167" s="1"/>
  <c r="G25" i="167" a="1"/>
  <c r="G25" i="167" s="1"/>
  <c r="G26" i="167" a="1"/>
  <c r="G26" i="167" s="1"/>
  <c r="G27" i="167" a="1"/>
  <c r="G27" i="167" s="1"/>
  <c r="G28" i="167" a="1"/>
  <c r="G28" i="167" s="1"/>
  <c r="G31" i="167" a="1"/>
  <c r="G31" i="167" s="1"/>
  <c r="G34" i="167" a="1"/>
  <c r="G34" i="167" s="1"/>
  <c r="G35" i="167" a="1"/>
  <c r="G35" i="167" s="1"/>
  <c r="G38" i="167" a="1"/>
  <c r="G38" i="167" s="1"/>
  <c r="G39" i="167" a="1"/>
  <c r="G39" i="167" s="1"/>
  <c r="G40" i="167" a="1"/>
  <c r="G40" i="167" s="1"/>
  <c r="G41" i="167" a="1"/>
  <c r="G41" i="167" s="1"/>
  <c r="G46" i="167" a="1"/>
  <c r="G46" i="167" s="1"/>
  <c r="G47" i="167" a="1"/>
  <c r="G47" i="167" s="1"/>
  <c r="G36" i="167" a="1"/>
  <c r="G36" i="167" s="1"/>
  <c r="G37" i="167" a="1"/>
  <c r="G37" i="167" s="1"/>
  <c r="G44" i="167" a="1"/>
  <c r="G44" i="167" s="1"/>
  <c r="G45" i="167" a="1"/>
  <c r="G45" i="167" s="1"/>
  <c r="G48" i="167" a="1"/>
  <c r="G48" i="167" s="1"/>
  <c r="G42" i="167" a="1"/>
  <c r="G42" i="167" s="1"/>
  <c r="G49" i="167" a="1"/>
  <c r="G49" i="167" s="1"/>
  <c r="G50" i="167" a="1"/>
  <c r="G50" i="167" s="1"/>
  <c r="G51" i="167" a="1"/>
  <c r="G51" i="167" s="1"/>
  <c r="G54" i="167" a="1"/>
  <c r="G54" i="167" s="1"/>
  <c r="G4" i="167" a="1"/>
  <c r="G4" i="167" s="1"/>
  <c r="G5" i="167" a="1"/>
  <c r="G5" i="167" s="1"/>
  <c r="G6" i="167" a="1"/>
  <c r="G6" i="167" s="1"/>
  <c r="G10" i="167" a="1"/>
  <c r="G10" i="167" s="1"/>
  <c r="G13" i="167" a="1"/>
  <c r="G13" i="167" s="1"/>
  <c r="G7" i="167" a="1"/>
  <c r="G7" i="167" s="1"/>
  <c r="G14" i="167" a="1"/>
  <c r="G14" i="167" s="1"/>
  <c r="G15" i="167" a="1"/>
  <c r="G15" i="167" s="1"/>
  <c r="G16" i="167" a="1"/>
  <c r="G16" i="167" s="1"/>
  <c r="G17" i="167" a="1"/>
  <c r="G17" i="167" s="1"/>
  <c r="C595" i="7"/>
  <c r="C596" i="7"/>
  <c r="K596" i="7"/>
  <c r="K595" i="7"/>
  <c r="BS144" i="167" l="1"/>
  <c r="BS82" i="167"/>
  <c r="BS83" i="167"/>
  <c r="BI83" i="167"/>
  <c r="BI82" i="167"/>
  <c r="BM83" i="167"/>
  <c r="BM82" i="167"/>
  <c r="AN83" i="167"/>
  <c r="AN82" i="167"/>
  <c r="BG83" i="167"/>
  <c r="BG82" i="167"/>
  <c r="BK83" i="167"/>
  <c r="BK82" i="167"/>
  <c r="AW83" i="167"/>
  <c r="AW82" i="167"/>
  <c r="BL83" i="167"/>
  <c r="BL82" i="167"/>
  <c r="AX83" i="167"/>
  <c r="AX82" i="167"/>
  <c r="BP83" i="167"/>
  <c r="BP82" i="167"/>
  <c r="BJ83" i="167"/>
  <c r="BJ82" i="167"/>
  <c r="AZ83" i="167"/>
  <c r="AZ82" i="167"/>
  <c r="AU82" i="167"/>
  <c r="AL83" i="167"/>
  <c r="AL82" i="167"/>
  <c r="BH83" i="167"/>
  <c r="BH82" i="167"/>
  <c r="AV83" i="167"/>
  <c r="AV82" i="167"/>
  <c r="BA83" i="167"/>
  <c r="BA82" i="167"/>
  <c r="BN83" i="167"/>
  <c r="BN82" i="167"/>
  <c r="AU83" i="167"/>
  <c r="BE13" i="167"/>
  <c r="M44" i="167"/>
  <c r="J44" i="167" s="1"/>
  <c r="AG83" i="167"/>
  <c r="AG106" i="167"/>
  <c r="J52" i="167"/>
  <c r="L37" i="167"/>
  <c r="K37" i="167"/>
  <c r="Z37" i="167"/>
  <c r="Y37" i="167"/>
  <c r="S37" i="167"/>
  <c r="R37" i="167"/>
  <c r="M37" i="167"/>
  <c r="Y41" i="167"/>
  <c r="R41" i="167"/>
  <c r="K41" i="167"/>
  <c r="AA51" i="167"/>
  <c r="Y51" i="167"/>
  <c r="Z51" i="167"/>
  <c r="R51" i="167"/>
  <c r="S51" i="167"/>
  <c r="K51" i="167"/>
  <c r="L51" i="167"/>
  <c r="J35" i="167"/>
  <c r="AF83" i="167"/>
  <c r="J26" i="167"/>
  <c r="J18" i="167"/>
  <c r="X83" i="167"/>
  <c r="J17" i="167"/>
  <c r="Q83" i="167"/>
  <c r="BO79" i="167"/>
  <c r="J24" i="167"/>
  <c r="J21" i="167"/>
  <c r="J27" i="167"/>
  <c r="AC70" i="167"/>
  <c r="BB70" i="167"/>
  <c r="J20" i="167"/>
  <c r="V69" i="167"/>
  <c r="BB69" i="167"/>
  <c r="J19" i="167"/>
  <c r="AE83" i="167"/>
  <c r="AD77" i="167"/>
  <c r="AD82" i="167" s="1"/>
  <c r="W77" i="167"/>
  <c r="W82" i="167" s="1"/>
  <c r="P77" i="167"/>
  <c r="J16" i="167"/>
  <c r="V80" i="167"/>
  <c r="AC80" i="167" s="1"/>
  <c r="BI134" i="167"/>
  <c r="J32" i="167"/>
  <c r="BK136" i="167"/>
  <c r="J30" i="167"/>
  <c r="AC78" i="167"/>
  <c r="V78" i="167"/>
  <c r="BJ135" i="167"/>
  <c r="J29" i="167"/>
  <c r="AZ125" i="167"/>
  <c r="J25" i="167"/>
  <c r="AL111" i="167"/>
  <c r="J33" i="167"/>
  <c r="Z40" i="167"/>
  <c r="S40" i="167"/>
  <c r="L40" i="167"/>
  <c r="T37" i="167"/>
  <c r="AA36" i="167"/>
  <c r="AU120" i="167"/>
  <c r="BO80" i="167"/>
  <c r="Y38" i="167"/>
  <c r="M43" i="167"/>
  <c r="AA50" i="167"/>
  <c r="AK54" i="167"/>
  <c r="N55" i="167"/>
  <c r="AB56" i="167"/>
  <c r="AK57" i="167"/>
  <c r="O59" i="167"/>
  <c r="AC60" i="167"/>
  <c r="O64" i="167"/>
  <c r="AC66" i="167"/>
  <c r="AC69" i="167"/>
  <c r="V71" i="167"/>
  <c r="O74" i="167"/>
  <c r="AC75" i="167"/>
  <c r="K39" i="167"/>
  <c r="AA37" i="167"/>
  <c r="T43" i="167"/>
  <c r="M51" i="167"/>
  <c r="AY54" i="167"/>
  <c r="U55" i="167"/>
  <c r="AH56" i="167"/>
  <c r="AY57" i="167"/>
  <c r="V59" i="167"/>
  <c r="O61" i="167"/>
  <c r="V64" i="167"/>
  <c r="O67" i="167"/>
  <c r="O70" i="167"/>
  <c r="AC71" i="167"/>
  <c r="V74" i="167"/>
  <c r="O76" i="167"/>
  <c r="R39" i="167"/>
  <c r="T51" i="167"/>
  <c r="N53" i="167"/>
  <c r="AB55" i="167"/>
  <c r="AK56" i="167"/>
  <c r="N58" i="167"/>
  <c r="AC59" i="167"/>
  <c r="V61" i="167"/>
  <c r="V67" i="167"/>
  <c r="V70" i="167"/>
  <c r="O72" i="167"/>
  <c r="V76" i="167"/>
  <c r="M49" i="167"/>
  <c r="U53" i="167"/>
  <c r="AH55" i="167"/>
  <c r="AY56" i="167"/>
  <c r="U58" i="167"/>
  <c r="AO59" i="167"/>
  <c r="O65" i="167"/>
  <c r="V72" i="167"/>
  <c r="BG132" i="167"/>
  <c r="J15" i="167"/>
  <c r="AI22" i="167"/>
  <c r="T49" i="167"/>
  <c r="N54" i="167"/>
  <c r="AB53" i="167"/>
  <c r="AK55" i="167"/>
  <c r="N57" i="167"/>
  <c r="AB58" i="167"/>
  <c r="BC59" i="167"/>
  <c r="O62" i="167"/>
  <c r="V65" i="167"/>
  <c r="O68" i="167"/>
  <c r="AW122" i="167"/>
  <c r="T36" i="167"/>
  <c r="M42" i="167"/>
  <c r="U54" i="167"/>
  <c r="AH53" i="167"/>
  <c r="U57" i="167"/>
  <c r="AH58" i="167"/>
  <c r="V62" i="167"/>
  <c r="O63" i="167"/>
  <c r="V68" i="167"/>
  <c r="O73" i="167"/>
  <c r="AH81" i="167"/>
  <c r="AH107" i="167" s="1"/>
  <c r="AX123" i="167"/>
  <c r="AJ23" i="167"/>
  <c r="AJ109" i="167" s="1"/>
  <c r="AM28" i="167"/>
  <c r="AM112" i="167" s="1"/>
  <c r="K38" i="167"/>
  <c r="T42" i="167"/>
  <c r="M50" i="167"/>
  <c r="AB54" i="167"/>
  <c r="AK53" i="167"/>
  <c r="N56" i="167"/>
  <c r="AB57" i="167"/>
  <c r="AK58" i="167"/>
  <c r="O60" i="167"/>
  <c r="V63" i="167"/>
  <c r="O66" i="167"/>
  <c r="O69" i="167"/>
  <c r="V73" i="167"/>
  <c r="O75" i="167"/>
  <c r="O78" i="167"/>
  <c r="AV121" i="167"/>
  <c r="BH133" i="167"/>
  <c r="G33" i="167" a="1"/>
  <c r="G33" i="167" s="1"/>
  <c r="G32" i="167" a="1"/>
  <c r="G32" i="167" s="1"/>
  <c r="G43" i="167" a="1"/>
  <c r="G43" i="167" s="1"/>
  <c r="G30" i="167" a="1"/>
  <c r="G30" i="167" s="1"/>
  <c r="BA126" i="167"/>
  <c r="BM138" i="167"/>
  <c r="BN139" i="167"/>
  <c r="BL137" i="167"/>
  <c r="BP141" i="167"/>
  <c r="AN113" i="167"/>
  <c r="AF105" i="167"/>
  <c r="BX149" i="167" s="1"/>
  <c r="C43" i="7"/>
  <c r="C1632" i="7"/>
  <c r="C1631" i="7"/>
  <c r="C1630" i="7"/>
  <c r="C1629" i="7"/>
  <c r="C1380" i="7"/>
  <c r="C1379" i="7"/>
  <c r="C1378" i="7"/>
  <c r="C1377" i="7"/>
  <c r="C1376" i="7"/>
  <c r="C1375" i="7"/>
  <c r="C1374" i="7"/>
  <c r="C1373" i="7"/>
  <c r="C1372" i="7"/>
  <c r="C1371" i="7"/>
  <c r="C1370" i="7"/>
  <c r="C1369" i="7"/>
  <c r="C1368" i="7"/>
  <c r="C1365" i="7"/>
  <c r="C1364" i="7"/>
  <c r="C1363" i="7"/>
  <c r="C1362" i="7"/>
  <c r="C1361" i="7"/>
  <c r="C1360" i="7"/>
  <c r="C1359" i="7"/>
  <c r="C1358" i="7"/>
  <c r="C1357" i="7"/>
  <c r="C1356" i="7"/>
  <c r="C1355" i="7"/>
  <c r="C1354" i="7"/>
  <c r="C1353" i="7"/>
  <c r="C1352" i="7"/>
  <c r="C1351" i="7"/>
  <c r="C1350" i="7"/>
  <c r="C1349" i="7"/>
  <c r="C1348" i="7"/>
  <c r="C1347" i="7"/>
  <c r="C1346" i="7"/>
  <c r="C1345" i="7"/>
  <c r="C1344" i="7"/>
  <c r="C1343" i="7"/>
  <c r="C1342" i="7"/>
  <c r="C1341" i="7"/>
  <c r="C1340" i="7"/>
  <c r="C1339" i="7"/>
  <c r="C1338" i="7"/>
  <c r="C1337" i="7"/>
  <c r="C1336" i="7"/>
  <c r="C1335" i="7"/>
  <c r="C1334" i="7"/>
  <c r="C1333" i="7"/>
  <c r="C1332" i="7"/>
  <c r="C1331" i="7"/>
  <c r="C1330" i="7"/>
  <c r="C1329" i="7"/>
  <c r="C1328" i="7"/>
  <c r="C1327" i="7"/>
  <c r="C1326" i="7"/>
  <c r="C1325" i="7"/>
  <c r="C1324" i="7"/>
  <c r="C1323" i="7"/>
  <c r="C1322" i="7"/>
  <c r="C1321" i="7"/>
  <c r="C1318" i="7"/>
  <c r="C1317" i="7"/>
  <c r="C1316" i="7"/>
  <c r="C1315" i="7"/>
  <c r="C1314" i="7"/>
  <c r="C1313" i="7"/>
  <c r="C1312" i="7"/>
  <c r="C1311" i="7"/>
  <c r="C1310" i="7"/>
  <c r="C1309" i="7"/>
  <c r="C1308" i="7"/>
  <c r="C1307" i="7"/>
  <c r="C1306" i="7"/>
  <c r="C1305" i="7"/>
  <c r="C1304" i="7"/>
  <c r="C1303" i="7"/>
  <c r="C1302" i="7"/>
  <c r="C1301" i="7"/>
  <c r="C1300" i="7"/>
  <c r="C1299" i="7"/>
  <c r="C1296" i="7"/>
  <c r="C1295" i="7"/>
  <c r="C1298" i="7"/>
  <c r="C1297" i="7"/>
  <c r="C1294" i="7"/>
  <c r="C1293" i="7"/>
  <c r="C1292" i="7"/>
  <c r="C1291" i="7"/>
  <c r="C1282" i="7"/>
  <c r="C1281" i="7"/>
  <c r="C1280" i="7"/>
  <c r="C1279" i="7"/>
  <c r="C1278" i="7"/>
  <c r="C1277" i="7"/>
  <c r="C1276" i="7"/>
  <c r="C1275" i="7"/>
  <c r="C1274" i="7"/>
  <c r="C1273" i="7"/>
  <c r="C1272" i="7"/>
  <c r="C1271" i="7"/>
  <c r="C1270" i="7"/>
  <c r="C1269" i="7"/>
  <c r="C1268" i="7"/>
  <c r="C1267" i="7"/>
  <c r="C948" i="7"/>
  <c r="C947" i="7"/>
  <c r="C946" i="7"/>
  <c r="C945" i="7"/>
  <c r="C944" i="7"/>
  <c r="C943" i="7"/>
  <c r="C942" i="7"/>
  <c r="C941" i="7"/>
  <c r="C940" i="7"/>
  <c r="C939" i="7"/>
  <c r="C938" i="7"/>
  <c r="C937" i="7"/>
  <c r="C936" i="7"/>
  <c r="C935" i="7"/>
  <c r="C934" i="7"/>
  <c r="C933" i="7"/>
  <c r="C932" i="7"/>
  <c r="C931" i="7"/>
  <c r="C930" i="7"/>
  <c r="C929" i="7"/>
  <c r="C928" i="7"/>
  <c r="C927" i="7"/>
  <c r="C926" i="7"/>
  <c r="C925" i="7"/>
  <c r="C828" i="7"/>
  <c r="C827" i="7"/>
  <c r="C826" i="7"/>
  <c r="C825" i="7"/>
  <c r="C622" i="7"/>
  <c r="C621" i="7"/>
  <c r="C620" i="7"/>
  <c r="C619" i="7"/>
  <c r="C618" i="7"/>
  <c r="C617" i="7"/>
  <c r="C616" i="7"/>
  <c r="C615" i="7"/>
  <c r="C614" i="7"/>
  <c r="C613" i="7"/>
  <c r="C612" i="7"/>
  <c r="C611" i="7"/>
  <c r="C610" i="7"/>
  <c r="C609" i="7"/>
  <c r="C608" i="7"/>
  <c r="C607" i="7"/>
  <c r="C606" i="7"/>
  <c r="C605" i="7"/>
  <c r="C604" i="7"/>
  <c r="C603" i="7"/>
  <c r="C602" i="7"/>
  <c r="C601" i="7"/>
  <c r="C600" i="7"/>
  <c r="C599" i="7"/>
  <c r="C598" i="7"/>
  <c r="C597" i="7"/>
  <c r="C496" i="7"/>
  <c r="C495" i="7"/>
  <c r="C494" i="7"/>
  <c r="C493" i="7"/>
  <c r="C492" i="7"/>
  <c r="C491" i="7"/>
  <c r="C490" i="7"/>
  <c r="C489" i="7"/>
  <c r="C488" i="7"/>
  <c r="C487" i="7"/>
  <c r="C486" i="7"/>
  <c r="C485" i="7"/>
  <c r="C432" i="7"/>
  <c r="C431" i="7"/>
  <c r="C430" i="7"/>
  <c r="C429" i="7"/>
  <c r="C428" i="7"/>
  <c r="C427" i="7"/>
  <c r="C426" i="7"/>
  <c r="C425" i="7"/>
  <c r="C422" i="7"/>
  <c r="C421" i="7"/>
  <c r="C420" i="7"/>
  <c r="C419" i="7"/>
  <c r="C418" i="7"/>
  <c r="C417" i="7"/>
  <c r="C416" i="7"/>
  <c r="C415" i="7"/>
  <c r="C414" i="7"/>
  <c r="C413" i="7"/>
  <c r="C412" i="7"/>
  <c r="C411" i="7"/>
  <c r="C410" i="7"/>
  <c r="C409" i="7"/>
  <c r="C408" i="7"/>
  <c r="C407" i="7"/>
  <c r="C406" i="7"/>
  <c r="C405" i="7"/>
  <c r="C404" i="7"/>
  <c r="C403" i="7"/>
  <c r="C402" i="7"/>
  <c r="C401" i="7"/>
  <c r="C400" i="7"/>
  <c r="C399" i="7"/>
  <c r="C398" i="7"/>
  <c r="C397" i="7"/>
  <c r="C396" i="7"/>
  <c r="C395" i="7"/>
  <c r="C358" i="7"/>
  <c r="C328" i="7"/>
  <c r="C279" i="7"/>
  <c r="C278" i="7"/>
  <c r="C277" i="7"/>
  <c r="C276" i="7"/>
  <c r="C275" i="7"/>
  <c r="C274" i="7"/>
  <c r="C273" i="7"/>
  <c r="C272" i="7"/>
  <c r="C271" i="7"/>
  <c r="C270" i="7"/>
  <c r="C269" i="7"/>
  <c r="C268" i="7"/>
  <c r="C267" i="7"/>
  <c r="C266" i="7"/>
  <c r="C265" i="7"/>
  <c r="C264" i="7"/>
  <c r="C263" i="7"/>
  <c r="C262" i="7"/>
  <c r="C261" i="7"/>
  <c r="C260" i="7"/>
  <c r="C259" i="7"/>
  <c r="C258" i="7"/>
  <c r="C257" i="7"/>
  <c r="C256" i="7"/>
  <c r="C255" i="7"/>
  <c r="C254" i="7"/>
  <c r="C253" i="7"/>
  <c r="C252" i="7"/>
  <c r="C251" i="7"/>
  <c r="C250" i="7"/>
  <c r="C249" i="7"/>
  <c r="C248" i="7"/>
  <c r="C247" i="7"/>
  <c r="C246" i="7"/>
  <c r="C245" i="7"/>
  <c r="C244" i="7"/>
  <c r="C243" i="7"/>
  <c r="C242" i="7"/>
  <c r="C241" i="7"/>
  <c r="C240" i="7"/>
  <c r="C239" i="7"/>
  <c r="C238" i="7"/>
  <c r="C237" i="7"/>
  <c r="C236" i="7"/>
  <c r="C235" i="7"/>
  <c r="C234" i="7"/>
  <c r="C233" i="7"/>
  <c r="C232" i="7"/>
  <c r="C231" i="7"/>
  <c r="C230" i="7"/>
  <c r="C229" i="7"/>
  <c r="C228" i="7"/>
  <c r="C227" i="7"/>
  <c r="C226" i="7"/>
  <c r="C225" i="7"/>
  <c r="C224" i="7"/>
  <c r="C223" i="7"/>
  <c r="C217" i="7"/>
  <c r="C222" i="7"/>
  <c r="C221" i="7"/>
  <c r="C220" i="7"/>
  <c r="C219" i="7"/>
  <c r="C216" i="7"/>
  <c r="C218" i="7"/>
  <c r="C215" i="7"/>
  <c r="C214" i="7"/>
  <c r="C213" i="7"/>
  <c r="C212" i="7"/>
  <c r="C211" i="7"/>
  <c r="C210" i="7"/>
  <c r="C209" i="7"/>
  <c r="C208" i="7"/>
  <c r="C207" i="7"/>
  <c r="C206" i="7"/>
  <c r="C205" i="7"/>
  <c r="C204" i="7"/>
  <c r="C203" i="7"/>
  <c r="C202" i="7"/>
  <c r="C201" i="7"/>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44" i="7"/>
  <c r="C150" i="7"/>
  <c r="C149" i="7"/>
  <c r="C148" i="7"/>
  <c r="C147" i="7"/>
  <c r="C146" i="7"/>
  <c r="K44" i="7"/>
  <c r="J402" i="162" a="1"/>
  <c r="J402" i="162" s="1"/>
  <c r="K240" i="7"/>
  <c r="K358" i="7"/>
  <c r="C132" i="7"/>
  <c r="K132" i="7"/>
  <c r="C133" i="7"/>
  <c r="K133" i="7"/>
  <c r="C134" i="7"/>
  <c r="K134" i="7"/>
  <c r="C135" i="7"/>
  <c r="K135" i="7"/>
  <c r="C1645" i="7"/>
  <c r="C1644" i="7"/>
  <c r="C37" i="7"/>
  <c r="C36" i="7"/>
  <c r="C34" i="7"/>
  <c r="C33" i="7"/>
  <c r="C32" i="7"/>
  <c r="C31" i="7"/>
  <c r="C30" i="7"/>
  <c r="C29" i="7"/>
  <c r="C28" i="7"/>
  <c r="C144" i="7"/>
  <c r="C143" i="7"/>
  <c r="C142" i="7"/>
  <c r="C141" i="7"/>
  <c r="C140" i="7"/>
  <c r="C139" i="7"/>
  <c r="C138" i="7"/>
  <c r="C137" i="7"/>
  <c r="C136" i="7"/>
  <c r="K3" i="7"/>
  <c r="K4" i="7"/>
  <c r="K5" i="7"/>
  <c r="K89" i="7"/>
  <c r="K6" i="7"/>
  <c r="K7" i="7"/>
  <c r="K8" i="7"/>
  <c r="K9" i="7"/>
  <c r="K10" i="7"/>
  <c r="K11" i="7"/>
  <c r="K12" i="7"/>
  <c r="K13" i="7"/>
  <c r="K14" i="7"/>
  <c r="K15" i="7"/>
  <c r="K16" i="7"/>
  <c r="K17" i="7"/>
  <c r="K42" i="7"/>
  <c r="K43"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1652" i="7"/>
  <c r="K1653" i="7"/>
  <c r="K1654" i="7"/>
  <c r="K86" i="7"/>
  <c r="K87" i="7"/>
  <c r="K88"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9" i="7"/>
  <c r="K120" i="7"/>
  <c r="K121" i="7"/>
  <c r="K122" i="7"/>
  <c r="K1637" i="7"/>
  <c r="K1646" i="7"/>
  <c r="K1647" i="7"/>
  <c r="K1648" i="7"/>
  <c r="K117" i="7"/>
  <c r="K118" i="7"/>
  <c r="K123" i="7"/>
  <c r="K124" i="7"/>
  <c r="K125" i="7"/>
  <c r="K126" i="7"/>
  <c r="K127" i="7"/>
  <c r="K128" i="7"/>
  <c r="K129" i="7"/>
  <c r="K130" i="7"/>
  <c r="K131"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8" i="7"/>
  <c r="K216" i="7"/>
  <c r="K219" i="7"/>
  <c r="K220" i="7"/>
  <c r="K221" i="7"/>
  <c r="K222" i="7"/>
  <c r="K217" i="7"/>
  <c r="K223" i="7"/>
  <c r="K224" i="7"/>
  <c r="K225" i="7"/>
  <c r="K226" i="7"/>
  <c r="K227" i="7"/>
  <c r="K228" i="7"/>
  <c r="K229" i="7"/>
  <c r="K230" i="7"/>
  <c r="K231" i="7"/>
  <c r="K232" i="7"/>
  <c r="K233" i="7"/>
  <c r="K234" i="7"/>
  <c r="K235" i="7"/>
  <c r="K236" i="7"/>
  <c r="K237" i="7"/>
  <c r="K238" i="7"/>
  <c r="K239"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1638" i="7"/>
  <c r="K1639" i="7"/>
  <c r="K1640" i="7"/>
  <c r="K1641" i="7"/>
  <c r="K1642" i="7"/>
  <c r="K1643" i="7"/>
  <c r="K1649" i="7"/>
  <c r="K1650" i="7"/>
  <c r="K1651" i="7"/>
  <c r="K18" i="7"/>
  <c r="K19" i="7"/>
  <c r="K20" i="7"/>
  <c r="K21" i="7"/>
  <c r="K22" i="7"/>
  <c r="K23" i="7"/>
  <c r="K24" i="7"/>
  <c r="K25" i="7"/>
  <c r="K26" i="7"/>
  <c r="K27" i="7"/>
  <c r="K28" i="7"/>
  <c r="K29" i="7"/>
  <c r="K30" i="7"/>
  <c r="K31" i="7"/>
  <c r="K32" i="7"/>
  <c r="K33" i="7"/>
  <c r="K34" i="7"/>
  <c r="K35" i="7"/>
  <c r="K36" i="7"/>
  <c r="K37" i="7"/>
  <c r="K38" i="7"/>
  <c r="K39" i="7"/>
  <c r="K40" i="7"/>
  <c r="K41" i="7"/>
  <c r="K367" i="7"/>
  <c r="K368" i="7"/>
  <c r="K369" i="7"/>
  <c r="K370" i="7"/>
  <c r="K371" i="7"/>
  <c r="K372" i="7"/>
  <c r="K373" i="7"/>
  <c r="K374" i="7"/>
  <c r="K375" i="7"/>
  <c r="K376" i="7"/>
  <c r="K377" i="7"/>
  <c r="K378" i="7"/>
  <c r="K1644" i="7"/>
  <c r="K1645" i="7"/>
  <c r="K275" i="7"/>
  <c r="K276" i="7"/>
  <c r="K277" i="7"/>
  <c r="K278" i="7"/>
  <c r="K279" i="7"/>
  <c r="K359" i="7"/>
  <c r="K360" i="7"/>
  <c r="K361" i="7"/>
  <c r="K362" i="7"/>
  <c r="K363" i="7"/>
  <c r="K364" i="7"/>
  <c r="K365" i="7"/>
  <c r="K366"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1629" i="7"/>
  <c r="K1630" i="7"/>
  <c r="K1631" i="7"/>
  <c r="K1632" i="7"/>
  <c r="K925" i="7"/>
  <c r="K926" i="7"/>
  <c r="K927" i="7"/>
  <c r="K928" i="7"/>
  <c r="K929" i="7"/>
  <c r="K930" i="7"/>
  <c r="K931" i="7"/>
  <c r="K932" i="7"/>
  <c r="K933" i="7"/>
  <c r="K934" i="7"/>
  <c r="K935" i="7"/>
  <c r="K936" i="7"/>
  <c r="K937" i="7"/>
  <c r="K938" i="7"/>
  <c r="K939" i="7"/>
  <c r="K940" i="7"/>
  <c r="K941" i="7"/>
  <c r="K942" i="7"/>
  <c r="K943" i="7"/>
  <c r="K944" i="7"/>
  <c r="K945" i="7"/>
  <c r="K946" i="7"/>
  <c r="K947" i="7"/>
  <c r="K948"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7" i="7"/>
  <c r="K1298" i="7"/>
  <c r="K1295" i="7"/>
  <c r="K1296"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633" i="7"/>
  <c r="K1634" i="7"/>
  <c r="K1635" i="7"/>
  <c r="K1636" i="7"/>
  <c r="K905" i="7"/>
  <c r="K906" i="7"/>
  <c r="K907" i="7"/>
  <c r="K908" i="7"/>
  <c r="K909" i="7"/>
  <c r="K910" i="7"/>
  <c r="K911" i="7"/>
  <c r="K912" i="7"/>
  <c r="K913" i="7"/>
  <c r="K914" i="7"/>
  <c r="K915" i="7"/>
  <c r="K916" i="7"/>
  <c r="K917" i="7"/>
  <c r="K918" i="7"/>
  <c r="K919" i="7"/>
  <c r="K920" i="7"/>
  <c r="K921" i="7"/>
  <c r="K922" i="7"/>
  <c r="K923" i="7"/>
  <c r="K924"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2" i="7"/>
  <c r="C324" i="7"/>
  <c r="C102" i="7"/>
  <c r="C99" i="7"/>
  <c r="C319" i="7"/>
  <c r="C308" i="7"/>
  <c r="P82" i="167" l="1"/>
  <c r="BO82" i="167"/>
  <c r="AY82" i="167"/>
  <c r="AH82" i="167"/>
  <c r="AB82" i="167"/>
  <c r="U82" i="167"/>
  <c r="M82" i="167"/>
  <c r="BB82" i="167"/>
  <c r="S82" i="167"/>
  <c r="AM83" i="167"/>
  <c r="AM82" i="167"/>
  <c r="R82" i="167"/>
  <c r="K82" i="167"/>
  <c r="AJ83" i="167"/>
  <c r="AJ82" i="167"/>
  <c r="T82" i="167"/>
  <c r="AI83" i="167"/>
  <c r="AI82" i="167"/>
  <c r="AC82" i="167"/>
  <c r="N82" i="167"/>
  <c r="AA82" i="167"/>
  <c r="L82" i="167"/>
  <c r="BC83" i="167"/>
  <c r="BC82" i="167"/>
  <c r="AO83" i="167"/>
  <c r="AO82" i="167"/>
  <c r="Y82" i="167"/>
  <c r="BE83" i="167"/>
  <c r="BE82" i="167"/>
  <c r="AK82" i="167"/>
  <c r="V82" i="167"/>
  <c r="O82" i="167"/>
  <c r="Z82" i="167"/>
  <c r="AY83" i="167"/>
  <c r="BB83" i="167"/>
  <c r="BO83" i="167"/>
  <c r="BE130" i="167"/>
  <c r="J13" i="167"/>
  <c r="AR117" i="167"/>
  <c r="AS118" i="167" s="1"/>
  <c r="J81" i="167"/>
  <c r="S92" i="167"/>
  <c r="BO140" i="167"/>
  <c r="BQ142" i="167" s="1"/>
  <c r="J75" i="167"/>
  <c r="AB83" i="167"/>
  <c r="K83" i="167"/>
  <c r="J68" i="167"/>
  <c r="AH83" i="167"/>
  <c r="AK83" i="167"/>
  <c r="J78" i="167"/>
  <c r="AC83" i="167"/>
  <c r="BB127" i="167"/>
  <c r="BC128" i="167"/>
  <c r="U83" i="167"/>
  <c r="AA83" i="167"/>
  <c r="J69" i="167"/>
  <c r="S83" i="167"/>
  <c r="J66" i="167"/>
  <c r="J50" i="167"/>
  <c r="T83" i="167"/>
  <c r="N83" i="167"/>
  <c r="L83" i="167"/>
  <c r="R83" i="167"/>
  <c r="AO114" i="167"/>
  <c r="V83" i="167"/>
  <c r="O83" i="167"/>
  <c r="Z99" i="167"/>
  <c r="Z83" i="167"/>
  <c r="Y83" i="167"/>
  <c r="P83" i="167"/>
  <c r="AD83" i="167"/>
  <c r="W83" i="167"/>
  <c r="J70" i="167"/>
  <c r="J77" i="167"/>
  <c r="J56" i="167"/>
  <c r="J76" i="167"/>
  <c r="J80" i="167"/>
  <c r="J71" i="167"/>
  <c r="J60" i="167"/>
  <c r="J62" i="167"/>
  <c r="AI108" i="167"/>
  <c r="J22" i="167"/>
  <c r="J58" i="167"/>
  <c r="J74" i="167"/>
  <c r="J73" i="167"/>
  <c r="J42" i="167"/>
  <c r="J49" i="167"/>
  <c r="J55" i="167"/>
  <c r="J41" i="167"/>
  <c r="J57" i="167"/>
  <c r="J36" i="167"/>
  <c r="J63" i="167"/>
  <c r="J65" i="167"/>
  <c r="J72" i="167"/>
  <c r="J53" i="167"/>
  <c r="J67" i="167"/>
  <c r="J51" i="167"/>
  <c r="K84" i="167"/>
  <c r="J38" i="167"/>
  <c r="J64" i="167"/>
  <c r="J43" i="167"/>
  <c r="J28" i="167"/>
  <c r="J54" i="167"/>
  <c r="J61" i="167"/>
  <c r="J23" i="167"/>
  <c r="J39" i="167"/>
  <c r="J59" i="167"/>
  <c r="L85" i="167"/>
  <c r="J40" i="167"/>
  <c r="AB101" i="167"/>
  <c r="AK110" i="167"/>
  <c r="T93" i="167"/>
  <c r="AY124" i="167"/>
  <c r="AA100" i="167"/>
  <c r="R91" i="167"/>
  <c r="Y98" i="167"/>
  <c r="V95" i="167"/>
  <c r="N87" i="167"/>
  <c r="AC102" i="167"/>
  <c r="U94" i="167"/>
  <c r="E1629" i="7"/>
  <c r="E1630" i="7" s="1"/>
  <c r="E275" i="7"/>
  <c r="E276" i="7" s="1"/>
  <c r="E277" i="7" s="1"/>
  <c r="E278" i="7" s="1"/>
  <c r="C1653" i="7"/>
  <c r="C1652" i="7"/>
  <c r="C1654" i="7"/>
  <c r="C3" i="7"/>
  <c r="C4" i="7"/>
  <c r="C5" i="7"/>
  <c r="C6" i="7"/>
  <c r="C7" i="7"/>
  <c r="C8" i="7"/>
  <c r="C9" i="7"/>
  <c r="C10" i="7"/>
  <c r="C11" i="7"/>
  <c r="C12" i="7"/>
  <c r="C13" i="7"/>
  <c r="C14" i="7"/>
  <c r="C15" i="7"/>
  <c r="C16" i="7"/>
  <c r="C17" i="7"/>
  <c r="C42"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100" i="7"/>
  <c r="C101" i="7"/>
  <c r="C103" i="7"/>
  <c r="C104" i="7"/>
  <c r="C105" i="7"/>
  <c r="C106" i="7"/>
  <c r="C107" i="7"/>
  <c r="C108" i="7"/>
  <c r="C109" i="7"/>
  <c r="C110" i="7"/>
  <c r="C111" i="7"/>
  <c r="C112" i="7"/>
  <c r="C113" i="7"/>
  <c r="C114" i="7"/>
  <c r="C115" i="7"/>
  <c r="C116" i="7"/>
  <c r="C119" i="7"/>
  <c r="C120" i="7"/>
  <c r="C121" i="7"/>
  <c r="C122" i="7"/>
  <c r="C1637" i="7"/>
  <c r="C1646" i="7"/>
  <c r="C1647" i="7"/>
  <c r="C1648" i="7"/>
  <c r="C117" i="7"/>
  <c r="C118" i="7"/>
  <c r="C123" i="7"/>
  <c r="C124" i="7"/>
  <c r="C125" i="7"/>
  <c r="C126" i="7"/>
  <c r="C127" i="7"/>
  <c r="C128" i="7"/>
  <c r="C129" i="7"/>
  <c r="C130" i="7"/>
  <c r="C131" i="7"/>
  <c r="C145" i="7"/>
  <c r="C151" i="7"/>
  <c r="C152" i="7"/>
  <c r="C153" i="7"/>
  <c r="C154" i="7"/>
  <c r="C155"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9" i="7"/>
  <c r="C310" i="7"/>
  <c r="C311" i="7"/>
  <c r="C312" i="7"/>
  <c r="C313" i="7"/>
  <c r="C314" i="7"/>
  <c r="C315" i="7"/>
  <c r="C316" i="7"/>
  <c r="C317" i="7"/>
  <c r="C318" i="7"/>
  <c r="C320" i="7"/>
  <c r="C321" i="7"/>
  <c r="C322" i="7"/>
  <c r="C323" i="7"/>
  <c r="C325" i="7"/>
  <c r="C326" i="7"/>
  <c r="C327"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1638" i="7"/>
  <c r="C1639" i="7"/>
  <c r="C1640" i="7"/>
  <c r="C1641" i="7"/>
  <c r="C1642" i="7"/>
  <c r="C1643" i="7"/>
  <c r="C1649" i="7"/>
  <c r="C1650" i="7"/>
  <c r="C1651" i="7"/>
  <c r="C18" i="7"/>
  <c r="C19" i="7"/>
  <c r="C20" i="7"/>
  <c r="C21" i="7"/>
  <c r="C22" i="7"/>
  <c r="C23" i="7"/>
  <c r="C24" i="7"/>
  <c r="C25" i="7"/>
  <c r="C26" i="7"/>
  <c r="C27" i="7"/>
  <c r="C35" i="7"/>
  <c r="C38" i="7"/>
  <c r="C39" i="7"/>
  <c r="C40" i="7"/>
  <c r="C41" i="7"/>
  <c r="C367" i="7"/>
  <c r="C368" i="7"/>
  <c r="C369" i="7"/>
  <c r="C370" i="7"/>
  <c r="C371" i="7"/>
  <c r="C372" i="7"/>
  <c r="C373" i="7"/>
  <c r="C374" i="7"/>
  <c r="C375" i="7"/>
  <c r="C376" i="7"/>
  <c r="C377" i="7"/>
  <c r="C378" i="7"/>
  <c r="C359" i="7"/>
  <c r="C360" i="7"/>
  <c r="C361" i="7"/>
  <c r="C362" i="7"/>
  <c r="C363" i="7"/>
  <c r="C364" i="7"/>
  <c r="C365" i="7"/>
  <c r="C366" i="7"/>
  <c r="C379" i="7"/>
  <c r="C380" i="7"/>
  <c r="C381" i="7"/>
  <c r="C382" i="7"/>
  <c r="C383" i="7"/>
  <c r="C384" i="7"/>
  <c r="C385" i="7"/>
  <c r="C386" i="7"/>
  <c r="C387" i="7"/>
  <c r="C388" i="7"/>
  <c r="C389" i="7"/>
  <c r="C390" i="7"/>
  <c r="C391" i="7"/>
  <c r="C392" i="7"/>
  <c r="C393" i="7"/>
  <c r="C394" i="7"/>
  <c r="C423" i="7"/>
  <c r="C424" i="7"/>
  <c r="C433" i="7"/>
  <c r="C434" i="7"/>
  <c r="C435" i="7"/>
  <c r="C436" i="7"/>
  <c r="C437" i="7"/>
  <c r="C438" i="7"/>
  <c r="C439" i="7"/>
  <c r="C440" i="7"/>
  <c r="C441" i="7"/>
  <c r="C442" i="7"/>
  <c r="C443" i="7"/>
  <c r="C444" i="7"/>
  <c r="C445" i="7"/>
  <c r="C446" i="7"/>
  <c r="C447" i="7"/>
  <c r="C448" i="7"/>
  <c r="C449" i="7"/>
  <c r="C450" i="7"/>
  <c r="C451" i="7"/>
  <c r="C452" i="7"/>
  <c r="C453" i="7"/>
  <c r="C454" i="7"/>
  <c r="C455" i="7"/>
  <c r="C456" i="7"/>
  <c r="C457" i="7"/>
  <c r="C458" i="7"/>
  <c r="C459" i="7"/>
  <c r="C460" i="7"/>
  <c r="C461" i="7"/>
  <c r="C462" i="7"/>
  <c r="C463" i="7"/>
  <c r="C464" i="7"/>
  <c r="C465" i="7"/>
  <c r="C466" i="7"/>
  <c r="C467" i="7"/>
  <c r="C468" i="7"/>
  <c r="C469" i="7"/>
  <c r="C470" i="7"/>
  <c r="C471" i="7"/>
  <c r="C472" i="7"/>
  <c r="C473" i="7"/>
  <c r="C474" i="7"/>
  <c r="C475" i="7"/>
  <c r="C476" i="7"/>
  <c r="C477" i="7"/>
  <c r="C478" i="7"/>
  <c r="C479" i="7"/>
  <c r="C480" i="7"/>
  <c r="C481" i="7"/>
  <c r="C482" i="7"/>
  <c r="C483" i="7"/>
  <c r="C484" i="7"/>
  <c r="C497" i="7"/>
  <c r="C498" i="7"/>
  <c r="C499" i="7"/>
  <c r="C500" i="7"/>
  <c r="C501" i="7"/>
  <c r="C502" i="7"/>
  <c r="C503" i="7"/>
  <c r="C504" i="7"/>
  <c r="C505" i="7"/>
  <c r="C506" i="7"/>
  <c r="C507" i="7"/>
  <c r="C508" i="7"/>
  <c r="C509" i="7"/>
  <c r="C510" i="7"/>
  <c r="C511" i="7"/>
  <c r="C512" i="7"/>
  <c r="C513" i="7"/>
  <c r="C514" i="7"/>
  <c r="C515" i="7"/>
  <c r="C516" i="7"/>
  <c r="C517" i="7"/>
  <c r="C518" i="7"/>
  <c r="C519" i="7"/>
  <c r="C520" i="7"/>
  <c r="C521" i="7"/>
  <c r="C522" i="7"/>
  <c r="C523" i="7"/>
  <c r="C524" i="7"/>
  <c r="C525" i="7"/>
  <c r="C526" i="7"/>
  <c r="C527" i="7"/>
  <c r="C528" i="7"/>
  <c r="C529" i="7"/>
  <c r="C530" i="7"/>
  <c r="C531" i="7"/>
  <c r="C532" i="7"/>
  <c r="C533" i="7"/>
  <c r="C534" i="7"/>
  <c r="C535" i="7"/>
  <c r="C536" i="7"/>
  <c r="C537" i="7"/>
  <c r="C538" i="7"/>
  <c r="C539" i="7"/>
  <c r="C540" i="7"/>
  <c r="C541" i="7"/>
  <c r="C542" i="7"/>
  <c r="C543" i="7"/>
  <c r="C544" i="7"/>
  <c r="C545" i="7"/>
  <c r="C546" i="7"/>
  <c r="C547" i="7"/>
  <c r="C548" i="7"/>
  <c r="C549" i="7"/>
  <c r="C550" i="7"/>
  <c r="C551" i="7"/>
  <c r="C552" i="7"/>
  <c r="C553" i="7"/>
  <c r="C554" i="7"/>
  <c r="C555" i="7"/>
  <c r="C556" i="7"/>
  <c r="C557" i="7"/>
  <c r="C558" i="7"/>
  <c r="C559" i="7"/>
  <c r="C560" i="7"/>
  <c r="C561" i="7"/>
  <c r="C562" i="7"/>
  <c r="C563" i="7"/>
  <c r="C564" i="7"/>
  <c r="C565" i="7"/>
  <c r="C566" i="7"/>
  <c r="C567" i="7"/>
  <c r="C568" i="7"/>
  <c r="C569" i="7"/>
  <c r="C570" i="7"/>
  <c r="C571" i="7"/>
  <c r="C572" i="7"/>
  <c r="C573" i="7"/>
  <c r="C574" i="7"/>
  <c r="C575" i="7"/>
  <c r="C576" i="7"/>
  <c r="C577" i="7"/>
  <c r="C578" i="7"/>
  <c r="C579" i="7"/>
  <c r="C580" i="7"/>
  <c r="C581" i="7"/>
  <c r="C582" i="7"/>
  <c r="C583" i="7"/>
  <c r="C584" i="7"/>
  <c r="C585" i="7"/>
  <c r="C586" i="7"/>
  <c r="C587" i="7"/>
  <c r="C588" i="7"/>
  <c r="C589" i="7"/>
  <c r="C590" i="7"/>
  <c r="C591" i="7"/>
  <c r="C592" i="7"/>
  <c r="C593" i="7"/>
  <c r="C594" i="7"/>
  <c r="C623" i="7"/>
  <c r="C624" i="7"/>
  <c r="C625" i="7"/>
  <c r="C626" i="7"/>
  <c r="C627" i="7"/>
  <c r="C628" i="7"/>
  <c r="C629" i="7"/>
  <c r="C630" i="7"/>
  <c r="C631" i="7"/>
  <c r="C632" i="7"/>
  <c r="C633" i="7"/>
  <c r="C634" i="7"/>
  <c r="C635" i="7"/>
  <c r="C636" i="7"/>
  <c r="C637" i="7"/>
  <c r="C638" i="7"/>
  <c r="C639" i="7"/>
  <c r="C640" i="7"/>
  <c r="C641" i="7"/>
  <c r="C642" i="7"/>
  <c r="C643" i="7"/>
  <c r="C644" i="7"/>
  <c r="C645" i="7"/>
  <c r="C646" i="7"/>
  <c r="C647" i="7"/>
  <c r="C648" i="7"/>
  <c r="C649" i="7"/>
  <c r="C650" i="7"/>
  <c r="C651" i="7"/>
  <c r="C652" i="7"/>
  <c r="C653" i="7"/>
  <c r="C654" i="7"/>
  <c r="C655" i="7"/>
  <c r="C656" i="7"/>
  <c r="C657" i="7"/>
  <c r="C658" i="7"/>
  <c r="C659" i="7"/>
  <c r="C660" i="7"/>
  <c r="C661" i="7"/>
  <c r="C662" i="7"/>
  <c r="C663" i="7"/>
  <c r="C664" i="7"/>
  <c r="C665" i="7"/>
  <c r="C666" i="7"/>
  <c r="C667" i="7"/>
  <c r="C668" i="7"/>
  <c r="C669" i="7"/>
  <c r="C670" i="7"/>
  <c r="C671" i="7"/>
  <c r="C672" i="7"/>
  <c r="C673" i="7"/>
  <c r="C674" i="7"/>
  <c r="C675" i="7"/>
  <c r="C676" i="7"/>
  <c r="C677" i="7"/>
  <c r="C678" i="7"/>
  <c r="C679" i="7"/>
  <c r="C680" i="7"/>
  <c r="C681" i="7"/>
  <c r="C682" i="7"/>
  <c r="C683" i="7"/>
  <c r="C684" i="7"/>
  <c r="C685" i="7"/>
  <c r="C686" i="7"/>
  <c r="C687" i="7"/>
  <c r="C688" i="7"/>
  <c r="C689" i="7"/>
  <c r="C690" i="7"/>
  <c r="C691" i="7"/>
  <c r="C692" i="7"/>
  <c r="C693" i="7"/>
  <c r="C694" i="7"/>
  <c r="C695" i="7"/>
  <c r="C696" i="7"/>
  <c r="C697" i="7"/>
  <c r="C698" i="7"/>
  <c r="C699" i="7"/>
  <c r="C700" i="7"/>
  <c r="C701" i="7"/>
  <c r="C702" i="7"/>
  <c r="C703" i="7"/>
  <c r="C704" i="7"/>
  <c r="C705" i="7"/>
  <c r="C706" i="7"/>
  <c r="C707" i="7"/>
  <c r="C708" i="7"/>
  <c r="C709" i="7"/>
  <c r="C710" i="7"/>
  <c r="C711" i="7"/>
  <c r="C712" i="7"/>
  <c r="C713" i="7"/>
  <c r="C714" i="7"/>
  <c r="C715" i="7"/>
  <c r="C716" i="7"/>
  <c r="C717" i="7"/>
  <c r="C718" i="7"/>
  <c r="C719" i="7"/>
  <c r="C720" i="7"/>
  <c r="C721" i="7"/>
  <c r="C722" i="7"/>
  <c r="C723" i="7"/>
  <c r="C724" i="7"/>
  <c r="C725" i="7"/>
  <c r="C726" i="7"/>
  <c r="C727" i="7"/>
  <c r="C728" i="7"/>
  <c r="C729" i="7"/>
  <c r="C730" i="7"/>
  <c r="C731" i="7"/>
  <c r="C732" i="7"/>
  <c r="C733" i="7"/>
  <c r="C734" i="7"/>
  <c r="C735" i="7"/>
  <c r="C736" i="7"/>
  <c r="C737" i="7"/>
  <c r="C738" i="7"/>
  <c r="C739" i="7"/>
  <c r="C740" i="7"/>
  <c r="C741" i="7"/>
  <c r="C742" i="7"/>
  <c r="C743" i="7"/>
  <c r="C744" i="7"/>
  <c r="C745" i="7"/>
  <c r="C746" i="7"/>
  <c r="C747" i="7"/>
  <c r="C748" i="7"/>
  <c r="C749" i="7"/>
  <c r="C750" i="7"/>
  <c r="C751" i="7"/>
  <c r="C752" i="7"/>
  <c r="C753" i="7"/>
  <c r="C754" i="7"/>
  <c r="C755" i="7"/>
  <c r="C756" i="7"/>
  <c r="C757" i="7"/>
  <c r="C758" i="7"/>
  <c r="C759" i="7"/>
  <c r="C760" i="7"/>
  <c r="C761" i="7"/>
  <c r="C762" i="7"/>
  <c r="C763" i="7"/>
  <c r="C764" i="7"/>
  <c r="C765" i="7"/>
  <c r="C766" i="7"/>
  <c r="C767" i="7"/>
  <c r="C768" i="7"/>
  <c r="C769" i="7"/>
  <c r="C770" i="7"/>
  <c r="C771" i="7"/>
  <c r="C772" i="7"/>
  <c r="C773" i="7"/>
  <c r="C774" i="7"/>
  <c r="C775" i="7"/>
  <c r="C776" i="7"/>
  <c r="C777" i="7"/>
  <c r="C778" i="7"/>
  <c r="C779" i="7"/>
  <c r="C780" i="7"/>
  <c r="C781" i="7"/>
  <c r="C782" i="7"/>
  <c r="C783" i="7"/>
  <c r="C784" i="7"/>
  <c r="C785" i="7"/>
  <c r="C786" i="7"/>
  <c r="C787" i="7"/>
  <c r="C788" i="7"/>
  <c r="C789" i="7"/>
  <c r="C790" i="7"/>
  <c r="C791" i="7"/>
  <c r="C792" i="7"/>
  <c r="C793" i="7"/>
  <c r="C794" i="7"/>
  <c r="C795" i="7"/>
  <c r="C796" i="7"/>
  <c r="C797" i="7"/>
  <c r="C798" i="7"/>
  <c r="C799" i="7"/>
  <c r="C800" i="7"/>
  <c r="C801" i="7"/>
  <c r="C802" i="7"/>
  <c r="C803" i="7"/>
  <c r="C804" i="7"/>
  <c r="C805" i="7"/>
  <c r="C806" i="7"/>
  <c r="C807" i="7"/>
  <c r="C808" i="7"/>
  <c r="C809" i="7"/>
  <c r="C810" i="7"/>
  <c r="C811" i="7"/>
  <c r="C812" i="7"/>
  <c r="C813" i="7"/>
  <c r="C814" i="7"/>
  <c r="C815" i="7"/>
  <c r="C816" i="7"/>
  <c r="C817" i="7"/>
  <c r="C818" i="7"/>
  <c r="C819" i="7"/>
  <c r="C820" i="7"/>
  <c r="C821" i="7"/>
  <c r="C822" i="7"/>
  <c r="C823" i="7"/>
  <c r="C824" i="7"/>
  <c r="C833" i="7"/>
  <c r="C834" i="7"/>
  <c r="C835" i="7"/>
  <c r="C836" i="7"/>
  <c r="C837" i="7"/>
  <c r="C838" i="7"/>
  <c r="C839" i="7"/>
  <c r="C840" i="7"/>
  <c r="C841" i="7"/>
  <c r="C842" i="7"/>
  <c r="C843" i="7"/>
  <c r="C844" i="7"/>
  <c r="C845" i="7"/>
  <c r="C846" i="7"/>
  <c r="C847" i="7"/>
  <c r="C848" i="7"/>
  <c r="C849" i="7"/>
  <c r="C850" i="7"/>
  <c r="C851" i="7"/>
  <c r="C852" i="7"/>
  <c r="C853" i="7"/>
  <c r="C854" i="7"/>
  <c r="C855" i="7"/>
  <c r="C856" i="7"/>
  <c r="C857" i="7"/>
  <c r="C858" i="7"/>
  <c r="C859" i="7"/>
  <c r="C860" i="7"/>
  <c r="C861" i="7"/>
  <c r="C862" i="7"/>
  <c r="C863" i="7"/>
  <c r="C864" i="7"/>
  <c r="C865" i="7"/>
  <c r="C866" i="7"/>
  <c r="C867" i="7"/>
  <c r="C868" i="7"/>
  <c r="C869" i="7"/>
  <c r="C870" i="7"/>
  <c r="C871" i="7"/>
  <c r="C872" i="7"/>
  <c r="C873" i="7"/>
  <c r="C874" i="7"/>
  <c r="C875" i="7"/>
  <c r="C876" i="7"/>
  <c r="C877" i="7"/>
  <c r="C878" i="7"/>
  <c r="C879" i="7"/>
  <c r="C880" i="7"/>
  <c r="C881" i="7"/>
  <c r="C882" i="7"/>
  <c r="C883" i="7"/>
  <c r="C884" i="7"/>
  <c r="C885" i="7"/>
  <c r="C886" i="7"/>
  <c r="C887" i="7"/>
  <c r="C888" i="7"/>
  <c r="C889" i="7"/>
  <c r="C890" i="7"/>
  <c r="C891" i="7"/>
  <c r="C892" i="7"/>
  <c r="C893" i="7"/>
  <c r="C894" i="7"/>
  <c r="C895" i="7"/>
  <c r="C896" i="7"/>
  <c r="C897" i="7"/>
  <c r="C898" i="7"/>
  <c r="C899" i="7"/>
  <c r="C900" i="7"/>
  <c r="C901" i="7"/>
  <c r="C902" i="7"/>
  <c r="C903" i="7"/>
  <c r="C904" i="7"/>
  <c r="C905" i="7"/>
  <c r="C906" i="7"/>
  <c r="C907" i="7"/>
  <c r="C908" i="7"/>
  <c r="C909" i="7"/>
  <c r="C910" i="7"/>
  <c r="C911" i="7"/>
  <c r="C912" i="7"/>
  <c r="C913" i="7"/>
  <c r="C914" i="7"/>
  <c r="C915" i="7"/>
  <c r="C916" i="7"/>
  <c r="C917" i="7"/>
  <c r="C918" i="7"/>
  <c r="C919" i="7"/>
  <c r="C920" i="7"/>
  <c r="C921" i="7"/>
  <c r="C922" i="7"/>
  <c r="C923" i="7"/>
  <c r="C924" i="7"/>
  <c r="E925" i="7" s="1"/>
  <c r="E926" i="7" s="1"/>
  <c r="C949" i="7"/>
  <c r="C950" i="7"/>
  <c r="C951" i="7"/>
  <c r="C952" i="7"/>
  <c r="C953" i="7"/>
  <c r="C954" i="7"/>
  <c r="C955" i="7"/>
  <c r="C956" i="7"/>
  <c r="C957" i="7"/>
  <c r="C958" i="7"/>
  <c r="C959" i="7"/>
  <c r="C960" i="7"/>
  <c r="C961" i="7"/>
  <c r="C962" i="7"/>
  <c r="C963" i="7"/>
  <c r="C964" i="7"/>
  <c r="C965" i="7"/>
  <c r="C966" i="7"/>
  <c r="C967" i="7"/>
  <c r="C968" i="7"/>
  <c r="C969" i="7"/>
  <c r="C970" i="7"/>
  <c r="C971" i="7"/>
  <c r="C972" i="7"/>
  <c r="C973" i="7"/>
  <c r="C974" i="7"/>
  <c r="C975" i="7"/>
  <c r="C976" i="7"/>
  <c r="C977" i="7"/>
  <c r="C978" i="7"/>
  <c r="C979" i="7"/>
  <c r="C980" i="7"/>
  <c r="C981" i="7"/>
  <c r="C982" i="7"/>
  <c r="C983" i="7"/>
  <c r="C984" i="7"/>
  <c r="C985" i="7"/>
  <c r="C986" i="7"/>
  <c r="C987" i="7"/>
  <c r="C988" i="7"/>
  <c r="C989" i="7"/>
  <c r="C990" i="7"/>
  <c r="C991" i="7"/>
  <c r="C992" i="7"/>
  <c r="C993" i="7"/>
  <c r="C994" i="7"/>
  <c r="C995" i="7"/>
  <c r="C996" i="7"/>
  <c r="C997" i="7"/>
  <c r="C998" i="7"/>
  <c r="C999" i="7"/>
  <c r="C1000" i="7"/>
  <c r="C1001" i="7"/>
  <c r="C1002" i="7"/>
  <c r="C1003" i="7"/>
  <c r="C1004" i="7"/>
  <c r="C1005" i="7"/>
  <c r="C1006" i="7"/>
  <c r="C1007" i="7"/>
  <c r="C1008" i="7"/>
  <c r="C1009" i="7"/>
  <c r="C1010" i="7"/>
  <c r="C1011" i="7"/>
  <c r="C1012" i="7"/>
  <c r="C1013" i="7"/>
  <c r="C1014" i="7"/>
  <c r="C1015" i="7"/>
  <c r="C1016" i="7"/>
  <c r="C1017" i="7"/>
  <c r="C1018" i="7"/>
  <c r="C1019" i="7"/>
  <c r="C1020" i="7"/>
  <c r="C1021" i="7"/>
  <c r="C1022" i="7"/>
  <c r="C1023" i="7"/>
  <c r="C1024" i="7"/>
  <c r="C1025" i="7"/>
  <c r="C1026" i="7"/>
  <c r="C1027" i="7"/>
  <c r="C1028" i="7"/>
  <c r="C1029" i="7"/>
  <c r="C1030" i="7"/>
  <c r="C1031" i="7"/>
  <c r="C1032" i="7"/>
  <c r="C1033" i="7"/>
  <c r="C1034" i="7"/>
  <c r="C1035" i="7"/>
  <c r="C1036" i="7"/>
  <c r="C1037" i="7"/>
  <c r="C1038" i="7"/>
  <c r="C1039" i="7"/>
  <c r="C1040" i="7"/>
  <c r="C1041" i="7"/>
  <c r="C1042" i="7"/>
  <c r="C1043" i="7"/>
  <c r="C1044" i="7"/>
  <c r="C1045" i="7"/>
  <c r="C1046" i="7"/>
  <c r="C1047" i="7"/>
  <c r="C1048" i="7"/>
  <c r="C1049" i="7"/>
  <c r="C1050" i="7"/>
  <c r="C1051" i="7"/>
  <c r="C1052" i="7"/>
  <c r="C1053" i="7"/>
  <c r="C1054" i="7"/>
  <c r="C1055" i="7"/>
  <c r="C1056" i="7"/>
  <c r="C1057" i="7"/>
  <c r="C1058" i="7"/>
  <c r="C1059" i="7"/>
  <c r="C1060" i="7"/>
  <c r="C1061" i="7"/>
  <c r="C1062" i="7"/>
  <c r="C1063" i="7"/>
  <c r="C1064" i="7"/>
  <c r="C1065" i="7"/>
  <c r="C1066" i="7"/>
  <c r="C1067" i="7"/>
  <c r="C1068" i="7"/>
  <c r="C1069" i="7"/>
  <c r="C1070" i="7"/>
  <c r="C1071" i="7"/>
  <c r="C1072" i="7"/>
  <c r="C1073" i="7"/>
  <c r="C1074" i="7"/>
  <c r="C1075" i="7"/>
  <c r="C1076" i="7"/>
  <c r="C1077" i="7"/>
  <c r="C1078" i="7"/>
  <c r="C1079" i="7"/>
  <c r="C1080" i="7"/>
  <c r="C1081" i="7"/>
  <c r="C1082" i="7"/>
  <c r="C1083" i="7"/>
  <c r="C1084" i="7"/>
  <c r="C1085" i="7"/>
  <c r="C1086" i="7"/>
  <c r="C1087" i="7"/>
  <c r="C1088" i="7"/>
  <c r="C1089" i="7"/>
  <c r="C1090" i="7"/>
  <c r="C1091" i="7"/>
  <c r="C1092" i="7"/>
  <c r="C1093" i="7"/>
  <c r="C1094" i="7"/>
  <c r="C1095" i="7"/>
  <c r="C1096" i="7"/>
  <c r="C1097" i="7"/>
  <c r="C1098" i="7"/>
  <c r="C1099" i="7"/>
  <c r="C1100" i="7"/>
  <c r="C1101" i="7"/>
  <c r="C1102" i="7"/>
  <c r="C1103" i="7"/>
  <c r="C1104" i="7"/>
  <c r="C1105" i="7"/>
  <c r="C1106" i="7"/>
  <c r="C1107" i="7"/>
  <c r="C1108" i="7"/>
  <c r="C1109" i="7"/>
  <c r="C1110" i="7"/>
  <c r="C1111" i="7"/>
  <c r="C1112" i="7"/>
  <c r="C1113" i="7"/>
  <c r="C1114" i="7"/>
  <c r="C1115" i="7"/>
  <c r="C1116" i="7"/>
  <c r="C1117" i="7"/>
  <c r="C1118" i="7"/>
  <c r="C1119" i="7"/>
  <c r="C1120" i="7"/>
  <c r="C1121" i="7"/>
  <c r="C1122" i="7"/>
  <c r="C1123" i="7"/>
  <c r="C1124" i="7"/>
  <c r="C1125" i="7"/>
  <c r="C1126" i="7"/>
  <c r="C1127" i="7"/>
  <c r="C1128" i="7"/>
  <c r="C1129" i="7"/>
  <c r="C1130" i="7"/>
  <c r="C1131" i="7"/>
  <c r="C1132" i="7"/>
  <c r="C1133" i="7"/>
  <c r="C1134" i="7"/>
  <c r="C1135" i="7"/>
  <c r="C1136" i="7"/>
  <c r="C1137" i="7"/>
  <c r="C1138" i="7"/>
  <c r="C1139" i="7"/>
  <c r="C1140" i="7"/>
  <c r="C1141" i="7"/>
  <c r="C1142" i="7"/>
  <c r="C1143" i="7"/>
  <c r="C1144" i="7"/>
  <c r="C1145" i="7"/>
  <c r="C1146" i="7"/>
  <c r="C1147" i="7"/>
  <c r="C1148" i="7"/>
  <c r="C1149" i="7"/>
  <c r="C1150" i="7"/>
  <c r="C1151" i="7"/>
  <c r="C1152" i="7"/>
  <c r="C1153" i="7"/>
  <c r="C1154" i="7"/>
  <c r="C1155" i="7"/>
  <c r="C1156" i="7"/>
  <c r="C1157" i="7"/>
  <c r="C1158" i="7"/>
  <c r="C1159" i="7"/>
  <c r="C1160" i="7"/>
  <c r="C1161" i="7"/>
  <c r="C1162" i="7"/>
  <c r="C1163" i="7"/>
  <c r="C1164" i="7"/>
  <c r="C1165" i="7"/>
  <c r="C1166" i="7"/>
  <c r="C1167" i="7"/>
  <c r="C1168" i="7"/>
  <c r="C1169" i="7"/>
  <c r="C1170" i="7"/>
  <c r="C1171" i="7"/>
  <c r="C1172" i="7"/>
  <c r="C1173" i="7"/>
  <c r="C1174" i="7"/>
  <c r="C1175" i="7"/>
  <c r="C1176" i="7"/>
  <c r="C1177" i="7"/>
  <c r="C1178" i="7"/>
  <c r="C1179" i="7"/>
  <c r="C1180" i="7"/>
  <c r="C1181" i="7"/>
  <c r="C1182" i="7"/>
  <c r="C1183" i="7"/>
  <c r="C1184" i="7"/>
  <c r="C1185" i="7"/>
  <c r="C1186" i="7"/>
  <c r="C1187" i="7"/>
  <c r="C1188" i="7"/>
  <c r="C1189" i="7"/>
  <c r="C1190" i="7"/>
  <c r="C1191" i="7"/>
  <c r="C1192" i="7"/>
  <c r="C1193" i="7"/>
  <c r="C1194" i="7"/>
  <c r="C1633" i="7"/>
  <c r="C1634" i="7"/>
  <c r="C1635" i="7"/>
  <c r="C1636" i="7"/>
  <c r="C1195" i="7"/>
  <c r="C1196" i="7"/>
  <c r="C1197" i="7"/>
  <c r="C1198" i="7"/>
  <c r="C1199" i="7"/>
  <c r="C1200" i="7"/>
  <c r="C1201" i="7"/>
  <c r="C1202" i="7"/>
  <c r="C1203" i="7"/>
  <c r="C1204" i="7"/>
  <c r="C1205" i="7"/>
  <c r="C1206" i="7"/>
  <c r="C1207" i="7"/>
  <c r="C1208" i="7"/>
  <c r="C1209" i="7"/>
  <c r="C1210" i="7"/>
  <c r="C1211" i="7"/>
  <c r="C1212" i="7"/>
  <c r="C1213" i="7"/>
  <c r="C1214" i="7"/>
  <c r="C1215" i="7"/>
  <c r="C1216" i="7"/>
  <c r="C1217" i="7"/>
  <c r="C1218" i="7"/>
  <c r="C1219" i="7"/>
  <c r="C1220" i="7"/>
  <c r="C1221" i="7"/>
  <c r="C1222" i="7"/>
  <c r="C1223" i="7"/>
  <c r="C1224" i="7"/>
  <c r="C1225" i="7"/>
  <c r="C1226" i="7"/>
  <c r="C1227" i="7"/>
  <c r="C1228" i="7"/>
  <c r="C1229" i="7"/>
  <c r="C1230" i="7"/>
  <c r="C1231" i="7"/>
  <c r="C1232" i="7"/>
  <c r="C1233" i="7"/>
  <c r="C1234" i="7"/>
  <c r="C1235" i="7"/>
  <c r="C1236" i="7"/>
  <c r="C1237" i="7"/>
  <c r="C1238" i="7"/>
  <c r="C1239" i="7"/>
  <c r="C1240" i="7"/>
  <c r="C1241" i="7"/>
  <c r="C1242" i="7"/>
  <c r="C1243" i="7"/>
  <c r="C1244" i="7"/>
  <c r="C1245" i="7"/>
  <c r="C1246" i="7"/>
  <c r="C1247" i="7"/>
  <c r="C1248" i="7"/>
  <c r="C1249" i="7"/>
  <c r="C1250" i="7"/>
  <c r="C1251" i="7"/>
  <c r="C1252" i="7"/>
  <c r="C1253" i="7"/>
  <c r="C1254" i="7"/>
  <c r="C1255" i="7"/>
  <c r="C1256" i="7"/>
  <c r="C1257" i="7"/>
  <c r="C1258" i="7"/>
  <c r="C1259" i="7"/>
  <c r="C1260" i="7"/>
  <c r="C1261" i="7"/>
  <c r="C1262" i="7"/>
  <c r="C1263" i="7"/>
  <c r="C1264" i="7"/>
  <c r="C1265" i="7"/>
  <c r="C1266" i="7"/>
  <c r="C1283" i="7"/>
  <c r="C1284" i="7"/>
  <c r="C1285" i="7"/>
  <c r="C1286" i="7"/>
  <c r="C1287" i="7"/>
  <c r="C1288" i="7"/>
  <c r="C1289" i="7"/>
  <c r="C1290" i="7"/>
  <c r="C1319" i="7"/>
  <c r="C1320" i="7"/>
  <c r="C1381" i="7"/>
  <c r="C1382" i="7"/>
  <c r="C1383" i="7"/>
  <c r="C1384" i="7"/>
  <c r="C1385" i="7"/>
  <c r="C1386" i="7"/>
  <c r="C1387" i="7"/>
  <c r="C1388" i="7"/>
  <c r="C1389" i="7"/>
  <c r="C1390" i="7"/>
  <c r="C1391" i="7"/>
  <c r="C1392" i="7"/>
  <c r="C1393" i="7"/>
  <c r="C1394" i="7"/>
  <c r="C1395" i="7"/>
  <c r="C1396" i="7"/>
  <c r="C1397" i="7"/>
  <c r="C1398" i="7"/>
  <c r="C1399" i="7"/>
  <c r="C1400" i="7"/>
  <c r="C1401" i="7"/>
  <c r="C1402" i="7"/>
  <c r="C1403" i="7"/>
  <c r="C1404" i="7"/>
  <c r="C1405" i="7"/>
  <c r="C1406" i="7"/>
  <c r="C1407" i="7"/>
  <c r="C1408" i="7"/>
  <c r="C1409" i="7"/>
  <c r="C1410" i="7"/>
  <c r="C1411" i="7"/>
  <c r="C1412" i="7"/>
  <c r="C1413" i="7"/>
  <c r="C1414" i="7"/>
  <c r="C1415" i="7"/>
  <c r="C1416" i="7"/>
  <c r="C1417" i="7"/>
  <c r="C1418" i="7"/>
  <c r="C1419" i="7"/>
  <c r="C1420" i="7"/>
  <c r="C1421" i="7"/>
  <c r="C1422" i="7"/>
  <c r="C1423" i="7"/>
  <c r="C1424" i="7"/>
  <c r="C1425" i="7"/>
  <c r="C1426" i="7"/>
  <c r="C1427" i="7"/>
  <c r="C1428" i="7"/>
  <c r="C1429" i="7"/>
  <c r="C1430" i="7"/>
  <c r="C1431" i="7"/>
  <c r="C1432" i="7"/>
  <c r="C1433" i="7"/>
  <c r="C1434" i="7"/>
  <c r="C1435" i="7"/>
  <c r="C1436" i="7"/>
  <c r="C1437" i="7"/>
  <c r="C1438" i="7"/>
  <c r="C1439" i="7"/>
  <c r="C1440" i="7"/>
  <c r="C1441" i="7"/>
  <c r="C1442" i="7"/>
  <c r="C1443" i="7"/>
  <c r="C1444" i="7"/>
  <c r="C1445" i="7"/>
  <c r="C1446" i="7"/>
  <c r="C1447" i="7"/>
  <c r="C1448" i="7"/>
  <c r="C1449" i="7"/>
  <c r="C1450" i="7"/>
  <c r="C1451" i="7"/>
  <c r="C1452" i="7"/>
  <c r="C1453" i="7"/>
  <c r="C1454" i="7"/>
  <c r="C1455" i="7"/>
  <c r="C1456" i="7"/>
  <c r="C1457" i="7"/>
  <c r="C1458" i="7"/>
  <c r="C1459" i="7"/>
  <c r="C1460" i="7"/>
  <c r="C1461" i="7"/>
  <c r="C1462" i="7"/>
  <c r="C1463" i="7"/>
  <c r="C1464" i="7"/>
  <c r="C1465" i="7"/>
  <c r="C1466" i="7"/>
  <c r="C1467" i="7"/>
  <c r="C1468" i="7"/>
  <c r="C1469" i="7"/>
  <c r="C1470" i="7"/>
  <c r="C1471" i="7"/>
  <c r="C1472" i="7"/>
  <c r="C1473" i="7"/>
  <c r="C1474" i="7"/>
  <c r="C1475" i="7"/>
  <c r="C1476" i="7"/>
  <c r="C1477" i="7"/>
  <c r="C1478" i="7"/>
  <c r="C1479" i="7"/>
  <c r="C1480" i="7"/>
  <c r="C1481" i="7"/>
  <c r="C1482" i="7"/>
  <c r="C1483" i="7"/>
  <c r="C1484" i="7"/>
  <c r="C1485" i="7"/>
  <c r="C1486" i="7"/>
  <c r="C1487" i="7"/>
  <c r="C1488" i="7"/>
  <c r="C1489" i="7"/>
  <c r="C1490" i="7"/>
  <c r="C1491" i="7"/>
  <c r="C1492" i="7"/>
  <c r="C1493" i="7"/>
  <c r="C1494" i="7"/>
  <c r="C1495" i="7"/>
  <c r="C1496" i="7"/>
  <c r="C1497" i="7"/>
  <c r="C1498" i="7"/>
  <c r="C1499" i="7"/>
  <c r="C1500" i="7"/>
  <c r="C1501" i="7"/>
  <c r="C1502" i="7"/>
  <c r="C1503" i="7"/>
  <c r="C1504" i="7"/>
  <c r="C1505" i="7"/>
  <c r="C1506" i="7"/>
  <c r="C1507" i="7"/>
  <c r="C1508" i="7"/>
  <c r="C1509" i="7"/>
  <c r="C1510" i="7"/>
  <c r="C1511" i="7"/>
  <c r="C1512" i="7"/>
  <c r="C1513" i="7"/>
  <c r="C1514" i="7"/>
  <c r="C1515" i="7"/>
  <c r="C1516" i="7"/>
  <c r="C1517" i="7"/>
  <c r="C1518" i="7"/>
  <c r="C1519" i="7"/>
  <c r="C1520" i="7"/>
  <c r="C1521" i="7"/>
  <c r="C1522" i="7"/>
  <c r="C1523" i="7"/>
  <c r="C1524" i="7"/>
  <c r="C1525" i="7"/>
  <c r="C1526" i="7"/>
  <c r="C1527" i="7"/>
  <c r="C1528" i="7"/>
  <c r="C1529" i="7"/>
  <c r="C1530" i="7"/>
  <c r="C1531" i="7"/>
  <c r="C1532" i="7"/>
  <c r="C1533" i="7"/>
  <c r="C1534" i="7"/>
  <c r="C1535" i="7"/>
  <c r="C1536" i="7"/>
  <c r="C1537" i="7"/>
  <c r="C1538" i="7"/>
  <c r="C1539" i="7"/>
  <c r="C1540" i="7"/>
  <c r="C1541" i="7"/>
  <c r="C1542" i="7"/>
  <c r="C1543" i="7"/>
  <c r="C1544" i="7"/>
  <c r="C1545" i="7"/>
  <c r="C1546" i="7"/>
  <c r="C1547" i="7"/>
  <c r="C1548" i="7"/>
  <c r="C1549" i="7"/>
  <c r="C1550" i="7"/>
  <c r="C1551" i="7"/>
  <c r="C1552" i="7"/>
  <c r="C1553" i="7"/>
  <c r="C1554" i="7"/>
  <c r="C1555" i="7"/>
  <c r="C1556" i="7"/>
  <c r="C1557" i="7"/>
  <c r="C1558" i="7"/>
  <c r="C1559" i="7"/>
  <c r="C1560" i="7"/>
  <c r="C1561" i="7"/>
  <c r="C1562" i="7"/>
  <c r="C1563" i="7"/>
  <c r="C1564" i="7"/>
  <c r="C1565" i="7"/>
  <c r="C1566" i="7"/>
  <c r="C1567" i="7"/>
  <c r="C1568" i="7"/>
  <c r="C1569" i="7"/>
  <c r="C1570" i="7"/>
  <c r="C1571" i="7"/>
  <c r="C1572" i="7"/>
  <c r="C1573" i="7"/>
  <c r="C1574" i="7"/>
  <c r="C1575" i="7"/>
  <c r="C1576" i="7"/>
  <c r="C1577" i="7"/>
  <c r="C1578" i="7"/>
  <c r="C1579" i="7"/>
  <c r="C1580" i="7"/>
  <c r="C1581" i="7"/>
  <c r="C1582" i="7"/>
  <c r="C1583" i="7"/>
  <c r="C1584" i="7"/>
  <c r="C1585" i="7"/>
  <c r="C1586" i="7"/>
  <c r="C1587" i="7"/>
  <c r="C1588" i="7"/>
  <c r="C1589" i="7"/>
  <c r="C1590" i="7"/>
  <c r="C1591" i="7"/>
  <c r="C1592" i="7"/>
  <c r="C1593" i="7"/>
  <c r="C1594" i="7"/>
  <c r="C1595" i="7"/>
  <c r="C1596" i="7"/>
  <c r="C1597" i="7"/>
  <c r="C1598" i="7"/>
  <c r="C1599" i="7"/>
  <c r="C1600" i="7"/>
  <c r="C1601" i="7"/>
  <c r="C1602" i="7"/>
  <c r="C1603" i="7"/>
  <c r="C1604" i="7"/>
  <c r="C1605" i="7"/>
  <c r="C1606" i="7"/>
  <c r="C1607" i="7"/>
  <c r="C1608" i="7"/>
  <c r="C1609" i="7"/>
  <c r="C1610" i="7"/>
  <c r="C1611" i="7"/>
  <c r="C1612" i="7"/>
  <c r="C1613" i="7"/>
  <c r="C1614" i="7"/>
  <c r="C1615" i="7"/>
  <c r="C1616" i="7"/>
  <c r="C1617" i="7"/>
  <c r="C1618" i="7"/>
  <c r="C1619" i="7"/>
  <c r="C1620" i="7"/>
  <c r="C1621" i="7"/>
  <c r="C1622" i="7"/>
  <c r="C1623" i="7"/>
  <c r="C1624" i="7"/>
  <c r="C1625" i="7"/>
  <c r="C1626" i="7"/>
  <c r="C1627" i="7"/>
  <c r="C1628" i="7"/>
  <c r="C2" i="7"/>
  <c r="E2" i="7" s="1"/>
  <c r="I70" i="162" a="1"/>
  <c r="I70" i="162" s="1"/>
  <c r="I398" i="162" a="1"/>
  <c r="I398" i="162" s="1"/>
  <c r="I397" i="162" a="1"/>
  <c r="I397" i="162" s="1"/>
  <c r="I396" i="162" a="1"/>
  <c r="I396" i="162" s="1"/>
  <c r="I395" i="162" a="1"/>
  <c r="I395" i="162" s="1"/>
  <c r="I394" i="162" a="1"/>
  <c r="I394" i="162" s="1"/>
  <c r="I393" i="162" a="1"/>
  <c r="I393" i="162" s="1"/>
  <c r="I392" i="162" a="1"/>
  <c r="I392" i="162" s="1"/>
  <c r="I391" i="162" a="1"/>
  <c r="I391" i="162" s="1"/>
  <c r="I390" i="162" a="1"/>
  <c r="I390" i="162" s="1"/>
  <c r="I389" i="162" a="1"/>
  <c r="I389" i="162" s="1"/>
  <c r="I388" i="162" a="1"/>
  <c r="I388" i="162" s="1"/>
  <c r="I387" i="162" a="1"/>
  <c r="I387" i="162" s="1"/>
  <c r="I386" i="162" a="1"/>
  <c r="I386" i="162" s="1"/>
  <c r="I385" i="162" a="1"/>
  <c r="I385" i="162" s="1"/>
  <c r="I384" i="162" a="1"/>
  <c r="I384" i="162" s="1"/>
  <c r="I383" i="162" a="1"/>
  <c r="I383" i="162" s="1"/>
  <c r="I382" i="162" a="1"/>
  <c r="I382" i="162" s="1"/>
  <c r="I380" i="162" a="1"/>
  <c r="I380" i="162" s="1"/>
  <c r="I379" i="162" a="1"/>
  <c r="I379" i="162" s="1"/>
  <c r="I378" i="162" a="1"/>
  <c r="I378" i="162" s="1"/>
  <c r="I377" i="162" a="1"/>
  <c r="I377" i="162" s="1"/>
  <c r="I376" i="162" a="1"/>
  <c r="I376" i="162" s="1"/>
  <c r="I375" i="162" a="1"/>
  <c r="I375" i="162" s="1"/>
  <c r="I374" i="162" a="1"/>
  <c r="I374" i="162" s="1"/>
  <c r="I371" i="162" a="1"/>
  <c r="I371" i="162" s="1"/>
  <c r="I370" i="162" a="1"/>
  <c r="I370" i="162" s="1"/>
  <c r="I369" i="162" a="1"/>
  <c r="I369" i="162" s="1"/>
  <c r="I368" i="162" a="1"/>
  <c r="I368" i="162" s="1"/>
  <c r="I284" i="162" a="1"/>
  <c r="I284" i="162" s="1"/>
  <c r="I283" i="162" a="1"/>
  <c r="I283" i="162" s="1"/>
  <c r="I282" i="162" a="1"/>
  <c r="I282" i="162" s="1"/>
  <c r="I281" i="162" a="1"/>
  <c r="I281" i="162" s="1"/>
  <c r="I280" i="162" a="1"/>
  <c r="I280" i="162" s="1"/>
  <c r="I279" i="162" a="1"/>
  <c r="I279" i="162" s="1"/>
  <c r="I253" i="162" a="1"/>
  <c r="I253" i="162" s="1"/>
  <c r="I246" i="162" a="1"/>
  <c r="I246" i="162" s="1"/>
  <c r="I210" i="162" a="1"/>
  <c r="I210" i="162" s="1"/>
  <c r="I209" i="162" a="1"/>
  <c r="I209" i="162" s="1"/>
  <c r="I198" i="162" a="1"/>
  <c r="I198" i="162" s="1"/>
  <c r="I197" i="162" a="1"/>
  <c r="I197" i="162" s="1"/>
  <c r="I196" i="162" a="1"/>
  <c r="I196" i="162" s="1"/>
  <c r="I195" i="162" a="1"/>
  <c r="I195" i="162" s="1"/>
  <c r="I194" i="162" a="1"/>
  <c r="I194" i="162" s="1"/>
  <c r="I193" i="162" a="1"/>
  <c r="I193" i="162" s="1"/>
  <c r="I192" i="162" a="1"/>
  <c r="I192" i="162" s="1"/>
  <c r="I166" i="162" a="1"/>
  <c r="I166" i="162" s="1"/>
  <c r="I165" i="162" a="1"/>
  <c r="I165" i="162" s="1"/>
  <c r="I164" i="162" a="1"/>
  <c r="I164" i="162" s="1"/>
  <c r="I149" i="162" a="1"/>
  <c r="I149" i="162" s="1"/>
  <c r="I148" i="162" a="1"/>
  <c r="I148" i="162" s="1"/>
  <c r="I146" i="162" a="1"/>
  <c r="I146" i="162" s="1"/>
  <c r="I145" i="162" a="1"/>
  <c r="I145" i="162" s="1"/>
  <c r="I144" i="162" a="1"/>
  <c r="I144" i="162" s="1"/>
  <c r="I143" i="162" a="1"/>
  <c r="I143" i="162" s="1"/>
  <c r="I142" i="162" a="1"/>
  <c r="I142" i="162" s="1"/>
  <c r="I141" i="162" a="1"/>
  <c r="I141" i="162" s="1"/>
  <c r="I140" i="162" a="1"/>
  <c r="I140" i="162" s="1"/>
  <c r="I119" i="162" a="1"/>
  <c r="I119" i="162" s="1"/>
  <c r="I97" i="162" a="1"/>
  <c r="I97" i="162" s="1"/>
  <c r="I96" i="162" a="1"/>
  <c r="I96" i="162" s="1"/>
  <c r="I95" i="162" a="1"/>
  <c r="I95" i="162" s="1"/>
  <c r="I93" i="162" a="1"/>
  <c r="I93" i="162" s="1"/>
  <c r="I92" i="162" a="1"/>
  <c r="I92" i="162" s="1"/>
  <c r="I91" i="162" a="1"/>
  <c r="I91" i="162" s="1"/>
  <c r="AN91" i="162" s="1"/>
  <c r="I90" i="162" a="1"/>
  <c r="I90" i="162" s="1"/>
  <c r="I89" i="162" a="1"/>
  <c r="I89" i="162" s="1"/>
  <c r="I88" i="162" a="1"/>
  <c r="I88" i="162" s="1"/>
  <c r="I87" i="162" a="1"/>
  <c r="I87" i="162" s="1"/>
  <c r="I86" i="162" a="1"/>
  <c r="I86" i="162" s="1"/>
  <c r="I85" i="162" a="1"/>
  <c r="I85" i="162" s="1"/>
  <c r="I84" i="162" a="1"/>
  <c r="I84" i="162" s="1"/>
  <c r="I83" i="162" a="1"/>
  <c r="I83" i="162" s="1"/>
  <c r="I82" i="162" a="1"/>
  <c r="I82" i="162" s="1"/>
  <c r="I81" i="162" a="1"/>
  <c r="I81" i="162" s="1"/>
  <c r="I80" i="162" a="1"/>
  <c r="I80" i="162" s="1"/>
  <c r="I74" i="162" a="1"/>
  <c r="I74" i="162" s="1"/>
  <c r="I72" i="162" a="1"/>
  <c r="I72" i="162" s="1"/>
  <c r="I18" i="162" a="1"/>
  <c r="I18" i="162" s="1"/>
  <c r="I16" i="162" a="1"/>
  <c r="I16" i="162" s="1"/>
  <c r="I17" i="162" a="1"/>
  <c r="I17" i="162" s="1"/>
  <c r="I15" i="162" a="1"/>
  <c r="I15" i="162" s="1"/>
  <c r="I21" i="162" a="1"/>
  <c r="I21" i="162" s="1"/>
  <c r="J396" i="162" a="1"/>
  <c r="J396" i="162" s="1"/>
  <c r="BM396" i="162" s="1"/>
  <c r="J397" i="162" a="1"/>
  <c r="J397" i="162" s="1"/>
  <c r="J97" i="162" a="1"/>
  <c r="J97" i="162" s="1"/>
  <c r="J91" i="162" a="1"/>
  <c r="J91" i="162" s="1"/>
  <c r="J90" i="162" a="1"/>
  <c r="J90" i="162" s="1"/>
  <c r="B87" i="4"/>
  <c r="B86" i="4"/>
  <c r="B85" i="4"/>
  <c r="J92" i="162" a="1"/>
  <c r="J92" i="162" s="1"/>
  <c r="BH92" i="162" s="1"/>
  <c r="K379" i="162" a="1"/>
  <c r="K379" i="162" s="1"/>
  <c r="AZ379" i="162" s="1"/>
  <c r="AZ532" i="162" s="1"/>
  <c r="K89" i="162" a="1"/>
  <c r="K89" i="162" s="1"/>
  <c r="AV89" i="162" s="1"/>
  <c r="AV528" i="162" s="1"/>
  <c r="J89" i="162" a="1"/>
  <c r="J89" i="162" s="1"/>
  <c r="K34" i="5"/>
  <c r="BQ549" i="162"/>
  <c r="J21" i="162" a="1"/>
  <c r="J21" i="162" s="1"/>
  <c r="J70" i="162" s="1" a="1"/>
  <c r="J70" i="162" s="1"/>
  <c r="M78" i="4"/>
  <c r="J93" i="162" a="1"/>
  <c r="J93" i="162" s="1"/>
  <c r="J94" i="162" a="1"/>
  <c r="J94" i="162" s="1"/>
  <c r="J95" i="162"/>
  <c r="AP115" i="167" l="1"/>
  <c r="AT119" i="167" s="1"/>
  <c r="BY150" i="167" s="1"/>
  <c r="BD129" i="167"/>
  <c r="BF131" i="167" s="1"/>
  <c r="BZ151" i="167" s="1"/>
  <c r="E1383" i="7"/>
  <c r="E1384" i="7" s="1"/>
  <c r="E1385" i="7" s="1"/>
  <c r="E1386" i="7" s="1"/>
  <c r="E1387" i="7" s="1"/>
  <c r="E1388" i="7" s="1"/>
  <c r="E1389" i="7" s="1"/>
  <c r="E1390" i="7" s="1"/>
  <c r="E1391" i="7" s="1"/>
  <c r="E1392" i="7" s="1"/>
  <c r="BR143" i="167"/>
  <c r="BT145" i="167" s="1"/>
  <c r="CA152" i="167" s="1"/>
  <c r="AD103" i="167"/>
  <c r="W96" i="167"/>
  <c r="E30" i="7"/>
  <c r="E31" i="7" s="1"/>
  <c r="E32" i="7" s="1"/>
  <c r="E33" i="7" s="1"/>
  <c r="E34" i="7" s="1"/>
  <c r="E927" i="7"/>
  <c r="E928" i="7" s="1"/>
  <c r="E929" i="7" s="1"/>
  <c r="E930" i="7" s="1"/>
  <c r="E931" i="7" s="1"/>
  <c r="E932" i="7" s="1"/>
  <c r="E933" i="7" s="1"/>
  <c r="E934" i="7" s="1"/>
  <c r="E935" i="7" s="1"/>
  <c r="E936" i="7" s="1"/>
  <c r="E937" i="7" s="1"/>
  <c r="E938" i="7" s="1"/>
  <c r="E939" i="7" s="1"/>
  <c r="E940" i="7" s="1"/>
  <c r="E941" i="7" s="1"/>
  <c r="E942" i="7" s="1"/>
  <c r="E943" i="7" s="1"/>
  <c r="E944" i="7" s="1"/>
  <c r="E945" i="7" s="1"/>
  <c r="E946" i="7" s="1"/>
  <c r="E947" i="7" s="1"/>
  <c r="E948" i="7" s="1"/>
  <c r="E1437" i="7"/>
  <c r="E1438" i="7" s="1"/>
  <c r="E1439" i="7" s="1"/>
  <c r="E1440" i="7" s="1"/>
  <c r="E1441" i="7" s="1"/>
  <c r="E1442" i="7" s="1"/>
  <c r="E1443" i="7" s="1"/>
  <c r="E1444" i="7" s="1"/>
  <c r="E1445" i="7" s="1"/>
  <c r="E1446" i="7" s="1"/>
  <c r="E1447" i="7" s="1"/>
  <c r="E1448" i="7" s="1"/>
  <c r="E1449" i="7" s="1"/>
  <c r="E1450" i="7" s="1"/>
  <c r="E1451" i="7" s="1"/>
  <c r="E1452" i="7" s="1"/>
  <c r="E1453" i="7" s="1"/>
  <c r="E1454" i="7" s="1"/>
  <c r="E1455" i="7" s="1"/>
  <c r="E1456" i="7" s="1"/>
  <c r="E1457" i="7" s="1"/>
  <c r="E1458" i="7" s="1"/>
  <c r="E1459" i="7" s="1"/>
  <c r="E1460" i="7" s="1"/>
  <c r="E1461" i="7" s="1"/>
  <c r="E1462" i="7" s="1"/>
  <c r="E1463" i="7" s="1"/>
  <c r="E1464" i="7" s="1"/>
  <c r="E1465" i="7" s="1"/>
  <c r="E1466" i="7" s="1"/>
  <c r="E1467" i="7" s="1"/>
  <c r="E1468" i="7" s="1"/>
  <c r="E1469" i="7" s="1"/>
  <c r="E1470" i="7" s="1"/>
  <c r="E1471" i="7" s="1"/>
  <c r="E1472" i="7" s="1"/>
  <c r="E1473" i="7" s="1"/>
  <c r="E1474" i="7" s="1"/>
  <c r="E1475" i="7" s="1"/>
  <c r="E1476" i="7" s="1"/>
  <c r="E1477" i="7" s="1"/>
  <c r="E1478" i="7" s="1"/>
  <c r="E1479" i="7" s="1"/>
  <c r="E1480" i="7" s="1"/>
  <c r="E1481" i="7" s="1"/>
  <c r="E1482" i="7" s="1"/>
  <c r="E1483" i="7" s="1"/>
  <c r="E1484" i="7" s="1"/>
  <c r="E1485" i="7" s="1"/>
  <c r="E1486" i="7" s="1"/>
  <c r="E1487" i="7" s="1"/>
  <c r="E1488" i="7" s="1"/>
  <c r="E1489" i="7" s="1"/>
  <c r="E1490" i="7" s="1"/>
  <c r="E1491" i="7" s="1"/>
  <c r="E1492" i="7" s="1"/>
  <c r="E1493" i="7" s="1"/>
  <c r="E1494" i="7" s="1"/>
  <c r="E1495" i="7" s="1"/>
  <c r="E1496" i="7" s="1"/>
  <c r="E1497" i="7" s="1"/>
  <c r="E1498" i="7" s="1"/>
  <c r="E1499" i="7" s="1"/>
  <c r="E1500" i="7" s="1"/>
  <c r="E1501" i="7" s="1"/>
  <c r="E1502" i="7" s="1"/>
  <c r="E1503" i="7" s="1"/>
  <c r="E1504" i="7" s="1"/>
  <c r="E1505" i="7" s="1"/>
  <c r="E1506" i="7" s="1"/>
  <c r="E1507" i="7" s="1"/>
  <c r="E1508" i="7" s="1"/>
  <c r="E36" i="7"/>
  <c r="E37" i="7" s="1"/>
  <c r="E1644" i="7" s="1"/>
  <c r="E1645" i="7" s="1"/>
  <c r="E1393" i="7"/>
  <c r="E1394" i="7" s="1"/>
  <c r="E1395" i="7" s="1"/>
  <c r="E1396" i="7" s="1"/>
  <c r="E1397" i="7" s="1"/>
  <c r="E1398" i="7" s="1"/>
  <c r="E1399" i="7" s="1"/>
  <c r="E1400" i="7" s="1"/>
  <c r="E1401" i="7" s="1"/>
  <c r="E1402" i="7" s="1"/>
  <c r="E1403" i="7" s="1"/>
  <c r="E1404" i="7" s="1"/>
  <c r="E1405" i="7" s="1"/>
  <c r="E1406" i="7" s="1"/>
  <c r="E1407" i="7" s="1"/>
  <c r="E1408" i="7" s="1"/>
  <c r="E1409" i="7" s="1"/>
  <c r="E1410" i="7" s="1"/>
  <c r="E1411" i="7" s="1"/>
  <c r="E1412" i="7" s="1"/>
  <c r="E1195" i="7"/>
  <c r="E1196" i="7" s="1"/>
  <c r="E1197" i="7" s="1"/>
  <c r="E1198" i="7" s="1"/>
  <c r="E1199" i="7" s="1"/>
  <c r="E1200" i="7" s="1"/>
  <c r="E1201" i="7" s="1"/>
  <c r="E1202" i="7" s="1"/>
  <c r="E1203" i="7" s="1"/>
  <c r="E1204" i="7" s="1"/>
  <c r="E1205" i="7" s="1"/>
  <c r="E1206" i="7" s="1"/>
  <c r="E1207" i="7" s="1"/>
  <c r="E1208" i="7" s="1"/>
  <c r="E1209" i="7" s="1"/>
  <c r="E1210" i="7" s="1"/>
  <c r="E1211" i="7" s="1"/>
  <c r="E1212" i="7" s="1"/>
  <c r="E1213" i="7" s="1"/>
  <c r="E1214" i="7" s="1"/>
  <c r="E1215" i="7" s="1"/>
  <c r="E1216" i="7" s="1"/>
  <c r="E1217" i="7" s="1"/>
  <c r="E1218" i="7" s="1"/>
  <c r="E1219" i="7" s="1"/>
  <c r="E1220" i="7" s="1"/>
  <c r="E1221" i="7" s="1"/>
  <c r="E1222" i="7" s="1"/>
  <c r="E1223" i="7" s="1"/>
  <c r="E1224" i="7" s="1"/>
  <c r="E1225" i="7" s="1"/>
  <c r="E1226" i="7" s="1"/>
  <c r="E1227" i="7" s="1"/>
  <c r="E1228" i="7" s="1"/>
  <c r="E1229" i="7" s="1"/>
  <c r="E1230" i="7" s="1"/>
  <c r="E1231" i="7" s="1"/>
  <c r="E1232" i="7" s="1"/>
  <c r="E1233" i="7" s="1"/>
  <c r="E1234" i="7" s="1"/>
  <c r="E1235" i="7" s="1"/>
  <c r="E1236" i="7" s="1"/>
  <c r="E1237" i="7" s="1"/>
  <c r="E1238" i="7" s="1"/>
  <c r="E1239" i="7" s="1"/>
  <c r="E1240" i="7" s="1"/>
  <c r="E1241" i="7" s="1"/>
  <c r="E1242" i="7" s="1"/>
  <c r="E1243" i="7" s="1"/>
  <c r="E1244" i="7" s="1"/>
  <c r="E1245" i="7" s="1"/>
  <c r="E1246" i="7" s="1"/>
  <c r="E1247" i="7" s="1"/>
  <c r="E1248" i="7" s="1"/>
  <c r="E1249" i="7" s="1"/>
  <c r="E1250" i="7" s="1"/>
  <c r="E1251" i="7" s="1"/>
  <c r="E1252" i="7" s="1"/>
  <c r="E1253" i="7" s="1"/>
  <c r="E1254" i="7" s="1"/>
  <c r="E1255" i="7" s="1"/>
  <c r="E1256" i="7" s="1"/>
  <c r="E1257" i="7" s="1"/>
  <c r="E1258" i="7" s="1"/>
  <c r="E1259" i="7" s="1"/>
  <c r="E1260" i="7" s="1"/>
  <c r="E1261" i="7" s="1"/>
  <c r="E1262" i="7" s="1"/>
  <c r="E1263" i="7" s="1"/>
  <c r="E1264" i="7" s="1"/>
  <c r="E1265" i="7" s="1"/>
  <c r="E1266" i="7" s="1"/>
  <c r="E1053" i="7"/>
  <c r="E1054" i="7" s="1"/>
  <c r="E1055" i="7" s="1"/>
  <c r="E1056" i="7" s="1"/>
  <c r="E1057" i="7" s="1"/>
  <c r="E1058" i="7" s="1"/>
  <c r="E1059" i="7" s="1"/>
  <c r="E1060" i="7" s="1"/>
  <c r="E1061" i="7" s="1"/>
  <c r="E1062" i="7" s="1"/>
  <c r="E1063" i="7" s="1"/>
  <c r="E1064" i="7" s="1"/>
  <c r="E1065" i="7" s="1"/>
  <c r="E1066" i="7" s="1"/>
  <c r="E1067" i="7" s="1"/>
  <c r="E1068" i="7" s="1"/>
  <c r="E1069" i="7" s="1"/>
  <c r="E1070" i="7" s="1"/>
  <c r="E1071" i="7" s="1"/>
  <c r="E1072" i="7" s="1"/>
  <c r="E1073" i="7" s="1"/>
  <c r="E1074" i="7" s="1"/>
  <c r="E1075" i="7" s="1"/>
  <c r="E1076" i="7" s="1"/>
  <c r="E1077" i="7" s="1"/>
  <c r="E1078" i="7" s="1"/>
  <c r="E1079" i="7" s="1"/>
  <c r="E1080" i="7" s="1"/>
  <c r="E1081" i="7" s="1"/>
  <c r="E1082" i="7" s="1"/>
  <c r="E1083" i="7" s="1"/>
  <c r="E1084" i="7" s="1"/>
  <c r="E1085" i="7" s="1"/>
  <c r="E1086" i="7" s="1"/>
  <c r="E1087" i="7" s="1"/>
  <c r="E1088" i="7" s="1"/>
  <c r="E1089" i="7" s="1"/>
  <c r="E1090" i="7" s="1"/>
  <c r="E1091" i="7" s="1"/>
  <c r="E1092" i="7" s="1"/>
  <c r="E1093" i="7" s="1"/>
  <c r="E1094" i="7" s="1"/>
  <c r="E1095" i="7" s="1"/>
  <c r="E1096" i="7" s="1"/>
  <c r="E1097" i="7" s="1"/>
  <c r="E1098" i="7" s="1"/>
  <c r="E1099" i="7" s="1"/>
  <c r="E1100" i="7" s="1"/>
  <c r="E1101" i="7" s="1"/>
  <c r="E1102" i="7" s="1"/>
  <c r="E1103" i="7" s="1"/>
  <c r="E1104" i="7" s="1"/>
  <c r="E1105" i="7" s="1"/>
  <c r="E1106" i="7" s="1"/>
  <c r="E1107" i="7" s="1"/>
  <c r="E1108" i="7" s="1"/>
  <c r="E1109" i="7" s="1"/>
  <c r="E1110" i="7" s="1"/>
  <c r="E1111" i="7" s="1"/>
  <c r="E1112" i="7" s="1"/>
  <c r="E1113" i="7" s="1"/>
  <c r="E1114" i="7" s="1"/>
  <c r="E1115" i="7" s="1"/>
  <c r="E1116" i="7" s="1"/>
  <c r="E1117" i="7" s="1"/>
  <c r="E1118" i="7" s="1"/>
  <c r="E1119" i="7" s="1"/>
  <c r="E1120" i="7" s="1"/>
  <c r="E1121" i="7" s="1"/>
  <c r="E1122" i="7" s="1"/>
  <c r="E1123" i="7" s="1"/>
  <c r="E1124" i="7" s="1"/>
  <c r="E1125" i="7" s="1"/>
  <c r="E1126" i="7" s="1"/>
  <c r="E1127" i="7" s="1"/>
  <c r="E1128" i="7" s="1"/>
  <c r="E1129" i="7" s="1"/>
  <c r="E1130" i="7" s="1"/>
  <c r="E1131" i="7" s="1"/>
  <c r="E1132" i="7" s="1"/>
  <c r="E1133" i="7" s="1"/>
  <c r="E1134" i="7" s="1"/>
  <c r="E1135" i="7" s="1"/>
  <c r="E1136" i="7" s="1"/>
  <c r="E1137" i="7" s="1"/>
  <c r="E1138" i="7" s="1"/>
  <c r="E1139" i="7" s="1"/>
  <c r="E1140" i="7" s="1"/>
  <c r="E1141" i="7" s="1"/>
  <c r="E1142" i="7" s="1"/>
  <c r="E1143" i="7" s="1"/>
  <c r="E1144" i="7" s="1"/>
  <c r="E1145" i="7" s="1"/>
  <c r="E1146" i="7" s="1"/>
  <c r="E1147" i="7" s="1"/>
  <c r="E1148" i="7" s="1"/>
  <c r="E1149" i="7" s="1"/>
  <c r="E1150" i="7" s="1"/>
  <c r="E1151" i="7" s="1"/>
  <c r="E1152" i="7" s="1"/>
  <c r="E1153" i="7" s="1"/>
  <c r="E1154" i="7" s="1"/>
  <c r="E1155" i="7" s="1"/>
  <c r="E1156" i="7" s="1"/>
  <c r="E1157" i="7" s="1"/>
  <c r="E1158" i="7" s="1"/>
  <c r="E1159" i="7" s="1"/>
  <c r="E1160" i="7" s="1"/>
  <c r="E1161" i="7" s="1"/>
  <c r="E1162" i="7" s="1"/>
  <c r="E1163" i="7" s="1"/>
  <c r="E1164" i="7" s="1"/>
  <c r="E1165" i="7" s="1"/>
  <c r="E1166" i="7" s="1"/>
  <c r="E1167" i="7" s="1"/>
  <c r="E1168" i="7" s="1"/>
  <c r="E1169" i="7" s="1"/>
  <c r="E1170" i="7" s="1"/>
  <c r="E1171" i="7" s="1"/>
  <c r="E1172" i="7" s="1"/>
  <c r="E1173" i="7" s="1"/>
  <c r="E1174" i="7" s="1"/>
  <c r="E1175" i="7" s="1"/>
  <c r="E1176" i="7" s="1"/>
  <c r="E1177" i="7" s="1"/>
  <c r="E1178" i="7" s="1"/>
  <c r="E1179" i="7" s="1"/>
  <c r="E1180" i="7" s="1"/>
  <c r="E1181" i="7" s="1"/>
  <c r="E1182" i="7" s="1"/>
  <c r="E1183" i="7" s="1"/>
  <c r="E1184" i="7" s="1"/>
  <c r="E1185" i="7" s="1"/>
  <c r="E1186" i="7" s="1"/>
  <c r="E1187" i="7" s="1"/>
  <c r="E1188" i="7" s="1"/>
  <c r="E1189" i="7" s="1"/>
  <c r="E1190" i="7" s="1"/>
  <c r="E1191" i="7" s="1"/>
  <c r="E1192" i="7" s="1"/>
  <c r="E1193" i="7" s="1"/>
  <c r="E1194" i="7" s="1"/>
  <c r="E1633" i="7" s="1"/>
  <c r="E1634" i="7" s="1"/>
  <c r="E1635" i="7" s="1"/>
  <c r="E1636" i="7" s="1"/>
  <c r="E1541" i="7"/>
  <c r="E1542" i="7" s="1"/>
  <c r="E1543" i="7" s="1"/>
  <c r="E1544" i="7" s="1"/>
  <c r="E1545" i="7" s="1"/>
  <c r="E1546" i="7" s="1"/>
  <c r="E1547" i="7" s="1"/>
  <c r="E1548" i="7" s="1"/>
  <c r="E1549" i="7" s="1"/>
  <c r="E1550" i="7" s="1"/>
  <c r="E1551" i="7" s="1"/>
  <c r="E1552" i="7" s="1"/>
  <c r="E1553" i="7" s="1"/>
  <c r="E1554" i="7" s="1"/>
  <c r="E1555" i="7" s="1"/>
  <c r="E1556" i="7" s="1"/>
  <c r="E1557" i="7" s="1"/>
  <c r="E1558" i="7" s="1"/>
  <c r="E1559" i="7" s="1"/>
  <c r="E1560" i="7" s="1"/>
  <c r="E1561" i="7" s="1"/>
  <c r="E1562" i="7" s="1"/>
  <c r="E1563" i="7" s="1"/>
  <c r="E1564" i="7" s="1"/>
  <c r="E1565" i="7" s="1"/>
  <c r="E1566" i="7" s="1"/>
  <c r="E1567" i="7" s="1"/>
  <c r="E1568" i="7" s="1"/>
  <c r="E1569" i="7" s="1"/>
  <c r="E1570" i="7" s="1"/>
  <c r="E1571" i="7" s="1"/>
  <c r="E1572" i="7" s="1"/>
  <c r="E1573" i="7" s="1"/>
  <c r="E1574" i="7" s="1"/>
  <c r="E1575" i="7" s="1"/>
  <c r="E1576" i="7" s="1"/>
  <c r="E1577" i="7" s="1"/>
  <c r="E1578" i="7" s="1"/>
  <c r="E1579" i="7" s="1"/>
  <c r="E1580" i="7" s="1"/>
  <c r="E1581" i="7" s="1"/>
  <c r="E1582" i="7" s="1"/>
  <c r="E1583" i="7" s="1"/>
  <c r="E1584" i="7" s="1"/>
  <c r="E1585" i="7" s="1"/>
  <c r="E1586" i="7" s="1"/>
  <c r="E1587" i="7" s="1"/>
  <c r="E1588" i="7" s="1"/>
  <c r="E1589" i="7" s="1"/>
  <c r="E1590" i="7" s="1"/>
  <c r="E1591" i="7" s="1"/>
  <c r="E1592" i="7" s="1"/>
  <c r="E1593" i="7" s="1"/>
  <c r="E1594" i="7" s="1"/>
  <c r="E1595" i="7" s="1"/>
  <c r="E1596" i="7" s="1"/>
  <c r="E1597" i="7" s="1"/>
  <c r="E1598" i="7" s="1"/>
  <c r="E1599" i="7" s="1"/>
  <c r="E1600" i="7" s="1"/>
  <c r="E1601" i="7" s="1"/>
  <c r="E1602" i="7" s="1"/>
  <c r="E1603" i="7" s="1"/>
  <c r="E1604" i="7" s="1"/>
  <c r="E1605" i="7" s="1"/>
  <c r="E1606" i="7" s="1"/>
  <c r="E1607" i="7" s="1"/>
  <c r="E1608" i="7" s="1"/>
  <c r="E1609" i="7" s="1"/>
  <c r="E1610" i="7" s="1"/>
  <c r="E1611" i="7" s="1"/>
  <c r="E1612" i="7" s="1"/>
  <c r="E1613" i="7" s="1"/>
  <c r="E1614" i="7" s="1"/>
  <c r="E1615" i="7" s="1"/>
  <c r="E1616" i="7" s="1"/>
  <c r="E1617" i="7" s="1"/>
  <c r="E1618" i="7" s="1"/>
  <c r="E1619" i="7" s="1"/>
  <c r="E1620" i="7" s="1"/>
  <c r="E1621" i="7" s="1"/>
  <c r="E1622" i="7" s="1"/>
  <c r="E1623" i="7" s="1"/>
  <c r="E1624" i="7" s="1"/>
  <c r="E1625" i="7" s="1"/>
  <c r="E1626" i="7" s="1"/>
  <c r="E1627" i="7" s="1"/>
  <c r="E1628" i="7" s="1"/>
  <c r="E1509" i="7"/>
  <c r="E1510" i="7" s="1"/>
  <c r="E1511" i="7" s="1"/>
  <c r="E1512" i="7" s="1"/>
  <c r="E1513" i="7" s="1"/>
  <c r="E1514" i="7" s="1"/>
  <c r="E1515" i="7" s="1"/>
  <c r="E1516" i="7" s="1"/>
  <c r="E1517" i="7" s="1"/>
  <c r="E1518" i="7" s="1"/>
  <c r="E1519" i="7" s="1"/>
  <c r="E1520" i="7" s="1"/>
  <c r="E1521" i="7" s="1"/>
  <c r="E1522" i="7" s="1"/>
  <c r="E1523" i="7" s="1"/>
  <c r="E1524" i="7" s="1"/>
  <c r="E1525" i="7" s="1"/>
  <c r="E1526" i="7" s="1"/>
  <c r="E1527" i="7" s="1"/>
  <c r="E1528" i="7" s="1"/>
  <c r="E1529" i="7" s="1"/>
  <c r="E1530" i="7" s="1"/>
  <c r="E1531" i="7" s="1"/>
  <c r="E1532" i="7" s="1"/>
  <c r="E1533" i="7" s="1"/>
  <c r="E1534" i="7" s="1"/>
  <c r="E1535" i="7" s="1"/>
  <c r="E1536" i="7" s="1"/>
  <c r="E1537" i="7" s="1"/>
  <c r="E1538" i="7" s="1"/>
  <c r="E1539" i="7" s="1"/>
  <c r="E1540" i="7" s="1"/>
  <c r="E1413" i="7"/>
  <c r="E1414" i="7" s="1"/>
  <c r="E1415" i="7" s="1"/>
  <c r="E1416" i="7" s="1"/>
  <c r="E1417" i="7" s="1"/>
  <c r="E1418" i="7" s="1"/>
  <c r="E1419" i="7" s="1"/>
  <c r="E1420" i="7" s="1"/>
  <c r="E1421" i="7" s="1"/>
  <c r="E1422" i="7" s="1"/>
  <c r="E1423" i="7" s="1"/>
  <c r="E1424" i="7" s="1"/>
  <c r="E1425" i="7" s="1"/>
  <c r="E1426" i="7" s="1"/>
  <c r="E1427" i="7" s="1"/>
  <c r="E1428" i="7" s="1"/>
  <c r="E1429" i="7" s="1"/>
  <c r="E1430" i="7" s="1"/>
  <c r="E1431" i="7" s="1"/>
  <c r="E1432" i="7" s="1"/>
  <c r="E1433" i="7" s="1"/>
  <c r="E1434" i="7" s="1"/>
  <c r="E1435" i="7" s="1"/>
  <c r="E1436" i="7" s="1"/>
  <c r="E905" i="7"/>
  <c r="E906" i="7" s="1"/>
  <c r="E907" i="7" s="1"/>
  <c r="E908" i="7" s="1"/>
  <c r="E909" i="7" s="1"/>
  <c r="E910" i="7" s="1"/>
  <c r="E911" i="7" s="1"/>
  <c r="E912" i="7" s="1"/>
  <c r="E913" i="7" s="1"/>
  <c r="E914" i="7" s="1"/>
  <c r="E915" i="7" s="1"/>
  <c r="E916" i="7" s="1"/>
  <c r="E917" i="7" s="1"/>
  <c r="E918" i="7" s="1"/>
  <c r="E919" i="7" s="1"/>
  <c r="E920" i="7" s="1"/>
  <c r="E921" i="7" s="1"/>
  <c r="E922" i="7" s="1"/>
  <c r="E923" i="7" s="1"/>
  <c r="E924" i="7" s="1"/>
  <c r="E949" i="7" s="1"/>
  <c r="E950" i="7" s="1"/>
  <c r="E951" i="7" s="1"/>
  <c r="E952" i="7" s="1"/>
  <c r="E953" i="7" s="1"/>
  <c r="E954" i="7" s="1"/>
  <c r="E955" i="7" s="1"/>
  <c r="E956" i="7" s="1"/>
  <c r="E957" i="7" s="1"/>
  <c r="E958" i="7" s="1"/>
  <c r="E959" i="7" s="1"/>
  <c r="E960" i="7" s="1"/>
  <c r="E961" i="7" s="1"/>
  <c r="E962" i="7" s="1"/>
  <c r="E963" i="7" s="1"/>
  <c r="E964" i="7" s="1"/>
  <c r="E965" i="7" s="1"/>
  <c r="E966" i="7" s="1"/>
  <c r="E967" i="7" s="1"/>
  <c r="E968" i="7" s="1"/>
  <c r="E969" i="7" s="1"/>
  <c r="E970" i="7" s="1"/>
  <c r="E971" i="7" s="1"/>
  <c r="E972" i="7" s="1"/>
  <c r="E973" i="7" s="1"/>
  <c r="E974" i="7" s="1"/>
  <c r="E975" i="7" s="1"/>
  <c r="E976" i="7" s="1"/>
  <c r="E977" i="7" s="1"/>
  <c r="E978" i="7" s="1"/>
  <c r="E979" i="7" s="1"/>
  <c r="E980" i="7" s="1"/>
  <c r="E981" i="7" s="1"/>
  <c r="E982" i="7" s="1"/>
  <c r="E983" i="7" s="1"/>
  <c r="E984" i="7" s="1"/>
  <c r="E985" i="7" s="1"/>
  <c r="E986" i="7" s="1"/>
  <c r="E987" i="7" s="1"/>
  <c r="E988" i="7" s="1"/>
  <c r="E989" i="7" s="1"/>
  <c r="E990" i="7" s="1"/>
  <c r="E991" i="7" s="1"/>
  <c r="E992" i="7" s="1"/>
  <c r="E993" i="7" s="1"/>
  <c r="E994" i="7" s="1"/>
  <c r="E995" i="7" s="1"/>
  <c r="E996" i="7" s="1"/>
  <c r="E997" i="7" s="1"/>
  <c r="E998" i="7" s="1"/>
  <c r="E999" i="7" s="1"/>
  <c r="E1000" i="7" s="1"/>
  <c r="E1001" i="7" s="1"/>
  <c r="E1002" i="7" s="1"/>
  <c r="E1003" i="7" s="1"/>
  <c r="E1004" i="7" s="1"/>
  <c r="E1005" i="7" s="1"/>
  <c r="E1006" i="7" s="1"/>
  <c r="E1007" i="7" s="1"/>
  <c r="E1008" i="7" s="1"/>
  <c r="E1009" i="7" s="1"/>
  <c r="E1010" i="7" s="1"/>
  <c r="E1011" i="7" s="1"/>
  <c r="E1012" i="7" s="1"/>
  <c r="E1013" i="7" s="1"/>
  <c r="E1014" i="7" s="1"/>
  <c r="E1015" i="7" s="1"/>
  <c r="E1016" i="7" s="1"/>
  <c r="E1017" i="7" s="1"/>
  <c r="E1018" i="7" s="1"/>
  <c r="E1019" i="7" s="1"/>
  <c r="E1020" i="7" s="1"/>
  <c r="E1021" i="7" s="1"/>
  <c r="E1022" i="7" s="1"/>
  <c r="E1023" i="7" s="1"/>
  <c r="E1024" i="7" s="1"/>
  <c r="E1025" i="7" s="1"/>
  <c r="E1026" i="7" s="1"/>
  <c r="E1027" i="7" s="1"/>
  <c r="E1028" i="7" s="1"/>
  <c r="E1029" i="7" s="1"/>
  <c r="E1030" i="7" s="1"/>
  <c r="E1031" i="7" s="1"/>
  <c r="E1032" i="7" s="1"/>
  <c r="E1033" i="7" s="1"/>
  <c r="E1034" i="7" s="1"/>
  <c r="E1035" i="7" s="1"/>
  <c r="E1036" i="7" s="1"/>
  <c r="E1037" i="7" s="1"/>
  <c r="E1038" i="7" s="1"/>
  <c r="E1039" i="7" s="1"/>
  <c r="E1040" i="7" s="1"/>
  <c r="E1041" i="7" s="1"/>
  <c r="E1042" i="7" s="1"/>
  <c r="E1043" i="7" s="1"/>
  <c r="E1044" i="7" s="1"/>
  <c r="E1045" i="7" s="1"/>
  <c r="E1046" i="7" s="1"/>
  <c r="E1047" i="7" s="1"/>
  <c r="E1048" i="7" s="1"/>
  <c r="E1049" i="7" s="1"/>
  <c r="E1050" i="7" s="1"/>
  <c r="E1051" i="7" s="1"/>
  <c r="E1052" i="7" s="1"/>
  <c r="E123" i="7"/>
  <c r="E3" i="7"/>
  <c r="E4" i="7" s="1"/>
  <c r="E5" i="7" s="1"/>
  <c r="E18" i="7"/>
  <c r="E19" i="7" s="1"/>
  <c r="E20" i="7" s="1"/>
  <c r="E21" i="7" s="1"/>
  <c r="E22" i="7" s="1"/>
  <c r="E23" i="7" s="1"/>
  <c r="E24" i="7" s="1"/>
  <c r="E25" i="7" s="1"/>
  <c r="E26" i="7" s="1"/>
  <c r="E27" i="7" s="1"/>
  <c r="E28" i="7" s="1"/>
  <c r="E29" i="7" s="1"/>
  <c r="E117" i="7"/>
  <c r="E118" i="7" s="1"/>
  <c r="AO396" i="162"/>
  <c r="AO519" i="162" s="1"/>
  <c r="K88" i="162" a="1"/>
  <c r="K88" i="162" s="1"/>
  <c r="BF88" i="162" s="1"/>
  <c r="BF538" i="162" s="1"/>
  <c r="J96" i="162" a="1"/>
  <c r="J96" i="162" s="1"/>
  <c r="BG96" i="162" s="1"/>
  <c r="BG539" i="162" s="1"/>
  <c r="F360" i="7"/>
  <c r="F361" i="7" s="1"/>
  <c r="F362" i="7" s="1"/>
  <c r="F364" i="7"/>
  <c r="F365" i="7" s="1"/>
  <c r="F366" i="7" s="1"/>
  <c r="F368" i="7"/>
  <c r="F369" i="7" s="1"/>
  <c r="F370" i="7" s="1"/>
  <c r="F372" i="7"/>
  <c r="F373" i="7" s="1"/>
  <c r="F374" i="7" s="1"/>
  <c r="F376" i="7"/>
  <c r="F377" i="7" s="1"/>
  <c r="F378" i="7" s="1"/>
  <c r="F382" i="7"/>
  <c r="F383" i="7" s="1"/>
  <c r="F384" i="7" s="1"/>
  <c r="F386" i="7"/>
  <c r="F387" i="7" s="1"/>
  <c r="F388" i="7" s="1"/>
  <c r="F390" i="7"/>
  <c r="F391" i="7" s="1"/>
  <c r="F392" i="7" s="1"/>
  <c r="F504" i="7"/>
  <c r="F505" i="7" s="1"/>
  <c r="F506" i="7" s="1"/>
  <c r="F508" i="7"/>
  <c r="F509" i="7" s="1"/>
  <c r="F510" i="7" s="1"/>
  <c r="F512" i="7"/>
  <c r="F513" i="7" s="1"/>
  <c r="F514" i="7" s="1"/>
  <c r="F516" i="7"/>
  <c r="F517" i="7" s="1"/>
  <c r="F518" i="7" s="1"/>
  <c r="F520" i="7"/>
  <c r="F521" i="7" s="1"/>
  <c r="F522" i="7" s="1"/>
  <c r="F524" i="7"/>
  <c r="F525" i="7" s="1"/>
  <c r="F526" i="7" s="1"/>
  <c r="F528" i="7"/>
  <c r="F529" i="7" s="1"/>
  <c r="F530" i="7" s="1"/>
  <c r="F532" i="7"/>
  <c r="F533" i="7" s="1"/>
  <c r="F534" i="7" s="1"/>
  <c r="F536" i="7"/>
  <c r="F537" i="7" s="1"/>
  <c r="F538" i="7" s="1"/>
  <c r="F540" i="7"/>
  <c r="F541" i="7" s="1"/>
  <c r="F542" i="7" s="1"/>
  <c r="F544" i="7"/>
  <c r="F545" i="7" s="1"/>
  <c r="F546" i="7" s="1"/>
  <c r="F548" i="7"/>
  <c r="F549" i="7" s="1"/>
  <c r="F550" i="7" s="1"/>
  <c r="F552" i="7"/>
  <c r="F553" i="7" s="1"/>
  <c r="F554" i="7" s="1"/>
  <c r="F556" i="7"/>
  <c r="F557" i="7" s="1"/>
  <c r="F558" i="7" s="1"/>
  <c r="F560" i="7"/>
  <c r="F561" i="7" s="1"/>
  <c r="F562" i="7" s="1"/>
  <c r="F564" i="7"/>
  <c r="F565" i="7" s="1"/>
  <c r="F566" i="7" s="1"/>
  <c r="F568" i="7"/>
  <c r="F569" i="7" s="1"/>
  <c r="F570" i="7" s="1"/>
  <c r="F572" i="7"/>
  <c r="F573" i="7" s="1"/>
  <c r="F574" i="7" s="1"/>
  <c r="F576" i="7"/>
  <c r="F577" i="7" s="1"/>
  <c r="F578" i="7" s="1"/>
  <c r="F580" i="7"/>
  <c r="F581" i="7" s="1"/>
  <c r="F582" i="7" s="1"/>
  <c r="F584" i="7"/>
  <c r="F585" i="7" s="1"/>
  <c r="F586" i="7" s="1"/>
  <c r="F588" i="7"/>
  <c r="F589" i="7" s="1"/>
  <c r="F590" i="7" s="1"/>
  <c r="F592" i="7"/>
  <c r="F593" i="7" s="1"/>
  <c r="F594" i="7" s="1"/>
  <c r="F624" i="7"/>
  <c r="F625" i="7" s="1"/>
  <c r="F626" i="7" s="1"/>
  <c r="F628" i="7"/>
  <c r="F629" i="7" s="1"/>
  <c r="F630" i="7" s="1"/>
  <c r="F632" i="7"/>
  <c r="F633" i="7" s="1"/>
  <c r="F634" i="7" s="1"/>
  <c r="F636" i="7"/>
  <c r="F637" i="7" s="1"/>
  <c r="F638" i="7" s="1"/>
  <c r="F640" i="7"/>
  <c r="F641" i="7" s="1"/>
  <c r="F642" i="7" s="1"/>
  <c r="F644" i="7"/>
  <c r="F645" i="7" s="1"/>
  <c r="F646" i="7" s="1"/>
  <c r="F648" i="7"/>
  <c r="F649" i="7" s="1"/>
  <c r="F650" i="7" s="1"/>
  <c r="F652" i="7"/>
  <c r="F653" i="7" s="1"/>
  <c r="F654" i="7" s="1"/>
  <c r="F656" i="7"/>
  <c r="F657" i="7" s="1"/>
  <c r="F658" i="7" s="1"/>
  <c r="F660" i="7"/>
  <c r="F661" i="7" s="1"/>
  <c r="F662" i="7" s="1"/>
  <c r="F664" i="7"/>
  <c r="F665" i="7" s="1"/>
  <c r="F666" i="7" s="1"/>
  <c r="F668" i="7"/>
  <c r="F669" i="7" s="1"/>
  <c r="F670" i="7" s="1"/>
  <c r="F672" i="7"/>
  <c r="F673" i="7" s="1"/>
  <c r="F674" i="7" s="1"/>
  <c r="F676" i="7"/>
  <c r="F677" i="7" s="1"/>
  <c r="F678" i="7" s="1"/>
  <c r="F680" i="7"/>
  <c r="F681" i="7" s="1"/>
  <c r="F682" i="7" s="1"/>
  <c r="F684" i="7"/>
  <c r="F685" i="7" s="1"/>
  <c r="F686" i="7" s="1"/>
  <c r="F688" i="7"/>
  <c r="F689" i="7" s="1"/>
  <c r="F690" i="7" s="1"/>
  <c r="F692" i="7"/>
  <c r="F693" i="7" s="1"/>
  <c r="F694" i="7" s="1"/>
  <c r="F696" i="7"/>
  <c r="F697" i="7" s="1"/>
  <c r="F698" i="7" s="1"/>
  <c r="F700" i="7"/>
  <c r="F702" i="7"/>
  <c r="F703" i="7" s="1"/>
  <c r="F704" i="7" s="1"/>
  <c r="F706" i="7"/>
  <c r="F707" i="7" s="1"/>
  <c r="F708" i="7" s="1"/>
  <c r="F710" i="7"/>
  <c r="F711" i="7" s="1"/>
  <c r="F712" i="7" s="1"/>
  <c r="F714" i="7"/>
  <c r="F715" i="7" s="1"/>
  <c r="F716" i="7" s="1"/>
  <c r="F718" i="7"/>
  <c r="F719" i="7" s="1"/>
  <c r="F720" i="7" s="1"/>
  <c r="F722" i="7"/>
  <c r="F723" i="7" s="1"/>
  <c r="F724" i="7" s="1"/>
  <c r="F726" i="7"/>
  <c r="F727" i="7" s="1"/>
  <c r="F728" i="7" s="1"/>
  <c r="F730" i="7"/>
  <c r="F731" i="7" s="1"/>
  <c r="F732" i="7" s="1"/>
  <c r="F734" i="7"/>
  <c r="F735" i="7" s="1"/>
  <c r="F736" i="7" s="1"/>
  <c r="F738" i="7"/>
  <c r="F739" i="7" s="1"/>
  <c r="F740" i="7" s="1"/>
  <c r="F742" i="7"/>
  <c r="F743" i="7" s="1"/>
  <c r="F744" i="7" s="1"/>
  <c r="F746" i="7"/>
  <c r="F747" i="7" s="1"/>
  <c r="F748" i="7" s="1"/>
  <c r="F750" i="7"/>
  <c r="F751" i="7" s="1"/>
  <c r="F752" i="7" s="1"/>
  <c r="F754" i="7"/>
  <c r="F755" i="7" s="1"/>
  <c r="F756" i="7" s="1"/>
  <c r="F758" i="7"/>
  <c r="F759" i="7" s="1"/>
  <c r="F760" i="7" s="1"/>
  <c r="F762" i="7"/>
  <c r="F763" i="7" s="1"/>
  <c r="F764" i="7" s="1"/>
  <c r="F770" i="7"/>
  <c r="F771" i="7" s="1"/>
  <c r="F772" i="7" s="1"/>
  <c r="F774" i="7"/>
  <c r="F775" i="7" s="1"/>
  <c r="F776" i="7" s="1"/>
  <c r="F778" i="7"/>
  <c r="F779" i="7" s="1"/>
  <c r="F780" i="7" s="1"/>
  <c r="F782" i="7"/>
  <c r="F783" i="7" s="1"/>
  <c r="F784" i="7" s="1"/>
  <c r="F786" i="7"/>
  <c r="F787" i="7" s="1"/>
  <c r="F788" i="7" s="1"/>
  <c r="F790" i="7"/>
  <c r="F791" i="7" s="1"/>
  <c r="F792" i="7" s="1"/>
  <c r="F794" i="7"/>
  <c r="F795" i="7" s="1"/>
  <c r="F796" i="7" s="1"/>
  <c r="F798" i="7"/>
  <c r="F799" i="7" s="1"/>
  <c r="F800" i="7" s="1"/>
  <c r="F802" i="7"/>
  <c r="F803" i="7" s="1"/>
  <c r="F804" i="7" s="1"/>
  <c r="F806" i="7"/>
  <c r="F807" i="7" s="1"/>
  <c r="F808" i="7" s="1"/>
  <c r="F810" i="7"/>
  <c r="F811" i="7" s="1"/>
  <c r="F812" i="7" s="1"/>
  <c r="F814" i="7"/>
  <c r="F815" i="7" s="1"/>
  <c r="F816" i="7" s="1"/>
  <c r="F818" i="7"/>
  <c r="F819" i="7" s="1"/>
  <c r="F820" i="7" s="1"/>
  <c r="F822" i="7"/>
  <c r="F823" i="7" s="1"/>
  <c r="F824" i="7" s="1"/>
  <c r="F834" i="7"/>
  <c r="F835" i="7" s="1"/>
  <c r="F836" i="7" s="1"/>
  <c r="F838" i="7"/>
  <c r="F839" i="7" s="1"/>
  <c r="F840" i="7" s="1"/>
  <c r="F842" i="7"/>
  <c r="F843" i="7" s="1"/>
  <c r="F844" i="7" s="1"/>
  <c r="F846" i="7"/>
  <c r="F847" i="7" s="1"/>
  <c r="F848" i="7" s="1"/>
  <c r="F850" i="7"/>
  <c r="F851" i="7" s="1"/>
  <c r="F852" i="7" s="1"/>
  <c r="F854" i="7"/>
  <c r="F855" i="7" s="1"/>
  <c r="F856" i="7" s="1"/>
  <c r="F858" i="7"/>
  <c r="F859" i="7" s="1"/>
  <c r="F860" i="7" s="1"/>
  <c r="F862" i="7"/>
  <c r="F863" i="7" s="1"/>
  <c r="F864" i="7" s="1"/>
  <c r="F866" i="7"/>
  <c r="F867" i="7" s="1"/>
  <c r="F868" i="7" s="1"/>
  <c r="F870" i="7"/>
  <c r="F871" i="7" s="1"/>
  <c r="F872" i="7" s="1"/>
  <c r="F874" i="7"/>
  <c r="F875" i="7" s="1"/>
  <c r="F876" i="7" s="1"/>
  <c r="F878" i="7"/>
  <c r="F879" i="7" s="1"/>
  <c r="F880" i="7" s="1"/>
  <c r="F882" i="7"/>
  <c r="F883" i="7" s="1"/>
  <c r="F884" i="7" s="1"/>
  <c r="F886" i="7"/>
  <c r="F887" i="7" s="1"/>
  <c r="F890" i="7"/>
  <c r="F891" i="7" s="1"/>
  <c r="F892" i="7" s="1"/>
  <c r="F898" i="7"/>
  <c r="F899" i="7" s="1"/>
  <c r="F900" i="7" s="1"/>
  <c r="F902" i="7"/>
  <c r="F903" i="7" s="1"/>
  <c r="F904" i="7" s="1"/>
  <c r="F906" i="7"/>
  <c r="F907" i="7" s="1"/>
  <c r="F908" i="7" s="1"/>
  <c r="F910" i="7"/>
  <c r="F911" i="7" s="1"/>
  <c r="F912" i="7" s="1"/>
  <c r="F914" i="7"/>
  <c r="F915" i="7" s="1"/>
  <c r="F916" i="7" s="1"/>
  <c r="F918" i="7"/>
  <c r="F919" i="7" s="1"/>
  <c r="F920" i="7" s="1"/>
  <c r="F922" i="7"/>
  <c r="F923" i="7" s="1"/>
  <c r="F924" i="7" s="1"/>
  <c r="F950" i="7"/>
  <c r="F951" i="7" s="1"/>
  <c r="F952" i="7" s="1"/>
  <c r="F954" i="7"/>
  <c r="F955" i="7" s="1"/>
  <c r="F956" i="7" s="1"/>
  <c r="F958" i="7"/>
  <c r="F959" i="7" s="1"/>
  <c r="F960" i="7" s="1"/>
  <c r="F962" i="7"/>
  <c r="F963" i="7" s="1"/>
  <c r="F964" i="7" s="1"/>
  <c r="F966" i="7"/>
  <c r="F967" i="7" s="1"/>
  <c r="F968" i="7" s="1"/>
  <c r="F970" i="7"/>
  <c r="F971" i="7" s="1"/>
  <c r="F972" i="7" s="1"/>
  <c r="F974" i="7"/>
  <c r="F975" i="7" s="1"/>
  <c r="F976" i="7" s="1"/>
  <c r="F978" i="7"/>
  <c r="F979" i="7" s="1"/>
  <c r="F980" i="7" s="1"/>
  <c r="F982" i="7"/>
  <c r="F983" i="7" s="1"/>
  <c r="F984" i="7" s="1"/>
  <c r="F986" i="7"/>
  <c r="F987" i="7" s="1"/>
  <c r="F988" i="7" s="1"/>
  <c r="F990" i="7"/>
  <c r="F991" i="7" s="1"/>
  <c r="F992" i="7" s="1"/>
  <c r="F994" i="7"/>
  <c r="F995" i="7" s="1"/>
  <c r="F996" i="7" s="1"/>
  <c r="F998" i="7"/>
  <c r="F999" i="7" s="1"/>
  <c r="F1000" i="7" s="1"/>
  <c r="F1002" i="7"/>
  <c r="F1003" i="7" s="1"/>
  <c r="F1004" i="7" s="1"/>
  <c r="F1006" i="7"/>
  <c r="F1007" i="7" s="1"/>
  <c r="F1008" i="7" s="1"/>
  <c r="F1010" i="7"/>
  <c r="F1011" i="7" s="1"/>
  <c r="F1012" i="7" s="1"/>
  <c r="F1014" i="7"/>
  <c r="F1015" i="7" s="1"/>
  <c r="F1016" i="7" s="1"/>
  <c r="F1018" i="7"/>
  <c r="F1019" i="7" s="1"/>
  <c r="F1020" i="7" s="1"/>
  <c r="F1022" i="7"/>
  <c r="F1023" i="7" s="1"/>
  <c r="F1024" i="7" s="1"/>
  <c r="F1026" i="7"/>
  <c r="F1027" i="7" s="1"/>
  <c r="F1028" i="7" s="1"/>
  <c r="F1030" i="7"/>
  <c r="F1031" i="7" s="1"/>
  <c r="F1032" i="7" s="1"/>
  <c r="F1034" i="7"/>
  <c r="F1035" i="7" s="1"/>
  <c r="F1036" i="7" s="1"/>
  <c r="F1038" i="7"/>
  <c r="F1039" i="7" s="1"/>
  <c r="F1040" i="7" s="1"/>
  <c r="F1042" i="7"/>
  <c r="F1043" i="7" s="1"/>
  <c r="F1044" i="7" s="1"/>
  <c r="F1046" i="7"/>
  <c r="F1047" i="7" s="1"/>
  <c r="F1048" i="7" s="1"/>
  <c r="F1050" i="7"/>
  <c r="F1051" i="7" s="1"/>
  <c r="F1052" i="7" s="1"/>
  <c r="F1054" i="7"/>
  <c r="F1055" i="7" s="1"/>
  <c r="F1056" i="7" s="1"/>
  <c r="F1058" i="7"/>
  <c r="F1059" i="7" s="1"/>
  <c r="F1060" i="7" s="1"/>
  <c r="F1062" i="7"/>
  <c r="F1063" i="7" s="1"/>
  <c r="F1064" i="7" s="1"/>
  <c r="F1066" i="7"/>
  <c r="F1067" i="7" s="1"/>
  <c r="F1068" i="7" s="1"/>
  <c r="F1070" i="7"/>
  <c r="F1071" i="7" s="1"/>
  <c r="F1072" i="7" s="1"/>
  <c r="F1074" i="7"/>
  <c r="F1075" i="7" s="1"/>
  <c r="F1078" i="7"/>
  <c r="F1079" i="7" s="1"/>
  <c r="F1080" i="7" s="1"/>
  <c r="F1082" i="7"/>
  <c r="F1083" i="7" s="1"/>
  <c r="F1084" i="7" s="1"/>
  <c r="F1086" i="7"/>
  <c r="F1087" i="7" s="1"/>
  <c r="F1088" i="7" s="1"/>
  <c r="F1090" i="7"/>
  <c r="F1091" i="7" s="1"/>
  <c r="F1092" i="7" s="1"/>
  <c r="F1094" i="7"/>
  <c r="F1095" i="7" s="1"/>
  <c r="F1096" i="7" s="1"/>
  <c r="F1098" i="7"/>
  <c r="F1099" i="7" s="1"/>
  <c r="F1100" i="7" s="1"/>
  <c r="F1102" i="7"/>
  <c r="F1103" i="7" s="1"/>
  <c r="F1104" i="7" s="1"/>
  <c r="F1106" i="7"/>
  <c r="F1107" i="7" s="1"/>
  <c r="F1108" i="7" s="1"/>
  <c r="F1110" i="7"/>
  <c r="F1111" i="7" s="1"/>
  <c r="F1112" i="7" s="1"/>
  <c r="F1114" i="7"/>
  <c r="F1115" i="7" s="1"/>
  <c r="F1116" i="7" s="1"/>
  <c r="F1118" i="7"/>
  <c r="F1119" i="7" s="1"/>
  <c r="F1120" i="7" s="1"/>
  <c r="F1122" i="7"/>
  <c r="F1123" i="7" s="1"/>
  <c r="F1124" i="7" s="1"/>
  <c r="F1126" i="7"/>
  <c r="F1127" i="7" s="1"/>
  <c r="F1128" i="7" s="1"/>
  <c r="F1130" i="7"/>
  <c r="F1131" i="7" s="1"/>
  <c r="F1132" i="7" s="1"/>
  <c r="F1134" i="7"/>
  <c r="F1135" i="7" s="1"/>
  <c r="F1136" i="7" s="1"/>
  <c r="F1138" i="7"/>
  <c r="F1139" i="7" s="1"/>
  <c r="F1140" i="7" s="1"/>
  <c r="F1142" i="7"/>
  <c r="F1143" i="7" s="1"/>
  <c r="F1144" i="7" s="1"/>
  <c r="F1146" i="7"/>
  <c r="F1147" i="7" s="1"/>
  <c r="F1148" i="7" s="1"/>
  <c r="F1150" i="7"/>
  <c r="F1151" i="7" s="1"/>
  <c r="F1152" i="7" s="1"/>
  <c r="F1154" i="7"/>
  <c r="F1155" i="7" s="1"/>
  <c r="F1156" i="7" s="1"/>
  <c r="F1158" i="7"/>
  <c r="F1159" i="7" s="1"/>
  <c r="F1160" i="7" s="1"/>
  <c r="F1162" i="7"/>
  <c r="F1163" i="7" s="1"/>
  <c r="F1164" i="7" s="1"/>
  <c r="F1168" i="7"/>
  <c r="F1169" i="7" s="1"/>
  <c r="F1170" i="7" s="1"/>
  <c r="F1172" i="7"/>
  <c r="F1173" i="7" s="1"/>
  <c r="F1174" i="7" s="1"/>
  <c r="F1176" i="7"/>
  <c r="F1177" i="7" s="1"/>
  <c r="F1178" i="7" s="1"/>
  <c r="F1180" i="7"/>
  <c r="F1181" i="7" s="1"/>
  <c r="F1182" i="7" s="1"/>
  <c r="F1184" i="7"/>
  <c r="F1185" i="7" s="1"/>
  <c r="F1186" i="7" s="1"/>
  <c r="F1188" i="7"/>
  <c r="F1189" i="7" s="1"/>
  <c r="F1190" i="7" s="1"/>
  <c r="F1192" i="7"/>
  <c r="F1193" i="7" s="1"/>
  <c r="F1194" i="7" s="1"/>
  <c r="F1196" i="7"/>
  <c r="F1197" i="7" s="1"/>
  <c r="F1198" i="7" s="1"/>
  <c r="F1200" i="7"/>
  <c r="F1201" i="7" s="1"/>
  <c r="F1202" i="7" s="1"/>
  <c r="F1204" i="7"/>
  <c r="F1205" i="7" s="1"/>
  <c r="F1206" i="7" s="1"/>
  <c r="F1208" i="7"/>
  <c r="F1209" i="7" s="1"/>
  <c r="F1210" i="7" s="1"/>
  <c r="F1212" i="7"/>
  <c r="F1213" i="7" s="1"/>
  <c r="F1214" i="7" s="1"/>
  <c r="F1216" i="7"/>
  <c r="F1217" i="7" s="1"/>
  <c r="F1218" i="7" s="1"/>
  <c r="F1220" i="7"/>
  <c r="F1221" i="7" s="1"/>
  <c r="F1222" i="7" s="1"/>
  <c r="F1224" i="7"/>
  <c r="F1225" i="7" s="1"/>
  <c r="F1226" i="7" s="1"/>
  <c r="F1228" i="7"/>
  <c r="F1229" i="7" s="1"/>
  <c r="F1230" i="7" s="1"/>
  <c r="F1232" i="7"/>
  <c r="F1233" i="7" s="1"/>
  <c r="F1234" i="7" s="1"/>
  <c r="F1236" i="7"/>
  <c r="F1237" i="7" s="1"/>
  <c r="F1238" i="7" s="1"/>
  <c r="F1240" i="7"/>
  <c r="F1241" i="7" s="1"/>
  <c r="F1242" i="7" s="1"/>
  <c r="F1244" i="7"/>
  <c r="F1245" i="7" s="1"/>
  <c r="F1246" i="7" s="1"/>
  <c r="F1248" i="7"/>
  <c r="F1249" i="7" s="1"/>
  <c r="F1250" i="7" s="1"/>
  <c r="F1252" i="7"/>
  <c r="F1253" i="7" s="1"/>
  <c r="F1254" i="7" s="1"/>
  <c r="F1256" i="7"/>
  <c r="F1257" i="7" s="1"/>
  <c r="F1260" i="7"/>
  <c r="F1261" i="7" s="1"/>
  <c r="F1262" i="7" s="1"/>
  <c r="F1264" i="7"/>
  <c r="F1265" i="7" s="1"/>
  <c r="F1266" i="7" s="1"/>
  <c r="F1284" i="7"/>
  <c r="F1285" i="7" s="1"/>
  <c r="F1286" i="7" s="1"/>
  <c r="F1288" i="7"/>
  <c r="F1289" i="7" s="1"/>
  <c r="F1290" i="7" s="1"/>
  <c r="F1292" i="7"/>
  <c r="F1293" i="7" s="1"/>
  <c r="F1294" i="7" s="1"/>
  <c r="F1323" i="7"/>
  <c r="F1324" i="7" s="1"/>
  <c r="F1330" i="7"/>
  <c r="F1332" i="7"/>
  <c r="F1333" i="7" s="1"/>
  <c r="F1334" i="7" s="1"/>
  <c r="M77" i="5"/>
  <c r="L77" i="5"/>
  <c r="AQ70" i="162"/>
  <c r="AQ522" i="162" s="1"/>
  <c r="AY397" i="162"/>
  <c r="AY531" i="162" s="1"/>
  <c r="J398" i="162" a="1"/>
  <c r="J398" i="162" s="1"/>
  <c r="AS398" i="162" s="1"/>
  <c r="AU89" i="162"/>
  <c r="AU527" i="162" s="1"/>
  <c r="K32" i="5"/>
  <c r="K33" i="5"/>
  <c r="K35" i="5"/>
  <c r="K36" i="5"/>
  <c r="K37" i="5"/>
  <c r="K38" i="5"/>
  <c r="K39" i="5"/>
  <c r="K40" i="5"/>
  <c r="K31" i="5"/>
  <c r="L32" i="5"/>
  <c r="L33" i="5"/>
  <c r="L34" i="5"/>
  <c r="L35" i="5"/>
  <c r="L36" i="5"/>
  <c r="L37" i="5"/>
  <c r="L38" i="5"/>
  <c r="L39" i="5"/>
  <c r="L40" i="5"/>
  <c r="L31" i="5"/>
  <c r="F6" i="162"/>
  <c r="F7" i="162"/>
  <c r="F8" i="162"/>
  <c r="F9" i="162"/>
  <c r="F10" i="162"/>
  <c r="F11" i="162"/>
  <c r="F14" i="162"/>
  <c r="F19" i="162"/>
  <c r="F20" i="162"/>
  <c r="F22" i="162"/>
  <c r="F23" i="162"/>
  <c r="F24" i="162"/>
  <c r="F25" i="162"/>
  <c r="F26" i="162"/>
  <c r="F27" i="162"/>
  <c r="F28" i="162"/>
  <c r="F29" i="162"/>
  <c r="F30" i="162"/>
  <c r="F31" i="162"/>
  <c r="F32" i="162"/>
  <c r="F33" i="162"/>
  <c r="F34" i="162"/>
  <c r="F35" i="162"/>
  <c r="F36" i="162"/>
  <c r="F37" i="162"/>
  <c r="F38" i="162"/>
  <c r="F39" i="162"/>
  <c r="F40" i="162"/>
  <c r="F41" i="162"/>
  <c r="F42" i="162"/>
  <c r="F43" i="162"/>
  <c r="F44" i="162"/>
  <c r="F45" i="162"/>
  <c r="F46" i="162"/>
  <c r="F47" i="162"/>
  <c r="F48" i="162"/>
  <c r="F49" i="162"/>
  <c r="F50" i="162"/>
  <c r="F51" i="162"/>
  <c r="F52" i="162"/>
  <c r="F53" i="162"/>
  <c r="F54" i="162"/>
  <c r="F55" i="162"/>
  <c r="F56" i="162"/>
  <c r="F57" i="162"/>
  <c r="F58" i="162"/>
  <c r="F59" i="162"/>
  <c r="F60" i="162"/>
  <c r="F61" i="162"/>
  <c r="F62" i="162"/>
  <c r="F63" i="162"/>
  <c r="F64" i="162"/>
  <c r="F65" i="162"/>
  <c r="F66" i="162"/>
  <c r="F67" i="162"/>
  <c r="F68" i="162"/>
  <c r="F69" i="162"/>
  <c r="F71" i="162"/>
  <c r="F73" i="162"/>
  <c r="F75" i="162"/>
  <c r="F76" i="162"/>
  <c r="F77" i="162"/>
  <c r="F78" i="162"/>
  <c r="F79" i="162"/>
  <c r="F94" i="162"/>
  <c r="F98" i="162"/>
  <c r="F99" i="162"/>
  <c r="F100" i="162"/>
  <c r="F101" i="162"/>
  <c r="F102" i="162"/>
  <c r="F103" i="162"/>
  <c r="F104" i="162"/>
  <c r="F105" i="162"/>
  <c r="F106" i="162"/>
  <c r="F107" i="162"/>
  <c r="F108" i="162"/>
  <c r="F109" i="162"/>
  <c r="F110" i="162"/>
  <c r="F111" i="162"/>
  <c r="F112" i="162"/>
  <c r="F113" i="162"/>
  <c r="F114" i="162"/>
  <c r="F115" i="162"/>
  <c r="F116" i="162"/>
  <c r="F117" i="162"/>
  <c r="F118" i="162"/>
  <c r="F120" i="162"/>
  <c r="F121" i="162"/>
  <c r="F122" i="162"/>
  <c r="F123" i="162"/>
  <c r="F124" i="162"/>
  <c r="F125" i="162"/>
  <c r="F126" i="162"/>
  <c r="F127" i="162"/>
  <c r="F129" i="162"/>
  <c r="F130" i="162"/>
  <c r="F131" i="162"/>
  <c r="F132" i="162"/>
  <c r="F133" i="162"/>
  <c r="F134" i="162"/>
  <c r="F135" i="162"/>
  <c r="F136" i="162"/>
  <c r="F137" i="162"/>
  <c r="F138" i="162"/>
  <c r="F139" i="162"/>
  <c r="F147" i="162"/>
  <c r="F150" i="162"/>
  <c r="F151" i="162"/>
  <c r="F152" i="162"/>
  <c r="F153" i="162"/>
  <c r="F154" i="162"/>
  <c r="F155" i="162"/>
  <c r="F156" i="162"/>
  <c r="F157" i="162"/>
  <c r="F158" i="162"/>
  <c r="F159" i="162"/>
  <c r="F160" i="162"/>
  <c r="F161" i="162"/>
  <c r="F162" i="162"/>
  <c r="F163" i="162"/>
  <c r="F167" i="162"/>
  <c r="F168" i="162"/>
  <c r="F169" i="162"/>
  <c r="F170" i="162"/>
  <c r="F171" i="162"/>
  <c r="F172" i="162"/>
  <c r="F173" i="162"/>
  <c r="F174" i="162"/>
  <c r="F175" i="162"/>
  <c r="F176" i="162"/>
  <c r="F177" i="162"/>
  <c r="F178" i="162"/>
  <c r="F179" i="162"/>
  <c r="F180" i="162"/>
  <c r="F181" i="162"/>
  <c r="F182" i="162"/>
  <c r="F183" i="162"/>
  <c r="F184" i="162"/>
  <c r="F185" i="162"/>
  <c r="F186" i="162"/>
  <c r="F187" i="162"/>
  <c r="F188" i="162"/>
  <c r="F189" i="162"/>
  <c r="F190" i="162"/>
  <c r="F191" i="162"/>
  <c r="F199" i="162"/>
  <c r="F200" i="162"/>
  <c r="F201" i="162"/>
  <c r="F202" i="162"/>
  <c r="F203" i="162"/>
  <c r="F204" i="162"/>
  <c r="F205" i="162"/>
  <c r="F206" i="162"/>
  <c r="F207" i="162"/>
  <c r="F208" i="162"/>
  <c r="F211" i="162"/>
  <c r="F212" i="162"/>
  <c r="F213" i="162"/>
  <c r="F214" i="162"/>
  <c r="F215" i="162"/>
  <c r="F216" i="162"/>
  <c r="F217" i="162"/>
  <c r="F218" i="162"/>
  <c r="F219" i="162"/>
  <c r="F220" i="162"/>
  <c r="F221" i="162"/>
  <c r="F222" i="162"/>
  <c r="F223" i="162"/>
  <c r="F224" i="162"/>
  <c r="F225" i="162"/>
  <c r="F226" i="162"/>
  <c r="F227" i="162"/>
  <c r="F228" i="162"/>
  <c r="F229" i="162"/>
  <c r="F230" i="162"/>
  <c r="F231" i="162"/>
  <c r="F232" i="162"/>
  <c r="F233" i="162"/>
  <c r="F234" i="162"/>
  <c r="F235" i="162"/>
  <c r="F236" i="162"/>
  <c r="F237" i="162"/>
  <c r="F238" i="162"/>
  <c r="F239" i="162"/>
  <c r="F240" i="162"/>
  <c r="F241" i="162"/>
  <c r="F242" i="162"/>
  <c r="F243" i="162"/>
  <c r="F244" i="162"/>
  <c r="F245" i="162"/>
  <c r="F247" i="162"/>
  <c r="F248" i="162"/>
  <c r="F249" i="162"/>
  <c r="F250" i="162"/>
  <c r="F251" i="162"/>
  <c r="F252" i="162"/>
  <c r="F254" i="162"/>
  <c r="F255" i="162"/>
  <c r="F256" i="162"/>
  <c r="F257" i="162"/>
  <c r="F258" i="162"/>
  <c r="F259" i="162"/>
  <c r="F260" i="162"/>
  <c r="F261" i="162"/>
  <c r="F262" i="162"/>
  <c r="F263" i="162"/>
  <c r="F264" i="162"/>
  <c r="F265" i="162"/>
  <c r="F266" i="162"/>
  <c r="F267" i="162"/>
  <c r="F268" i="162"/>
  <c r="F269" i="162"/>
  <c r="F270" i="162"/>
  <c r="F271" i="162"/>
  <c r="F272" i="162"/>
  <c r="F273" i="162"/>
  <c r="F274" i="162"/>
  <c r="F275" i="162"/>
  <c r="F276" i="162"/>
  <c r="F277" i="162"/>
  <c r="F278" i="162"/>
  <c r="F285" i="162"/>
  <c r="F286" i="162"/>
  <c r="F287" i="162"/>
  <c r="F288" i="162"/>
  <c r="F289" i="162"/>
  <c r="F290" i="162"/>
  <c r="F291" i="162"/>
  <c r="F292" i="162"/>
  <c r="F293" i="162"/>
  <c r="F294" i="162"/>
  <c r="F295" i="162"/>
  <c r="F296" i="162"/>
  <c r="F297" i="162"/>
  <c r="F298" i="162"/>
  <c r="F299" i="162"/>
  <c r="F300" i="162"/>
  <c r="F301" i="162"/>
  <c r="F302" i="162"/>
  <c r="F303" i="162"/>
  <c r="F304" i="162"/>
  <c r="F305" i="162"/>
  <c r="F306" i="162"/>
  <c r="F307" i="162"/>
  <c r="F308" i="162"/>
  <c r="F309" i="162"/>
  <c r="F310" i="162"/>
  <c r="F311" i="162"/>
  <c r="F312" i="162"/>
  <c r="F313" i="162"/>
  <c r="F314" i="162"/>
  <c r="F315" i="162"/>
  <c r="F316" i="162"/>
  <c r="F317" i="162"/>
  <c r="F318" i="162"/>
  <c r="F319" i="162"/>
  <c r="F320" i="162"/>
  <c r="F321" i="162"/>
  <c r="F322" i="162"/>
  <c r="F323" i="162"/>
  <c r="F324" i="162"/>
  <c r="F325" i="162"/>
  <c r="F326" i="162"/>
  <c r="F327" i="162"/>
  <c r="F328" i="162"/>
  <c r="F329" i="162"/>
  <c r="F330" i="162"/>
  <c r="F331" i="162"/>
  <c r="F332" i="162"/>
  <c r="F333" i="162"/>
  <c r="F334" i="162"/>
  <c r="F335" i="162"/>
  <c r="F336" i="162"/>
  <c r="F337" i="162"/>
  <c r="F338" i="162"/>
  <c r="F339" i="162"/>
  <c r="F340" i="162"/>
  <c r="F341" i="162"/>
  <c r="F342" i="162"/>
  <c r="F343" i="162"/>
  <c r="F344" i="162"/>
  <c r="F345" i="162"/>
  <c r="F346" i="162"/>
  <c r="F347" i="162"/>
  <c r="F348" i="162"/>
  <c r="F349" i="162"/>
  <c r="F350" i="162"/>
  <c r="F351" i="162"/>
  <c r="F352" i="162"/>
  <c r="F353" i="162"/>
  <c r="F354" i="162"/>
  <c r="F355" i="162"/>
  <c r="F356" i="162"/>
  <c r="F357" i="162"/>
  <c r="F358" i="162"/>
  <c r="F359" i="162"/>
  <c r="F360" i="162"/>
  <c r="F361" i="162"/>
  <c r="F362" i="162"/>
  <c r="F363" i="162"/>
  <c r="F364" i="162"/>
  <c r="F365" i="162"/>
  <c r="F366" i="162"/>
  <c r="F367" i="162"/>
  <c r="F372" i="162"/>
  <c r="F373" i="162"/>
  <c r="F381" i="162"/>
  <c r="F399" i="162"/>
  <c r="F400" i="162"/>
  <c r="F401" i="162"/>
  <c r="F402" i="162"/>
  <c r="F403" i="162"/>
  <c r="F404" i="162"/>
  <c r="F405" i="162"/>
  <c r="F406" i="162"/>
  <c r="F407" i="162"/>
  <c r="F408" i="162"/>
  <c r="F409" i="162"/>
  <c r="F410" i="162"/>
  <c r="F411" i="162"/>
  <c r="F412" i="162"/>
  <c r="F413" i="162"/>
  <c r="F414" i="162"/>
  <c r="F415" i="162"/>
  <c r="F416" i="162"/>
  <c r="F417" i="162"/>
  <c r="F418" i="162"/>
  <c r="F419" i="162"/>
  <c r="F420" i="162"/>
  <c r="F421" i="162"/>
  <c r="F422" i="162"/>
  <c r="F423" i="162"/>
  <c r="F424" i="162"/>
  <c r="F425" i="162"/>
  <c r="F426" i="162"/>
  <c r="F427" i="162"/>
  <c r="F428" i="162"/>
  <c r="F429" i="162"/>
  <c r="F430" i="162"/>
  <c r="F431" i="162"/>
  <c r="F432" i="162"/>
  <c r="F433" i="162"/>
  <c r="F434" i="162"/>
  <c r="F435" i="162"/>
  <c r="F436" i="162"/>
  <c r="F437" i="162"/>
  <c r="F438" i="162"/>
  <c r="F439" i="162"/>
  <c r="F440" i="162"/>
  <c r="F441" i="162"/>
  <c r="F442" i="162"/>
  <c r="F443" i="162"/>
  <c r="F444" i="162"/>
  <c r="F445" i="162"/>
  <c r="F446" i="162"/>
  <c r="F447" i="162"/>
  <c r="F448" i="162"/>
  <c r="F449" i="162"/>
  <c r="F450" i="162"/>
  <c r="F451" i="162"/>
  <c r="F452" i="162"/>
  <c r="F453" i="162"/>
  <c r="F454" i="162"/>
  <c r="F455" i="162"/>
  <c r="F456" i="162"/>
  <c r="F457" i="162"/>
  <c r="F458" i="162"/>
  <c r="F459" i="162"/>
  <c r="F460" i="162"/>
  <c r="F461" i="162"/>
  <c r="J199" i="162" a="1"/>
  <c r="J199" i="162" s="1"/>
  <c r="J140" i="162" a="1"/>
  <c r="J140" i="162" s="1"/>
  <c r="L140" i="162" s="1"/>
  <c r="J83" i="162" a="1"/>
  <c r="J83" i="162" s="1"/>
  <c r="AI83" i="162" s="1"/>
  <c r="G51" i="3"/>
  <c r="J206" i="162" a="1"/>
  <c r="J206" i="162" s="1"/>
  <c r="J163" i="162" a="1"/>
  <c r="J163" i="162" s="1"/>
  <c r="J164" i="162" a="1"/>
  <c r="J164" i="162" s="1"/>
  <c r="S164" i="162" s="1"/>
  <c r="J165" i="162" a="1"/>
  <c r="J165" i="162" s="1"/>
  <c r="J166" i="162" a="1"/>
  <c r="J166" i="162" s="1"/>
  <c r="L166" i="162" s="1"/>
  <c r="J167" i="162" a="1"/>
  <c r="J167" i="162" s="1"/>
  <c r="J168" i="162" a="1"/>
  <c r="J168" i="162" s="1"/>
  <c r="J169" i="162" a="1"/>
  <c r="J169" i="162" s="1"/>
  <c r="J170" i="162" a="1"/>
  <c r="J170" i="162" s="1"/>
  <c r="J171" i="162" a="1"/>
  <c r="J171" i="162" s="1"/>
  <c r="J172" i="162" a="1"/>
  <c r="J172" i="162" s="1"/>
  <c r="J173" i="162" a="1"/>
  <c r="J173" i="162" s="1"/>
  <c r="J174" i="162" a="1"/>
  <c r="J174" i="162" s="1"/>
  <c r="J175" i="162" a="1"/>
  <c r="J175" i="162" s="1"/>
  <c r="J176" i="162" a="1"/>
  <c r="J176" i="162" s="1"/>
  <c r="J177" i="162" a="1"/>
  <c r="J177" i="162" s="1"/>
  <c r="J179" i="162" a="1"/>
  <c r="J179" i="162" s="1"/>
  <c r="J182" i="162" a="1"/>
  <c r="J182" i="162" s="1"/>
  <c r="J183" i="162" a="1"/>
  <c r="J183" i="162" s="1"/>
  <c r="J184" i="162" a="1"/>
  <c r="J184" i="162" s="1"/>
  <c r="J185" i="162" a="1"/>
  <c r="J185" i="162" s="1"/>
  <c r="J186" i="162" a="1"/>
  <c r="J186" i="162" s="1"/>
  <c r="J187" i="162" a="1"/>
  <c r="J187" i="162" s="1"/>
  <c r="J188" i="162" a="1"/>
  <c r="J188" i="162" s="1"/>
  <c r="J189" i="162" a="1"/>
  <c r="J189" i="162" s="1"/>
  <c r="J190" i="162" a="1"/>
  <c r="J190" i="162" s="1"/>
  <c r="J191" i="162" a="1"/>
  <c r="J191" i="162" s="1"/>
  <c r="J192" i="162" a="1"/>
  <c r="J192" i="162" s="1"/>
  <c r="N192" i="162" s="1"/>
  <c r="J193" i="162" a="1"/>
  <c r="J193" i="162" s="1"/>
  <c r="U193" i="162" s="1"/>
  <c r="J194" i="162" a="1"/>
  <c r="J194" i="162" s="1"/>
  <c r="AB194" i="162" s="1"/>
  <c r="J195" i="162" a="1"/>
  <c r="J195" i="162" s="1"/>
  <c r="N195" i="162" s="1"/>
  <c r="J196" i="162" a="1"/>
  <c r="J196" i="162" s="1"/>
  <c r="U196" i="162" s="1"/>
  <c r="J197" i="162" a="1"/>
  <c r="J197" i="162" s="1"/>
  <c r="AB197" i="162" s="1"/>
  <c r="J198" i="162" a="1"/>
  <c r="J198" i="162" s="1"/>
  <c r="J200" i="162" a="1"/>
  <c r="J200" i="162" s="1"/>
  <c r="J202" i="162" a="1"/>
  <c r="J202" i="162" s="1"/>
  <c r="J203" i="162" a="1"/>
  <c r="J203" i="162" s="1"/>
  <c r="J204" i="162" a="1"/>
  <c r="J204" i="162" s="1"/>
  <c r="J205" i="162" a="1"/>
  <c r="J205" i="162" s="1"/>
  <c r="J209" i="162" a="1"/>
  <c r="J209" i="162" s="1"/>
  <c r="J210" i="162" a="1"/>
  <c r="J210" i="162" s="1"/>
  <c r="AW210" i="162" s="1"/>
  <c r="J211" i="162" a="1"/>
  <c r="J211" i="162" s="1"/>
  <c r="J212" i="162" a="1"/>
  <c r="J212" i="162" s="1"/>
  <c r="J213" i="162" a="1"/>
  <c r="J213" i="162" s="1"/>
  <c r="J214" i="162" a="1"/>
  <c r="J214" i="162" s="1"/>
  <c r="J217" i="162" a="1"/>
  <c r="J217" i="162" s="1"/>
  <c r="J218" i="162" a="1"/>
  <c r="J218" i="162" s="1"/>
  <c r="J219" i="162" a="1"/>
  <c r="J219" i="162" s="1"/>
  <c r="J220" i="162" a="1"/>
  <c r="J220" i="162" s="1"/>
  <c r="J221" i="162" a="1"/>
  <c r="J221" i="162" s="1"/>
  <c r="J222" i="162" a="1"/>
  <c r="J222" i="162" s="1"/>
  <c r="J223" i="162" a="1"/>
  <c r="J223" i="162" s="1"/>
  <c r="J224" i="162" a="1"/>
  <c r="J224" i="162" s="1"/>
  <c r="J225" i="162" a="1"/>
  <c r="J225" i="162" s="1"/>
  <c r="J226" i="162" a="1"/>
  <c r="J226" i="162" s="1"/>
  <c r="J227" i="162" a="1"/>
  <c r="J227" i="162" s="1"/>
  <c r="J228" i="162" a="1"/>
  <c r="J228" i="162" s="1"/>
  <c r="J229" i="162" a="1"/>
  <c r="J229" i="162" s="1"/>
  <c r="J230" i="162" a="1"/>
  <c r="J230" i="162" s="1"/>
  <c r="J231" i="162" a="1"/>
  <c r="J231" i="162" s="1"/>
  <c r="J232" i="162" a="1"/>
  <c r="J232" i="162" s="1"/>
  <c r="J233" i="162" a="1"/>
  <c r="J233" i="162" s="1"/>
  <c r="J234" i="162" a="1"/>
  <c r="J234" i="162" s="1"/>
  <c r="J235" i="162" a="1"/>
  <c r="J235" i="162" s="1"/>
  <c r="J236" i="162" a="1"/>
  <c r="J236" i="162" s="1"/>
  <c r="J237" i="162" a="1"/>
  <c r="J237" i="162" s="1"/>
  <c r="J238" i="162" a="1"/>
  <c r="J238" i="162" s="1"/>
  <c r="J239" i="162" a="1"/>
  <c r="J239" i="162" s="1"/>
  <c r="J240" i="162" a="1"/>
  <c r="J240" i="162" s="1"/>
  <c r="J241" i="162" a="1"/>
  <c r="J241" i="162" s="1"/>
  <c r="J242" i="162" a="1"/>
  <c r="J242" i="162" s="1"/>
  <c r="J243" i="162" a="1"/>
  <c r="J243" i="162" s="1"/>
  <c r="J244" i="162" a="1"/>
  <c r="J244" i="162" s="1"/>
  <c r="J245" i="162" a="1"/>
  <c r="J245" i="162" s="1"/>
  <c r="J246" i="162" a="1"/>
  <c r="J246" i="162" s="1"/>
  <c r="AW246" i="162" s="1"/>
  <c r="J247" i="162" a="1"/>
  <c r="J247" i="162" s="1"/>
  <c r="J248" i="162" a="1"/>
  <c r="J248" i="162" s="1"/>
  <c r="J249" i="162" a="1"/>
  <c r="J249" i="162" s="1"/>
  <c r="J250" i="162" a="1"/>
  <c r="J250" i="162" s="1"/>
  <c r="J251" i="162" a="1"/>
  <c r="J251" i="162" s="1"/>
  <c r="J252" i="162" a="1"/>
  <c r="J252" i="162" s="1"/>
  <c r="J253" i="162" a="1"/>
  <c r="J253" i="162" s="1"/>
  <c r="V253" i="162" s="1"/>
  <c r="J254" i="162" a="1"/>
  <c r="J254" i="162" s="1"/>
  <c r="J255" i="162" a="1"/>
  <c r="J255" i="162" s="1"/>
  <c r="J256" i="162" a="1"/>
  <c r="J256" i="162" s="1"/>
  <c r="J257" i="162" a="1"/>
  <c r="J257" i="162" s="1"/>
  <c r="J258" i="162" a="1"/>
  <c r="J258" i="162" s="1"/>
  <c r="J259" i="162" a="1"/>
  <c r="J259" i="162" s="1"/>
  <c r="J260" i="162" a="1"/>
  <c r="J260" i="162" s="1"/>
  <c r="J261" i="162" a="1"/>
  <c r="J261" i="162" s="1"/>
  <c r="J262" i="162" a="1"/>
  <c r="J262" i="162" s="1"/>
  <c r="J263" i="162" a="1"/>
  <c r="J263" i="162" s="1"/>
  <c r="J264" i="162" a="1"/>
  <c r="J264" i="162" s="1"/>
  <c r="J265" i="162" a="1"/>
  <c r="J265" i="162" s="1"/>
  <c r="J266" i="162" a="1"/>
  <c r="J266" i="162" s="1"/>
  <c r="J267" i="162" a="1"/>
  <c r="J267" i="162" s="1"/>
  <c r="J268" i="162" a="1"/>
  <c r="J268" i="162" s="1"/>
  <c r="J269" i="162" a="1"/>
  <c r="J269" i="162" s="1"/>
  <c r="J270" i="162" a="1"/>
  <c r="J270" i="162" s="1"/>
  <c r="J271" i="162" a="1"/>
  <c r="J271" i="162" s="1"/>
  <c r="J272" i="162" a="1"/>
  <c r="J272" i="162" s="1"/>
  <c r="J273" i="162" a="1"/>
  <c r="J273" i="162" s="1"/>
  <c r="J274" i="162" a="1"/>
  <c r="J274" i="162" s="1"/>
  <c r="J275" i="162" a="1"/>
  <c r="J275" i="162" s="1"/>
  <c r="J276" i="162" a="1"/>
  <c r="J276" i="162" s="1"/>
  <c r="J277" i="162" a="1"/>
  <c r="J277" i="162" s="1"/>
  <c r="J278" i="162" a="1"/>
  <c r="J278" i="162" s="1"/>
  <c r="J279" i="162" a="1"/>
  <c r="J279" i="162" s="1"/>
  <c r="AW279" i="162" s="1"/>
  <c r="J280" i="162" a="1"/>
  <c r="J280" i="162" s="1"/>
  <c r="AW280" i="162" s="1"/>
  <c r="J281" i="162" a="1"/>
  <c r="J281" i="162" s="1"/>
  <c r="V281" i="162" s="1"/>
  <c r="J282" i="162" a="1"/>
  <c r="J282" i="162" s="1"/>
  <c r="AP282" i="162" s="1"/>
  <c r="AP520" i="162" s="1"/>
  <c r="J283" i="162" a="1"/>
  <c r="J283" i="162" s="1"/>
  <c r="P283" i="162" s="1"/>
  <c r="J284" i="162" a="1"/>
  <c r="J284" i="162" s="1"/>
  <c r="J285" i="162" a="1"/>
  <c r="J285" i="162" s="1"/>
  <c r="J286" i="162" a="1"/>
  <c r="J286" i="162" s="1"/>
  <c r="J287" i="162" a="1"/>
  <c r="J287" i="162" s="1"/>
  <c r="J288" i="162" a="1"/>
  <c r="J288" i="162" s="1"/>
  <c r="J289" i="162" a="1"/>
  <c r="J289" i="162" s="1"/>
  <c r="J290" i="162" a="1"/>
  <c r="J290" i="162" s="1"/>
  <c r="J291" i="162" a="1"/>
  <c r="J291" i="162" s="1"/>
  <c r="J292" i="162" a="1"/>
  <c r="J292" i="162" s="1"/>
  <c r="J293" i="162" a="1"/>
  <c r="J293" i="162" s="1"/>
  <c r="J294" i="162" a="1"/>
  <c r="J294" i="162" s="1"/>
  <c r="J295" i="162" a="1"/>
  <c r="J295" i="162" s="1"/>
  <c r="J296" i="162" a="1"/>
  <c r="J296" i="162" s="1"/>
  <c r="J297" i="162" a="1"/>
  <c r="J297" i="162" s="1"/>
  <c r="J298" i="162" a="1"/>
  <c r="J298" i="162" s="1"/>
  <c r="J299" i="162" a="1"/>
  <c r="J299" i="162" s="1"/>
  <c r="J300" i="162" a="1"/>
  <c r="J300" i="162" s="1"/>
  <c r="J301" i="162" a="1"/>
  <c r="J301" i="162" s="1"/>
  <c r="J302" i="162" a="1"/>
  <c r="J302" i="162" s="1"/>
  <c r="J303" i="162" a="1"/>
  <c r="J303" i="162" s="1"/>
  <c r="J304" i="162" a="1"/>
  <c r="J304" i="162" s="1"/>
  <c r="J305" i="162" a="1"/>
  <c r="J305" i="162" s="1"/>
  <c r="J306" i="162" a="1"/>
  <c r="J306" i="162" s="1"/>
  <c r="J307" i="162" a="1"/>
  <c r="J307" i="162" s="1"/>
  <c r="J308" i="162" a="1"/>
  <c r="J308" i="162" s="1"/>
  <c r="J309" i="162" a="1"/>
  <c r="J309" i="162" s="1"/>
  <c r="J310" i="162" a="1"/>
  <c r="J310" i="162" s="1"/>
  <c r="J311" i="162" a="1"/>
  <c r="J311" i="162" s="1"/>
  <c r="J312" i="162" a="1"/>
  <c r="J312" i="162" s="1"/>
  <c r="J313" i="162" a="1"/>
  <c r="J313" i="162" s="1"/>
  <c r="J314" i="162" a="1"/>
  <c r="J314" i="162" s="1"/>
  <c r="J315" i="162" a="1"/>
  <c r="J315" i="162" s="1"/>
  <c r="J316" i="162" a="1"/>
  <c r="J316" i="162" s="1"/>
  <c r="J317" i="162" a="1"/>
  <c r="J317" i="162" s="1"/>
  <c r="J318" i="162" a="1"/>
  <c r="J318" i="162" s="1"/>
  <c r="J319" i="162" a="1"/>
  <c r="J319" i="162" s="1"/>
  <c r="J320" i="162" a="1"/>
  <c r="J320" i="162" s="1"/>
  <c r="J321" i="162" a="1"/>
  <c r="J321" i="162" s="1"/>
  <c r="J322" i="162" a="1"/>
  <c r="J322" i="162" s="1"/>
  <c r="J323" i="162" a="1"/>
  <c r="J323" i="162" s="1"/>
  <c r="J324" i="162" a="1"/>
  <c r="J324" i="162" s="1"/>
  <c r="J325" i="162" a="1"/>
  <c r="J325" i="162" s="1"/>
  <c r="J326" i="162" a="1"/>
  <c r="J326" i="162" s="1"/>
  <c r="J327" i="162" a="1"/>
  <c r="J327" i="162" s="1"/>
  <c r="J328" i="162" a="1"/>
  <c r="J328" i="162" s="1"/>
  <c r="J329" i="162" a="1"/>
  <c r="J329" i="162" s="1"/>
  <c r="J330" i="162" a="1"/>
  <c r="J330" i="162" s="1"/>
  <c r="J331" i="162" a="1"/>
  <c r="J331" i="162" s="1"/>
  <c r="J332" i="162" a="1"/>
  <c r="J332" i="162" s="1"/>
  <c r="J333" i="162" a="1"/>
  <c r="J333" i="162" s="1"/>
  <c r="J334" i="162" a="1"/>
  <c r="J334" i="162" s="1"/>
  <c r="J335" i="162" a="1"/>
  <c r="J335" i="162" s="1"/>
  <c r="J336" i="162" a="1"/>
  <c r="J336" i="162" s="1"/>
  <c r="J337" i="162" a="1"/>
  <c r="J337" i="162" s="1"/>
  <c r="J338" i="162" a="1"/>
  <c r="J338" i="162" s="1"/>
  <c r="J339" i="162" a="1"/>
  <c r="J339" i="162" s="1"/>
  <c r="J340" i="162" a="1"/>
  <c r="J340" i="162" s="1"/>
  <c r="J341" i="162" a="1"/>
  <c r="J341" i="162" s="1"/>
  <c r="J342" i="162" a="1"/>
  <c r="J342" i="162" s="1"/>
  <c r="J343" i="162" a="1"/>
  <c r="J343" i="162" s="1"/>
  <c r="J344" i="162" a="1"/>
  <c r="J344" i="162" s="1"/>
  <c r="J345" i="162" a="1"/>
  <c r="J345" i="162" s="1"/>
  <c r="J346" i="162" a="1"/>
  <c r="J346" i="162" s="1"/>
  <c r="J347" i="162" a="1"/>
  <c r="J347" i="162" s="1"/>
  <c r="J348" i="162" a="1"/>
  <c r="J348" i="162" s="1"/>
  <c r="J349" i="162" a="1"/>
  <c r="J349" i="162" s="1"/>
  <c r="J350" i="162" a="1"/>
  <c r="J350" i="162" s="1"/>
  <c r="J351" i="162" a="1"/>
  <c r="J351" i="162" s="1"/>
  <c r="J352" i="162" a="1"/>
  <c r="J352" i="162" s="1"/>
  <c r="J353" i="162" a="1"/>
  <c r="J353" i="162" s="1"/>
  <c r="J354" i="162" a="1"/>
  <c r="J354" i="162" s="1"/>
  <c r="J355" i="162" a="1"/>
  <c r="J355" i="162" s="1"/>
  <c r="J356" i="162" a="1"/>
  <c r="J356" i="162" s="1"/>
  <c r="J357" i="162" a="1"/>
  <c r="J357" i="162" s="1"/>
  <c r="J358" i="162" a="1"/>
  <c r="J358" i="162" s="1"/>
  <c r="J359" i="162" a="1"/>
  <c r="J359" i="162" s="1"/>
  <c r="J360" i="162" a="1"/>
  <c r="J360" i="162" s="1"/>
  <c r="J361" i="162" a="1"/>
  <c r="J361" i="162" s="1"/>
  <c r="J362" i="162" a="1"/>
  <c r="J362" i="162" s="1"/>
  <c r="J363" i="162" a="1"/>
  <c r="J363" i="162" s="1"/>
  <c r="J364" i="162" a="1"/>
  <c r="J364" i="162" s="1"/>
  <c r="J365" i="162" a="1"/>
  <c r="J365" i="162" s="1"/>
  <c r="J366" i="162" a="1"/>
  <c r="J366" i="162" s="1"/>
  <c r="J367" i="162" a="1"/>
  <c r="J367" i="162" s="1"/>
  <c r="J368" i="162" a="1"/>
  <c r="J368" i="162" s="1"/>
  <c r="J369" i="162" a="1"/>
  <c r="J369" i="162" s="1"/>
  <c r="J370" i="162" a="1"/>
  <c r="J370" i="162" s="1"/>
  <c r="P370" i="162" s="1"/>
  <c r="J371" i="162" a="1"/>
  <c r="J371" i="162" s="1"/>
  <c r="J372" i="162" a="1"/>
  <c r="J372" i="162" s="1"/>
  <c r="J373" i="162" a="1"/>
  <c r="J373" i="162" s="1"/>
  <c r="J374" i="162" a="1"/>
  <c r="J374" i="162" s="1"/>
  <c r="J375" i="162" a="1"/>
  <c r="J375" i="162" s="1"/>
  <c r="J376" i="162" a="1"/>
  <c r="J376" i="162" s="1"/>
  <c r="P376" i="162" s="1"/>
  <c r="J377" i="162" a="1"/>
  <c r="J377" i="162" s="1"/>
  <c r="J378" i="162" a="1"/>
  <c r="J378" i="162" s="1"/>
  <c r="P378" i="162" s="1"/>
  <c r="J379" i="162" a="1"/>
  <c r="J379" i="162" s="1"/>
  <c r="J380" i="162" a="1"/>
  <c r="J380" i="162" s="1"/>
  <c r="J381" i="162" a="1"/>
  <c r="J381" i="162" s="1"/>
  <c r="J382" i="162" a="1"/>
  <c r="J382" i="162" s="1"/>
  <c r="P382" i="162" s="1"/>
  <c r="J383" i="162" a="1"/>
  <c r="J383" i="162" s="1"/>
  <c r="J384" i="162" a="1"/>
  <c r="J384" i="162" s="1"/>
  <c r="J385" i="162" a="1"/>
  <c r="J385" i="162" s="1"/>
  <c r="J386" i="162" a="1"/>
  <c r="J386" i="162" s="1"/>
  <c r="P386" i="162" s="1"/>
  <c r="J387" i="162" a="1"/>
  <c r="J387" i="162" s="1"/>
  <c r="J388" i="162" a="1"/>
  <c r="J388" i="162" s="1"/>
  <c r="J389" i="162" a="1"/>
  <c r="J389" i="162" s="1"/>
  <c r="P389" i="162" s="1"/>
  <c r="J390" i="162" a="1"/>
  <c r="J390" i="162" s="1"/>
  <c r="J391" i="162" a="1"/>
  <c r="J391" i="162" s="1"/>
  <c r="J392" i="162" a="1"/>
  <c r="J392" i="162" s="1"/>
  <c r="J393" i="162" a="1"/>
  <c r="J393" i="162" s="1"/>
  <c r="P393" i="162" s="1"/>
  <c r="J394" i="162" a="1"/>
  <c r="J394" i="162" s="1"/>
  <c r="X394" i="162" s="1"/>
  <c r="J395" i="162" a="1"/>
  <c r="J395" i="162" s="1"/>
  <c r="J84" i="162" a="1"/>
  <c r="J84" i="162" s="1"/>
  <c r="AS84" i="162" s="1"/>
  <c r="AS525" i="162" s="1"/>
  <c r="N72" i="3"/>
  <c r="N71" i="3"/>
  <c r="N70" i="3"/>
  <c r="N69" i="3"/>
  <c r="N68" i="3"/>
  <c r="N67" i="3"/>
  <c r="N66" i="3"/>
  <c r="N65" i="3"/>
  <c r="N64" i="3"/>
  <c r="N63" i="3"/>
  <c r="N62" i="3"/>
  <c r="N61" i="3"/>
  <c r="G128" i="162"/>
  <c r="J119" i="162"/>
  <c r="J88" i="162" a="1"/>
  <c r="J88" i="162" s="1"/>
  <c r="AX88" i="162" s="1"/>
  <c r="J72" i="162" a="1"/>
  <c r="J72" i="162" s="1"/>
  <c r="X72" i="162" s="1"/>
  <c r="J82" i="162"/>
  <c r="J81" i="162"/>
  <c r="J80" i="162"/>
  <c r="J74" i="162"/>
  <c r="J18" i="162"/>
  <c r="J17" i="162"/>
  <c r="J16" i="162"/>
  <c r="J15" i="162"/>
  <c r="J2" i="162" a="1"/>
  <c r="J2" i="162" s="1"/>
  <c r="J3" i="162" a="1"/>
  <c r="J3" i="162" s="1"/>
  <c r="J4" i="162" a="1"/>
  <c r="J4" i="162" s="1"/>
  <c r="J5" i="162" a="1"/>
  <c r="J5" i="162" s="1"/>
  <c r="J6" i="162" a="1"/>
  <c r="J6" i="162" s="1"/>
  <c r="J7" i="162" a="1"/>
  <c r="J7" i="162" s="1"/>
  <c r="J8" i="162" a="1"/>
  <c r="J8" i="162" s="1"/>
  <c r="J9" i="162" a="1"/>
  <c r="J9" i="162" s="1"/>
  <c r="J10" i="162" a="1"/>
  <c r="J10" i="162" s="1"/>
  <c r="J11" i="162" a="1"/>
  <c r="J11" i="162" s="1"/>
  <c r="J13" i="162" a="1"/>
  <c r="J13" i="162" s="1"/>
  <c r="J14" i="162" a="1"/>
  <c r="J14" i="162" s="1"/>
  <c r="J19" i="162" a="1"/>
  <c r="J19" i="162" s="1"/>
  <c r="J20" i="162" a="1"/>
  <c r="J20" i="162" s="1"/>
  <c r="J22" i="162" a="1"/>
  <c r="J22" i="162" s="1"/>
  <c r="J23" i="162" a="1"/>
  <c r="J23" i="162" s="1"/>
  <c r="J24" i="162" a="1"/>
  <c r="J24" i="162" s="1"/>
  <c r="J25" i="162" a="1"/>
  <c r="J25" i="162" s="1"/>
  <c r="J26" i="162" a="1"/>
  <c r="J26" i="162" s="1"/>
  <c r="J27" i="162" a="1"/>
  <c r="J27" i="162" s="1"/>
  <c r="G28" i="162"/>
  <c r="J28" i="162" s="1" a="1"/>
  <c r="J28" i="162" s="1"/>
  <c r="J29" i="162" a="1"/>
  <c r="J29" i="162" s="1"/>
  <c r="G30" i="162"/>
  <c r="J30" i="162" s="1" a="1"/>
  <c r="J30" i="162" s="1"/>
  <c r="G31" i="162"/>
  <c r="J31" i="162" s="1" a="1"/>
  <c r="J31" i="162" s="1"/>
  <c r="J32" i="162" a="1"/>
  <c r="J32" i="162" s="1"/>
  <c r="J33" i="162" a="1"/>
  <c r="J33" i="162" s="1"/>
  <c r="J34" i="162" a="1"/>
  <c r="J34" i="162" s="1"/>
  <c r="J35" i="162" a="1"/>
  <c r="J35" i="162" s="1"/>
  <c r="J36" i="162" a="1"/>
  <c r="J36" i="162" s="1"/>
  <c r="J37" i="162" a="1"/>
  <c r="J37" i="162" s="1"/>
  <c r="J38" i="162" a="1"/>
  <c r="J38" i="162" s="1"/>
  <c r="J39" i="162" a="1"/>
  <c r="J39" i="162" s="1"/>
  <c r="J40" i="162" a="1"/>
  <c r="J40" i="162" s="1"/>
  <c r="J41" i="162" a="1"/>
  <c r="J41" i="162" s="1"/>
  <c r="J42" i="162" a="1"/>
  <c r="J42" i="162" s="1"/>
  <c r="J43" i="162" a="1"/>
  <c r="J43" i="162" s="1"/>
  <c r="J44" i="162" a="1"/>
  <c r="J44" i="162" s="1"/>
  <c r="J45" i="162" a="1"/>
  <c r="J45" i="162" s="1"/>
  <c r="J46" i="162" a="1"/>
  <c r="J46" i="162" s="1"/>
  <c r="J47" i="162" a="1"/>
  <c r="J47" i="162" s="1"/>
  <c r="J48" i="162" a="1"/>
  <c r="J48" i="162" s="1"/>
  <c r="J49" i="162" a="1"/>
  <c r="J49" i="162" s="1"/>
  <c r="J50" i="162" a="1"/>
  <c r="J50" i="162" s="1"/>
  <c r="G51" i="162"/>
  <c r="J51" i="162" s="1" a="1"/>
  <c r="J51" i="162" s="1"/>
  <c r="J52" i="162" a="1"/>
  <c r="J52" i="162" s="1"/>
  <c r="J53" i="162" a="1"/>
  <c r="J53" i="162" s="1"/>
  <c r="J54" i="162" a="1"/>
  <c r="J54" i="162" s="1"/>
  <c r="J55" i="162" a="1"/>
  <c r="J55" i="162" s="1"/>
  <c r="J56" i="162" a="1"/>
  <c r="J56" i="162" s="1"/>
  <c r="J57" i="162" a="1"/>
  <c r="J57" i="162" s="1"/>
  <c r="J58" i="162" a="1"/>
  <c r="J58" i="162" s="1"/>
  <c r="J59" i="162" a="1"/>
  <c r="J59" i="162" s="1"/>
  <c r="J60" i="162" a="1"/>
  <c r="J60" i="162" s="1"/>
  <c r="J61" i="162" a="1"/>
  <c r="J61" i="162" s="1"/>
  <c r="J62" i="162" a="1"/>
  <c r="J62" i="162" s="1"/>
  <c r="J63" i="162" a="1"/>
  <c r="J63" i="162" s="1"/>
  <c r="J64" i="162" a="1"/>
  <c r="J64" i="162" s="1"/>
  <c r="G65" i="162"/>
  <c r="J65" i="162" s="1" a="1"/>
  <c r="J65" i="162" s="1"/>
  <c r="G66" i="162"/>
  <c r="J66" i="162" s="1" a="1"/>
  <c r="J66" i="162" s="1"/>
  <c r="J67" i="162" a="1"/>
  <c r="J67" i="162" s="1"/>
  <c r="J68" i="162" a="1"/>
  <c r="J68" i="162" s="1"/>
  <c r="J12" i="162" a="1"/>
  <c r="J12" i="162" s="1"/>
  <c r="J69" i="162" a="1"/>
  <c r="J69" i="162" s="1"/>
  <c r="J71" i="162" a="1"/>
  <c r="J71" i="162" s="1"/>
  <c r="J73" i="162" a="1"/>
  <c r="J73" i="162" s="1"/>
  <c r="AH74" i="162"/>
  <c r="AH512" i="162" s="1"/>
  <c r="J75" i="162" a="1"/>
  <c r="J75" i="162" s="1"/>
  <c r="J76" i="162" a="1"/>
  <c r="J76" i="162" s="1"/>
  <c r="J77" i="162" a="1"/>
  <c r="J77" i="162" s="1"/>
  <c r="J78" i="162" a="1"/>
  <c r="J78" i="162" s="1"/>
  <c r="J79" i="162" a="1"/>
  <c r="J79" i="162" s="1"/>
  <c r="R80" i="162"/>
  <c r="Y81" i="162"/>
  <c r="AF82" i="162"/>
  <c r="J85" i="162" a="1"/>
  <c r="J85" i="162" s="1"/>
  <c r="BJ85" i="162" s="1"/>
  <c r="J86" i="162" a="1"/>
  <c r="J86" i="162" s="1"/>
  <c r="AK86" i="162" s="1"/>
  <c r="J87" i="162" a="1"/>
  <c r="J87" i="162" s="1"/>
  <c r="BE90" i="162"/>
  <c r="BE537" i="162" s="1"/>
  <c r="BH540" i="162"/>
  <c r="BI93" i="162"/>
  <c r="BI541" i="162" s="1"/>
  <c r="AF95" i="162"/>
  <c r="AM97" i="162"/>
  <c r="AM517" i="162" s="1"/>
  <c r="J98" i="162" a="1"/>
  <c r="J98" i="162" s="1"/>
  <c r="J99" i="162" a="1"/>
  <c r="J99" i="162" s="1"/>
  <c r="J100" i="162" a="1"/>
  <c r="J100" i="162" s="1"/>
  <c r="J101" i="162" a="1"/>
  <c r="J101" i="162" s="1"/>
  <c r="J102" i="162" a="1"/>
  <c r="J102" i="162" s="1"/>
  <c r="J103" i="162" a="1"/>
  <c r="J103" i="162" s="1"/>
  <c r="J104" i="162" a="1"/>
  <c r="J104" i="162" s="1"/>
  <c r="J105" i="162" a="1"/>
  <c r="J105" i="162" s="1"/>
  <c r="J106" i="162" a="1"/>
  <c r="J106" i="162" s="1"/>
  <c r="J107" i="162" a="1"/>
  <c r="J107" i="162" s="1"/>
  <c r="J108" i="162" a="1"/>
  <c r="J108" i="162" s="1"/>
  <c r="J109" i="162" a="1"/>
  <c r="J109" i="162" s="1"/>
  <c r="J110" i="162" a="1"/>
  <c r="J110" i="162" s="1"/>
  <c r="J111" i="162" a="1"/>
  <c r="J111" i="162" s="1"/>
  <c r="J112" i="162" a="1"/>
  <c r="J112" i="162" s="1"/>
  <c r="J113" i="162" a="1"/>
  <c r="J113" i="162" s="1"/>
  <c r="J114" i="162" a="1"/>
  <c r="J114" i="162" s="1"/>
  <c r="J115" i="162" a="1"/>
  <c r="J115" i="162" s="1"/>
  <c r="J116" i="162" a="1"/>
  <c r="J116" i="162" s="1"/>
  <c r="J117" i="162" a="1"/>
  <c r="J117" i="162" s="1"/>
  <c r="J118" i="162" a="1"/>
  <c r="J118" i="162" s="1"/>
  <c r="J120" i="162" a="1"/>
  <c r="J120" i="162" s="1"/>
  <c r="J121" i="162" a="1"/>
  <c r="J121" i="162" s="1"/>
  <c r="J122" i="162" a="1"/>
  <c r="J122" i="162" s="1"/>
  <c r="J123" i="162" a="1"/>
  <c r="J123" i="162" s="1"/>
  <c r="J124" i="162" a="1"/>
  <c r="J124" i="162" s="1"/>
  <c r="J125" i="162" a="1"/>
  <c r="J125" i="162" s="1"/>
  <c r="J126" i="162" a="1"/>
  <c r="J126" i="162" s="1"/>
  <c r="J127" i="162" a="1"/>
  <c r="J127" i="162" s="1"/>
  <c r="J129" i="162" a="1"/>
  <c r="J129" i="162" s="1"/>
  <c r="J130" i="162" a="1"/>
  <c r="J130" i="162" s="1"/>
  <c r="J131" i="162" a="1"/>
  <c r="J131" i="162" s="1"/>
  <c r="J132" i="162" a="1"/>
  <c r="J132" i="162" s="1"/>
  <c r="J133" i="162" a="1"/>
  <c r="J133" i="162" s="1"/>
  <c r="J134" i="162" a="1"/>
  <c r="J134" i="162" s="1"/>
  <c r="J135" i="162" a="1"/>
  <c r="J135" i="162" s="1"/>
  <c r="J136" i="162" a="1"/>
  <c r="J136" i="162" s="1"/>
  <c r="J137" i="162" a="1"/>
  <c r="J137" i="162" s="1"/>
  <c r="J138" i="162" a="1"/>
  <c r="J138" i="162" s="1"/>
  <c r="J139" i="162" a="1"/>
  <c r="J139" i="162" s="1"/>
  <c r="J141" i="162" a="1"/>
  <c r="J141" i="162" s="1"/>
  <c r="L141" i="162" s="1"/>
  <c r="J142" i="162" a="1"/>
  <c r="J142" i="162" s="1"/>
  <c r="J143" i="162" a="1"/>
  <c r="J143" i="162" s="1"/>
  <c r="L143" i="162" s="1"/>
  <c r="J144" i="162" a="1"/>
  <c r="J144" i="162" s="1"/>
  <c r="X144" i="162" s="1"/>
  <c r="J145" i="162" a="1"/>
  <c r="J145" i="162" s="1"/>
  <c r="J146" i="162" a="1"/>
  <c r="J146" i="162" s="1"/>
  <c r="L146" i="162" s="1"/>
  <c r="J147" i="162" a="1"/>
  <c r="J147" i="162" s="1"/>
  <c r="J148" i="162" a="1"/>
  <c r="J148" i="162" s="1"/>
  <c r="Z148" i="162" s="1"/>
  <c r="J149" i="162" a="1"/>
  <c r="J149" i="162" s="1"/>
  <c r="Z149" i="162" s="1"/>
  <c r="J150" i="162" a="1"/>
  <c r="J150" i="162" s="1"/>
  <c r="J151" i="162" a="1"/>
  <c r="J151" i="162" s="1"/>
  <c r="J152" i="162" a="1"/>
  <c r="J152" i="162" s="1"/>
  <c r="J153" i="162" a="1"/>
  <c r="J153" i="162" s="1"/>
  <c r="J154" i="162" a="1"/>
  <c r="J154" i="162" s="1"/>
  <c r="J155" i="162" a="1"/>
  <c r="J155" i="162" s="1"/>
  <c r="J156" i="162" a="1"/>
  <c r="J156" i="162" s="1"/>
  <c r="J157" i="162" a="1"/>
  <c r="J157" i="162" s="1"/>
  <c r="J158" i="162" a="1"/>
  <c r="J158" i="162" s="1"/>
  <c r="J159" i="162" a="1"/>
  <c r="J159" i="162" s="1"/>
  <c r="J160" i="162" a="1"/>
  <c r="J160" i="162" s="1"/>
  <c r="J161" i="162" a="1"/>
  <c r="J161" i="162" s="1"/>
  <c r="J162" i="162" a="1"/>
  <c r="J162" i="162" s="1"/>
  <c r="J399" i="162" a="1"/>
  <c r="J399" i="162" s="1"/>
  <c r="J400" i="162" a="1"/>
  <c r="J400" i="162" s="1"/>
  <c r="J401" i="162" a="1"/>
  <c r="J401" i="162" s="1"/>
  <c r="J403" i="162" a="1"/>
  <c r="J403" i="162" s="1"/>
  <c r="J404" i="162" a="1"/>
  <c r="J404" i="162" s="1"/>
  <c r="J405" i="162" a="1"/>
  <c r="J405" i="162" s="1"/>
  <c r="J406" i="162" a="1"/>
  <c r="J406" i="162" s="1"/>
  <c r="J407" i="162" a="1"/>
  <c r="J407" i="162" s="1"/>
  <c r="J408" i="162" a="1"/>
  <c r="J408" i="162" s="1"/>
  <c r="J409" i="162" a="1"/>
  <c r="J409" i="162" s="1"/>
  <c r="J410" i="162" a="1"/>
  <c r="J410" i="162" s="1"/>
  <c r="J411" i="162" a="1"/>
  <c r="J411" i="162" s="1"/>
  <c r="J412" i="162" a="1"/>
  <c r="J412" i="162" s="1"/>
  <c r="J413" i="162" a="1"/>
  <c r="J413" i="162" s="1"/>
  <c r="J414" i="162" a="1"/>
  <c r="J414" i="162" s="1"/>
  <c r="J415" i="162" a="1"/>
  <c r="J415" i="162" s="1"/>
  <c r="J416" i="162" a="1"/>
  <c r="J416" i="162" s="1"/>
  <c r="J417" i="162" a="1"/>
  <c r="J417" i="162" s="1"/>
  <c r="J418" i="162" a="1"/>
  <c r="J418" i="162" s="1"/>
  <c r="J419" i="162" a="1"/>
  <c r="J419" i="162" s="1"/>
  <c r="J420" i="162" a="1"/>
  <c r="J420" i="162" s="1"/>
  <c r="J421" i="162" a="1"/>
  <c r="J421" i="162" s="1"/>
  <c r="J422" i="162" a="1"/>
  <c r="J422" i="162" s="1"/>
  <c r="J423" i="162" a="1"/>
  <c r="J423" i="162" s="1"/>
  <c r="J424" i="162" a="1"/>
  <c r="J424" i="162" s="1"/>
  <c r="J425" i="162" a="1"/>
  <c r="J425" i="162" s="1"/>
  <c r="J426" i="162" a="1"/>
  <c r="J426" i="162" s="1"/>
  <c r="J427" i="162" a="1"/>
  <c r="J427" i="162" s="1"/>
  <c r="J428" i="162" a="1"/>
  <c r="J428" i="162" s="1"/>
  <c r="J429" i="162" a="1"/>
  <c r="J429" i="162" s="1"/>
  <c r="J430" i="162" a="1"/>
  <c r="J430" i="162" s="1"/>
  <c r="J431" i="162" a="1"/>
  <c r="J431" i="162" s="1"/>
  <c r="J432" i="162" a="1"/>
  <c r="J432" i="162" s="1"/>
  <c r="J433" i="162" a="1"/>
  <c r="J433" i="162" s="1"/>
  <c r="J434" i="162" a="1"/>
  <c r="J434" i="162" s="1"/>
  <c r="J435" i="162" a="1"/>
  <c r="J435" i="162" s="1"/>
  <c r="J436" i="162" a="1"/>
  <c r="J436" i="162" s="1"/>
  <c r="J437" i="162" a="1"/>
  <c r="J437" i="162" s="1"/>
  <c r="J438" i="162" a="1"/>
  <c r="J438" i="162" s="1"/>
  <c r="J439" i="162" a="1"/>
  <c r="J439" i="162" s="1"/>
  <c r="J440" i="162" a="1"/>
  <c r="J440" i="162" s="1"/>
  <c r="J441" i="162" a="1"/>
  <c r="J441" i="162" s="1"/>
  <c r="J442" i="162" a="1"/>
  <c r="J442" i="162" s="1"/>
  <c r="J443" i="162" a="1"/>
  <c r="J443" i="162" s="1"/>
  <c r="J444" i="162" a="1"/>
  <c r="J444" i="162" s="1"/>
  <c r="J445" i="162" a="1"/>
  <c r="J445" i="162" s="1"/>
  <c r="J446" i="162" a="1"/>
  <c r="J446" i="162" s="1"/>
  <c r="J447" i="162" a="1"/>
  <c r="J447" i="162" s="1"/>
  <c r="J448" i="162" a="1"/>
  <c r="J448" i="162" s="1"/>
  <c r="J449" i="162" a="1"/>
  <c r="J449" i="162" s="1"/>
  <c r="J450" i="162" a="1"/>
  <c r="J450" i="162" s="1"/>
  <c r="J451" i="162" a="1"/>
  <c r="J451" i="162" s="1"/>
  <c r="J452" i="162" a="1"/>
  <c r="J452" i="162" s="1"/>
  <c r="J453" i="162" a="1"/>
  <c r="J453" i="162" s="1"/>
  <c r="J454" i="162" a="1"/>
  <c r="J454" i="162" s="1"/>
  <c r="J455" i="162" a="1"/>
  <c r="J455" i="162" s="1"/>
  <c r="J456" i="162" a="1"/>
  <c r="J456" i="162" s="1"/>
  <c r="J457" i="162" a="1"/>
  <c r="J457" i="162" s="1"/>
  <c r="J458" i="162" a="1"/>
  <c r="J458" i="162" s="1"/>
  <c r="J459" i="162" a="1"/>
  <c r="J459" i="162" s="1"/>
  <c r="J460" i="162" a="1"/>
  <c r="J460" i="162" s="1"/>
  <c r="J461" i="162" a="1"/>
  <c r="J461" i="162" s="1"/>
  <c r="X97" i="167" a="1"/>
  <c r="AE104" i="167" a="1"/>
  <c r="X97" i="167" l="1"/>
  <c r="BV147" i="167" s="1"/>
  <c r="AE104" i="167"/>
  <c r="BW148" i="167" s="1"/>
  <c r="S140" i="162"/>
  <c r="E1267" i="7"/>
  <c r="E1268" i="7" s="1"/>
  <c r="E1269" i="7" s="1"/>
  <c r="E1270" i="7" s="1"/>
  <c r="E1271" i="7" s="1"/>
  <c r="E1272" i="7" s="1"/>
  <c r="E1273" i="7" s="1"/>
  <c r="E1274" i="7" s="1"/>
  <c r="E1275" i="7" s="1"/>
  <c r="E1276" i="7" s="1"/>
  <c r="E1277" i="7" s="1"/>
  <c r="E1278" i="7" s="1"/>
  <c r="E1279" i="7" s="1"/>
  <c r="E1280" i="7" s="1"/>
  <c r="E1281" i="7" s="1"/>
  <c r="E1282" i="7" s="1"/>
  <c r="J178" i="162" a="1"/>
  <c r="J178" i="162" s="1"/>
  <c r="J201" i="162" a="1"/>
  <c r="J201" i="162" s="1"/>
  <c r="J181" i="162" a="1"/>
  <c r="J181" i="162" s="1"/>
  <c r="J216" i="162" a="1"/>
  <c r="J216" i="162" s="1"/>
  <c r="J180" i="162" a="1"/>
  <c r="J180" i="162" s="1"/>
  <c r="J215" i="162" a="1"/>
  <c r="J215" i="162" s="1"/>
  <c r="E124" i="7"/>
  <c r="E125" i="7" s="1"/>
  <c r="E126" i="7" s="1"/>
  <c r="E127" i="7" s="1"/>
  <c r="E128" i="7" s="1"/>
  <c r="E129" i="7" s="1"/>
  <c r="E130" i="7" s="1"/>
  <c r="E131" i="7" s="1"/>
  <c r="E132" i="7" s="1"/>
  <c r="E133" i="7" s="1"/>
  <c r="E134" i="7" s="1"/>
  <c r="E135" i="7" s="1"/>
  <c r="E136" i="7" s="1"/>
  <c r="E137" i="7" s="1"/>
  <c r="E138" i="7" s="1"/>
  <c r="E139" i="7" s="1"/>
  <c r="E140" i="7" s="1"/>
  <c r="E141" i="7" s="1"/>
  <c r="E142" i="7" s="1"/>
  <c r="E143" i="7" s="1"/>
  <c r="E144" i="7" s="1"/>
  <c r="F1295" i="7"/>
  <c r="F370" i="162" s="1"/>
  <c r="E35" i="7"/>
  <c r="J128" i="162"/>
  <c r="I128" i="162" a="1"/>
  <c r="I128" i="162" s="1"/>
  <c r="BC21" i="162"/>
  <c r="BC535" i="162" s="1"/>
  <c r="AW281" i="162"/>
  <c r="AW253" i="162"/>
  <c r="AT87" i="162"/>
  <c r="AT526" i="162" s="1"/>
  <c r="AE144" i="162"/>
  <c r="AI398" i="162"/>
  <c r="AG128" i="162"/>
  <c r="AG511" i="162" s="1"/>
  <c r="Z164" i="162"/>
  <c r="N209" i="162"/>
  <c r="AB209" i="162"/>
  <c r="AB195" i="162"/>
  <c r="S166" i="162"/>
  <c r="N198" i="162"/>
  <c r="U198" i="162"/>
  <c r="AE72" i="162"/>
  <c r="V210" i="162"/>
  <c r="AL210" i="162"/>
  <c r="AC210" i="162"/>
  <c r="AI210" i="162"/>
  <c r="P387" i="162"/>
  <c r="W387" i="162"/>
  <c r="AD387" i="162"/>
  <c r="L164" i="162"/>
  <c r="BK86" i="162"/>
  <c r="S141" i="162"/>
  <c r="AJ85" i="162"/>
  <c r="AI281" i="162"/>
  <c r="W391" i="162"/>
  <c r="AD391" i="162"/>
  <c r="P391" i="162"/>
  <c r="V246" i="162"/>
  <c r="O246" i="162"/>
  <c r="AC246" i="162"/>
  <c r="AI246" i="162"/>
  <c r="AL246" i="162"/>
  <c r="P390" i="162"/>
  <c r="W390" i="162"/>
  <c r="AD390" i="162"/>
  <c r="P380" i="162"/>
  <c r="W380" i="162"/>
  <c r="AD380" i="162"/>
  <c r="L165" i="162"/>
  <c r="S165" i="162"/>
  <c r="Z165" i="162"/>
  <c r="P379" i="162"/>
  <c r="W379" i="162"/>
  <c r="AD379" i="162"/>
  <c r="P375" i="162"/>
  <c r="W375" i="162"/>
  <c r="AD375" i="162"/>
  <c r="W368" i="162"/>
  <c r="AD368" i="162"/>
  <c r="P368" i="162"/>
  <c r="P395" i="162"/>
  <c r="W395" i="162"/>
  <c r="AD395" i="162"/>
  <c r="W374" i="162"/>
  <c r="AD374" i="162"/>
  <c r="P374" i="162"/>
  <c r="P284" i="162"/>
  <c r="W284" i="162"/>
  <c r="AD284" i="162"/>
  <c r="AD394" i="162"/>
  <c r="AE394" i="162"/>
  <c r="W394" i="162"/>
  <c r="W385" i="162"/>
  <c r="AD385" i="162"/>
  <c r="P385" i="162"/>
  <c r="P371" i="162"/>
  <c r="W371" i="162"/>
  <c r="AD371" i="162"/>
  <c r="P383" i="162"/>
  <c r="W383" i="162"/>
  <c r="AD383" i="162"/>
  <c r="AD282" i="162"/>
  <c r="BA282" i="162"/>
  <c r="BA533" i="162" s="1"/>
  <c r="BN282" i="162"/>
  <c r="BN546" i="162" s="1"/>
  <c r="P282" i="162"/>
  <c r="W282" i="162"/>
  <c r="L145" i="162"/>
  <c r="S145" i="162"/>
  <c r="Z145" i="162"/>
  <c r="P388" i="162"/>
  <c r="W388" i="162"/>
  <c r="AD388" i="162"/>
  <c r="V280" i="162"/>
  <c r="AC280" i="162"/>
  <c r="AI280" i="162"/>
  <c r="AL280" i="162"/>
  <c r="O280" i="162"/>
  <c r="W384" i="162"/>
  <c r="AD384" i="162"/>
  <c r="P384" i="162"/>
  <c r="V279" i="162"/>
  <c r="O279" i="162"/>
  <c r="AC279" i="162"/>
  <c r="AI279" i="162"/>
  <c r="AL279" i="162"/>
  <c r="W392" i="162"/>
  <c r="AD392" i="162"/>
  <c r="P392" i="162"/>
  <c r="AD377" i="162"/>
  <c r="P377" i="162"/>
  <c r="W377" i="162"/>
  <c r="P369" i="162"/>
  <c r="W369" i="162"/>
  <c r="AD369" i="162"/>
  <c r="AD389" i="162"/>
  <c r="AD382" i="162"/>
  <c r="AD378" i="162"/>
  <c r="AD370" i="162"/>
  <c r="AD283" i="162"/>
  <c r="AC281" i="162"/>
  <c r="Z166" i="162"/>
  <c r="BM397" i="162"/>
  <c r="W389" i="162"/>
  <c r="W382" i="162"/>
  <c r="W378" i="162"/>
  <c r="W370" i="162"/>
  <c r="W283" i="162"/>
  <c r="O281" i="162"/>
  <c r="AB198" i="162"/>
  <c r="L142" i="162"/>
  <c r="S142" i="162"/>
  <c r="Z142" i="162"/>
  <c r="N196" i="162"/>
  <c r="AB196" i="162"/>
  <c r="AL253" i="162"/>
  <c r="AD393" i="162"/>
  <c r="AD386" i="162"/>
  <c r="AD376" i="162"/>
  <c r="AI253" i="162"/>
  <c r="O210" i="162"/>
  <c r="U209" i="162"/>
  <c r="U195" i="162"/>
  <c r="X146" i="162"/>
  <c r="M144" i="162"/>
  <c r="M491" i="162" s="1"/>
  <c r="T144" i="162"/>
  <c r="T498" i="162" s="1"/>
  <c r="AA144" i="162"/>
  <c r="W393" i="162"/>
  <c r="W386" i="162"/>
  <c r="W376" i="162"/>
  <c r="AC253" i="162"/>
  <c r="U197" i="162"/>
  <c r="S146" i="162"/>
  <c r="Z143" i="162"/>
  <c r="AN518" i="162"/>
  <c r="BL91" i="162"/>
  <c r="BL544" i="162" s="1"/>
  <c r="AL281" i="162"/>
  <c r="O253" i="162"/>
  <c r="N197" i="162"/>
  <c r="S143" i="162"/>
  <c r="Z146" i="162"/>
  <c r="AE146" i="162"/>
  <c r="Z140" i="162"/>
  <c r="Z141" i="162"/>
  <c r="AI513" i="162" l="1"/>
  <c r="F1296" i="7"/>
  <c r="N492" i="162"/>
  <c r="E45" i="7"/>
  <c r="E46" i="7" s="1"/>
  <c r="E47" i="7" s="1"/>
  <c r="E48" i="7" s="1"/>
  <c r="E49" i="7" s="1"/>
  <c r="E50" i="7" s="1"/>
  <c r="E51" i="7" s="1"/>
  <c r="E52" i="7" s="1"/>
  <c r="E53" i="7" s="1"/>
  <c r="E54" i="7" s="1"/>
  <c r="E55" i="7" s="1"/>
  <c r="E56" i="7" s="1"/>
  <c r="E57" i="7" s="1"/>
  <c r="E58" i="7" s="1"/>
  <c r="E59" i="7" s="1"/>
  <c r="E60" i="7" s="1"/>
  <c r="E61" i="7" s="1"/>
  <c r="E62" i="7" s="1"/>
  <c r="E63" i="7" s="1"/>
  <c r="E64" i="7" s="1"/>
  <c r="E65" i="7" s="1"/>
  <c r="E66" i="7" s="1"/>
  <c r="E67" i="7" s="1"/>
  <c r="E68" i="7" s="1"/>
  <c r="E69" i="7" s="1"/>
  <c r="E70" i="7" s="1"/>
  <c r="E71" i="7" s="1"/>
  <c r="E72" i="7" s="1"/>
  <c r="E73" i="7" s="1"/>
  <c r="E74" i="7" s="1"/>
  <c r="E75" i="7" s="1"/>
  <c r="E76" i="7" s="1"/>
  <c r="E77" i="7" s="1"/>
  <c r="E78" i="7" s="1"/>
  <c r="E79" i="7" s="1"/>
  <c r="E80" i="7" s="1"/>
  <c r="E81" i="7" s="1"/>
  <c r="E82" i="7" s="1"/>
  <c r="E83" i="7" s="1"/>
  <c r="E84" i="7" s="1"/>
  <c r="E85" i="7" s="1"/>
  <c r="E1652" i="7" s="1"/>
  <c r="E1653" i="7" s="1"/>
  <c r="E1654" i="7" s="1"/>
  <c r="E86" i="7" s="1"/>
  <c r="E87" i="7" s="1"/>
  <c r="E88" i="7" s="1"/>
  <c r="E151" i="7"/>
  <c r="E152" i="7" s="1"/>
  <c r="E153" i="7" s="1"/>
  <c r="E154" i="7" s="1"/>
  <c r="E155" i="7" s="1"/>
  <c r="AW529" i="162"/>
  <c r="W501" i="162"/>
  <c r="AL516" i="162"/>
  <c r="BM545" i="162"/>
  <c r="L490" i="162"/>
  <c r="Z504" i="162"/>
  <c r="U499" i="162"/>
  <c r="S497" i="162"/>
  <c r="V500" i="162"/>
  <c r="P494" i="162"/>
  <c r="O493" i="162"/>
  <c r="AA505" i="162"/>
  <c r="AB506" i="162"/>
  <c r="AC507" i="162"/>
  <c r="AD508" i="162"/>
  <c r="X502" i="162" l="1"/>
  <c r="AE509" i="162"/>
  <c r="E89" i="7"/>
  <c r="E6" i="7" s="1"/>
  <c r="E7" i="7" s="1"/>
  <c r="E8" i="7" s="1"/>
  <c r="E9" i="7" s="1"/>
  <c r="E10" i="7" s="1"/>
  <c r="E11" i="7" s="1"/>
  <c r="E12" i="7" s="1"/>
  <c r="E13" i="7" s="1"/>
  <c r="E14" i="7" s="1"/>
  <c r="E15" i="7" s="1"/>
  <c r="E16" i="7" s="1"/>
  <c r="E17" i="7" s="1"/>
  <c r="E42" i="7" s="1"/>
  <c r="E280" i="7"/>
  <c r="E281" i="7" s="1"/>
  <c r="E282" i="7" s="1"/>
  <c r="E283" i="7" s="1"/>
  <c r="E284" i="7" s="1"/>
  <c r="E285" i="7" s="1"/>
  <c r="E286" i="7" s="1"/>
  <c r="E287" i="7" s="1"/>
  <c r="E288" i="7" s="1"/>
  <c r="E289" i="7" s="1"/>
  <c r="E290" i="7" s="1"/>
  <c r="E291" i="7" s="1"/>
  <c r="E292" i="7" s="1"/>
  <c r="E293" i="7" s="1"/>
  <c r="E294" i="7" s="1"/>
  <c r="E295" i="7" s="1"/>
  <c r="E296" i="7" s="1"/>
  <c r="E297" i="7" s="1"/>
  <c r="E298" i="7" s="1"/>
  <c r="E299" i="7" s="1"/>
  <c r="E300" i="7" s="1"/>
  <c r="E301" i="7" s="1"/>
  <c r="E302" i="7" s="1"/>
  <c r="E303" i="7" s="1"/>
  <c r="E304" i="7" s="1"/>
  <c r="E305" i="7" s="1"/>
  <c r="E306" i="7" s="1"/>
  <c r="E307" i="7" s="1"/>
  <c r="E308" i="7" s="1"/>
  <c r="E309" i="7" s="1"/>
  <c r="E310" i="7" s="1"/>
  <c r="E311" i="7" s="1"/>
  <c r="E312" i="7" s="1"/>
  <c r="E313" i="7" s="1"/>
  <c r="E314" i="7" s="1"/>
  <c r="E315" i="7" s="1"/>
  <c r="E316" i="7" s="1"/>
  <c r="E317" i="7" s="1"/>
  <c r="E318" i="7" s="1"/>
  <c r="E319" i="7" s="1"/>
  <c r="E320" i="7" s="1"/>
  <c r="E321" i="7" s="1"/>
  <c r="E322" i="7" s="1"/>
  <c r="E323" i="7" s="1"/>
  <c r="E324" i="7" s="1"/>
  <c r="E325" i="7" s="1"/>
  <c r="E326" i="7" s="1"/>
  <c r="E327" i="7" s="1"/>
  <c r="Q495" i="162"/>
  <c r="AJ514" i="162"/>
  <c r="AK515" i="162"/>
  <c r="AF510" i="162" a="1"/>
  <c r="R496" i="162" a="1"/>
  <c r="Y503" i="162" a="1"/>
  <c r="AR524" i="162" l="1"/>
  <c r="AF510" i="162"/>
  <c r="E90" i="7"/>
  <c r="E91" i="7" s="1"/>
  <c r="E92" i="7" s="1"/>
  <c r="E93" i="7" s="1"/>
  <c r="E94" i="7" s="1"/>
  <c r="E95" i="7" s="1"/>
  <c r="E96" i="7" s="1"/>
  <c r="E97" i="7" s="1"/>
  <c r="E98" i="7" s="1"/>
  <c r="E99" i="7" s="1"/>
  <c r="E100" i="7" s="1"/>
  <c r="E101" i="7" s="1"/>
  <c r="E329" i="7"/>
  <c r="E330" i="7" s="1"/>
  <c r="E331" i="7" s="1"/>
  <c r="E332" i="7" s="1"/>
  <c r="E333" i="7" s="1"/>
  <c r="E334" i="7" s="1"/>
  <c r="E335" i="7" s="1"/>
  <c r="E336" i="7" s="1"/>
  <c r="E337" i="7" s="1"/>
  <c r="E338" i="7" s="1"/>
  <c r="E339" i="7" s="1"/>
  <c r="E340" i="7" s="1"/>
  <c r="E341" i="7" s="1"/>
  <c r="E342" i="7" s="1"/>
  <c r="E343" i="7" s="1"/>
  <c r="E344" i="7" s="1"/>
  <c r="E345" i="7" s="1"/>
  <c r="E346" i="7" s="1"/>
  <c r="E347" i="7" s="1"/>
  <c r="E348" i="7" s="1"/>
  <c r="E349" i="7" s="1"/>
  <c r="E350" i="7" s="1"/>
  <c r="E351" i="7" s="1"/>
  <c r="E352" i="7" s="1"/>
  <c r="E353" i="7" s="1"/>
  <c r="E354" i="7" s="1"/>
  <c r="E355" i="7" s="1"/>
  <c r="E356" i="7" s="1"/>
  <c r="E357" i="7" s="1"/>
  <c r="R496" i="162"/>
  <c r="Y503" i="162"/>
  <c r="AX530" i="162"/>
  <c r="E103" i="7" l="1"/>
  <c r="E104" i="7" s="1"/>
  <c r="E105" i="7" s="1"/>
  <c r="E106" i="7" s="1"/>
  <c r="E107" i="7" s="1"/>
  <c r="E108" i="7" s="1"/>
  <c r="E109" i="7" s="1"/>
  <c r="E110" i="7" s="1"/>
  <c r="E111" i="7" s="1"/>
  <c r="E112" i="7" s="1"/>
  <c r="E113" i="7" s="1"/>
  <c r="E114" i="7" s="1"/>
  <c r="E115" i="7" s="1"/>
  <c r="E116" i="7" s="1"/>
  <c r="E119" i="7" s="1"/>
  <c r="E120" i="7" s="1"/>
  <c r="E121" i="7" s="1"/>
  <c r="E122" i="7" s="1"/>
  <c r="E1637" i="7" s="1"/>
  <c r="E1646" i="7" s="1"/>
  <c r="E1647" i="7" s="1"/>
  <c r="E1648" i="7" s="1"/>
  <c r="E102" i="7"/>
  <c r="BB534" i="162"/>
  <c r="BD536" i="162" s="1"/>
  <c r="BJ542" i="162"/>
  <c r="BK543" i="162"/>
  <c r="BS551" i="162"/>
  <c r="BT552" i="162"/>
  <c r="BU553" i="162"/>
  <c r="BV554" i="162"/>
  <c r="BP548" i="162" l="1"/>
  <c r="BO547" i="162"/>
  <c r="BX556" i="162"/>
  <c r="BW555" i="162"/>
  <c r="DR128" i="162"/>
  <c r="DS128" i="162"/>
  <c r="DT128" i="162"/>
  <c r="DU128" i="162"/>
  <c r="DV128" i="162"/>
  <c r="DW128" i="162"/>
  <c r="DX128" i="162"/>
  <c r="DY128" i="162"/>
  <c r="DZ128" i="162"/>
  <c r="EA128" i="162"/>
  <c r="EA459" i="162"/>
  <c r="DZ459" i="162"/>
  <c r="DY459" i="162"/>
  <c r="DX459" i="162"/>
  <c r="DW459" i="162"/>
  <c r="DV459" i="162"/>
  <c r="DU459" i="162"/>
  <c r="DT459" i="162"/>
  <c r="DS459" i="162"/>
  <c r="DR459" i="162"/>
  <c r="EA458" i="162"/>
  <c r="DZ458" i="162"/>
  <c r="DY458" i="162"/>
  <c r="DX458" i="162"/>
  <c r="DW458" i="162"/>
  <c r="DV458" i="162"/>
  <c r="DU458" i="162"/>
  <c r="DT458" i="162"/>
  <c r="DS458" i="162"/>
  <c r="DR458" i="162"/>
  <c r="EA457" i="162"/>
  <c r="DZ457" i="162"/>
  <c r="DY457" i="162"/>
  <c r="DX457" i="162"/>
  <c r="DW457" i="162"/>
  <c r="DV457" i="162"/>
  <c r="DU457" i="162"/>
  <c r="DT457" i="162"/>
  <c r="DS457" i="162"/>
  <c r="DR457" i="162"/>
  <c r="EA456" i="162"/>
  <c r="DZ456" i="162"/>
  <c r="DY456" i="162"/>
  <c r="DX456" i="162"/>
  <c r="DW456" i="162"/>
  <c r="DV456" i="162"/>
  <c r="DU456" i="162"/>
  <c r="DT456" i="162"/>
  <c r="DS456" i="162"/>
  <c r="DR456" i="162"/>
  <c r="EA455" i="162"/>
  <c r="DZ455" i="162"/>
  <c r="DY455" i="162"/>
  <c r="DX455" i="162"/>
  <c r="DW455" i="162"/>
  <c r="DV455" i="162"/>
  <c r="DU455" i="162"/>
  <c r="DT455" i="162"/>
  <c r="DS455" i="162"/>
  <c r="DR455" i="162"/>
  <c r="EA454" i="162"/>
  <c r="DZ454" i="162"/>
  <c r="DY454" i="162"/>
  <c r="DX454" i="162"/>
  <c r="DW454" i="162"/>
  <c r="DV454" i="162"/>
  <c r="DU454" i="162"/>
  <c r="DT454" i="162"/>
  <c r="DS454" i="162"/>
  <c r="DR454" i="162"/>
  <c r="EA453" i="162"/>
  <c r="DZ453" i="162"/>
  <c r="DY453" i="162"/>
  <c r="DX453" i="162"/>
  <c r="DW453" i="162"/>
  <c r="DV453" i="162"/>
  <c r="DU453" i="162"/>
  <c r="DT453" i="162"/>
  <c r="DS453" i="162"/>
  <c r="DR453" i="162"/>
  <c r="EA452" i="162"/>
  <c r="DZ452" i="162"/>
  <c r="DY452" i="162"/>
  <c r="DX452" i="162"/>
  <c r="DW452" i="162"/>
  <c r="DV452" i="162"/>
  <c r="DU452" i="162"/>
  <c r="DT452" i="162"/>
  <c r="DS452" i="162"/>
  <c r="DR452" i="162"/>
  <c r="EA451" i="162"/>
  <c r="DZ451" i="162"/>
  <c r="DY451" i="162"/>
  <c r="DX451" i="162"/>
  <c r="DW451" i="162"/>
  <c r="DV451" i="162"/>
  <c r="DU451" i="162"/>
  <c r="DT451" i="162"/>
  <c r="DS451" i="162"/>
  <c r="DR451" i="162"/>
  <c r="EA450" i="162"/>
  <c r="DZ450" i="162"/>
  <c r="DY450" i="162"/>
  <c r="DX450" i="162"/>
  <c r="DW450" i="162"/>
  <c r="DV450" i="162"/>
  <c r="DU450" i="162"/>
  <c r="DT450" i="162"/>
  <c r="DS450" i="162"/>
  <c r="DR450" i="162"/>
  <c r="EA449" i="162"/>
  <c r="DZ449" i="162"/>
  <c r="DY449" i="162"/>
  <c r="DX449" i="162"/>
  <c r="DW449" i="162"/>
  <c r="DV449" i="162"/>
  <c r="DU449" i="162"/>
  <c r="DT449" i="162"/>
  <c r="DS449" i="162"/>
  <c r="DR449" i="162"/>
  <c r="EA448" i="162"/>
  <c r="DZ448" i="162"/>
  <c r="DY448" i="162"/>
  <c r="DX448" i="162"/>
  <c r="DW448" i="162"/>
  <c r="DV448" i="162"/>
  <c r="DU448" i="162"/>
  <c r="DT448" i="162"/>
  <c r="DS448" i="162"/>
  <c r="DR448" i="162"/>
  <c r="EA447" i="162"/>
  <c r="DZ447" i="162"/>
  <c r="DY447" i="162"/>
  <c r="DX447" i="162"/>
  <c r="DW447" i="162"/>
  <c r="DV447" i="162"/>
  <c r="DU447" i="162"/>
  <c r="DT447" i="162"/>
  <c r="DS447" i="162"/>
  <c r="DR447" i="162"/>
  <c r="EA446" i="162"/>
  <c r="DZ446" i="162"/>
  <c r="DY446" i="162"/>
  <c r="DX446" i="162"/>
  <c r="DW446" i="162"/>
  <c r="DV446" i="162"/>
  <c r="DU446" i="162"/>
  <c r="DT446" i="162"/>
  <c r="DS446" i="162"/>
  <c r="DR446" i="162"/>
  <c r="EA445" i="162"/>
  <c r="DZ445" i="162"/>
  <c r="DY445" i="162"/>
  <c r="DX445" i="162"/>
  <c r="DW445" i="162"/>
  <c r="DV445" i="162"/>
  <c r="DU445" i="162"/>
  <c r="DT445" i="162"/>
  <c r="DS445" i="162"/>
  <c r="DR445" i="162"/>
  <c r="EA444" i="162"/>
  <c r="DZ444" i="162"/>
  <c r="DY444" i="162"/>
  <c r="DX444" i="162"/>
  <c r="DW444" i="162"/>
  <c r="DV444" i="162"/>
  <c r="DU444" i="162"/>
  <c r="DT444" i="162"/>
  <c r="DS444" i="162"/>
  <c r="DR444" i="162"/>
  <c r="EA443" i="162"/>
  <c r="DZ443" i="162"/>
  <c r="DY443" i="162"/>
  <c r="DX443" i="162"/>
  <c r="DW443" i="162"/>
  <c r="DV443" i="162"/>
  <c r="DU443" i="162"/>
  <c r="DT443" i="162"/>
  <c r="DS443" i="162"/>
  <c r="DR443" i="162"/>
  <c r="EA442" i="162"/>
  <c r="DZ442" i="162"/>
  <c r="DY442" i="162"/>
  <c r="DX442" i="162"/>
  <c r="DW442" i="162"/>
  <c r="DV442" i="162"/>
  <c r="DU442" i="162"/>
  <c r="DT442" i="162"/>
  <c r="DS442" i="162"/>
  <c r="DR442" i="162"/>
  <c r="EA441" i="162"/>
  <c r="DZ441" i="162"/>
  <c r="DY441" i="162"/>
  <c r="DX441" i="162"/>
  <c r="DW441" i="162"/>
  <c r="DV441" i="162"/>
  <c r="DU441" i="162"/>
  <c r="DT441" i="162"/>
  <c r="DS441" i="162"/>
  <c r="DR441" i="162"/>
  <c r="EA440" i="162"/>
  <c r="DZ440" i="162"/>
  <c r="DY440" i="162"/>
  <c r="DX440" i="162"/>
  <c r="DW440" i="162"/>
  <c r="DV440" i="162"/>
  <c r="DU440" i="162"/>
  <c r="DT440" i="162"/>
  <c r="DS440" i="162"/>
  <c r="DR440" i="162"/>
  <c r="EA439" i="162"/>
  <c r="DZ439" i="162"/>
  <c r="DY439" i="162"/>
  <c r="DX439" i="162"/>
  <c r="DW439" i="162"/>
  <c r="DV439" i="162"/>
  <c r="DU439" i="162"/>
  <c r="DT439" i="162"/>
  <c r="DS439" i="162"/>
  <c r="DR439" i="162"/>
  <c r="EA438" i="162"/>
  <c r="DZ438" i="162"/>
  <c r="DY438" i="162"/>
  <c r="DX438" i="162"/>
  <c r="DW438" i="162"/>
  <c r="DV438" i="162"/>
  <c r="DU438" i="162"/>
  <c r="DT438" i="162"/>
  <c r="DS438" i="162"/>
  <c r="DR438" i="162"/>
  <c r="EA437" i="162"/>
  <c r="DZ437" i="162"/>
  <c r="DY437" i="162"/>
  <c r="DX437" i="162"/>
  <c r="DW437" i="162"/>
  <c r="DV437" i="162"/>
  <c r="DU437" i="162"/>
  <c r="DT437" i="162"/>
  <c r="DS437" i="162"/>
  <c r="DR437" i="162"/>
  <c r="EA436" i="162"/>
  <c r="DZ436" i="162"/>
  <c r="DY436" i="162"/>
  <c r="DX436" i="162"/>
  <c r="DW436" i="162"/>
  <c r="DV436" i="162"/>
  <c r="DU436" i="162"/>
  <c r="DT436" i="162"/>
  <c r="DS436" i="162"/>
  <c r="DR436" i="162"/>
  <c r="EA435" i="162"/>
  <c r="DZ435" i="162"/>
  <c r="DY435" i="162"/>
  <c r="DX435" i="162"/>
  <c r="DW435" i="162"/>
  <c r="DV435" i="162"/>
  <c r="DU435" i="162"/>
  <c r="DT435" i="162"/>
  <c r="DS435" i="162"/>
  <c r="DR435" i="162"/>
  <c r="EA434" i="162"/>
  <c r="DZ434" i="162"/>
  <c r="DY434" i="162"/>
  <c r="DX434" i="162"/>
  <c r="DW434" i="162"/>
  <c r="DV434" i="162"/>
  <c r="DU434" i="162"/>
  <c r="DT434" i="162"/>
  <c r="DS434" i="162"/>
  <c r="DR434" i="162"/>
  <c r="EA433" i="162"/>
  <c r="DZ433" i="162"/>
  <c r="DY433" i="162"/>
  <c r="DX433" i="162"/>
  <c r="DW433" i="162"/>
  <c r="DV433" i="162"/>
  <c r="DU433" i="162"/>
  <c r="DT433" i="162"/>
  <c r="DS433" i="162"/>
  <c r="DR433" i="162"/>
  <c r="EA432" i="162"/>
  <c r="DZ432" i="162"/>
  <c r="DY432" i="162"/>
  <c r="DX432" i="162"/>
  <c r="DW432" i="162"/>
  <c r="DV432" i="162"/>
  <c r="DU432" i="162"/>
  <c r="DT432" i="162"/>
  <c r="DS432" i="162"/>
  <c r="DR432" i="162"/>
  <c r="EA431" i="162"/>
  <c r="DZ431" i="162"/>
  <c r="DY431" i="162"/>
  <c r="DX431" i="162"/>
  <c r="DW431" i="162"/>
  <c r="DV431" i="162"/>
  <c r="DU431" i="162"/>
  <c r="DT431" i="162"/>
  <c r="DS431" i="162"/>
  <c r="DR431" i="162"/>
  <c r="EA430" i="162"/>
  <c r="DZ430" i="162"/>
  <c r="DY430" i="162"/>
  <c r="DX430" i="162"/>
  <c r="DW430" i="162"/>
  <c r="DV430" i="162"/>
  <c r="DU430" i="162"/>
  <c r="DT430" i="162"/>
  <c r="DS430" i="162"/>
  <c r="DR430" i="162"/>
  <c r="EA429" i="162"/>
  <c r="DZ429" i="162"/>
  <c r="DY429" i="162"/>
  <c r="DX429" i="162"/>
  <c r="DW429" i="162"/>
  <c r="DV429" i="162"/>
  <c r="DU429" i="162"/>
  <c r="DT429" i="162"/>
  <c r="DS429" i="162"/>
  <c r="DR429" i="162"/>
  <c r="EA428" i="162"/>
  <c r="DZ428" i="162"/>
  <c r="DY428" i="162"/>
  <c r="DX428" i="162"/>
  <c r="DW428" i="162"/>
  <c r="DV428" i="162"/>
  <c r="DU428" i="162"/>
  <c r="DT428" i="162"/>
  <c r="DS428" i="162"/>
  <c r="DR428" i="162"/>
  <c r="EA427" i="162"/>
  <c r="DZ427" i="162"/>
  <c r="DY427" i="162"/>
  <c r="DX427" i="162"/>
  <c r="DW427" i="162"/>
  <c r="DV427" i="162"/>
  <c r="DU427" i="162"/>
  <c r="DT427" i="162"/>
  <c r="DS427" i="162"/>
  <c r="DR427" i="162"/>
  <c r="EA426" i="162"/>
  <c r="DZ426" i="162"/>
  <c r="DY426" i="162"/>
  <c r="DX426" i="162"/>
  <c r="DW426" i="162"/>
  <c r="DV426" i="162"/>
  <c r="DU426" i="162"/>
  <c r="DT426" i="162"/>
  <c r="DS426" i="162"/>
  <c r="DR426" i="162"/>
  <c r="EA425" i="162"/>
  <c r="DZ425" i="162"/>
  <c r="DY425" i="162"/>
  <c r="DX425" i="162"/>
  <c r="DW425" i="162"/>
  <c r="DV425" i="162"/>
  <c r="DU425" i="162"/>
  <c r="DT425" i="162"/>
  <c r="DS425" i="162"/>
  <c r="DR425" i="162"/>
  <c r="EA424" i="162"/>
  <c r="DZ424" i="162"/>
  <c r="DY424" i="162"/>
  <c r="DX424" i="162"/>
  <c r="DW424" i="162"/>
  <c r="DV424" i="162"/>
  <c r="DU424" i="162"/>
  <c r="DT424" i="162"/>
  <c r="DS424" i="162"/>
  <c r="DR424" i="162"/>
  <c r="EA423" i="162"/>
  <c r="DZ423" i="162"/>
  <c r="DY423" i="162"/>
  <c r="DX423" i="162"/>
  <c r="DW423" i="162"/>
  <c r="DV423" i="162"/>
  <c r="DU423" i="162"/>
  <c r="DT423" i="162"/>
  <c r="DS423" i="162"/>
  <c r="DR423" i="162"/>
  <c r="EA422" i="162"/>
  <c r="DZ422" i="162"/>
  <c r="DY422" i="162"/>
  <c r="DX422" i="162"/>
  <c r="DW422" i="162"/>
  <c r="DV422" i="162"/>
  <c r="DU422" i="162"/>
  <c r="DT422" i="162"/>
  <c r="DS422" i="162"/>
  <c r="DR422" i="162"/>
  <c r="EA421" i="162"/>
  <c r="DZ421" i="162"/>
  <c r="DY421" i="162"/>
  <c r="DX421" i="162"/>
  <c r="DW421" i="162"/>
  <c r="DV421" i="162"/>
  <c r="DU421" i="162"/>
  <c r="DT421" i="162"/>
  <c r="DS421" i="162"/>
  <c r="DR421" i="162"/>
  <c r="EA420" i="162"/>
  <c r="DZ420" i="162"/>
  <c r="DY420" i="162"/>
  <c r="DX420" i="162"/>
  <c r="DW420" i="162"/>
  <c r="DV420" i="162"/>
  <c r="DU420" i="162"/>
  <c r="DT420" i="162"/>
  <c r="DS420" i="162"/>
  <c r="DR420" i="162"/>
  <c r="EA419" i="162"/>
  <c r="DZ419" i="162"/>
  <c r="DY419" i="162"/>
  <c r="DX419" i="162"/>
  <c r="DW419" i="162"/>
  <c r="DV419" i="162"/>
  <c r="DU419" i="162"/>
  <c r="DT419" i="162"/>
  <c r="DS419" i="162"/>
  <c r="DR419" i="162"/>
  <c r="EA418" i="162"/>
  <c r="DZ418" i="162"/>
  <c r="DY418" i="162"/>
  <c r="DX418" i="162"/>
  <c r="DW418" i="162"/>
  <c r="DV418" i="162"/>
  <c r="DU418" i="162"/>
  <c r="DT418" i="162"/>
  <c r="DS418" i="162"/>
  <c r="DR418" i="162"/>
  <c r="EA417" i="162"/>
  <c r="DZ417" i="162"/>
  <c r="DY417" i="162"/>
  <c r="DX417" i="162"/>
  <c r="DW417" i="162"/>
  <c r="DV417" i="162"/>
  <c r="DU417" i="162"/>
  <c r="DT417" i="162"/>
  <c r="DS417" i="162"/>
  <c r="DR417" i="162"/>
  <c r="EA416" i="162"/>
  <c r="DZ416" i="162"/>
  <c r="DY416" i="162"/>
  <c r="DX416" i="162"/>
  <c r="DW416" i="162"/>
  <c r="DV416" i="162"/>
  <c r="DU416" i="162"/>
  <c r="DT416" i="162"/>
  <c r="DS416" i="162"/>
  <c r="DR416" i="162"/>
  <c r="EA415" i="162"/>
  <c r="DZ415" i="162"/>
  <c r="DY415" i="162"/>
  <c r="DX415" i="162"/>
  <c r="DW415" i="162"/>
  <c r="DV415" i="162"/>
  <c r="DU415" i="162"/>
  <c r="DT415" i="162"/>
  <c r="DS415" i="162"/>
  <c r="DR415" i="162"/>
  <c r="EA414" i="162"/>
  <c r="DZ414" i="162"/>
  <c r="DY414" i="162"/>
  <c r="DX414" i="162"/>
  <c r="DW414" i="162"/>
  <c r="DV414" i="162"/>
  <c r="DU414" i="162"/>
  <c r="DT414" i="162"/>
  <c r="DS414" i="162"/>
  <c r="DR414" i="162"/>
  <c r="EA413" i="162"/>
  <c r="DZ413" i="162"/>
  <c r="DY413" i="162"/>
  <c r="DX413" i="162"/>
  <c r="DW413" i="162"/>
  <c r="DV413" i="162"/>
  <c r="DU413" i="162"/>
  <c r="DT413" i="162"/>
  <c r="DS413" i="162"/>
  <c r="DR413" i="162"/>
  <c r="EA412" i="162"/>
  <c r="DZ412" i="162"/>
  <c r="DY412" i="162"/>
  <c r="DX412" i="162"/>
  <c r="DW412" i="162"/>
  <c r="DV412" i="162"/>
  <c r="DU412" i="162"/>
  <c r="DT412" i="162"/>
  <c r="DS412" i="162"/>
  <c r="DR412" i="162"/>
  <c r="EA411" i="162"/>
  <c r="DZ411" i="162"/>
  <c r="DY411" i="162"/>
  <c r="DX411" i="162"/>
  <c r="DW411" i="162"/>
  <c r="DV411" i="162"/>
  <c r="DU411" i="162"/>
  <c r="DT411" i="162"/>
  <c r="DS411" i="162"/>
  <c r="DR411" i="162"/>
  <c r="EA410" i="162"/>
  <c r="DZ410" i="162"/>
  <c r="DY410" i="162"/>
  <c r="DX410" i="162"/>
  <c r="DW410" i="162"/>
  <c r="DV410" i="162"/>
  <c r="DU410" i="162"/>
  <c r="DT410" i="162"/>
  <c r="DS410" i="162"/>
  <c r="DR410" i="162"/>
  <c r="EA409" i="162"/>
  <c r="DZ409" i="162"/>
  <c r="DY409" i="162"/>
  <c r="DX409" i="162"/>
  <c r="DW409" i="162"/>
  <c r="DV409" i="162"/>
  <c r="DU409" i="162"/>
  <c r="DT409" i="162"/>
  <c r="DS409" i="162"/>
  <c r="DR409" i="162"/>
  <c r="EA408" i="162"/>
  <c r="DZ408" i="162"/>
  <c r="DY408" i="162"/>
  <c r="DX408" i="162"/>
  <c r="DW408" i="162"/>
  <c r="DV408" i="162"/>
  <c r="DU408" i="162"/>
  <c r="DT408" i="162"/>
  <c r="DS408" i="162"/>
  <c r="DR408" i="162"/>
  <c r="EA407" i="162"/>
  <c r="DZ407" i="162"/>
  <c r="DY407" i="162"/>
  <c r="DX407" i="162"/>
  <c r="DW407" i="162"/>
  <c r="DV407" i="162"/>
  <c r="DU407" i="162"/>
  <c r="DT407" i="162"/>
  <c r="DS407" i="162"/>
  <c r="DR407" i="162"/>
  <c r="EA406" i="162"/>
  <c r="DZ406" i="162"/>
  <c r="DY406" i="162"/>
  <c r="DX406" i="162"/>
  <c r="DW406" i="162"/>
  <c r="DV406" i="162"/>
  <c r="DU406" i="162"/>
  <c r="DT406" i="162"/>
  <c r="DS406" i="162"/>
  <c r="DR406" i="162"/>
  <c r="EA405" i="162"/>
  <c r="DZ405" i="162"/>
  <c r="DY405" i="162"/>
  <c r="DX405" i="162"/>
  <c r="DW405" i="162"/>
  <c r="DV405" i="162"/>
  <c r="DU405" i="162"/>
  <c r="DT405" i="162"/>
  <c r="DS405" i="162"/>
  <c r="DR405" i="162"/>
  <c r="EA404" i="162"/>
  <c r="DZ404" i="162"/>
  <c r="DY404" i="162"/>
  <c r="DX404" i="162"/>
  <c r="DW404" i="162"/>
  <c r="DV404" i="162"/>
  <c r="DU404" i="162"/>
  <c r="DT404" i="162"/>
  <c r="DS404" i="162"/>
  <c r="DR404" i="162"/>
  <c r="EA403" i="162"/>
  <c r="DZ403" i="162"/>
  <c r="DY403" i="162"/>
  <c r="DX403" i="162"/>
  <c r="DW403" i="162"/>
  <c r="DV403" i="162"/>
  <c r="DU403" i="162"/>
  <c r="DT403" i="162"/>
  <c r="DS403" i="162"/>
  <c r="DR403" i="162"/>
  <c r="EA402" i="162"/>
  <c r="DZ402" i="162"/>
  <c r="DY402" i="162"/>
  <c r="DX402" i="162"/>
  <c r="DW402" i="162"/>
  <c r="DV402" i="162"/>
  <c r="DU402" i="162"/>
  <c r="DT402" i="162"/>
  <c r="DS402" i="162"/>
  <c r="DR402" i="162"/>
  <c r="EA401" i="162"/>
  <c r="DZ401" i="162"/>
  <c r="DY401" i="162"/>
  <c r="DX401" i="162"/>
  <c r="DW401" i="162"/>
  <c r="DV401" i="162"/>
  <c r="DU401" i="162"/>
  <c r="DT401" i="162"/>
  <c r="DS401" i="162"/>
  <c r="DR401" i="162"/>
  <c r="EA400" i="162"/>
  <c r="DZ400" i="162"/>
  <c r="DY400" i="162"/>
  <c r="DX400" i="162"/>
  <c r="DW400" i="162"/>
  <c r="DV400" i="162"/>
  <c r="DU400" i="162"/>
  <c r="DT400" i="162"/>
  <c r="DS400" i="162"/>
  <c r="DR400" i="162"/>
  <c r="EA399" i="162"/>
  <c r="DZ399" i="162"/>
  <c r="DY399" i="162"/>
  <c r="DX399" i="162"/>
  <c r="DW399" i="162"/>
  <c r="DV399" i="162"/>
  <c r="DU399" i="162"/>
  <c r="DT399" i="162"/>
  <c r="DS399" i="162"/>
  <c r="DR399" i="162"/>
  <c r="EA398" i="162"/>
  <c r="DZ398" i="162"/>
  <c r="DY398" i="162"/>
  <c r="DX398" i="162"/>
  <c r="DW398" i="162"/>
  <c r="DV398" i="162"/>
  <c r="DU398" i="162"/>
  <c r="DT398" i="162"/>
  <c r="DS398" i="162"/>
  <c r="DR398" i="162"/>
  <c r="EA397" i="162"/>
  <c r="DZ397" i="162"/>
  <c r="DY397" i="162"/>
  <c r="DX397" i="162"/>
  <c r="DW397" i="162"/>
  <c r="DV397" i="162"/>
  <c r="DU397" i="162"/>
  <c r="DT397" i="162"/>
  <c r="DS397" i="162"/>
  <c r="DR397" i="162"/>
  <c r="EA396" i="162"/>
  <c r="DZ396" i="162"/>
  <c r="DY396" i="162"/>
  <c r="DX396" i="162"/>
  <c r="DW396" i="162"/>
  <c r="DV396" i="162"/>
  <c r="DU396" i="162"/>
  <c r="DT396" i="162"/>
  <c r="DS396" i="162"/>
  <c r="DR396" i="162"/>
  <c r="EA395" i="162"/>
  <c r="DZ395" i="162"/>
  <c r="DY395" i="162"/>
  <c r="DX395" i="162"/>
  <c r="DW395" i="162"/>
  <c r="DV395" i="162"/>
  <c r="DU395" i="162"/>
  <c r="DT395" i="162"/>
  <c r="DS395" i="162"/>
  <c r="DR395" i="162"/>
  <c r="EA394" i="162"/>
  <c r="DZ394" i="162"/>
  <c r="DY394" i="162"/>
  <c r="DX394" i="162"/>
  <c r="DW394" i="162"/>
  <c r="DV394" i="162"/>
  <c r="DU394" i="162"/>
  <c r="DT394" i="162"/>
  <c r="DS394" i="162"/>
  <c r="DR394" i="162"/>
  <c r="EA393" i="162"/>
  <c r="DZ393" i="162"/>
  <c r="DY393" i="162"/>
  <c r="DX393" i="162"/>
  <c r="DW393" i="162"/>
  <c r="DV393" i="162"/>
  <c r="DU393" i="162"/>
  <c r="DT393" i="162"/>
  <c r="DS393" i="162"/>
  <c r="DR393" i="162"/>
  <c r="EA392" i="162"/>
  <c r="DZ392" i="162"/>
  <c r="DY392" i="162"/>
  <c r="DX392" i="162"/>
  <c r="DW392" i="162"/>
  <c r="DV392" i="162"/>
  <c r="DU392" i="162"/>
  <c r="DT392" i="162"/>
  <c r="DS392" i="162"/>
  <c r="DR392" i="162"/>
  <c r="EA391" i="162"/>
  <c r="DZ391" i="162"/>
  <c r="DY391" i="162"/>
  <c r="DX391" i="162"/>
  <c r="DW391" i="162"/>
  <c r="DV391" i="162"/>
  <c r="DU391" i="162"/>
  <c r="DT391" i="162"/>
  <c r="DS391" i="162"/>
  <c r="DR391" i="162"/>
  <c r="EA390" i="162"/>
  <c r="DZ390" i="162"/>
  <c r="DY390" i="162"/>
  <c r="DX390" i="162"/>
  <c r="DW390" i="162"/>
  <c r="DV390" i="162"/>
  <c r="DU390" i="162"/>
  <c r="DT390" i="162"/>
  <c r="DS390" i="162"/>
  <c r="DR390" i="162"/>
  <c r="EA389" i="162"/>
  <c r="DZ389" i="162"/>
  <c r="DY389" i="162"/>
  <c r="DX389" i="162"/>
  <c r="DW389" i="162"/>
  <c r="DV389" i="162"/>
  <c r="DU389" i="162"/>
  <c r="DT389" i="162"/>
  <c r="DS389" i="162"/>
  <c r="DR389" i="162"/>
  <c r="EA388" i="162"/>
  <c r="DZ388" i="162"/>
  <c r="DY388" i="162"/>
  <c r="DX388" i="162"/>
  <c r="DW388" i="162"/>
  <c r="DV388" i="162"/>
  <c r="DU388" i="162"/>
  <c r="DT388" i="162"/>
  <c r="DS388" i="162"/>
  <c r="DR388" i="162"/>
  <c r="EA387" i="162"/>
  <c r="DZ387" i="162"/>
  <c r="DY387" i="162"/>
  <c r="DX387" i="162"/>
  <c r="DW387" i="162"/>
  <c r="DV387" i="162"/>
  <c r="DU387" i="162"/>
  <c r="DT387" i="162"/>
  <c r="DS387" i="162"/>
  <c r="DR387" i="162"/>
  <c r="EA386" i="162"/>
  <c r="DZ386" i="162"/>
  <c r="DY386" i="162"/>
  <c r="DX386" i="162"/>
  <c r="DW386" i="162"/>
  <c r="DV386" i="162"/>
  <c r="DU386" i="162"/>
  <c r="DT386" i="162"/>
  <c r="DS386" i="162"/>
  <c r="DR386" i="162"/>
  <c r="EA385" i="162"/>
  <c r="DZ385" i="162"/>
  <c r="DY385" i="162"/>
  <c r="DX385" i="162"/>
  <c r="DW385" i="162"/>
  <c r="DV385" i="162"/>
  <c r="DU385" i="162"/>
  <c r="DT385" i="162"/>
  <c r="DS385" i="162"/>
  <c r="DR385" i="162"/>
  <c r="EA384" i="162"/>
  <c r="DZ384" i="162"/>
  <c r="DY384" i="162"/>
  <c r="DX384" i="162"/>
  <c r="DW384" i="162"/>
  <c r="DV384" i="162"/>
  <c r="DU384" i="162"/>
  <c r="DT384" i="162"/>
  <c r="DS384" i="162"/>
  <c r="DR384" i="162"/>
  <c r="EA383" i="162"/>
  <c r="DZ383" i="162"/>
  <c r="DY383" i="162"/>
  <c r="DX383" i="162"/>
  <c r="DW383" i="162"/>
  <c r="DV383" i="162"/>
  <c r="DU383" i="162"/>
  <c r="DT383" i="162"/>
  <c r="DS383" i="162"/>
  <c r="DR383" i="162"/>
  <c r="EA382" i="162"/>
  <c r="DZ382" i="162"/>
  <c r="DY382" i="162"/>
  <c r="DX382" i="162"/>
  <c r="DW382" i="162"/>
  <c r="DV382" i="162"/>
  <c r="DU382" i="162"/>
  <c r="DT382" i="162"/>
  <c r="DS382" i="162"/>
  <c r="DR382" i="162"/>
  <c r="EA381" i="162"/>
  <c r="DZ381" i="162"/>
  <c r="DY381" i="162"/>
  <c r="DX381" i="162"/>
  <c r="DW381" i="162"/>
  <c r="DV381" i="162"/>
  <c r="DU381" i="162"/>
  <c r="DT381" i="162"/>
  <c r="DS381" i="162"/>
  <c r="DR381" i="162"/>
  <c r="EA380" i="162"/>
  <c r="DZ380" i="162"/>
  <c r="DY380" i="162"/>
  <c r="DX380" i="162"/>
  <c r="DW380" i="162"/>
  <c r="DV380" i="162"/>
  <c r="DU380" i="162"/>
  <c r="DT380" i="162"/>
  <c r="DS380" i="162"/>
  <c r="DR380" i="162"/>
  <c r="EA379" i="162"/>
  <c r="DZ379" i="162"/>
  <c r="DY379" i="162"/>
  <c r="DX379" i="162"/>
  <c r="DW379" i="162"/>
  <c r="DV379" i="162"/>
  <c r="DU379" i="162"/>
  <c r="DT379" i="162"/>
  <c r="DS379" i="162"/>
  <c r="DR379" i="162"/>
  <c r="EA378" i="162"/>
  <c r="DZ378" i="162"/>
  <c r="DY378" i="162"/>
  <c r="DX378" i="162"/>
  <c r="DW378" i="162"/>
  <c r="DV378" i="162"/>
  <c r="DU378" i="162"/>
  <c r="DT378" i="162"/>
  <c r="DS378" i="162"/>
  <c r="DR378" i="162"/>
  <c r="EA377" i="162"/>
  <c r="DZ377" i="162"/>
  <c r="DY377" i="162"/>
  <c r="DX377" i="162"/>
  <c r="DW377" i="162"/>
  <c r="DV377" i="162"/>
  <c r="DU377" i="162"/>
  <c r="DT377" i="162"/>
  <c r="DS377" i="162"/>
  <c r="DR377" i="162"/>
  <c r="EA376" i="162"/>
  <c r="DZ376" i="162"/>
  <c r="DY376" i="162"/>
  <c r="DX376" i="162"/>
  <c r="DW376" i="162"/>
  <c r="DV376" i="162"/>
  <c r="DU376" i="162"/>
  <c r="DT376" i="162"/>
  <c r="DS376" i="162"/>
  <c r="DR376" i="162"/>
  <c r="EA375" i="162"/>
  <c r="DZ375" i="162"/>
  <c r="DY375" i="162"/>
  <c r="DX375" i="162"/>
  <c r="DW375" i="162"/>
  <c r="DV375" i="162"/>
  <c r="DU375" i="162"/>
  <c r="DT375" i="162"/>
  <c r="DS375" i="162"/>
  <c r="DR375" i="162"/>
  <c r="EA374" i="162"/>
  <c r="DZ374" i="162"/>
  <c r="DY374" i="162"/>
  <c r="DX374" i="162"/>
  <c r="DW374" i="162"/>
  <c r="DV374" i="162"/>
  <c r="DU374" i="162"/>
  <c r="DT374" i="162"/>
  <c r="DS374" i="162"/>
  <c r="DR374" i="162"/>
  <c r="EA373" i="162"/>
  <c r="DZ373" i="162"/>
  <c r="DY373" i="162"/>
  <c r="DX373" i="162"/>
  <c r="DW373" i="162"/>
  <c r="DV373" i="162"/>
  <c r="DU373" i="162"/>
  <c r="DT373" i="162"/>
  <c r="DS373" i="162"/>
  <c r="DR373" i="162"/>
  <c r="EA372" i="162"/>
  <c r="DZ372" i="162"/>
  <c r="DY372" i="162"/>
  <c r="DX372" i="162"/>
  <c r="DW372" i="162"/>
  <c r="DV372" i="162"/>
  <c r="DU372" i="162"/>
  <c r="DT372" i="162"/>
  <c r="DS372" i="162"/>
  <c r="DR372" i="162"/>
  <c r="EA371" i="162"/>
  <c r="DZ371" i="162"/>
  <c r="DY371" i="162"/>
  <c r="DX371" i="162"/>
  <c r="DW371" i="162"/>
  <c r="DV371" i="162"/>
  <c r="DU371" i="162"/>
  <c r="DT371" i="162"/>
  <c r="DS371" i="162"/>
  <c r="DR371" i="162"/>
  <c r="EA370" i="162"/>
  <c r="DZ370" i="162"/>
  <c r="DY370" i="162"/>
  <c r="DX370" i="162"/>
  <c r="DW370" i="162"/>
  <c r="DV370" i="162"/>
  <c r="DU370" i="162"/>
  <c r="DT370" i="162"/>
  <c r="DS370" i="162"/>
  <c r="DR370" i="162"/>
  <c r="EA369" i="162"/>
  <c r="DZ369" i="162"/>
  <c r="DY369" i="162"/>
  <c r="DX369" i="162"/>
  <c r="DW369" i="162"/>
  <c r="DV369" i="162"/>
  <c r="DU369" i="162"/>
  <c r="DT369" i="162"/>
  <c r="DS369" i="162"/>
  <c r="DR369" i="162"/>
  <c r="EA368" i="162"/>
  <c r="DZ368" i="162"/>
  <c r="DY368" i="162"/>
  <c r="DX368" i="162"/>
  <c r="DW368" i="162"/>
  <c r="DV368" i="162"/>
  <c r="DU368" i="162"/>
  <c r="DT368" i="162"/>
  <c r="DS368" i="162"/>
  <c r="DR368" i="162"/>
  <c r="EA367" i="162"/>
  <c r="DZ367" i="162"/>
  <c r="DY367" i="162"/>
  <c r="DX367" i="162"/>
  <c r="DW367" i="162"/>
  <c r="DV367" i="162"/>
  <c r="DU367" i="162"/>
  <c r="DT367" i="162"/>
  <c r="DS367" i="162"/>
  <c r="DR367" i="162"/>
  <c r="EA366" i="162"/>
  <c r="DZ366" i="162"/>
  <c r="DY366" i="162"/>
  <c r="DX366" i="162"/>
  <c r="DW366" i="162"/>
  <c r="DV366" i="162"/>
  <c r="DU366" i="162"/>
  <c r="DT366" i="162"/>
  <c r="DS366" i="162"/>
  <c r="DR366" i="162"/>
  <c r="EA365" i="162"/>
  <c r="DZ365" i="162"/>
  <c r="DY365" i="162"/>
  <c r="DX365" i="162"/>
  <c r="DW365" i="162"/>
  <c r="DV365" i="162"/>
  <c r="DU365" i="162"/>
  <c r="DT365" i="162"/>
  <c r="DS365" i="162"/>
  <c r="DR365" i="162"/>
  <c r="EA364" i="162"/>
  <c r="DZ364" i="162"/>
  <c r="DY364" i="162"/>
  <c r="DX364" i="162"/>
  <c r="DW364" i="162"/>
  <c r="DV364" i="162"/>
  <c r="DU364" i="162"/>
  <c r="DT364" i="162"/>
  <c r="DS364" i="162"/>
  <c r="DR364" i="162"/>
  <c r="EA363" i="162"/>
  <c r="DZ363" i="162"/>
  <c r="DY363" i="162"/>
  <c r="DX363" i="162"/>
  <c r="DW363" i="162"/>
  <c r="DV363" i="162"/>
  <c r="DU363" i="162"/>
  <c r="DT363" i="162"/>
  <c r="DS363" i="162"/>
  <c r="DR363" i="162"/>
  <c r="EA362" i="162"/>
  <c r="DZ362" i="162"/>
  <c r="DY362" i="162"/>
  <c r="DX362" i="162"/>
  <c r="DW362" i="162"/>
  <c r="DV362" i="162"/>
  <c r="DU362" i="162"/>
  <c r="DT362" i="162"/>
  <c r="DS362" i="162"/>
  <c r="DR362" i="162"/>
  <c r="EA361" i="162"/>
  <c r="DZ361" i="162"/>
  <c r="DY361" i="162"/>
  <c r="DX361" i="162"/>
  <c r="DW361" i="162"/>
  <c r="DV361" i="162"/>
  <c r="DU361" i="162"/>
  <c r="DT361" i="162"/>
  <c r="DS361" i="162"/>
  <c r="DR361" i="162"/>
  <c r="EA360" i="162"/>
  <c r="DZ360" i="162"/>
  <c r="DY360" i="162"/>
  <c r="DX360" i="162"/>
  <c r="DW360" i="162"/>
  <c r="DV360" i="162"/>
  <c r="DU360" i="162"/>
  <c r="DT360" i="162"/>
  <c r="DS360" i="162"/>
  <c r="DR360" i="162"/>
  <c r="EA359" i="162"/>
  <c r="DZ359" i="162"/>
  <c r="DY359" i="162"/>
  <c r="DX359" i="162"/>
  <c r="DW359" i="162"/>
  <c r="DV359" i="162"/>
  <c r="DU359" i="162"/>
  <c r="DT359" i="162"/>
  <c r="DS359" i="162"/>
  <c r="DR359" i="162"/>
  <c r="EA358" i="162"/>
  <c r="DZ358" i="162"/>
  <c r="DY358" i="162"/>
  <c r="DX358" i="162"/>
  <c r="DW358" i="162"/>
  <c r="DV358" i="162"/>
  <c r="DU358" i="162"/>
  <c r="DT358" i="162"/>
  <c r="DS358" i="162"/>
  <c r="DR358" i="162"/>
  <c r="EA357" i="162"/>
  <c r="DZ357" i="162"/>
  <c r="DY357" i="162"/>
  <c r="DX357" i="162"/>
  <c r="DW357" i="162"/>
  <c r="DV357" i="162"/>
  <c r="DU357" i="162"/>
  <c r="DT357" i="162"/>
  <c r="DS357" i="162"/>
  <c r="DR357" i="162"/>
  <c r="EA356" i="162"/>
  <c r="DZ356" i="162"/>
  <c r="DY356" i="162"/>
  <c r="DX356" i="162"/>
  <c r="DW356" i="162"/>
  <c r="DV356" i="162"/>
  <c r="DU356" i="162"/>
  <c r="DT356" i="162"/>
  <c r="DS356" i="162"/>
  <c r="DR356" i="162"/>
  <c r="EA355" i="162"/>
  <c r="DZ355" i="162"/>
  <c r="DY355" i="162"/>
  <c r="DX355" i="162"/>
  <c r="DW355" i="162"/>
  <c r="DV355" i="162"/>
  <c r="DU355" i="162"/>
  <c r="DT355" i="162"/>
  <c r="DS355" i="162"/>
  <c r="DR355" i="162"/>
  <c r="EA354" i="162"/>
  <c r="DZ354" i="162"/>
  <c r="DY354" i="162"/>
  <c r="DX354" i="162"/>
  <c r="DW354" i="162"/>
  <c r="DV354" i="162"/>
  <c r="DU354" i="162"/>
  <c r="DT354" i="162"/>
  <c r="DS354" i="162"/>
  <c r="DR354" i="162"/>
  <c r="EA353" i="162"/>
  <c r="DZ353" i="162"/>
  <c r="DY353" i="162"/>
  <c r="DX353" i="162"/>
  <c r="DW353" i="162"/>
  <c r="DV353" i="162"/>
  <c r="DU353" i="162"/>
  <c r="DT353" i="162"/>
  <c r="DS353" i="162"/>
  <c r="DR353" i="162"/>
  <c r="EA352" i="162"/>
  <c r="DZ352" i="162"/>
  <c r="DY352" i="162"/>
  <c r="DX352" i="162"/>
  <c r="DW352" i="162"/>
  <c r="DV352" i="162"/>
  <c r="DU352" i="162"/>
  <c r="DT352" i="162"/>
  <c r="DS352" i="162"/>
  <c r="DR352" i="162"/>
  <c r="EA351" i="162"/>
  <c r="DZ351" i="162"/>
  <c r="DY351" i="162"/>
  <c r="DX351" i="162"/>
  <c r="DW351" i="162"/>
  <c r="DV351" i="162"/>
  <c r="DU351" i="162"/>
  <c r="DT351" i="162"/>
  <c r="DS351" i="162"/>
  <c r="DR351" i="162"/>
  <c r="EA350" i="162"/>
  <c r="DZ350" i="162"/>
  <c r="DY350" i="162"/>
  <c r="DX350" i="162"/>
  <c r="DW350" i="162"/>
  <c r="DV350" i="162"/>
  <c r="DU350" i="162"/>
  <c r="DT350" i="162"/>
  <c r="DS350" i="162"/>
  <c r="DR350" i="162"/>
  <c r="EA349" i="162"/>
  <c r="DZ349" i="162"/>
  <c r="DY349" i="162"/>
  <c r="DX349" i="162"/>
  <c r="DW349" i="162"/>
  <c r="DV349" i="162"/>
  <c r="DU349" i="162"/>
  <c r="DT349" i="162"/>
  <c r="DS349" i="162"/>
  <c r="DR349" i="162"/>
  <c r="EA348" i="162"/>
  <c r="DZ348" i="162"/>
  <c r="DY348" i="162"/>
  <c r="DX348" i="162"/>
  <c r="DW348" i="162"/>
  <c r="DV348" i="162"/>
  <c r="DU348" i="162"/>
  <c r="DT348" i="162"/>
  <c r="DS348" i="162"/>
  <c r="DR348" i="162"/>
  <c r="EA347" i="162"/>
  <c r="DZ347" i="162"/>
  <c r="DY347" i="162"/>
  <c r="DX347" i="162"/>
  <c r="DW347" i="162"/>
  <c r="DV347" i="162"/>
  <c r="DU347" i="162"/>
  <c r="DT347" i="162"/>
  <c r="DS347" i="162"/>
  <c r="DR347" i="162"/>
  <c r="EA346" i="162"/>
  <c r="DZ346" i="162"/>
  <c r="DY346" i="162"/>
  <c r="DX346" i="162"/>
  <c r="DW346" i="162"/>
  <c r="DV346" i="162"/>
  <c r="DU346" i="162"/>
  <c r="DT346" i="162"/>
  <c r="DS346" i="162"/>
  <c r="DR346" i="162"/>
  <c r="EA345" i="162"/>
  <c r="DZ345" i="162"/>
  <c r="DY345" i="162"/>
  <c r="DX345" i="162"/>
  <c r="DW345" i="162"/>
  <c r="DV345" i="162"/>
  <c r="DU345" i="162"/>
  <c r="DT345" i="162"/>
  <c r="DS345" i="162"/>
  <c r="DR345" i="162"/>
  <c r="EA344" i="162"/>
  <c r="DZ344" i="162"/>
  <c r="DY344" i="162"/>
  <c r="DX344" i="162"/>
  <c r="DW344" i="162"/>
  <c r="DV344" i="162"/>
  <c r="DU344" i="162"/>
  <c r="DT344" i="162"/>
  <c r="DS344" i="162"/>
  <c r="DR344" i="162"/>
  <c r="EA343" i="162"/>
  <c r="DZ343" i="162"/>
  <c r="DY343" i="162"/>
  <c r="DX343" i="162"/>
  <c r="DW343" i="162"/>
  <c r="DV343" i="162"/>
  <c r="DU343" i="162"/>
  <c r="DT343" i="162"/>
  <c r="DS343" i="162"/>
  <c r="DR343" i="162"/>
  <c r="EA342" i="162"/>
  <c r="DZ342" i="162"/>
  <c r="DY342" i="162"/>
  <c r="DX342" i="162"/>
  <c r="DW342" i="162"/>
  <c r="DV342" i="162"/>
  <c r="DU342" i="162"/>
  <c r="DT342" i="162"/>
  <c r="DS342" i="162"/>
  <c r="DR342" i="162"/>
  <c r="EA341" i="162"/>
  <c r="DZ341" i="162"/>
  <c r="DY341" i="162"/>
  <c r="DX341" i="162"/>
  <c r="DW341" i="162"/>
  <c r="DV341" i="162"/>
  <c r="DU341" i="162"/>
  <c r="DT341" i="162"/>
  <c r="DS341" i="162"/>
  <c r="DR341" i="162"/>
  <c r="EA340" i="162"/>
  <c r="DZ340" i="162"/>
  <c r="DY340" i="162"/>
  <c r="DX340" i="162"/>
  <c r="DW340" i="162"/>
  <c r="DV340" i="162"/>
  <c r="DU340" i="162"/>
  <c r="DT340" i="162"/>
  <c r="DS340" i="162"/>
  <c r="DR340" i="162"/>
  <c r="EA339" i="162"/>
  <c r="DZ339" i="162"/>
  <c r="DY339" i="162"/>
  <c r="DX339" i="162"/>
  <c r="DW339" i="162"/>
  <c r="DV339" i="162"/>
  <c r="DU339" i="162"/>
  <c r="DT339" i="162"/>
  <c r="DS339" i="162"/>
  <c r="DR339" i="162"/>
  <c r="EA338" i="162"/>
  <c r="DZ338" i="162"/>
  <c r="DY338" i="162"/>
  <c r="DX338" i="162"/>
  <c r="DW338" i="162"/>
  <c r="DV338" i="162"/>
  <c r="DU338" i="162"/>
  <c r="DT338" i="162"/>
  <c r="DS338" i="162"/>
  <c r="DR338" i="162"/>
  <c r="EA337" i="162"/>
  <c r="DZ337" i="162"/>
  <c r="DY337" i="162"/>
  <c r="DX337" i="162"/>
  <c r="DW337" i="162"/>
  <c r="DV337" i="162"/>
  <c r="DU337" i="162"/>
  <c r="DT337" i="162"/>
  <c r="DS337" i="162"/>
  <c r="DR337" i="162"/>
  <c r="EA336" i="162"/>
  <c r="DZ336" i="162"/>
  <c r="DY336" i="162"/>
  <c r="DX336" i="162"/>
  <c r="DW336" i="162"/>
  <c r="DV336" i="162"/>
  <c r="DU336" i="162"/>
  <c r="DT336" i="162"/>
  <c r="DS336" i="162"/>
  <c r="DR336" i="162"/>
  <c r="EA335" i="162"/>
  <c r="DZ335" i="162"/>
  <c r="DY335" i="162"/>
  <c r="DX335" i="162"/>
  <c r="DW335" i="162"/>
  <c r="DV335" i="162"/>
  <c r="DU335" i="162"/>
  <c r="DT335" i="162"/>
  <c r="DS335" i="162"/>
  <c r="DR335" i="162"/>
  <c r="EA334" i="162"/>
  <c r="DZ334" i="162"/>
  <c r="DY334" i="162"/>
  <c r="DX334" i="162"/>
  <c r="DW334" i="162"/>
  <c r="DV334" i="162"/>
  <c r="DU334" i="162"/>
  <c r="DT334" i="162"/>
  <c r="DS334" i="162"/>
  <c r="DR334" i="162"/>
  <c r="EA333" i="162"/>
  <c r="DZ333" i="162"/>
  <c r="DY333" i="162"/>
  <c r="DX333" i="162"/>
  <c r="DW333" i="162"/>
  <c r="DV333" i="162"/>
  <c r="DU333" i="162"/>
  <c r="DT333" i="162"/>
  <c r="DS333" i="162"/>
  <c r="DR333" i="162"/>
  <c r="EA332" i="162"/>
  <c r="DZ332" i="162"/>
  <c r="DY332" i="162"/>
  <c r="DX332" i="162"/>
  <c r="DW332" i="162"/>
  <c r="DV332" i="162"/>
  <c r="DU332" i="162"/>
  <c r="DT332" i="162"/>
  <c r="DS332" i="162"/>
  <c r="DR332" i="162"/>
  <c r="EA331" i="162"/>
  <c r="DZ331" i="162"/>
  <c r="DY331" i="162"/>
  <c r="DX331" i="162"/>
  <c r="DW331" i="162"/>
  <c r="DV331" i="162"/>
  <c r="DU331" i="162"/>
  <c r="DT331" i="162"/>
  <c r="DS331" i="162"/>
  <c r="DR331" i="162"/>
  <c r="EA330" i="162"/>
  <c r="DZ330" i="162"/>
  <c r="DY330" i="162"/>
  <c r="DX330" i="162"/>
  <c r="DW330" i="162"/>
  <c r="DV330" i="162"/>
  <c r="DU330" i="162"/>
  <c r="DT330" i="162"/>
  <c r="DS330" i="162"/>
  <c r="DR330" i="162"/>
  <c r="EA329" i="162"/>
  <c r="DZ329" i="162"/>
  <c r="DY329" i="162"/>
  <c r="DX329" i="162"/>
  <c r="DW329" i="162"/>
  <c r="DV329" i="162"/>
  <c r="DU329" i="162"/>
  <c r="DT329" i="162"/>
  <c r="DS329" i="162"/>
  <c r="DR329" i="162"/>
  <c r="EA328" i="162"/>
  <c r="DZ328" i="162"/>
  <c r="DY328" i="162"/>
  <c r="DX328" i="162"/>
  <c r="DW328" i="162"/>
  <c r="DV328" i="162"/>
  <c r="DU328" i="162"/>
  <c r="DT328" i="162"/>
  <c r="DS328" i="162"/>
  <c r="DR328" i="162"/>
  <c r="EA327" i="162"/>
  <c r="DZ327" i="162"/>
  <c r="DY327" i="162"/>
  <c r="DX327" i="162"/>
  <c r="DW327" i="162"/>
  <c r="DV327" i="162"/>
  <c r="DU327" i="162"/>
  <c r="DT327" i="162"/>
  <c r="DS327" i="162"/>
  <c r="DR327" i="162"/>
  <c r="EA326" i="162"/>
  <c r="DZ326" i="162"/>
  <c r="DY326" i="162"/>
  <c r="DX326" i="162"/>
  <c r="DW326" i="162"/>
  <c r="DV326" i="162"/>
  <c r="DU326" i="162"/>
  <c r="DT326" i="162"/>
  <c r="DS326" i="162"/>
  <c r="DR326" i="162"/>
  <c r="EA325" i="162"/>
  <c r="DZ325" i="162"/>
  <c r="DY325" i="162"/>
  <c r="DX325" i="162"/>
  <c r="DW325" i="162"/>
  <c r="DV325" i="162"/>
  <c r="DU325" i="162"/>
  <c r="DT325" i="162"/>
  <c r="DS325" i="162"/>
  <c r="DR325" i="162"/>
  <c r="EA324" i="162"/>
  <c r="DZ324" i="162"/>
  <c r="DY324" i="162"/>
  <c r="DX324" i="162"/>
  <c r="DW324" i="162"/>
  <c r="DV324" i="162"/>
  <c r="DU324" i="162"/>
  <c r="DT324" i="162"/>
  <c r="DS324" i="162"/>
  <c r="DR324" i="162"/>
  <c r="EA323" i="162"/>
  <c r="DZ323" i="162"/>
  <c r="DY323" i="162"/>
  <c r="DX323" i="162"/>
  <c r="DW323" i="162"/>
  <c r="DV323" i="162"/>
  <c r="DU323" i="162"/>
  <c r="DT323" i="162"/>
  <c r="DS323" i="162"/>
  <c r="DR323" i="162"/>
  <c r="EA322" i="162"/>
  <c r="DZ322" i="162"/>
  <c r="DY322" i="162"/>
  <c r="DX322" i="162"/>
  <c r="DW322" i="162"/>
  <c r="DV322" i="162"/>
  <c r="DU322" i="162"/>
  <c r="DT322" i="162"/>
  <c r="DS322" i="162"/>
  <c r="DR322" i="162"/>
  <c r="EA321" i="162"/>
  <c r="DZ321" i="162"/>
  <c r="DY321" i="162"/>
  <c r="DX321" i="162"/>
  <c r="DW321" i="162"/>
  <c r="DV321" i="162"/>
  <c r="DU321" i="162"/>
  <c r="DT321" i="162"/>
  <c r="DS321" i="162"/>
  <c r="DR321" i="162"/>
  <c r="EA320" i="162"/>
  <c r="DZ320" i="162"/>
  <c r="DY320" i="162"/>
  <c r="DX320" i="162"/>
  <c r="DW320" i="162"/>
  <c r="DV320" i="162"/>
  <c r="DU320" i="162"/>
  <c r="DT320" i="162"/>
  <c r="DS320" i="162"/>
  <c r="DR320" i="162"/>
  <c r="EA319" i="162"/>
  <c r="DZ319" i="162"/>
  <c r="DY319" i="162"/>
  <c r="DX319" i="162"/>
  <c r="DW319" i="162"/>
  <c r="DV319" i="162"/>
  <c r="DU319" i="162"/>
  <c r="DT319" i="162"/>
  <c r="DS319" i="162"/>
  <c r="DR319" i="162"/>
  <c r="EA318" i="162"/>
  <c r="DZ318" i="162"/>
  <c r="DY318" i="162"/>
  <c r="DX318" i="162"/>
  <c r="DW318" i="162"/>
  <c r="DV318" i="162"/>
  <c r="DU318" i="162"/>
  <c r="DT318" i="162"/>
  <c r="DS318" i="162"/>
  <c r="DR318" i="162"/>
  <c r="EA317" i="162"/>
  <c r="DZ317" i="162"/>
  <c r="DY317" i="162"/>
  <c r="DX317" i="162"/>
  <c r="DW317" i="162"/>
  <c r="DV317" i="162"/>
  <c r="DU317" i="162"/>
  <c r="DT317" i="162"/>
  <c r="DS317" i="162"/>
  <c r="DR317" i="162"/>
  <c r="EA316" i="162"/>
  <c r="DZ316" i="162"/>
  <c r="DY316" i="162"/>
  <c r="DX316" i="162"/>
  <c r="DW316" i="162"/>
  <c r="DV316" i="162"/>
  <c r="DU316" i="162"/>
  <c r="DT316" i="162"/>
  <c r="DS316" i="162"/>
  <c r="DR316" i="162"/>
  <c r="EA315" i="162"/>
  <c r="DZ315" i="162"/>
  <c r="DY315" i="162"/>
  <c r="DX315" i="162"/>
  <c r="DW315" i="162"/>
  <c r="DV315" i="162"/>
  <c r="DU315" i="162"/>
  <c r="DT315" i="162"/>
  <c r="DS315" i="162"/>
  <c r="DR315" i="162"/>
  <c r="EA314" i="162"/>
  <c r="DZ314" i="162"/>
  <c r="DY314" i="162"/>
  <c r="DX314" i="162"/>
  <c r="DW314" i="162"/>
  <c r="DV314" i="162"/>
  <c r="DU314" i="162"/>
  <c r="DT314" i="162"/>
  <c r="DS314" i="162"/>
  <c r="DR314" i="162"/>
  <c r="EA313" i="162"/>
  <c r="DZ313" i="162"/>
  <c r="DY313" i="162"/>
  <c r="DX313" i="162"/>
  <c r="DW313" i="162"/>
  <c r="DV313" i="162"/>
  <c r="DU313" i="162"/>
  <c r="DT313" i="162"/>
  <c r="DS313" i="162"/>
  <c r="DR313" i="162"/>
  <c r="EA312" i="162"/>
  <c r="DZ312" i="162"/>
  <c r="DY312" i="162"/>
  <c r="DX312" i="162"/>
  <c r="DW312" i="162"/>
  <c r="DV312" i="162"/>
  <c r="DU312" i="162"/>
  <c r="DT312" i="162"/>
  <c r="DS312" i="162"/>
  <c r="DR312" i="162"/>
  <c r="EA311" i="162"/>
  <c r="DZ311" i="162"/>
  <c r="DY311" i="162"/>
  <c r="DX311" i="162"/>
  <c r="DW311" i="162"/>
  <c r="DV311" i="162"/>
  <c r="DU311" i="162"/>
  <c r="DT311" i="162"/>
  <c r="DS311" i="162"/>
  <c r="DR311" i="162"/>
  <c r="EA310" i="162"/>
  <c r="DZ310" i="162"/>
  <c r="DY310" i="162"/>
  <c r="DX310" i="162"/>
  <c r="DW310" i="162"/>
  <c r="DV310" i="162"/>
  <c r="DU310" i="162"/>
  <c r="DT310" i="162"/>
  <c r="DS310" i="162"/>
  <c r="DR310" i="162"/>
  <c r="EA309" i="162"/>
  <c r="DZ309" i="162"/>
  <c r="DY309" i="162"/>
  <c r="DX309" i="162"/>
  <c r="DW309" i="162"/>
  <c r="DV309" i="162"/>
  <c r="DU309" i="162"/>
  <c r="DT309" i="162"/>
  <c r="DS309" i="162"/>
  <c r="DR309" i="162"/>
  <c r="EA308" i="162"/>
  <c r="DZ308" i="162"/>
  <c r="DY308" i="162"/>
  <c r="DX308" i="162"/>
  <c r="DW308" i="162"/>
  <c r="DV308" i="162"/>
  <c r="DU308" i="162"/>
  <c r="DT308" i="162"/>
  <c r="DS308" i="162"/>
  <c r="DR308" i="162"/>
  <c r="EA307" i="162"/>
  <c r="DZ307" i="162"/>
  <c r="DY307" i="162"/>
  <c r="DX307" i="162"/>
  <c r="DW307" i="162"/>
  <c r="DV307" i="162"/>
  <c r="DU307" i="162"/>
  <c r="DT307" i="162"/>
  <c r="DS307" i="162"/>
  <c r="DR307" i="162"/>
  <c r="EA306" i="162"/>
  <c r="DZ306" i="162"/>
  <c r="DY306" i="162"/>
  <c r="DX306" i="162"/>
  <c r="DW306" i="162"/>
  <c r="DV306" i="162"/>
  <c r="DU306" i="162"/>
  <c r="DT306" i="162"/>
  <c r="DS306" i="162"/>
  <c r="DR306" i="162"/>
  <c r="EA305" i="162"/>
  <c r="DZ305" i="162"/>
  <c r="DY305" i="162"/>
  <c r="DX305" i="162"/>
  <c r="DW305" i="162"/>
  <c r="DV305" i="162"/>
  <c r="DU305" i="162"/>
  <c r="DT305" i="162"/>
  <c r="DS305" i="162"/>
  <c r="DR305" i="162"/>
  <c r="EA304" i="162"/>
  <c r="DZ304" i="162"/>
  <c r="DY304" i="162"/>
  <c r="DX304" i="162"/>
  <c r="DW304" i="162"/>
  <c r="DV304" i="162"/>
  <c r="DU304" i="162"/>
  <c r="DT304" i="162"/>
  <c r="DS304" i="162"/>
  <c r="DR304" i="162"/>
  <c r="EA303" i="162"/>
  <c r="DZ303" i="162"/>
  <c r="DY303" i="162"/>
  <c r="DX303" i="162"/>
  <c r="DW303" i="162"/>
  <c r="DV303" i="162"/>
  <c r="DU303" i="162"/>
  <c r="DT303" i="162"/>
  <c r="DS303" i="162"/>
  <c r="DR303" i="162"/>
  <c r="EA302" i="162"/>
  <c r="DZ302" i="162"/>
  <c r="DY302" i="162"/>
  <c r="DX302" i="162"/>
  <c r="DW302" i="162"/>
  <c r="DV302" i="162"/>
  <c r="DU302" i="162"/>
  <c r="DT302" i="162"/>
  <c r="DS302" i="162"/>
  <c r="DR302" i="162"/>
  <c r="EA301" i="162"/>
  <c r="DZ301" i="162"/>
  <c r="DY301" i="162"/>
  <c r="DX301" i="162"/>
  <c r="DW301" i="162"/>
  <c r="DV301" i="162"/>
  <c r="DU301" i="162"/>
  <c r="DT301" i="162"/>
  <c r="DS301" i="162"/>
  <c r="DR301" i="162"/>
  <c r="EA300" i="162"/>
  <c r="DZ300" i="162"/>
  <c r="DY300" i="162"/>
  <c r="DX300" i="162"/>
  <c r="DW300" i="162"/>
  <c r="DV300" i="162"/>
  <c r="DU300" i="162"/>
  <c r="DT300" i="162"/>
  <c r="DS300" i="162"/>
  <c r="DR300" i="162"/>
  <c r="EA299" i="162"/>
  <c r="DZ299" i="162"/>
  <c r="DY299" i="162"/>
  <c r="DX299" i="162"/>
  <c r="DW299" i="162"/>
  <c r="DV299" i="162"/>
  <c r="DU299" i="162"/>
  <c r="DT299" i="162"/>
  <c r="DS299" i="162"/>
  <c r="DR299" i="162"/>
  <c r="EA298" i="162"/>
  <c r="DZ298" i="162"/>
  <c r="DY298" i="162"/>
  <c r="DX298" i="162"/>
  <c r="DW298" i="162"/>
  <c r="DV298" i="162"/>
  <c r="DU298" i="162"/>
  <c r="DT298" i="162"/>
  <c r="DS298" i="162"/>
  <c r="DR298" i="162"/>
  <c r="EA297" i="162"/>
  <c r="DZ297" i="162"/>
  <c r="DY297" i="162"/>
  <c r="DX297" i="162"/>
  <c r="DW297" i="162"/>
  <c r="DV297" i="162"/>
  <c r="DU297" i="162"/>
  <c r="DT297" i="162"/>
  <c r="DS297" i="162"/>
  <c r="DR297" i="162"/>
  <c r="EA296" i="162"/>
  <c r="DZ296" i="162"/>
  <c r="DY296" i="162"/>
  <c r="DX296" i="162"/>
  <c r="DW296" i="162"/>
  <c r="DV296" i="162"/>
  <c r="DU296" i="162"/>
  <c r="DT296" i="162"/>
  <c r="DS296" i="162"/>
  <c r="DR296" i="162"/>
  <c r="EA295" i="162"/>
  <c r="DZ295" i="162"/>
  <c r="DY295" i="162"/>
  <c r="DX295" i="162"/>
  <c r="DW295" i="162"/>
  <c r="DV295" i="162"/>
  <c r="DU295" i="162"/>
  <c r="DT295" i="162"/>
  <c r="DS295" i="162"/>
  <c r="DR295" i="162"/>
  <c r="EA294" i="162"/>
  <c r="DZ294" i="162"/>
  <c r="DY294" i="162"/>
  <c r="DX294" i="162"/>
  <c r="DW294" i="162"/>
  <c r="DV294" i="162"/>
  <c r="DU294" i="162"/>
  <c r="DT294" i="162"/>
  <c r="DS294" i="162"/>
  <c r="DR294" i="162"/>
  <c r="EA293" i="162"/>
  <c r="DZ293" i="162"/>
  <c r="DY293" i="162"/>
  <c r="DX293" i="162"/>
  <c r="DW293" i="162"/>
  <c r="DV293" i="162"/>
  <c r="DU293" i="162"/>
  <c r="DT293" i="162"/>
  <c r="DS293" i="162"/>
  <c r="DR293" i="162"/>
  <c r="EA292" i="162"/>
  <c r="DZ292" i="162"/>
  <c r="DY292" i="162"/>
  <c r="DX292" i="162"/>
  <c r="DW292" i="162"/>
  <c r="DV292" i="162"/>
  <c r="DU292" i="162"/>
  <c r="DT292" i="162"/>
  <c r="DS292" i="162"/>
  <c r="DR292" i="162"/>
  <c r="EA291" i="162"/>
  <c r="DZ291" i="162"/>
  <c r="DY291" i="162"/>
  <c r="DX291" i="162"/>
  <c r="DW291" i="162"/>
  <c r="DV291" i="162"/>
  <c r="DU291" i="162"/>
  <c r="DT291" i="162"/>
  <c r="DS291" i="162"/>
  <c r="DR291" i="162"/>
  <c r="EA290" i="162"/>
  <c r="DZ290" i="162"/>
  <c r="DY290" i="162"/>
  <c r="DX290" i="162"/>
  <c r="DW290" i="162"/>
  <c r="DV290" i="162"/>
  <c r="DU290" i="162"/>
  <c r="DT290" i="162"/>
  <c r="DS290" i="162"/>
  <c r="DR290" i="162"/>
  <c r="EA289" i="162"/>
  <c r="DZ289" i="162"/>
  <c r="DY289" i="162"/>
  <c r="DX289" i="162"/>
  <c r="DW289" i="162"/>
  <c r="DV289" i="162"/>
  <c r="DU289" i="162"/>
  <c r="DT289" i="162"/>
  <c r="DS289" i="162"/>
  <c r="DR289" i="162"/>
  <c r="EA288" i="162"/>
  <c r="DZ288" i="162"/>
  <c r="DY288" i="162"/>
  <c r="DX288" i="162"/>
  <c r="DW288" i="162"/>
  <c r="DV288" i="162"/>
  <c r="DU288" i="162"/>
  <c r="DT288" i="162"/>
  <c r="DS288" i="162"/>
  <c r="DR288" i="162"/>
  <c r="EA287" i="162"/>
  <c r="DZ287" i="162"/>
  <c r="DY287" i="162"/>
  <c r="DX287" i="162"/>
  <c r="DW287" i="162"/>
  <c r="DV287" i="162"/>
  <c r="DU287" i="162"/>
  <c r="DT287" i="162"/>
  <c r="DS287" i="162"/>
  <c r="DR287" i="162"/>
  <c r="EA286" i="162"/>
  <c r="DZ286" i="162"/>
  <c r="DY286" i="162"/>
  <c r="DX286" i="162"/>
  <c r="DW286" i="162"/>
  <c r="DV286" i="162"/>
  <c r="DU286" i="162"/>
  <c r="DT286" i="162"/>
  <c r="DS286" i="162"/>
  <c r="DR286" i="162"/>
  <c r="EA285" i="162"/>
  <c r="DZ285" i="162"/>
  <c r="DY285" i="162"/>
  <c r="DX285" i="162"/>
  <c r="DW285" i="162"/>
  <c r="DV285" i="162"/>
  <c r="DU285" i="162"/>
  <c r="DT285" i="162"/>
  <c r="DS285" i="162"/>
  <c r="DR285" i="162"/>
  <c r="EA284" i="162"/>
  <c r="DZ284" i="162"/>
  <c r="DY284" i="162"/>
  <c r="DX284" i="162"/>
  <c r="DW284" i="162"/>
  <c r="DV284" i="162"/>
  <c r="DU284" i="162"/>
  <c r="DT284" i="162"/>
  <c r="DS284" i="162"/>
  <c r="DR284" i="162"/>
  <c r="EA283" i="162"/>
  <c r="DZ283" i="162"/>
  <c r="DY283" i="162"/>
  <c r="DX283" i="162"/>
  <c r="DW283" i="162"/>
  <c r="DV283" i="162"/>
  <c r="DU283" i="162"/>
  <c r="DT283" i="162"/>
  <c r="DS283" i="162"/>
  <c r="DR283" i="162"/>
  <c r="EA282" i="162"/>
  <c r="DZ282" i="162"/>
  <c r="DY282" i="162"/>
  <c r="DX282" i="162"/>
  <c r="DW282" i="162"/>
  <c r="DV282" i="162"/>
  <c r="DU282" i="162"/>
  <c r="DT282" i="162"/>
  <c r="DS282" i="162"/>
  <c r="DR282" i="162"/>
  <c r="EA281" i="162"/>
  <c r="DZ281" i="162"/>
  <c r="DY281" i="162"/>
  <c r="DX281" i="162"/>
  <c r="DW281" i="162"/>
  <c r="DV281" i="162"/>
  <c r="DU281" i="162"/>
  <c r="DT281" i="162"/>
  <c r="DS281" i="162"/>
  <c r="DR281" i="162"/>
  <c r="EA280" i="162"/>
  <c r="DZ280" i="162"/>
  <c r="DY280" i="162"/>
  <c r="DX280" i="162"/>
  <c r="DW280" i="162"/>
  <c r="DV280" i="162"/>
  <c r="DU280" i="162"/>
  <c r="DT280" i="162"/>
  <c r="DS280" i="162"/>
  <c r="DR280" i="162"/>
  <c r="EA279" i="162"/>
  <c r="DZ279" i="162"/>
  <c r="DY279" i="162"/>
  <c r="DX279" i="162"/>
  <c r="DW279" i="162"/>
  <c r="DV279" i="162"/>
  <c r="DU279" i="162"/>
  <c r="DT279" i="162"/>
  <c r="DS279" i="162"/>
  <c r="DR279" i="162"/>
  <c r="EA278" i="162"/>
  <c r="DZ278" i="162"/>
  <c r="DY278" i="162"/>
  <c r="DX278" i="162"/>
  <c r="DW278" i="162"/>
  <c r="DV278" i="162"/>
  <c r="DU278" i="162"/>
  <c r="DT278" i="162"/>
  <c r="DS278" i="162"/>
  <c r="DR278" i="162"/>
  <c r="EA277" i="162"/>
  <c r="DZ277" i="162"/>
  <c r="DY277" i="162"/>
  <c r="DX277" i="162"/>
  <c r="DW277" i="162"/>
  <c r="DV277" i="162"/>
  <c r="DU277" i="162"/>
  <c r="DT277" i="162"/>
  <c r="DS277" i="162"/>
  <c r="DR277" i="162"/>
  <c r="EA276" i="162"/>
  <c r="DZ276" i="162"/>
  <c r="DY276" i="162"/>
  <c r="DX276" i="162"/>
  <c r="DW276" i="162"/>
  <c r="DV276" i="162"/>
  <c r="DU276" i="162"/>
  <c r="DT276" i="162"/>
  <c r="DS276" i="162"/>
  <c r="DR276" i="162"/>
  <c r="EA275" i="162"/>
  <c r="DZ275" i="162"/>
  <c r="DY275" i="162"/>
  <c r="DX275" i="162"/>
  <c r="DW275" i="162"/>
  <c r="DV275" i="162"/>
  <c r="DU275" i="162"/>
  <c r="DT275" i="162"/>
  <c r="DS275" i="162"/>
  <c r="DR275" i="162"/>
  <c r="EA274" i="162"/>
  <c r="DZ274" i="162"/>
  <c r="DY274" i="162"/>
  <c r="DX274" i="162"/>
  <c r="DW274" i="162"/>
  <c r="DV274" i="162"/>
  <c r="DU274" i="162"/>
  <c r="DT274" i="162"/>
  <c r="DS274" i="162"/>
  <c r="DR274" i="162"/>
  <c r="EA273" i="162"/>
  <c r="DZ273" i="162"/>
  <c r="DY273" i="162"/>
  <c r="DX273" i="162"/>
  <c r="DW273" i="162"/>
  <c r="DV273" i="162"/>
  <c r="DU273" i="162"/>
  <c r="DT273" i="162"/>
  <c r="DS273" i="162"/>
  <c r="DR273" i="162"/>
  <c r="EA272" i="162"/>
  <c r="DZ272" i="162"/>
  <c r="DY272" i="162"/>
  <c r="DX272" i="162"/>
  <c r="DW272" i="162"/>
  <c r="DV272" i="162"/>
  <c r="DU272" i="162"/>
  <c r="DT272" i="162"/>
  <c r="DS272" i="162"/>
  <c r="DR272" i="162"/>
  <c r="EA271" i="162"/>
  <c r="DZ271" i="162"/>
  <c r="DY271" i="162"/>
  <c r="DX271" i="162"/>
  <c r="DW271" i="162"/>
  <c r="DV271" i="162"/>
  <c r="DU271" i="162"/>
  <c r="DT271" i="162"/>
  <c r="DS271" i="162"/>
  <c r="DR271" i="162"/>
  <c r="EA270" i="162"/>
  <c r="DZ270" i="162"/>
  <c r="DY270" i="162"/>
  <c r="DX270" i="162"/>
  <c r="DW270" i="162"/>
  <c r="DV270" i="162"/>
  <c r="DU270" i="162"/>
  <c r="DT270" i="162"/>
  <c r="DS270" i="162"/>
  <c r="DR270" i="162"/>
  <c r="EA269" i="162"/>
  <c r="DZ269" i="162"/>
  <c r="DY269" i="162"/>
  <c r="DX269" i="162"/>
  <c r="DW269" i="162"/>
  <c r="DV269" i="162"/>
  <c r="DU269" i="162"/>
  <c r="DT269" i="162"/>
  <c r="DS269" i="162"/>
  <c r="DR269" i="162"/>
  <c r="EA268" i="162"/>
  <c r="DZ268" i="162"/>
  <c r="DY268" i="162"/>
  <c r="DX268" i="162"/>
  <c r="DW268" i="162"/>
  <c r="DV268" i="162"/>
  <c r="DU268" i="162"/>
  <c r="DT268" i="162"/>
  <c r="DS268" i="162"/>
  <c r="DR268" i="162"/>
  <c r="EA267" i="162"/>
  <c r="DZ267" i="162"/>
  <c r="DY267" i="162"/>
  <c r="DX267" i="162"/>
  <c r="DW267" i="162"/>
  <c r="DV267" i="162"/>
  <c r="DU267" i="162"/>
  <c r="DT267" i="162"/>
  <c r="DS267" i="162"/>
  <c r="DR267" i="162"/>
  <c r="EA266" i="162"/>
  <c r="DZ266" i="162"/>
  <c r="DY266" i="162"/>
  <c r="DX266" i="162"/>
  <c r="DW266" i="162"/>
  <c r="DV266" i="162"/>
  <c r="DU266" i="162"/>
  <c r="DT266" i="162"/>
  <c r="DS266" i="162"/>
  <c r="DR266" i="162"/>
  <c r="EA265" i="162"/>
  <c r="DZ265" i="162"/>
  <c r="DY265" i="162"/>
  <c r="DX265" i="162"/>
  <c r="DW265" i="162"/>
  <c r="DV265" i="162"/>
  <c r="DU265" i="162"/>
  <c r="DT265" i="162"/>
  <c r="DS265" i="162"/>
  <c r="DR265" i="162"/>
  <c r="EA264" i="162"/>
  <c r="DZ264" i="162"/>
  <c r="DY264" i="162"/>
  <c r="DX264" i="162"/>
  <c r="DW264" i="162"/>
  <c r="DV264" i="162"/>
  <c r="DU264" i="162"/>
  <c r="DT264" i="162"/>
  <c r="DS264" i="162"/>
  <c r="DR264" i="162"/>
  <c r="EA263" i="162"/>
  <c r="DZ263" i="162"/>
  <c r="DY263" i="162"/>
  <c r="DX263" i="162"/>
  <c r="DW263" i="162"/>
  <c r="DV263" i="162"/>
  <c r="DU263" i="162"/>
  <c r="DT263" i="162"/>
  <c r="DS263" i="162"/>
  <c r="DR263" i="162"/>
  <c r="EA262" i="162"/>
  <c r="DZ262" i="162"/>
  <c r="DY262" i="162"/>
  <c r="DX262" i="162"/>
  <c r="DW262" i="162"/>
  <c r="DV262" i="162"/>
  <c r="DU262" i="162"/>
  <c r="DT262" i="162"/>
  <c r="DS262" i="162"/>
  <c r="DR262" i="162"/>
  <c r="EA261" i="162"/>
  <c r="DZ261" i="162"/>
  <c r="DY261" i="162"/>
  <c r="DX261" i="162"/>
  <c r="DW261" i="162"/>
  <c r="DV261" i="162"/>
  <c r="DU261" i="162"/>
  <c r="DT261" i="162"/>
  <c r="DS261" i="162"/>
  <c r="DR261" i="162"/>
  <c r="EA260" i="162"/>
  <c r="DZ260" i="162"/>
  <c r="DY260" i="162"/>
  <c r="DX260" i="162"/>
  <c r="DW260" i="162"/>
  <c r="DV260" i="162"/>
  <c r="DU260" i="162"/>
  <c r="DT260" i="162"/>
  <c r="DS260" i="162"/>
  <c r="DR260" i="162"/>
  <c r="EA259" i="162"/>
  <c r="DZ259" i="162"/>
  <c r="DY259" i="162"/>
  <c r="DX259" i="162"/>
  <c r="DW259" i="162"/>
  <c r="DV259" i="162"/>
  <c r="DU259" i="162"/>
  <c r="DT259" i="162"/>
  <c r="DS259" i="162"/>
  <c r="DR259" i="162"/>
  <c r="EA258" i="162"/>
  <c r="DZ258" i="162"/>
  <c r="DY258" i="162"/>
  <c r="DX258" i="162"/>
  <c r="DW258" i="162"/>
  <c r="DV258" i="162"/>
  <c r="DU258" i="162"/>
  <c r="DT258" i="162"/>
  <c r="DS258" i="162"/>
  <c r="DR258" i="162"/>
  <c r="EA257" i="162"/>
  <c r="DZ257" i="162"/>
  <c r="DY257" i="162"/>
  <c r="DX257" i="162"/>
  <c r="DW257" i="162"/>
  <c r="DV257" i="162"/>
  <c r="DU257" i="162"/>
  <c r="DT257" i="162"/>
  <c r="DS257" i="162"/>
  <c r="DR257" i="162"/>
  <c r="EA256" i="162"/>
  <c r="DZ256" i="162"/>
  <c r="DY256" i="162"/>
  <c r="DX256" i="162"/>
  <c r="DW256" i="162"/>
  <c r="DV256" i="162"/>
  <c r="DU256" i="162"/>
  <c r="DT256" i="162"/>
  <c r="DS256" i="162"/>
  <c r="DR256" i="162"/>
  <c r="EA255" i="162"/>
  <c r="DZ255" i="162"/>
  <c r="DY255" i="162"/>
  <c r="DX255" i="162"/>
  <c r="DW255" i="162"/>
  <c r="DV255" i="162"/>
  <c r="DU255" i="162"/>
  <c r="DT255" i="162"/>
  <c r="DS255" i="162"/>
  <c r="DR255" i="162"/>
  <c r="EA254" i="162"/>
  <c r="DZ254" i="162"/>
  <c r="DY254" i="162"/>
  <c r="DX254" i="162"/>
  <c r="DW254" i="162"/>
  <c r="DV254" i="162"/>
  <c r="DU254" i="162"/>
  <c r="DT254" i="162"/>
  <c r="DS254" i="162"/>
  <c r="DR254" i="162"/>
  <c r="EA253" i="162"/>
  <c r="DZ253" i="162"/>
  <c r="DY253" i="162"/>
  <c r="DX253" i="162"/>
  <c r="DW253" i="162"/>
  <c r="DV253" i="162"/>
  <c r="DU253" i="162"/>
  <c r="DT253" i="162"/>
  <c r="DS253" i="162"/>
  <c r="DR253" i="162"/>
  <c r="EA252" i="162"/>
  <c r="DZ252" i="162"/>
  <c r="DY252" i="162"/>
  <c r="DX252" i="162"/>
  <c r="DW252" i="162"/>
  <c r="DV252" i="162"/>
  <c r="DU252" i="162"/>
  <c r="DT252" i="162"/>
  <c r="DS252" i="162"/>
  <c r="DR252" i="162"/>
  <c r="EA251" i="162"/>
  <c r="DZ251" i="162"/>
  <c r="DY251" i="162"/>
  <c r="DX251" i="162"/>
  <c r="DW251" i="162"/>
  <c r="DV251" i="162"/>
  <c r="DU251" i="162"/>
  <c r="DT251" i="162"/>
  <c r="DS251" i="162"/>
  <c r="DR251" i="162"/>
  <c r="EA250" i="162"/>
  <c r="DZ250" i="162"/>
  <c r="DY250" i="162"/>
  <c r="DX250" i="162"/>
  <c r="DW250" i="162"/>
  <c r="DV250" i="162"/>
  <c r="DU250" i="162"/>
  <c r="DT250" i="162"/>
  <c r="DS250" i="162"/>
  <c r="DR250" i="162"/>
  <c r="EA249" i="162"/>
  <c r="DZ249" i="162"/>
  <c r="DY249" i="162"/>
  <c r="DX249" i="162"/>
  <c r="DW249" i="162"/>
  <c r="DV249" i="162"/>
  <c r="DU249" i="162"/>
  <c r="DT249" i="162"/>
  <c r="DS249" i="162"/>
  <c r="DR249" i="162"/>
  <c r="EA248" i="162"/>
  <c r="DZ248" i="162"/>
  <c r="DY248" i="162"/>
  <c r="DX248" i="162"/>
  <c r="DW248" i="162"/>
  <c r="DV248" i="162"/>
  <c r="DU248" i="162"/>
  <c r="DT248" i="162"/>
  <c r="DS248" i="162"/>
  <c r="DR248" i="162"/>
  <c r="EA247" i="162"/>
  <c r="DZ247" i="162"/>
  <c r="DY247" i="162"/>
  <c r="DX247" i="162"/>
  <c r="DW247" i="162"/>
  <c r="DV247" i="162"/>
  <c r="DU247" i="162"/>
  <c r="DT247" i="162"/>
  <c r="DS247" i="162"/>
  <c r="DR247" i="162"/>
  <c r="EA246" i="162"/>
  <c r="DZ246" i="162"/>
  <c r="DY246" i="162"/>
  <c r="DX246" i="162"/>
  <c r="DW246" i="162"/>
  <c r="DV246" i="162"/>
  <c r="DU246" i="162"/>
  <c r="DT246" i="162"/>
  <c r="DS246" i="162"/>
  <c r="DR246" i="162"/>
  <c r="EA245" i="162"/>
  <c r="DZ245" i="162"/>
  <c r="DY245" i="162"/>
  <c r="DX245" i="162"/>
  <c r="DW245" i="162"/>
  <c r="DV245" i="162"/>
  <c r="DU245" i="162"/>
  <c r="DT245" i="162"/>
  <c r="DS245" i="162"/>
  <c r="DR245" i="162"/>
  <c r="EA244" i="162"/>
  <c r="DZ244" i="162"/>
  <c r="DY244" i="162"/>
  <c r="DX244" i="162"/>
  <c r="DW244" i="162"/>
  <c r="DV244" i="162"/>
  <c r="DU244" i="162"/>
  <c r="DT244" i="162"/>
  <c r="DS244" i="162"/>
  <c r="DR244" i="162"/>
  <c r="EA243" i="162"/>
  <c r="DZ243" i="162"/>
  <c r="DY243" i="162"/>
  <c r="DX243" i="162"/>
  <c r="DW243" i="162"/>
  <c r="DV243" i="162"/>
  <c r="DU243" i="162"/>
  <c r="DT243" i="162"/>
  <c r="DS243" i="162"/>
  <c r="DR243" i="162"/>
  <c r="EA242" i="162"/>
  <c r="DZ242" i="162"/>
  <c r="DY242" i="162"/>
  <c r="DX242" i="162"/>
  <c r="DW242" i="162"/>
  <c r="DV242" i="162"/>
  <c r="DU242" i="162"/>
  <c r="DT242" i="162"/>
  <c r="DS242" i="162"/>
  <c r="DR242" i="162"/>
  <c r="EA241" i="162"/>
  <c r="DZ241" i="162"/>
  <c r="DY241" i="162"/>
  <c r="DX241" i="162"/>
  <c r="DW241" i="162"/>
  <c r="DV241" i="162"/>
  <c r="DU241" i="162"/>
  <c r="DT241" i="162"/>
  <c r="DS241" i="162"/>
  <c r="DR241" i="162"/>
  <c r="EA240" i="162"/>
  <c r="DZ240" i="162"/>
  <c r="DY240" i="162"/>
  <c r="DX240" i="162"/>
  <c r="DW240" i="162"/>
  <c r="DV240" i="162"/>
  <c r="DU240" i="162"/>
  <c r="DT240" i="162"/>
  <c r="DS240" i="162"/>
  <c r="DR240" i="162"/>
  <c r="EA239" i="162"/>
  <c r="DZ239" i="162"/>
  <c r="DY239" i="162"/>
  <c r="DX239" i="162"/>
  <c r="DW239" i="162"/>
  <c r="DV239" i="162"/>
  <c r="DU239" i="162"/>
  <c r="DT239" i="162"/>
  <c r="DS239" i="162"/>
  <c r="DR239" i="162"/>
  <c r="EA238" i="162"/>
  <c r="DZ238" i="162"/>
  <c r="DY238" i="162"/>
  <c r="DX238" i="162"/>
  <c r="DW238" i="162"/>
  <c r="DV238" i="162"/>
  <c r="DU238" i="162"/>
  <c r="DT238" i="162"/>
  <c r="DS238" i="162"/>
  <c r="DR238" i="162"/>
  <c r="EA237" i="162"/>
  <c r="DZ237" i="162"/>
  <c r="DY237" i="162"/>
  <c r="DX237" i="162"/>
  <c r="DW237" i="162"/>
  <c r="DV237" i="162"/>
  <c r="DU237" i="162"/>
  <c r="DT237" i="162"/>
  <c r="DS237" i="162"/>
  <c r="DR237" i="162"/>
  <c r="EA236" i="162"/>
  <c r="DZ236" i="162"/>
  <c r="DY236" i="162"/>
  <c r="DX236" i="162"/>
  <c r="DW236" i="162"/>
  <c r="DV236" i="162"/>
  <c r="DU236" i="162"/>
  <c r="DT236" i="162"/>
  <c r="DS236" i="162"/>
  <c r="DR236" i="162"/>
  <c r="EA235" i="162"/>
  <c r="DZ235" i="162"/>
  <c r="DY235" i="162"/>
  <c r="DX235" i="162"/>
  <c r="DW235" i="162"/>
  <c r="DV235" i="162"/>
  <c r="DU235" i="162"/>
  <c r="DT235" i="162"/>
  <c r="DS235" i="162"/>
  <c r="DR235" i="162"/>
  <c r="EA234" i="162"/>
  <c r="DZ234" i="162"/>
  <c r="DY234" i="162"/>
  <c r="DX234" i="162"/>
  <c r="DW234" i="162"/>
  <c r="DV234" i="162"/>
  <c r="DU234" i="162"/>
  <c r="DT234" i="162"/>
  <c r="DS234" i="162"/>
  <c r="DR234" i="162"/>
  <c r="EA233" i="162"/>
  <c r="DZ233" i="162"/>
  <c r="DY233" i="162"/>
  <c r="DX233" i="162"/>
  <c r="DW233" i="162"/>
  <c r="DV233" i="162"/>
  <c r="DU233" i="162"/>
  <c r="DT233" i="162"/>
  <c r="DS233" i="162"/>
  <c r="DR233" i="162"/>
  <c r="EA232" i="162"/>
  <c r="DZ232" i="162"/>
  <c r="DY232" i="162"/>
  <c r="DX232" i="162"/>
  <c r="DW232" i="162"/>
  <c r="DV232" i="162"/>
  <c r="DU232" i="162"/>
  <c r="DT232" i="162"/>
  <c r="DS232" i="162"/>
  <c r="DR232" i="162"/>
  <c r="EA231" i="162"/>
  <c r="DZ231" i="162"/>
  <c r="DY231" i="162"/>
  <c r="DX231" i="162"/>
  <c r="DW231" i="162"/>
  <c r="DV231" i="162"/>
  <c r="DU231" i="162"/>
  <c r="DT231" i="162"/>
  <c r="DS231" i="162"/>
  <c r="DR231" i="162"/>
  <c r="EA230" i="162"/>
  <c r="DZ230" i="162"/>
  <c r="DY230" i="162"/>
  <c r="DX230" i="162"/>
  <c r="DW230" i="162"/>
  <c r="DV230" i="162"/>
  <c r="DU230" i="162"/>
  <c r="DT230" i="162"/>
  <c r="DS230" i="162"/>
  <c r="DR230" i="162"/>
  <c r="EA229" i="162"/>
  <c r="DZ229" i="162"/>
  <c r="DY229" i="162"/>
  <c r="DX229" i="162"/>
  <c r="DW229" i="162"/>
  <c r="DV229" i="162"/>
  <c r="DU229" i="162"/>
  <c r="DT229" i="162"/>
  <c r="DS229" i="162"/>
  <c r="DR229" i="162"/>
  <c r="EA228" i="162"/>
  <c r="DZ228" i="162"/>
  <c r="DY228" i="162"/>
  <c r="DX228" i="162"/>
  <c r="DW228" i="162"/>
  <c r="DV228" i="162"/>
  <c r="DU228" i="162"/>
  <c r="DT228" i="162"/>
  <c r="DS228" i="162"/>
  <c r="DR228" i="162"/>
  <c r="EA227" i="162"/>
  <c r="DZ227" i="162"/>
  <c r="DY227" i="162"/>
  <c r="DX227" i="162"/>
  <c r="DW227" i="162"/>
  <c r="DV227" i="162"/>
  <c r="DU227" i="162"/>
  <c r="DT227" i="162"/>
  <c r="DS227" i="162"/>
  <c r="DR227" i="162"/>
  <c r="EA226" i="162"/>
  <c r="DZ226" i="162"/>
  <c r="DY226" i="162"/>
  <c r="DX226" i="162"/>
  <c r="DW226" i="162"/>
  <c r="DV226" i="162"/>
  <c r="DU226" i="162"/>
  <c r="DT226" i="162"/>
  <c r="DS226" i="162"/>
  <c r="DR226" i="162"/>
  <c r="EA225" i="162"/>
  <c r="DZ225" i="162"/>
  <c r="DY225" i="162"/>
  <c r="DX225" i="162"/>
  <c r="DW225" i="162"/>
  <c r="DV225" i="162"/>
  <c r="DU225" i="162"/>
  <c r="DT225" i="162"/>
  <c r="DS225" i="162"/>
  <c r="DR225" i="162"/>
  <c r="EA224" i="162"/>
  <c r="DZ224" i="162"/>
  <c r="DY224" i="162"/>
  <c r="DX224" i="162"/>
  <c r="DW224" i="162"/>
  <c r="DV224" i="162"/>
  <c r="DU224" i="162"/>
  <c r="DT224" i="162"/>
  <c r="DS224" i="162"/>
  <c r="DR224" i="162"/>
  <c r="EA223" i="162"/>
  <c r="DZ223" i="162"/>
  <c r="DY223" i="162"/>
  <c r="DX223" i="162"/>
  <c r="DW223" i="162"/>
  <c r="DV223" i="162"/>
  <c r="DU223" i="162"/>
  <c r="DT223" i="162"/>
  <c r="DS223" i="162"/>
  <c r="DR223" i="162"/>
  <c r="EA222" i="162"/>
  <c r="DZ222" i="162"/>
  <c r="DY222" i="162"/>
  <c r="DX222" i="162"/>
  <c r="DW222" i="162"/>
  <c r="DV222" i="162"/>
  <c r="DU222" i="162"/>
  <c r="DT222" i="162"/>
  <c r="DS222" i="162"/>
  <c r="DR222" i="162"/>
  <c r="EA221" i="162"/>
  <c r="DZ221" i="162"/>
  <c r="DY221" i="162"/>
  <c r="DX221" i="162"/>
  <c r="DW221" i="162"/>
  <c r="DV221" i="162"/>
  <c r="DU221" i="162"/>
  <c r="DT221" i="162"/>
  <c r="DS221" i="162"/>
  <c r="DR221" i="162"/>
  <c r="EA220" i="162"/>
  <c r="DZ220" i="162"/>
  <c r="DY220" i="162"/>
  <c r="DX220" i="162"/>
  <c r="DW220" i="162"/>
  <c r="DV220" i="162"/>
  <c r="DU220" i="162"/>
  <c r="DT220" i="162"/>
  <c r="DS220" i="162"/>
  <c r="DR220" i="162"/>
  <c r="EA219" i="162"/>
  <c r="DZ219" i="162"/>
  <c r="DY219" i="162"/>
  <c r="DX219" i="162"/>
  <c r="DW219" i="162"/>
  <c r="DV219" i="162"/>
  <c r="DU219" i="162"/>
  <c r="DT219" i="162"/>
  <c r="DS219" i="162"/>
  <c r="DR219" i="162"/>
  <c r="EA218" i="162"/>
  <c r="DZ218" i="162"/>
  <c r="DY218" i="162"/>
  <c r="DX218" i="162"/>
  <c r="DW218" i="162"/>
  <c r="DV218" i="162"/>
  <c r="DU218" i="162"/>
  <c r="DT218" i="162"/>
  <c r="DS218" i="162"/>
  <c r="DR218" i="162"/>
  <c r="EA217" i="162"/>
  <c r="DZ217" i="162"/>
  <c r="DY217" i="162"/>
  <c r="DX217" i="162"/>
  <c r="DW217" i="162"/>
  <c r="DV217" i="162"/>
  <c r="DU217" i="162"/>
  <c r="DT217" i="162"/>
  <c r="DS217" i="162"/>
  <c r="DR217" i="162"/>
  <c r="EA216" i="162"/>
  <c r="DZ216" i="162"/>
  <c r="DY216" i="162"/>
  <c r="DX216" i="162"/>
  <c r="DW216" i="162"/>
  <c r="DV216" i="162"/>
  <c r="DU216" i="162"/>
  <c r="DT216" i="162"/>
  <c r="DS216" i="162"/>
  <c r="DR216" i="162"/>
  <c r="EA215" i="162"/>
  <c r="DZ215" i="162"/>
  <c r="DY215" i="162"/>
  <c r="DX215" i="162"/>
  <c r="DW215" i="162"/>
  <c r="DV215" i="162"/>
  <c r="DU215" i="162"/>
  <c r="DT215" i="162"/>
  <c r="DS215" i="162"/>
  <c r="DR215" i="162"/>
  <c r="EA214" i="162"/>
  <c r="DZ214" i="162"/>
  <c r="DY214" i="162"/>
  <c r="DX214" i="162"/>
  <c r="DW214" i="162"/>
  <c r="DV214" i="162"/>
  <c r="DU214" i="162"/>
  <c r="DT214" i="162"/>
  <c r="DS214" i="162"/>
  <c r="DR214" i="162"/>
  <c r="EA213" i="162"/>
  <c r="DZ213" i="162"/>
  <c r="DY213" i="162"/>
  <c r="DX213" i="162"/>
  <c r="DW213" i="162"/>
  <c r="DV213" i="162"/>
  <c r="DU213" i="162"/>
  <c r="DT213" i="162"/>
  <c r="DS213" i="162"/>
  <c r="DR213" i="162"/>
  <c r="EA212" i="162"/>
  <c r="DZ212" i="162"/>
  <c r="DY212" i="162"/>
  <c r="DX212" i="162"/>
  <c r="DW212" i="162"/>
  <c r="DV212" i="162"/>
  <c r="DU212" i="162"/>
  <c r="DT212" i="162"/>
  <c r="DS212" i="162"/>
  <c r="DR212" i="162"/>
  <c r="EA211" i="162"/>
  <c r="DZ211" i="162"/>
  <c r="DY211" i="162"/>
  <c r="DX211" i="162"/>
  <c r="DW211" i="162"/>
  <c r="DV211" i="162"/>
  <c r="DU211" i="162"/>
  <c r="DT211" i="162"/>
  <c r="DS211" i="162"/>
  <c r="DR211" i="162"/>
  <c r="EA210" i="162"/>
  <c r="DZ210" i="162"/>
  <c r="DY210" i="162"/>
  <c r="DX210" i="162"/>
  <c r="DW210" i="162"/>
  <c r="DV210" i="162"/>
  <c r="DU210" i="162"/>
  <c r="DT210" i="162"/>
  <c r="DS210" i="162"/>
  <c r="DR210" i="162"/>
  <c r="EA209" i="162"/>
  <c r="DZ209" i="162"/>
  <c r="DY209" i="162"/>
  <c r="DX209" i="162"/>
  <c r="DW209" i="162"/>
  <c r="DV209" i="162"/>
  <c r="DU209" i="162"/>
  <c r="DT209" i="162"/>
  <c r="DS209" i="162"/>
  <c r="DR209" i="162"/>
  <c r="EA208" i="162"/>
  <c r="DZ208" i="162"/>
  <c r="DY208" i="162"/>
  <c r="DX208" i="162"/>
  <c r="DW208" i="162"/>
  <c r="DV208" i="162"/>
  <c r="DU208" i="162"/>
  <c r="DT208" i="162"/>
  <c r="DS208" i="162"/>
  <c r="DR208" i="162"/>
  <c r="EA207" i="162"/>
  <c r="DZ207" i="162"/>
  <c r="DY207" i="162"/>
  <c r="DX207" i="162"/>
  <c r="DW207" i="162"/>
  <c r="DV207" i="162"/>
  <c r="DU207" i="162"/>
  <c r="DT207" i="162"/>
  <c r="DS207" i="162"/>
  <c r="EA206" i="162"/>
  <c r="DZ206" i="162"/>
  <c r="DY206" i="162"/>
  <c r="DX206" i="162"/>
  <c r="DW206" i="162"/>
  <c r="DV206" i="162"/>
  <c r="DU206" i="162"/>
  <c r="DT206" i="162"/>
  <c r="DS206" i="162"/>
  <c r="DR206" i="162"/>
  <c r="EA205" i="162"/>
  <c r="DZ205" i="162"/>
  <c r="DY205" i="162"/>
  <c r="DX205" i="162"/>
  <c r="DW205" i="162"/>
  <c r="DV205" i="162"/>
  <c r="DU205" i="162"/>
  <c r="DT205" i="162"/>
  <c r="DS205" i="162"/>
  <c r="DR205" i="162"/>
  <c r="EA204" i="162"/>
  <c r="DZ204" i="162"/>
  <c r="DY204" i="162"/>
  <c r="DX204" i="162"/>
  <c r="DW204" i="162"/>
  <c r="DV204" i="162"/>
  <c r="DU204" i="162"/>
  <c r="DT204" i="162"/>
  <c r="DS204" i="162"/>
  <c r="DR204" i="162"/>
  <c r="EA203" i="162"/>
  <c r="DZ203" i="162"/>
  <c r="DY203" i="162"/>
  <c r="DX203" i="162"/>
  <c r="DW203" i="162"/>
  <c r="DV203" i="162"/>
  <c r="DU203" i="162"/>
  <c r="DT203" i="162"/>
  <c r="DS203" i="162"/>
  <c r="DR203" i="162"/>
  <c r="EA202" i="162"/>
  <c r="DZ202" i="162"/>
  <c r="DY202" i="162"/>
  <c r="DX202" i="162"/>
  <c r="DW202" i="162"/>
  <c r="DV202" i="162"/>
  <c r="DU202" i="162"/>
  <c r="DT202" i="162"/>
  <c r="DS202" i="162"/>
  <c r="DR202" i="162"/>
  <c r="EA201" i="162"/>
  <c r="DZ201" i="162"/>
  <c r="DY201" i="162"/>
  <c r="DX201" i="162"/>
  <c r="DW201" i="162"/>
  <c r="DV201" i="162"/>
  <c r="DU201" i="162"/>
  <c r="DT201" i="162"/>
  <c r="DS201" i="162"/>
  <c r="DR201" i="162"/>
  <c r="EA200" i="162"/>
  <c r="DZ200" i="162"/>
  <c r="DY200" i="162"/>
  <c r="DX200" i="162"/>
  <c r="DW200" i="162"/>
  <c r="DV200" i="162"/>
  <c r="DU200" i="162"/>
  <c r="DT200" i="162"/>
  <c r="DS200" i="162"/>
  <c r="DR200" i="162"/>
  <c r="EA199" i="162"/>
  <c r="DZ199" i="162"/>
  <c r="DY199" i="162"/>
  <c r="DX199" i="162"/>
  <c r="DW199" i="162"/>
  <c r="DV199" i="162"/>
  <c r="DU199" i="162"/>
  <c r="DT199" i="162"/>
  <c r="DS199" i="162"/>
  <c r="DR199" i="162"/>
  <c r="EA198" i="162"/>
  <c r="DZ198" i="162"/>
  <c r="DY198" i="162"/>
  <c r="DX198" i="162"/>
  <c r="DW198" i="162"/>
  <c r="DV198" i="162"/>
  <c r="DU198" i="162"/>
  <c r="DT198" i="162"/>
  <c r="DS198" i="162"/>
  <c r="DR198" i="162"/>
  <c r="EA197" i="162"/>
  <c r="DZ197" i="162"/>
  <c r="DY197" i="162"/>
  <c r="DX197" i="162"/>
  <c r="DW197" i="162"/>
  <c r="DV197" i="162"/>
  <c r="DU197" i="162"/>
  <c r="DT197" i="162"/>
  <c r="DS197" i="162"/>
  <c r="DR197" i="162"/>
  <c r="EA196" i="162"/>
  <c r="DZ196" i="162"/>
  <c r="DY196" i="162"/>
  <c r="DX196" i="162"/>
  <c r="DW196" i="162"/>
  <c r="DV196" i="162"/>
  <c r="DU196" i="162"/>
  <c r="DT196" i="162"/>
  <c r="DS196" i="162"/>
  <c r="DR196" i="162"/>
  <c r="EA195" i="162"/>
  <c r="DZ195" i="162"/>
  <c r="DY195" i="162"/>
  <c r="DX195" i="162"/>
  <c r="DW195" i="162"/>
  <c r="DV195" i="162"/>
  <c r="DU195" i="162"/>
  <c r="DT195" i="162"/>
  <c r="DS195" i="162"/>
  <c r="DR195" i="162"/>
  <c r="EA194" i="162"/>
  <c r="DZ194" i="162"/>
  <c r="DY194" i="162"/>
  <c r="DX194" i="162"/>
  <c r="DW194" i="162"/>
  <c r="DV194" i="162"/>
  <c r="DU194" i="162"/>
  <c r="DT194" i="162"/>
  <c r="DS194" i="162"/>
  <c r="DR194" i="162"/>
  <c r="EA193" i="162"/>
  <c r="DZ193" i="162"/>
  <c r="DY193" i="162"/>
  <c r="DX193" i="162"/>
  <c r="DW193" i="162"/>
  <c r="DV193" i="162"/>
  <c r="DU193" i="162"/>
  <c r="DT193" i="162"/>
  <c r="DS193" i="162"/>
  <c r="DR193" i="162"/>
  <c r="EA192" i="162"/>
  <c r="DZ192" i="162"/>
  <c r="DY192" i="162"/>
  <c r="DX192" i="162"/>
  <c r="DW192" i="162"/>
  <c r="DV192" i="162"/>
  <c r="DU192" i="162"/>
  <c r="DT192" i="162"/>
  <c r="DS192" i="162"/>
  <c r="DR192" i="162"/>
  <c r="EA191" i="162"/>
  <c r="DZ191" i="162"/>
  <c r="DY191" i="162"/>
  <c r="DX191" i="162"/>
  <c r="DW191" i="162"/>
  <c r="DV191" i="162"/>
  <c r="DU191" i="162"/>
  <c r="DT191" i="162"/>
  <c r="DS191" i="162"/>
  <c r="DR191" i="162"/>
  <c r="EA190" i="162"/>
  <c r="DZ190" i="162"/>
  <c r="DY190" i="162"/>
  <c r="DX190" i="162"/>
  <c r="DW190" i="162"/>
  <c r="DV190" i="162"/>
  <c r="DU190" i="162"/>
  <c r="DT190" i="162"/>
  <c r="DS190" i="162"/>
  <c r="DR190" i="162"/>
  <c r="EA189" i="162"/>
  <c r="DZ189" i="162"/>
  <c r="DY189" i="162"/>
  <c r="DX189" i="162"/>
  <c r="DW189" i="162"/>
  <c r="DV189" i="162"/>
  <c r="DU189" i="162"/>
  <c r="DT189" i="162"/>
  <c r="DS189" i="162"/>
  <c r="DR189" i="162"/>
  <c r="EA188" i="162"/>
  <c r="DZ188" i="162"/>
  <c r="DY188" i="162"/>
  <c r="DX188" i="162"/>
  <c r="DW188" i="162"/>
  <c r="DV188" i="162"/>
  <c r="DU188" i="162"/>
  <c r="DT188" i="162"/>
  <c r="DS188" i="162"/>
  <c r="DR188" i="162"/>
  <c r="EA187" i="162"/>
  <c r="DZ187" i="162"/>
  <c r="DY187" i="162"/>
  <c r="DX187" i="162"/>
  <c r="DW187" i="162"/>
  <c r="DV187" i="162"/>
  <c r="DU187" i="162"/>
  <c r="DT187" i="162"/>
  <c r="DS187" i="162"/>
  <c r="DR187" i="162"/>
  <c r="EA186" i="162"/>
  <c r="DZ186" i="162"/>
  <c r="DY186" i="162"/>
  <c r="DX186" i="162"/>
  <c r="DW186" i="162"/>
  <c r="DV186" i="162"/>
  <c r="DU186" i="162"/>
  <c r="DT186" i="162"/>
  <c r="DS186" i="162"/>
  <c r="DR186" i="162"/>
  <c r="EA185" i="162"/>
  <c r="DZ185" i="162"/>
  <c r="DY185" i="162"/>
  <c r="DX185" i="162"/>
  <c r="DW185" i="162"/>
  <c r="DV185" i="162"/>
  <c r="DU185" i="162"/>
  <c r="DT185" i="162"/>
  <c r="DS185" i="162"/>
  <c r="DR185" i="162"/>
  <c r="EA184" i="162"/>
  <c r="DZ184" i="162"/>
  <c r="DY184" i="162"/>
  <c r="DX184" i="162"/>
  <c r="DW184" i="162"/>
  <c r="DV184" i="162"/>
  <c r="DU184" i="162"/>
  <c r="DT184" i="162"/>
  <c r="DS184" i="162"/>
  <c r="DR184" i="162"/>
  <c r="EA183" i="162"/>
  <c r="DZ183" i="162"/>
  <c r="DY183" i="162"/>
  <c r="DX183" i="162"/>
  <c r="DW183" i="162"/>
  <c r="DV183" i="162"/>
  <c r="DU183" i="162"/>
  <c r="DT183" i="162"/>
  <c r="DS183" i="162"/>
  <c r="DR183" i="162"/>
  <c r="EA182" i="162"/>
  <c r="DZ182" i="162"/>
  <c r="DY182" i="162"/>
  <c r="DX182" i="162"/>
  <c r="DW182" i="162"/>
  <c r="DV182" i="162"/>
  <c r="DU182" i="162"/>
  <c r="DT182" i="162"/>
  <c r="DS182" i="162"/>
  <c r="DR182" i="162"/>
  <c r="EA181" i="162"/>
  <c r="DZ181" i="162"/>
  <c r="DY181" i="162"/>
  <c r="DX181" i="162"/>
  <c r="DW181" i="162"/>
  <c r="DV181" i="162"/>
  <c r="DU181" i="162"/>
  <c r="DT181" i="162"/>
  <c r="DS181" i="162"/>
  <c r="DR181" i="162"/>
  <c r="EA180" i="162"/>
  <c r="DZ180" i="162"/>
  <c r="DY180" i="162"/>
  <c r="DX180" i="162"/>
  <c r="DW180" i="162"/>
  <c r="DV180" i="162"/>
  <c r="DU180" i="162"/>
  <c r="DT180" i="162"/>
  <c r="DS180" i="162"/>
  <c r="DR180" i="162"/>
  <c r="EA179" i="162"/>
  <c r="DZ179" i="162"/>
  <c r="DY179" i="162"/>
  <c r="DX179" i="162"/>
  <c r="DW179" i="162"/>
  <c r="DV179" i="162"/>
  <c r="DU179" i="162"/>
  <c r="DT179" i="162"/>
  <c r="DS179" i="162"/>
  <c r="DR179" i="162"/>
  <c r="EA178" i="162"/>
  <c r="DZ178" i="162"/>
  <c r="DY178" i="162"/>
  <c r="DX178" i="162"/>
  <c r="DW178" i="162"/>
  <c r="DV178" i="162"/>
  <c r="DU178" i="162"/>
  <c r="DT178" i="162"/>
  <c r="DS178" i="162"/>
  <c r="DR178" i="162"/>
  <c r="EA177" i="162"/>
  <c r="DZ177" i="162"/>
  <c r="DY177" i="162"/>
  <c r="DX177" i="162"/>
  <c r="DW177" i="162"/>
  <c r="DV177" i="162"/>
  <c r="DU177" i="162"/>
  <c r="DT177" i="162"/>
  <c r="DS177" i="162"/>
  <c r="DR177" i="162"/>
  <c r="EA176" i="162"/>
  <c r="DZ176" i="162"/>
  <c r="DY176" i="162"/>
  <c r="DX176" i="162"/>
  <c r="DW176" i="162"/>
  <c r="DV176" i="162"/>
  <c r="DU176" i="162"/>
  <c r="DT176" i="162"/>
  <c r="DS176" i="162"/>
  <c r="DR176" i="162"/>
  <c r="EA175" i="162"/>
  <c r="DZ175" i="162"/>
  <c r="DY175" i="162"/>
  <c r="DX175" i="162"/>
  <c r="DW175" i="162"/>
  <c r="DV175" i="162"/>
  <c r="DU175" i="162"/>
  <c r="DT175" i="162"/>
  <c r="DS175" i="162"/>
  <c r="DR175" i="162"/>
  <c r="EA174" i="162"/>
  <c r="DZ174" i="162"/>
  <c r="DY174" i="162"/>
  <c r="DX174" i="162"/>
  <c r="DW174" i="162"/>
  <c r="DV174" i="162"/>
  <c r="DU174" i="162"/>
  <c r="DT174" i="162"/>
  <c r="DS174" i="162"/>
  <c r="DR174" i="162"/>
  <c r="EA173" i="162"/>
  <c r="DZ173" i="162"/>
  <c r="DY173" i="162"/>
  <c r="DX173" i="162"/>
  <c r="DW173" i="162"/>
  <c r="DV173" i="162"/>
  <c r="DU173" i="162"/>
  <c r="DT173" i="162"/>
  <c r="DS173" i="162"/>
  <c r="DR173" i="162"/>
  <c r="EA172" i="162"/>
  <c r="DZ172" i="162"/>
  <c r="DY172" i="162"/>
  <c r="DX172" i="162"/>
  <c r="DW172" i="162"/>
  <c r="DV172" i="162"/>
  <c r="DU172" i="162"/>
  <c r="DT172" i="162"/>
  <c r="DS172" i="162"/>
  <c r="DR172" i="162"/>
  <c r="EA171" i="162"/>
  <c r="DZ171" i="162"/>
  <c r="DY171" i="162"/>
  <c r="DX171" i="162"/>
  <c r="DW171" i="162"/>
  <c r="DV171" i="162"/>
  <c r="DU171" i="162"/>
  <c r="DT171" i="162"/>
  <c r="DS171" i="162"/>
  <c r="DR171" i="162"/>
  <c r="EA170" i="162"/>
  <c r="DZ170" i="162"/>
  <c r="DY170" i="162"/>
  <c r="DX170" i="162"/>
  <c r="DW170" i="162"/>
  <c r="DV170" i="162"/>
  <c r="DU170" i="162"/>
  <c r="DT170" i="162"/>
  <c r="DS170" i="162"/>
  <c r="DR170" i="162"/>
  <c r="EA169" i="162"/>
  <c r="DZ169" i="162"/>
  <c r="DY169" i="162"/>
  <c r="DX169" i="162"/>
  <c r="DW169" i="162"/>
  <c r="DV169" i="162"/>
  <c r="DU169" i="162"/>
  <c r="DT169" i="162"/>
  <c r="DS169" i="162"/>
  <c r="DR169" i="162"/>
  <c r="EA168" i="162"/>
  <c r="DZ168" i="162"/>
  <c r="DY168" i="162"/>
  <c r="DX168" i="162"/>
  <c r="DW168" i="162"/>
  <c r="DV168" i="162"/>
  <c r="DU168" i="162"/>
  <c r="DT168" i="162"/>
  <c r="DS168" i="162"/>
  <c r="DR168" i="162"/>
  <c r="EA167" i="162"/>
  <c r="DZ167" i="162"/>
  <c r="DY167" i="162"/>
  <c r="DX167" i="162"/>
  <c r="DW167" i="162"/>
  <c r="DV167" i="162"/>
  <c r="DU167" i="162"/>
  <c r="DT167" i="162"/>
  <c r="DS167" i="162"/>
  <c r="DR167" i="162"/>
  <c r="EA166" i="162"/>
  <c r="DZ166" i="162"/>
  <c r="DY166" i="162"/>
  <c r="DX166" i="162"/>
  <c r="DW166" i="162"/>
  <c r="DV166" i="162"/>
  <c r="DU166" i="162"/>
  <c r="DT166" i="162"/>
  <c r="DS166" i="162"/>
  <c r="DR166" i="162"/>
  <c r="EA165" i="162"/>
  <c r="DZ165" i="162"/>
  <c r="DY165" i="162"/>
  <c r="DX165" i="162"/>
  <c r="DW165" i="162"/>
  <c r="DV165" i="162"/>
  <c r="DU165" i="162"/>
  <c r="DT165" i="162"/>
  <c r="DS165" i="162"/>
  <c r="DR165" i="162"/>
  <c r="EA164" i="162"/>
  <c r="DZ164" i="162"/>
  <c r="DY164" i="162"/>
  <c r="DX164" i="162"/>
  <c r="DW164" i="162"/>
  <c r="DV164" i="162"/>
  <c r="DU164" i="162"/>
  <c r="DT164" i="162"/>
  <c r="DS164" i="162"/>
  <c r="DR164" i="162"/>
  <c r="EA163" i="162"/>
  <c r="DZ163" i="162"/>
  <c r="DY163" i="162"/>
  <c r="DX163" i="162"/>
  <c r="DW163" i="162"/>
  <c r="DV163" i="162"/>
  <c r="DU163" i="162"/>
  <c r="DT163" i="162"/>
  <c r="DS163" i="162"/>
  <c r="DR163" i="162"/>
  <c r="EA162" i="162"/>
  <c r="DZ162" i="162"/>
  <c r="DY162" i="162"/>
  <c r="DX162" i="162"/>
  <c r="DW162" i="162"/>
  <c r="DV162" i="162"/>
  <c r="DU162" i="162"/>
  <c r="DT162" i="162"/>
  <c r="DS162" i="162"/>
  <c r="DR162" i="162"/>
  <c r="EA161" i="162"/>
  <c r="DZ161" i="162"/>
  <c r="DY161" i="162"/>
  <c r="DX161" i="162"/>
  <c r="DW161" i="162"/>
  <c r="DV161" i="162"/>
  <c r="DU161" i="162"/>
  <c r="DT161" i="162"/>
  <c r="DS161" i="162"/>
  <c r="DR161" i="162"/>
  <c r="EA160" i="162"/>
  <c r="DZ160" i="162"/>
  <c r="DY160" i="162"/>
  <c r="DX160" i="162"/>
  <c r="DW160" i="162"/>
  <c r="DV160" i="162"/>
  <c r="DU160" i="162"/>
  <c r="DT160" i="162"/>
  <c r="DS160" i="162"/>
  <c r="DR160" i="162"/>
  <c r="EA159" i="162"/>
  <c r="DZ159" i="162"/>
  <c r="DY159" i="162"/>
  <c r="DX159" i="162"/>
  <c r="DW159" i="162"/>
  <c r="DV159" i="162"/>
  <c r="DU159" i="162"/>
  <c r="DT159" i="162"/>
  <c r="DS159" i="162"/>
  <c r="DR159" i="162"/>
  <c r="EA158" i="162"/>
  <c r="DZ158" i="162"/>
  <c r="DY158" i="162"/>
  <c r="DX158" i="162"/>
  <c r="DW158" i="162"/>
  <c r="DV158" i="162"/>
  <c r="DU158" i="162"/>
  <c r="DT158" i="162"/>
  <c r="DS158" i="162"/>
  <c r="DR158" i="162"/>
  <c r="EA157" i="162"/>
  <c r="DZ157" i="162"/>
  <c r="DY157" i="162"/>
  <c r="DX157" i="162"/>
  <c r="DW157" i="162"/>
  <c r="DV157" i="162"/>
  <c r="DU157" i="162"/>
  <c r="DT157" i="162"/>
  <c r="DS157" i="162"/>
  <c r="DR157" i="162"/>
  <c r="EA156" i="162"/>
  <c r="DZ156" i="162"/>
  <c r="DY156" i="162"/>
  <c r="DX156" i="162"/>
  <c r="DW156" i="162"/>
  <c r="DV156" i="162"/>
  <c r="DU156" i="162"/>
  <c r="DT156" i="162"/>
  <c r="DS156" i="162"/>
  <c r="DR156" i="162"/>
  <c r="EA155" i="162"/>
  <c r="DZ155" i="162"/>
  <c r="DY155" i="162"/>
  <c r="DX155" i="162"/>
  <c r="DW155" i="162"/>
  <c r="DV155" i="162"/>
  <c r="DU155" i="162"/>
  <c r="DT155" i="162"/>
  <c r="DS155" i="162"/>
  <c r="DR155" i="162"/>
  <c r="EA154" i="162"/>
  <c r="DZ154" i="162"/>
  <c r="DY154" i="162"/>
  <c r="DX154" i="162"/>
  <c r="DW154" i="162"/>
  <c r="DV154" i="162"/>
  <c r="DU154" i="162"/>
  <c r="DT154" i="162"/>
  <c r="DS154" i="162"/>
  <c r="DR154" i="162"/>
  <c r="EA153" i="162"/>
  <c r="DZ153" i="162"/>
  <c r="DY153" i="162"/>
  <c r="DX153" i="162"/>
  <c r="DW153" i="162"/>
  <c r="DV153" i="162"/>
  <c r="DU153" i="162"/>
  <c r="DT153" i="162"/>
  <c r="DS153" i="162"/>
  <c r="DR153" i="162"/>
  <c r="EA152" i="162"/>
  <c r="DZ152" i="162"/>
  <c r="DY152" i="162"/>
  <c r="DX152" i="162"/>
  <c r="DW152" i="162"/>
  <c r="DV152" i="162"/>
  <c r="DU152" i="162"/>
  <c r="DT152" i="162"/>
  <c r="DS152" i="162"/>
  <c r="DR152" i="162"/>
  <c r="EA151" i="162"/>
  <c r="DZ151" i="162"/>
  <c r="DY151" i="162"/>
  <c r="DX151" i="162"/>
  <c r="DW151" i="162"/>
  <c r="DV151" i="162"/>
  <c r="DU151" i="162"/>
  <c r="DT151" i="162"/>
  <c r="DS151" i="162"/>
  <c r="DR151" i="162"/>
  <c r="EA150" i="162"/>
  <c r="DZ150" i="162"/>
  <c r="DY150" i="162"/>
  <c r="DX150" i="162"/>
  <c r="DW150" i="162"/>
  <c r="DV150" i="162"/>
  <c r="DU150" i="162"/>
  <c r="DT150" i="162"/>
  <c r="DS150" i="162"/>
  <c r="DR150" i="162"/>
  <c r="EA149" i="162"/>
  <c r="DZ149" i="162"/>
  <c r="DY149" i="162"/>
  <c r="DX149" i="162"/>
  <c r="DW149" i="162"/>
  <c r="DV149" i="162"/>
  <c r="DU149" i="162"/>
  <c r="DT149" i="162"/>
  <c r="DS149" i="162"/>
  <c r="DR149" i="162"/>
  <c r="EA148" i="162"/>
  <c r="DZ148" i="162"/>
  <c r="DY148" i="162"/>
  <c r="DX148" i="162"/>
  <c r="DW148" i="162"/>
  <c r="DV148" i="162"/>
  <c r="DU148" i="162"/>
  <c r="DT148" i="162"/>
  <c r="DS148" i="162"/>
  <c r="DR148" i="162"/>
  <c r="EA147" i="162"/>
  <c r="DZ147" i="162"/>
  <c r="DY147" i="162"/>
  <c r="DX147" i="162"/>
  <c r="DW147" i="162"/>
  <c r="DV147" i="162"/>
  <c r="DU147" i="162"/>
  <c r="DT147" i="162"/>
  <c r="DS147" i="162"/>
  <c r="DR147" i="162"/>
  <c r="EA146" i="162"/>
  <c r="DZ146" i="162"/>
  <c r="DY146" i="162"/>
  <c r="DX146" i="162"/>
  <c r="DW146" i="162"/>
  <c r="DV146" i="162"/>
  <c r="DU146" i="162"/>
  <c r="DT146" i="162"/>
  <c r="DS146" i="162"/>
  <c r="DR146" i="162"/>
  <c r="EA145" i="162"/>
  <c r="DZ145" i="162"/>
  <c r="DY145" i="162"/>
  <c r="DX145" i="162"/>
  <c r="DW145" i="162"/>
  <c r="DV145" i="162"/>
  <c r="DU145" i="162"/>
  <c r="DT145" i="162"/>
  <c r="DS145" i="162"/>
  <c r="DR145" i="162"/>
  <c r="EA144" i="162"/>
  <c r="DZ144" i="162"/>
  <c r="DY144" i="162"/>
  <c r="DX144" i="162"/>
  <c r="DW144" i="162"/>
  <c r="DV144" i="162"/>
  <c r="DU144" i="162"/>
  <c r="DT144" i="162"/>
  <c r="DS144" i="162"/>
  <c r="DR144" i="162"/>
  <c r="EA143" i="162"/>
  <c r="DZ143" i="162"/>
  <c r="DY143" i="162"/>
  <c r="DX143" i="162"/>
  <c r="DW143" i="162"/>
  <c r="DV143" i="162"/>
  <c r="DU143" i="162"/>
  <c r="DT143" i="162"/>
  <c r="DS143" i="162"/>
  <c r="DR143" i="162"/>
  <c r="EA142" i="162"/>
  <c r="DZ142" i="162"/>
  <c r="DY142" i="162"/>
  <c r="DX142" i="162"/>
  <c r="DW142" i="162"/>
  <c r="DV142" i="162"/>
  <c r="DU142" i="162"/>
  <c r="DT142" i="162"/>
  <c r="DS142" i="162"/>
  <c r="DR142" i="162"/>
  <c r="EA141" i="162"/>
  <c r="DZ141" i="162"/>
  <c r="DY141" i="162"/>
  <c r="DX141" i="162"/>
  <c r="DW141" i="162"/>
  <c r="DV141" i="162"/>
  <c r="DU141" i="162"/>
  <c r="DT141" i="162"/>
  <c r="DS141" i="162"/>
  <c r="DR141" i="162"/>
  <c r="EA140" i="162"/>
  <c r="DZ140" i="162"/>
  <c r="DY140" i="162"/>
  <c r="DX140" i="162"/>
  <c r="DW140" i="162"/>
  <c r="DV140" i="162"/>
  <c r="DU140" i="162"/>
  <c r="DT140" i="162"/>
  <c r="DS140" i="162"/>
  <c r="DR140" i="162"/>
  <c r="EA139" i="162"/>
  <c r="DZ139" i="162"/>
  <c r="DY139" i="162"/>
  <c r="DX139" i="162"/>
  <c r="DW139" i="162"/>
  <c r="DV139" i="162"/>
  <c r="DU139" i="162"/>
  <c r="DT139" i="162"/>
  <c r="DS139" i="162"/>
  <c r="DR139" i="162"/>
  <c r="EA138" i="162"/>
  <c r="DZ138" i="162"/>
  <c r="DY138" i="162"/>
  <c r="DX138" i="162"/>
  <c r="DW138" i="162"/>
  <c r="DV138" i="162"/>
  <c r="DU138" i="162"/>
  <c r="DT138" i="162"/>
  <c r="DS138" i="162"/>
  <c r="DR138" i="162"/>
  <c r="EA137" i="162"/>
  <c r="DZ137" i="162"/>
  <c r="DY137" i="162"/>
  <c r="DX137" i="162"/>
  <c r="DW137" i="162"/>
  <c r="DV137" i="162"/>
  <c r="DU137" i="162"/>
  <c r="DT137" i="162"/>
  <c r="DS137" i="162"/>
  <c r="DR137" i="162"/>
  <c r="EA136" i="162"/>
  <c r="DZ136" i="162"/>
  <c r="DY136" i="162"/>
  <c r="DX136" i="162"/>
  <c r="DW136" i="162"/>
  <c r="DV136" i="162"/>
  <c r="DU136" i="162"/>
  <c r="DT136" i="162"/>
  <c r="DS136" i="162"/>
  <c r="DR136" i="162"/>
  <c r="EA135" i="162"/>
  <c r="DZ135" i="162"/>
  <c r="DY135" i="162"/>
  <c r="DX135" i="162"/>
  <c r="DW135" i="162"/>
  <c r="DV135" i="162"/>
  <c r="DU135" i="162"/>
  <c r="DT135" i="162"/>
  <c r="DS135" i="162"/>
  <c r="DR135" i="162"/>
  <c r="EA134" i="162"/>
  <c r="DZ134" i="162"/>
  <c r="DY134" i="162"/>
  <c r="DX134" i="162"/>
  <c r="DW134" i="162"/>
  <c r="DV134" i="162"/>
  <c r="DU134" i="162"/>
  <c r="DT134" i="162"/>
  <c r="DS134" i="162"/>
  <c r="DR134" i="162"/>
  <c r="EA133" i="162"/>
  <c r="DZ133" i="162"/>
  <c r="DY133" i="162"/>
  <c r="DX133" i="162"/>
  <c r="DW133" i="162"/>
  <c r="DV133" i="162"/>
  <c r="DU133" i="162"/>
  <c r="DT133" i="162"/>
  <c r="DS133" i="162"/>
  <c r="DR133" i="162"/>
  <c r="EA132" i="162"/>
  <c r="DZ132" i="162"/>
  <c r="DY132" i="162"/>
  <c r="DX132" i="162"/>
  <c r="DW132" i="162"/>
  <c r="DV132" i="162"/>
  <c r="DU132" i="162"/>
  <c r="DT132" i="162"/>
  <c r="DS132" i="162"/>
  <c r="DR132" i="162"/>
  <c r="EA131" i="162"/>
  <c r="DZ131" i="162"/>
  <c r="DY131" i="162"/>
  <c r="DX131" i="162"/>
  <c r="DW131" i="162"/>
  <c r="DV131" i="162"/>
  <c r="DU131" i="162"/>
  <c r="DT131" i="162"/>
  <c r="DS131" i="162"/>
  <c r="DR131" i="162"/>
  <c r="EA130" i="162"/>
  <c r="DZ130" i="162"/>
  <c r="DY130" i="162"/>
  <c r="DX130" i="162"/>
  <c r="DW130" i="162"/>
  <c r="DV130" i="162"/>
  <c r="DU130" i="162"/>
  <c r="DT130" i="162"/>
  <c r="DS130" i="162"/>
  <c r="DR130" i="162"/>
  <c r="EA129" i="162"/>
  <c r="DZ129" i="162"/>
  <c r="DY129" i="162"/>
  <c r="DX129" i="162"/>
  <c r="DW129" i="162"/>
  <c r="DV129" i="162"/>
  <c r="DU129" i="162"/>
  <c r="DT129" i="162"/>
  <c r="DS129" i="162"/>
  <c r="DR129" i="162"/>
  <c r="EA127" i="162"/>
  <c r="DZ127" i="162"/>
  <c r="DY127" i="162"/>
  <c r="DX127" i="162"/>
  <c r="DW127" i="162"/>
  <c r="DV127" i="162"/>
  <c r="DU127" i="162"/>
  <c r="DT127" i="162"/>
  <c r="DS127" i="162"/>
  <c r="DR127" i="162"/>
  <c r="EA126" i="162"/>
  <c r="DZ126" i="162"/>
  <c r="DY126" i="162"/>
  <c r="DX126" i="162"/>
  <c r="DW126" i="162"/>
  <c r="DV126" i="162"/>
  <c r="DU126" i="162"/>
  <c r="DT126" i="162"/>
  <c r="DS126" i="162"/>
  <c r="DR126" i="162"/>
  <c r="EA125" i="162"/>
  <c r="DZ125" i="162"/>
  <c r="DY125" i="162"/>
  <c r="DX125" i="162"/>
  <c r="DW125" i="162"/>
  <c r="DV125" i="162"/>
  <c r="DU125" i="162"/>
  <c r="DT125" i="162"/>
  <c r="DS125" i="162"/>
  <c r="DR125" i="162"/>
  <c r="EA124" i="162"/>
  <c r="DZ124" i="162"/>
  <c r="DY124" i="162"/>
  <c r="DX124" i="162"/>
  <c r="DW124" i="162"/>
  <c r="DV124" i="162"/>
  <c r="DU124" i="162"/>
  <c r="DT124" i="162"/>
  <c r="DS124" i="162"/>
  <c r="DR124" i="162"/>
  <c r="EA123" i="162"/>
  <c r="DZ123" i="162"/>
  <c r="DY123" i="162"/>
  <c r="DX123" i="162"/>
  <c r="DW123" i="162"/>
  <c r="DV123" i="162"/>
  <c r="DU123" i="162"/>
  <c r="DT123" i="162"/>
  <c r="DS123" i="162"/>
  <c r="DR123" i="162"/>
  <c r="EA122" i="162"/>
  <c r="DZ122" i="162"/>
  <c r="DY122" i="162"/>
  <c r="DX122" i="162"/>
  <c r="DW122" i="162"/>
  <c r="DV122" i="162"/>
  <c r="DU122" i="162"/>
  <c r="DT122" i="162"/>
  <c r="DS122" i="162"/>
  <c r="DR122" i="162"/>
  <c r="EA121" i="162"/>
  <c r="DZ121" i="162"/>
  <c r="DY121" i="162"/>
  <c r="DX121" i="162"/>
  <c r="DW121" i="162"/>
  <c r="DV121" i="162"/>
  <c r="DU121" i="162"/>
  <c r="DT121" i="162"/>
  <c r="DS121" i="162"/>
  <c r="DR121" i="162"/>
  <c r="EA120" i="162"/>
  <c r="DZ120" i="162"/>
  <c r="DY120" i="162"/>
  <c r="DX120" i="162"/>
  <c r="DW120" i="162"/>
  <c r="DV120" i="162"/>
  <c r="DU120" i="162"/>
  <c r="DT120" i="162"/>
  <c r="DS120" i="162"/>
  <c r="DR120" i="162"/>
  <c r="EA119" i="162"/>
  <c r="DZ119" i="162"/>
  <c r="DY119" i="162"/>
  <c r="DX119" i="162"/>
  <c r="DW119" i="162"/>
  <c r="DV119" i="162"/>
  <c r="DU119" i="162"/>
  <c r="DT119" i="162"/>
  <c r="DS119" i="162"/>
  <c r="DR119" i="162"/>
  <c r="EA118" i="162"/>
  <c r="DZ118" i="162"/>
  <c r="DY118" i="162"/>
  <c r="DX118" i="162"/>
  <c r="DW118" i="162"/>
  <c r="DV118" i="162"/>
  <c r="DU118" i="162"/>
  <c r="DT118" i="162"/>
  <c r="DS118" i="162"/>
  <c r="DR118" i="162"/>
  <c r="EA117" i="162"/>
  <c r="DZ117" i="162"/>
  <c r="DY117" i="162"/>
  <c r="DX117" i="162"/>
  <c r="DW117" i="162"/>
  <c r="DV117" i="162"/>
  <c r="DU117" i="162"/>
  <c r="DT117" i="162"/>
  <c r="DS117" i="162"/>
  <c r="DR117" i="162"/>
  <c r="EA116" i="162"/>
  <c r="DZ116" i="162"/>
  <c r="DY116" i="162"/>
  <c r="DX116" i="162"/>
  <c r="DW116" i="162"/>
  <c r="DV116" i="162"/>
  <c r="DU116" i="162"/>
  <c r="DT116" i="162"/>
  <c r="DS116" i="162"/>
  <c r="DR116" i="162"/>
  <c r="EA115" i="162"/>
  <c r="DZ115" i="162"/>
  <c r="DY115" i="162"/>
  <c r="DX115" i="162"/>
  <c r="DW115" i="162"/>
  <c r="DV115" i="162"/>
  <c r="DU115" i="162"/>
  <c r="DT115" i="162"/>
  <c r="DS115" i="162"/>
  <c r="DR115" i="162"/>
  <c r="EA114" i="162"/>
  <c r="DZ114" i="162"/>
  <c r="DY114" i="162"/>
  <c r="DX114" i="162"/>
  <c r="DW114" i="162"/>
  <c r="DV114" i="162"/>
  <c r="DU114" i="162"/>
  <c r="DT114" i="162"/>
  <c r="DS114" i="162"/>
  <c r="DR114" i="162"/>
  <c r="EA113" i="162"/>
  <c r="DZ113" i="162"/>
  <c r="DY113" i="162"/>
  <c r="DX113" i="162"/>
  <c r="DW113" i="162"/>
  <c r="DV113" i="162"/>
  <c r="DU113" i="162"/>
  <c r="DT113" i="162"/>
  <c r="DS113" i="162"/>
  <c r="DR113" i="162"/>
  <c r="EA112" i="162"/>
  <c r="DZ112" i="162"/>
  <c r="DY112" i="162"/>
  <c r="DX112" i="162"/>
  <c r="DW112" i="162"/>
  <c r="DV112" i="162"/>
  <c r="DU112" i="162"/>
  <c r="DT112" i="162"/>
  <c r="DS112" i="162"/>
  <c r="DR112" i="162"/>
  <c r="EA111" i="162"/>
  <c r="DZ111" i="162"/>
  <c r="DY111" i="162"/>
  <c r="DX111" i="162"/>
  <c r="DW111" i="162"/>
  <c r="DV111" i="162"/>
  <c r="DU111" i="162"/>
  <c r="DT111" i="162"/>
  <c r="DS111" i="162"/>
  <c r="DR111" i="162"/>
  <c r="EA110" i="162"/>
  <c r="DZ110" i="162"/>
  <c r="DY110" i="162"/>
  <c r="DX110" i="162"/>
  <c r="DW110" i="162"/>
  <c r="DV110" i="162"/>
  <c r="DU110" i="162"/>
  <c r="DT110" i="162"/>
  <c r="DS110" i="162"/>
  <c r="DR110" i="162"/>
  <c r="EA109" i="162"/>
  <c r="DZ109" i="162"/>
  <c r="DY109" i="162"/>
  <c r="DX109" i="162"/>
  <c r="DW109" i="162"/>
  <c r="DV109" i="162"/>
  <c r="DU109" i="162"/>
  <c r="DT109" i="162"/>
  <c r="DS109" i="162"/>
  <c r="DR109" i="162"/>
  <c r="EA108" i="162"/>
  <c r="DZ108" i="162"/>
  <c r="DY108" i="162"/>
  <c r="DX108" i="162"/>
  <c r="DW108" i="162"/>
  <c r="DV108" i="162"/>
  <c r="DU108" i="162"/>
  <c r="DT108" i="162"/>
  <c r="DS108" i="162"/>
  <c r="DR108" i="162"/>
  <c r="EA107" i="162"/>
  <c r="DZ107" i="162"/>
  <c r="DY107" i="162"/>
  <c r="DX107" i="162"/>
  <c r="DW107" i="162"/>
  <c r="DV107" i="162"/>
  <c r="DU107" i="162"/>
  <c r="DT107" i="162"/>
  <c r="DS107" i="162"/>
  <c r="DR107" i="162"/>
  <c r="EA106" i="162"/>
  <c r="DZ106" i="162"/>
  <c r="DY106" i="162"/>
  <c r="DX106" i="162"/>
  <c r="DW106" i="162"/>
  <c r="DV106" i="162"/>
  <c r="DU106" i="162"/>
  <c r="DT106" i="162"/>
  <c r="DS106" i="162"/>
  <c r="DR106" i="162"/>
  <c r="EA105" i="162"/>
  <c r="DZ105" i="162"/>
  <c r="DY105" i="162"/>
  <c r="DX105" i="162"/>
  <c r="DW105" i="162"/>
  <c r="DV105" i="162"/>
  <c r="DU105" i="162"/>
  <c r="DT105" i="162"/>
  <c r="DS105" i="162"/>
  <c r="DR105" i="162"/>
  <c r="EA104" i="162"/>
  <c r="DZ104" i="162"/>
  <c r="DY104" i="162"/>
  <c r="DX104" i="162"/>
  <c r="DW104" i="162"/>
  <c r="DV104" i="162"/>
  <c r="DU104" i="162"/>
  <c r="DT104" i="162"/>
  <c r="DS104" i="162"/>
  <c r="DR104" i="162"/>
  <c r="EA103" i="162"/>
  <c r="DZ103" i="162"/>
  <c r="DY103" i="162"/>
  <c r="DX103" i="162"/>
  <c r="DW103" i="162"/>
  <c r="DV103" i="162"/>
  <c r="DU103" i="162"/>
  <c r="DT103" i="162"/>
  <c r="DS103" i="162"/>
  <c r="DR103" i="162"/>
  <c r="EA102" i="162"/>
  <c r="DZ102" i="162"/>
  <c r="DY102" i="162"/>
  <c r="DX102" i="162"/>
  <c r="DW102" i="162"/>
  <c r="DV102" i="162"/>
  <c r="DU102" i="162"/>
  <c r="DT102" i="162"/>
  <c r="DS102" i="162"/>
  <c r="DR102" i="162"/>
  <c r="EA101" i="162"/>
  <c r="DZ101" i="162"/>
  <c r="DY101" i="162"/>
  <c r="DX101" i="162"/>
  <c r="DW101" i="162"/>
  <c r="DV101" i="162"/>
  <c r="DU101" i="162"/>
  <c r="DT101" i="162"/>
  <c r="DS101" i="162"/>
  <c r="DR101" i="162"/>
  <c r="EA100" i="162"/>
  <c r="DZ100" i="162"/>
  <c r="DY100" i="162"/>
  <c r="DX100" i="162"/>
  <c r="DW100" i="162"/>
  <c r="DV100" i="162"/>
  <c r="DU100" i="162"/>
  <c r="DT100" i="162"/>
  <c r="DS100" i="162"/>
  <c r="DR100" i="162"/>
  <c r="EA99" i="162"/>
  <c r="DZ99" i="162"/>
  <c r="DY99" i="162"/>
  <c r="DX99" i="162"/>
  <c r="DW99" i="162"/>
  <c r="DV99" i="162"/>
  <c r="DU99" i="162"/>
  <c r="DT99" i="162"/>
  <c r="DS99" i="162"/>
  <c r="DR99" i="162"/>
  <c r="EA98" i="162"/>
  <c r="DZ98" i="162"/>
  <c r="DY98" i="162"/>
  <c r="DX98" i="162"/>
  <c r="DW98" i="162"/>
  <c r="DV98" i="162"/>
  <c r="DU98" i="162"/>
  <c r="DT98" i="162"/>
  <c r="DS98" i="162"/>
  <c r="DR98" i="162"/>
  <c r="EA97" i="162"/>
  <c r="DZ97" i="162"/>
  <c r="DY97" i="162"/>
  <c r="DX97" i="162"/>
  <c r="DW97" i="162"/>
  <c r="DV97" i="162"/>
  <c r="DU97" i="162"/>
  <c r="DT97" i="162"/>
  <c r="DS97" i="162"/>
  <c r="DR97" i="162"/>
  <c r="EA96" i="162"/>
  <c r="DZ96" i="162"/>
  <c r="DY96" i="162"/>
  <c r="DX96" i="162"/>
  <c r="DW96" i="162"/>
  <c r="DV96" i="162"/>
  <c r="DU96" i="162"/>
  <c r="DT96" i="162"/>
  <c r="DS96" i="162"/>
  <c r="DR96" i="162"/>
  <c r="EA95" i="162"/>
  <c r="DZ95" i="162"/>
  <c r="DY95" i="162"/>
  <c r="DX95" i="162"/>
  <c r="DW95" i="162"/>
  <c r="DV95" i="162"/>
  <c r="DU95" i="162"/>
  <c r="DT95" i="162"/>
  <c r="DS95" i="162"/>
  <c r="DR95" i="162"/>
  <c r="EA94" i="162"/>
  <c r="DZ94" i="162"/>
  <c r="DY94" i="162"/>
  <c r="DX94" i="162"/>
  <c r="DW94" i="162"/>
  <c r="DV94" i="162"/>
  <c r="DU94" i="162"/>
  <c r="DT94" i="162"/>
  <c r="DS94" i="162"/>
  <c r="DR94" i="162"/>
  <c r="EA93" i="162"/>
  <c r="DZ93" i="162"/>
  <c r="DY93" i="162"/>
  <c r="DX93" i="162"/>
  <c r="DW93" i="162"/>
  <c r="DV93" i="162"/>
  <c r="DU93" i="162"/>
  <c r="DT93" i="162"/>
  <c r="DS93" i="162"/>
  <c r="DR93" i="162"/>
  <c r="EA92" i="162"/>
  <c r="DZ92" i="162"/>
  <c r="DY92" i="162"/>
  <c r="DX92" i="162"/>
  <c r="DW92" i="162"/>
  <c r="DV92" i="162"/>
  <c r="DU92" i="162"/>
  <c r="DT92" i="162"/>
  <c r="DS92" i="162"/>
  <c r="DR92" i="162"/>
  <c r="EA91" i="162"/>
  <c r="DZ91" i="162"/>
  <c r="DY91" i="162"/>
  <c r="DX91" i="162"/>
  <c r="DW91" i="162"/>
  <c r="DV91" i="162"/>
  <c r="DU91" i="162"/>
  <c r="DT91" i="162"/>
  <c r="DS91" i="162"/>
  <c r="DR91" i="162"/>
  <c r="EA90" i="162"/>
  <c r="DZ90" i="162"/>
  <c r="DY90" i="162"/>
  <c r="DX90" i="162"/>
  <c r="DW90" i="162"/>
  <c r="DV90" i="162"/>
  <c r="DU90" i="162"/>
  <c r="DT90" i="162"/>
  <c r="DS90" i="162"/>
  <c r="DR90" i="162"/>
  <c r="EA89" i="162"/>
  <c r="DZ89" i="162"/>
  <c r="DY89" i="162"/>
  <c r="DX89" i="162"/>
  <c r="DW89" i="162"/>
  <c r="DV89" i="162"/>
  <c r="DU89" i="162"/>
  <c r="DT89" i="162"/>
  <c r="DS89" i="162"/>
  <c r="DR89" i="162"/>
  <c r="EA88" i="162"/>
  <c r="DZ88" i="162"/>
  <c r="DY88" i="162"/>
  <c r="DX88" i="162"/>
  <c r="DW88" i="162"/>
  <c r="DV88" i="162"/>
  <c r="DU88" i="162"/>
  <c r="DT88" i="162"/>
  <c r="DS88" i="162"/>
  <c r="DR88" i="162"/>
  <c r="EA87" i="162"/>
  <c r="DZ87" i="162"/>
  <c r="DY87" i="162"/>
  <c r="DX87" i="162"/>
  <c r="DW87" i="162"/>
  <c r="DV87" i="162"/>
  <c r="DU87" i="162"/>
  <c r="DT87" i="162"/>
  <c r="DS87" i="162"/>
  <c r="DR87" i="162"/>
  <c r="EA86" i="162"/>
  <c r="DZ86" i="162"/>
  <c r="DY86" i="162"/>
  <c r="DX86" i="162"/>
  <c r="DW86" i="162"/>
  <c r="DV86" i="162"/>
  <c r="DU86" i="162"/>
  <c r="DT86" i="162"/>
  <c r="DS86" i="162"/>
  <c r="DR86" i="162"/>
  <c r="EA85" i="162"/>
  <c r="DZ85" i="162"/>
  <c r="DY85" i="162"/>
  <c r="DX85" i="162"/>
  <c r="DW85" i="162"/>
  <c r="DV85" i="162"/>
  <c r="DU85" i="162"/>
  <c r="DT85" i="162"/>
  <c r="DS85" i="162"/>
  <c r="DR85" i="162"/>
  <c r="EA84" i="162"/>
  <c r="DZ84" i="162"/>
  <c r="DY84" i="162"/>
  <c r="DX84" i="162"/>
  <c r="DW84" i="162"/>
  <c r="DV84" i="162"/>
  <c r="DU84" i="162"/>
  <c r="DT84" i="162"/>
  <c r="DS84" i="162"/>
  <c r="DR84" i="162"/>
  <c r="EA83" i="162"/>
  <c r="DZ83" i="162"/>
  <c r="DY83" i="162"/>
  <c r="DX83" i="162"/>
  <c r="DW83" i="162"/>
  <c r="DV83" i="162"/>
  <c r="DU83" i="162"/>
  <c r="DT83" i="162"/>
  <c r="DS83" i="162"/>
  <c r="DR83" i="162"/>
  <c r="EA82" i="162"/>
  <c r="DZ82" i="162"/>
  <c r="DY82" i="162"/>
  <c r="DX82" i="162"/>
  <c r="DW82" i="162"/>
  <c r="DV82" i="162"/>
  <c r="DU82" i="162"/>
  <c r="DT82" i="162"/>
  <c r="DS82" i="162"/>
  <c r="DR82" i="162"/>
  <c r="EA81" i="162"/>
  <c r="DZ81" i="162"/>
  <c r="DY81" i="162"/>
  <c r="DX81" i="162"/>
  <c r="DW81" i="162"/>
  <c r="DV81" i="162"/>
  <c r="DU81" i="162"/>
  <c r="DT81" i="162"/>
  <c r="DS81" i="162"/>
  <c r="DR81" i="162"/>
  <c r="EA80" i="162"/>
  <c r="DZ80" i="162"/>
  <c r="DY80" i="162"/>
  <c r="DX80" i="162"/>
  <c r="DW80" i="162"/>
  <c r="DV80" i="162"/>
  <c r="DU80" i="162"/>
  <c r="DT80" i="162"/>
  <c r="DS80" i="162"/>
  <c r="DR80" i="162"/>
  <c r="EA79" i="162"/>
  <c r="DZ79" i="162"/>
  <c r="DY79" i="162"/>
  <c r="DX79" i="162"/>
  <c r="DW79" i="162"/>
  <c r="DV79" i="162"/>
  <c r="DU79" i="162"/>
  <c r="DT79" i="162"/>
  <c r="DS79" i="162"/>
  <c r="DR79" i="162"/>
  <c r="EA78" i="162"/>
  <c r="DZ78" i="162"/>
  <c r="DY78" i="162"/>
  <c r="DX78" i="162"/>
  <c r="DW78" i="162"/>
  <c r="DV78" i="162"/>
  <c r="DU78" i="162"/>
  <c r="DT78" i="162"/>
  <c r="DS78" i="162"/>
  <c r="DR78" i="162"/>
  <c r="EA77" i="162"/>
  <c r="DZ77" i="162"/>
  <c r="DY77" i="162"/>
  <c r="DX77" i="162"/>
  <c r="DW77" i="162"/>
  <c r="DV77" i="162"/>
  <c r="DU77" i="162"/>
  <c r="DT77" i="162"/>
  <c r="DS77" i="162"/>
  <c r="DR77" i="162"/>
  <c r="EA76" i="162"/>
  <c r="DZ76" i="162"/>
  <c r="DY76" i="162"/>
  <c r="DX76" i="162"/>
  <c r="DW76" i="162"/>
  <c r="DV76" i="162"/>
  <c r="DU76" i="162"/>
  <c r="DT76" i="162"/>
  <c r="DS76" i="162"/>
  <c r="DR76" i="162"/>
  <c r="EA75" i="162"/>
  <c r="DZ75" i="162"/>
  <c r="DY75" i="162"/>
  <c r="DX75" i="162"/>
  <c r="DW75" i="162"/>
  <c r="DV75" i="162"/>
  <c r="DU75" i="162"/>
  <c r="DT75" i="162"/>
  <c r="DS75" i="162"/>
  <c r="DR75" i="162"/>
  <c r="EA74" i="162"/>
  <c r="DZ74" i="162"/>
  <c r="DY74" i="162"/>
  <c r="DX74" i="162"/>
  <c r="DW74" i="162"/>
  <c r="DV74" i="162"/>
  <c r="DU74" i="162"/>
  <c r="DT74" i="162"/>
  <c r="DS74" i="162"/>
  <c r="DR74" i="162"/>
  <c r="EA73" i="162"/>
  <c r="DZ73" i="162"/>
  <c r="DY73" i="162"/>
  <c r="DX73" i="162"/>
  <c r="DW73" i="162"/>
  <c r="DV73" i="162"/>
  <c r="DU73" i="162"/>
  <c r="DT73" i="162"/>
  <c r="DS73" i="162"/>
  <c r="DR73" i="162"/>
  <c r="EA72" i="162"/>
  <c r="DZ72" i="162"/>
  <c r="DY72" i="162"/>
  <c r="DX72" i="162"/>
  <c r="DW72" i="162"/>
  <c r="DV72" i="162"/>
  <c r="DU72" i="162"/>
  <c r="DT72" i="162"/>
  <c r="DS72" i="162"/>
  <c r="DR72" i="162"/>
  <c r="EA71" i="162"/>
  <c r="DZ71" i="162"/>
  <c r="DY71" i="162"/>
  <c r="DX71" i="162"/>
  <c r="DW71" i="162"/>
  <c r="DV71" i="162"/>
  <c r="DU71" i="162"/>
  <c r="DT71" i="162"/>
  <c r="DS71" i="162"/>
  <c r="DR71" i="162"/>
  <c r="EA70" i="162"/>
  <c r="DZ70" i="162"/>
  <c r="DY70" i="162"/>
  <c r="DX70" i="162"/>
  <c r="DW70" i="162"/>
  <c r="DV70" i="162"/>
  <c r="DU70" i="162"/>
  <c r="DT70" i="162"/>
  <c r="DS70" i="162"/>
  <c r="DR70" i="162"/>
  <c r="EA69" i="162"/>
  <c r="DZ69" i="162"/>
  <c r="DY69" i="162"/>
  <c r="DX69" i="162"/>
  <c r="DW69" i="162"/>
  <c r="DV69" i="162"/>
  <c r="DU69" i="162"/>
  <c r="DT69" i="162"/>
  <c r="DS69" i="162"/>
  <c r="DR69" i="162"/>
  <c r="EA12" i="162"/>
  <c r="DZ12" i="162"/>
  <c r="DY12" i="162"/>
  <c r="DX12" i="162"/>
  <c r="DW12" i="162"/>
  <c r="DV12" i="162"/>
  <c r="DU12" i="162"/>
  <c r="DT12" i="162"/>
  <c r="DS12" i="162"/>
  <c r="DR12" i="162"/>
  <c r="EA68" i="162"/>
  <c r="DZ68" i="162"/>
  <c r="DY68" i="162"/>
  <c r="DX68" i="162"/>
  <c r="DW68" i="162"/>
  <c r="DV68" i="162"/>
  <c r="DU68" i="162"/>
  <c r="DT68" i="162"/>
  <c r="DS68" i="162"/>
  <c r="DR68" i="162"/>
  <c r="EA67" i="162"/>
  <c r="DZ67" i="162"/>
  <c r="DY67" i="162"/>
  <c r="DX67" i="162"/>
  <c r="DW67" i="162"/>
  <c r="DV67" i="162"/>
  <c r="DU67" i="162"/>
  <c r="DT67" i="162"/>
  <c r="DS67" i="162"/>
  <c r="DR67" i="162"/>
  <c r="EA66" i="162"/>
  <c r="DZ66" i="162"/>
  <c r="DY66" i="162"/>
  <c r="DX66" i="162"/>
  <c r="DW66" i="162"/>
  <c r="DV66" i="162"/>
  <c r="DU66" i="162"/>
  <c r="DT66" i="162"/>
  <c r="DS66" i="162"/>
  <c r="DR66" i="162"/>
  <c r="EA65" i="162"/>
  <c r="DZ65" i="162"/>
  <c r="DY65" i="162"/>
  <c r="DX65" i="162"/>
  <c r="DW65" i="162"/>
  <c r="DV65" i="162"/>
  <c r="DU65" i="162"/>
  <c r="DT65" i="162"/>
  <c r="DS65" i="162"/>
  <c r="DR65" i="162"/>
  <c r="EA64" i="162"/>
  <c r="DZ64" i="162"/>
  <c r="DY64" i="162"/>
  <c r="DX64" i="162"/>
  <c r="DW64" i="162"/>
  <c r="DV64" i="162"/>
  <c r="DU64" i="162"/>
  <c r="DT64" i="162"/>
  <c r="DS64" i="162"/>
  <c r="DR64" i="162"/>
  <c r="EA63" i="162"/>
  <c r="DZ63" i="162"/>
  <c r="DY63" i="162"/>
  <c r="DX63" i="162"/>
  <c r="DW63" i="162"/>
  <c r="DV63" i="162"/>
  <c r="DU63" i="162"/>
  <c r="DT63" i="162"/>
  <c r="DS63" i="162"/>
  <c r="DR63" i="162"/>
  <c r="EA62" i="162"/>
  <c r="DZ62" i="162"/>
  <c r="DY62" i="162"/>
  <c r="DX62" i="162"/>
  <c r="DW62" i="162"/>
  <c r="DV62" i="162"/>
  <c r="DU62" i="162"/>
  <c r="DT62" i="162"/>
  <c r="DS62" i="162"/>
  <c r="DR62" i="162"/>
  <c r="EA61" i="162"/>
  <c r="DZ61" i="162"/>
  <c r="DY61" i="162"/>
  <c r="DX61" i="162"/>
  <c r="DW61" i="162"/>
  <c r="DV61" i="162"/>
  <c r="DU61" i="162"/>
  <c r="DT61" i="162"/>
  <c r="DS61" i="162"/>
  <c r="DR61" i="162"/>
  <c r="EA60" i="162"/>
  <c r="DZ60" i="162"/>
  <c r="DY60" i="162"/>
  <c r="DX60" i="162"/>
  <c r="DW60" i="162"/>
  <c r="DV60" i="162"/>
  <c r="DU60" i="162"/>
  <c r="DT60" i="162"/>
  <c r="DS60" i="162"/>
  <c r="DR60" i="162"/>
  <c r="EA59" i="162"/>
  <c r="DZ59" i="162"/>
  <c r="DY59" i="162"/>
  <c r="DX59" i="162"/>
  <c r="DW59" i="162"/>
  <c r="DV59" i="162"/>
  <c r="DU59" i="162"/>
  <c r="DT59" i="162"/>
  <c r="DS59" i="162"/>
  <c r="DR59" i="162"/>
  <c r="EA58" i="162"/>
  <c r="DZ58" i="162"/>
  <c r="DY58" i="162"/>
  <c r="DX58" i="162"/>
  <c r="DW58" i="162"/>
  <c r="DV58" i="162"/>
  <c r="DU58" i="162"/>
  <c r="DT58" i="162"/>
  <c r="DS58" i="162"/>
  <c r="DR58" i="162"/>
  <c r="EA57" i="162"/>
  <c r="DZ57" i="162"/>
  <c r="DY57" i="162"/>
  <c r="DX57" i="162"/>
  <c r="DW57" i="162"/>
  <c r="DV57" i="162"/>
  <c r="DU57" i="162"/>
  <c r="DT57" i="162"/>
  <c r="DS57" i="162"/>
  <c r="DR57" i="162"/>
  <c r="EA56" i="162"/>
  <c r="DZ56" i="162"/>
  <c r="DY56" i="162"/>
  <c r="DX56" i="162"/>
  <c r="DW56" i="162"/>
  <c r="DV56" i="162"/>
  <c r="DU56" i="162"/>
  <c r="DT56" i="162"/>
  <c r="DS56" i="162"/>
  <c r="DR56" i="162"/>
  <c r="EA55" i="162"/>
  <c r="DZ55" i="162"/>
  <c r="DY55" i="162"/>
  <c r="DX55" i="162"/>
  <c r="DW55" i="162"/>
  <c r="DV55" i="162"/>
  <c r="DU55" i="162"/>
  <c r="DT55" i="162"/>
  <c r="DS55" i="162"/>
  <c r="DR55" i="162"/>
  <c r="EA54" i="162"/>
  <c r="DZ54" i="162"/>
  <c r="DY54" i="162"/>
  <c r="DX54" i="162"/>
  <c r="DW54" i="162"/>
  <c r="DV54" i="162"/>
  <c r="DU54" i="162"/>
  <c r="DT54" i="162"/>
  <c r="DS54" i="162"/>
  <c r="DR54" i="162"/>
  <c r="EA53" i="162"/>
  <c r="DZ53" i="162"/>
  <c r="DY53" i="162"/>
  <c r="DX53" i="162"/>
  <c r="DW53" i="162"/>
  <c r="DV53" i="162"/>
  <c r="DU53" i="162"/>
  <c r="DT53" i="162"/>
  <c r="DS53" i="162"/>
  <c r="DR53" i="162"/>
  <c r="EA52" i="162"/>
  <c r="DZ52" i="162"/>
  <c r="DY52" i="162"/>
  <c r="DX52" i="162"/>
  <c r="DW52" i="162"/>
  <c r="DV52" i="162"/>
  <c r="DU52" i="162"/>
  <c r="DT52" i="162"/>
  <c r="DS52" i="162"/>
  <c r="DR52" i="162"/>
  <c r="EA51" i="162"/>
  <c r="DZ51" i="162"/>
  <c r="DY51" i="162"/>
  <c r="DX51" i="162"/>
  <c r="DW51" i="162"/>
  <c r="DV51" i="162"/>
  <c r="DU51" i="162"/>
  <c r="DT51" i="162"/>
  <c r="DS51" i="162"/>
  <c r="DR51" i="162"/>
  <c r="EA50" i="162"/>
  <c r="DZ50" i="162"/>
  <c r="DY50" i="162"/>
  <c r="DX50" i="162"/>
  <c r="DW50" i="162"/>
  <c r="DV50" i="162"/>
  <c r="DU50" i="162"/>
  <c r="DT50" i="162"/>
  <c r="DS50" i="162"/>
  <c r="DR50" i="162"/>
  <c r="EA49" i="162"/>
  <c r="DZ49" i="162"/>
  <c r="DY49" i="162"/>
  <c r="DX49" i="162"/>
  <c r="DW49" i="162"/>
  <c r="DV49" i="162"/>
  <c r="DU49" i="162"/>
  <c r="DT49" i="162"/>
  <c r="DS49" i="162"/>
  <c r="DR49" i="162"/>
  <c r="EA48" i="162"/>
  <c r="DZ48" i="162"/>
  <c r="DY48" i="162"/>
  <c r="DX48" i="162"/>
  <c r="DW48" i="162"/>
  <c r="DV48" i="162"/>
  <c r="DU48" i="162"/>
  <c r="DT48" i="162"/>
  <c r="DS48" i="162"/>
  <c r="DR48" i="162"/>
  <c r="EA47" i="162"/>
  <c r="DZ47" i="162"/>
  <c r="DY47" i="162"/>
  <c r="DX47" i="162"/>
  <c r="DW47" i="162"/>
  <c r="DV47" i="162"/>
  <c r="DU47" i="162"/>
  <c r="DT47" i="162"/>
  <c r="DS47" i="162"/>
  <c r="DR47" i="162"/>
  <c r="EA46" i="162"/>
  <c r="DZ46" i="162"/>
  <c r="DY46" i="162"/>
  <c r="DX46" i="162"/>
  <c r="DW46" i="162"/>
  <c r="DV46" i="162"/>
  <c r="DU46" i="162"/>
  <c r="DT46" i="162"/>
  <c r="DS46" i="162"/>
  <c r="DR46" i="162"/>
  <c r="EA45" i="162"/>
  <c r="DZ45" i="162"/>
  <c r="DY45" i="162"/>
  <c r="DX45" i="162"/>
  <c r="DW45" i="162"/>
  <c r="DV45" i="162"/>
  <c r="DU45" i="162"/>
  <c r="DT45" i="162"/>
  <c r="DS45" i="162"/>
  <c r="DR45" i="162"/>
  <c r="EA44" i="162"/>
  <c r="DZ44" i="162"/>
  <c r="DY44" i="162"/>
  <c r="DX44" i="162"/>
  <c r="DW44" i="162"/>
  <c r="DV44" i="162"/>
  <c r="DU44" i="162"/>
  <c r="DT44" i="162"/>
  <c r="DS44" i="162"/>
  <c r="DR44" i="162"/>
  <c r="EA43" i="162"/>
  <c r="DZ43" i="162"/>
  <c r="DY43" i="162"/>
  <c r="DX43" i="162"/>
  <c r="DW43" i="162"/>
  <c r="DV43" i="162"/>
  <c r="DU43" i="162"/>
  <c r="DT43" i="162"/>
  <c r="DS43" i="162"/>
  <c r="DR43" i="162"/>
  <c r="EA42" i="162"/>
  <c r="DZ42" i="162"/>
  <c r="DY42" i="162"/>
  <c r="DX42" i="162"/>
  <c r="DW42" i="162"/>
  <c r="DV42" i="162"/>
  <c r="DU42" i="162"/>
  <c r="DT42" i="162"/>
  <c r="DS42" i="162"/>
  <c r="DR42" i="162"/>
  <c r="EA41" i="162"/>
  <c r="DZ41" i="162"/>
  <c r="DY41" i="162"/>
  <c r="DX41" i="162"/>
  <c r="DW41" i="162"/>
  <c r="DV41" i="162"/>
  <c r="DU41" i="162"/>
  <c r="DT41" i="162"/>
  <c r="DS41" i="162"/>
  <c r="DR41" i="162"/>
  <c r="EA40" i="162"/>
  <c r="DZ40" i="162"/>
  <c r="DY40" i="162"/>
  <c r="DX40" i="162"/>
  <c r="DW40" i="162"/>
  <c r="DV40" i="162"/>
  <c r="DU40" i="162"/>
  <c r="DT40" i="162"/>
  <c r="DS40" i="162"/>
  <c r="DR40" i="162"/>
  <c r="EA39" i="162"/>
  <c r="DZ39" i="162"/>
  <c r="DY39" i="162"/>
  <c r="DX39" i="162"/>
  <c r="DW39" i="162"/>
  <c r="DV39" i="162"/>
  <c r="DU39" i="162"/>
  <c r="DT39" i="162"/>
  <c r="DS39" i="162"/>
  <c r="DR39" i="162"/>
  <c r="EA38" i="162"/>
  <c r="DZ38" i="162"/>
  <c r="DY38" i="162"/>
  <c r="DX38" i="162"/>
  <c r="DW38" i="162"/>
  <c r="DV38" i="162"/>
  <c r="DU38" i="162"/>
  <c r="DT38" i="162"/>
  <c r="DS38" i="162"/>
  <c r="DR38" i="162"/>
  <c r="EA37" i="162"/>
  <c r="DZ37" i="162"/>
  <c r="DY37" i="162"/>
  <c r="DX37" i="162"/>
  <c r="DW37" i="162"/>
  <c r="DV37" i="162"/>
  <c r="DU37" i="162"/>
  <c r="DT37" i="162"/>
  <c r="DS37" i="162"/>
  <c r="DR37" i="162"/>
  <c r="EA36" i="162"/>
  <c r="DZ36" i="162"/>
  <c r="DY36" i="162"/>
  <c r="DX36" i="162"/>
  <c r="DW36" i="162"/>
  <c r="DV36" i="162"/>
  <c r="DU36" i="162"/>
  <c r="DT36" i="162"/>
  <c r="DS36" i="162"/>
  <c r="DR36" i="162"/>
  <c r="EA35" i="162"/>
  <c r="DZ35" i="162"/>
  <c r="DY35" i="162"/>
  <c r="DX35" i="162"/>
  <c r="DW35" i="162"/>
  <c r="DV35" i="162"/>
  <c r="DU35" i="162"/>
  <c r="DT35" i="162"/>
  <c r="DS35" i="162"/>
  <c r="DR35" i="162"/>
  <c r="EA34" i="162"/>
  <c r="DZ34" i="162"/>
  <c r="DY34" i="162"/>
  <c r="DX34" i="162"/>
  <c r="DW34" i="162"/>
  <c r="DV34" i="162"/>
  <c r="DU34" i="162"/>
  <c r="DT34" i="162"/>
  <c r="DS34" i="162"/>
  <c r="DR34" i="162"/>
  <c r="EA33" i="162"/>
  <c r="DZ33" i="162"/>
  <c r="DY33" i="162"/>
  <c r="DX33" i="162"/>
  <c r="DW33" i="162"/>
  <c r="DV33" i="162"/>
  <c r="DU33" i="162"/>
  <c r="DT33" i="162"/>
  <c r="DS33" i="162"/>
  <c r="DR33" i="162"/>
  <c r="EA32" i="162"/>
  <c r="DZ32" i="162"/>
  <c r="DY32" i="162"/>
  <c r="DX32" i="162"/>
  <c r="DW32" i="162"/>
  <c r="DV32" i="162"/>
  <c r="DU32" i="162"/>
  <c r="DT32" i="162"/>
  <c r="DS32" i="162"/>
  <c r="DR32" i="162"/>
  <c r="EA31" i="162"/>
  <c r="DZ31" i="162"/>
  <c r="DY31" i="162"/>
  <c r="DX31" i="162"/>
  <c r="DW31" i="162"/>
  <c r="DV31" i="162"/>
  <c r="DU31" i="162"/>
  <c r="DT31" i="162"/>
  <c r="DS31" i="162"/>
  <c r="DR31" i="162"/>
  <c r="EA30" i="162"/>
  <c r="DZ30" i="162"/>
  <c r="DY30" i="162"/>
  <c r="DX30" i="162"/>
  <c r="DW30" i="162"/>
  <c r="DV30" i="162"/>
  <c r="DU30" i="162"/>
  <c r="DT30" i="162"/>
  <c r="DS30" i="162"/>
  <c r="DR30" i="162"/>
  <c r="EA29" i="162"/>
  <c r="DZ29" i="162"/>
  <c r="DY29" i="162"/>
  <c r="DX29" i="162"/>
  <c r="DW29" i="162"/>
  <c r="DV29" i="162"/>
  <c r="DU29" i="162"/>
  <c r="DT29" i="162"/>
  <c r="DS29" i="162"/>
  <c r="DR29" i="162"/>
  <c r="EA28" i="162"/>
  <c r="DZ28" i="162"/>
  <c r="DY28" i="162"/>
  <c r="DX28" i="162"/>
  <c r="DW28" i="162"/>
  <c r="DV28" i="162"/>
  <c r="DU28" i="162"/>
  <c r="DT28" i="162"/>
  <c r="DS28" i="162"/>
  <c r="DR28" i="162"/>
  <c r="EA27" i="162"/>
  <c r="DZ27" i="162"/>
  <c r="DY27" i="162"/>
  <c r="DX27" i="162"/>
  <c r="DW27" i="162"/>
  <c r="DV27" i="162"/>
  <c r="DU27" i="162"/>
  <c r="DT27" i="162"/>
  <c r="DS27" i="162"/>
  <c r="DR27" i="162"/>
  <c r="EA26" i="162"/>
  <c r="DZ26" i="162"/>
  <c r="DY26" i="162"/>
  <c r="DX26" i="162"/>
  <c r="DW26" i="162"/>
  <c r="DV26" i="162"/>
  <c r="DU26" i="162"/>
  <c r="DT26" i="162"/>
  <c r="DS26" i="162"/>
  <c r="DR26" i="162"/>
  <c r="EA25" i="162"/>
  <c r="DZ25" i="162"/>
  <c r="DY25" i="162"/>
  <c r="DX25" i="162"/>
  <c r="DW25" i="162"/>
  <c r="DV25" i="162"/>
  <c r="DU25" i="162"/>
  <c r="DT25" i="162"/>
  <c r="DS25" i="162"/>
  <c r="DR25" i="162"/>
  <c r="EA24" i="162"/>
  <c r="DZ24" i="162"/>
  <c r="DY24" i="162"/>
  <c r="DX24" i="162"/>
  <c r="DW24" i="162"/>
  <c r="DV24" i="162"/>
  <c r="DU24" i="162"/>
  <c r="DT24" i="162"/>
  <c r="DS24" i="162"/>
  <c r="DR24" i="162"/>
  <c r="EA23" i="162"/>
  <c r="DZ23" i="162"/>
  <c r="DY23" i="162"/>
  <c r="DX23" i="162"/>
  <c r="DW23" i="162"/>
  <c r="DV23" i="162"/>
  <c r="DU23" i="162"/>
  <c r="DT23" i="162"/>
  <c r="DS23" i="162"/>
  <c r="DR23" i="162"/>
  <c r="EA22" i="162"/>
  <c r="DZ22" i="162"/>
  <c r="DY22" i="162"/>
  <c r="DX22" i="162"/>
  <c r="DW22" i="162"/>
  <c r="DV22" i="162"/>
  <c r="DU22" i="162"/>
  <c r="DT22" i="162"/>
  <c r="DS22" i="162"/>
  <c r="DR22" i="162"/>
  <c r="EA21" i="162"/>
  <c r="DZ21" i="162"/>
  <c r="DY21" i="162"/>
  <c r="DX21" i="162"/>
  <c r="DW21" i="162"/>
  <c r="DV21" i="162"/>
  <c r="DU21" i="162"/>
  <c r="DT21" i="162"/>
  <c r="DS21" i="162"/>
  <c r="DR21" i="162"/>
  <c r="EA20" i="162"/>
  <c r="DZ20" i="162"/>
  <c r="DY20" i="162"/>
  <c r="DX20" i="162"/>
  <c r="DW20" i="162"/>
  <c r="DV20" i="162"/>
  <c r="DU20" i="162"/>
  <c r="DT20" i="162"/>
  <c r="DS20" i="162"/>
  <c r="DR20" i="162"/>
  <c r="EA19" i="162"/>
  <c r="DZ19" i="162"/>
  <c r="DY19" i="162"/>
  <c r="DX19" i="162"/>
  <c r="DW19" i="162"/>
  <c r="DV19" i="162"/>
  <c r="DU19" i="162"/>
  <c r="DT19" i="162"/>
  <c r="DS19" i="162"/>
  <c r="DR19" i="162"/>
  <c r="EA18" i="162"/>
  <c r="DZ18" i="162"/>
  <c r="DY18" i="162"/>
  <c r="DX18" i="162"/>
  <c r="DW18" i="162"/>
  <c r="DV18" i="162"/>
  <c r="DU18" i="162"/>
  <c r="DT18" i="162"/>
  <c r="DS18" i="162"/>
  <c r="DR18" i="162"/>
  <c r="EA16" i="162"/>
  <c r="DZ16" i="162"/>
  <c r="DY16" i="162"/>
  <c r="DX16" i="162"/>
  <c r="DW16" i="162"/>
  <c r="DV16" i="162"/>
  <c r="DU16" i="162"/>
  <c r="DT16" i="162"/>
  <c r="DS16" i="162"/>
  <c r="DR16" i="162"/>
  <c r="EA17" i="162"/>
  <c r="DZ17" i="162"/>
  <c r="DY17" i="162"/>
  <c r="DX17" i="162"/>
  <c r="DW17" i="162"/>
  <c r="DV17" i="162"/>
  <c r="DU17" i="162"/>
  <c r="DT17" i="162"/>
  <c r="DS17" i="162"/>
  <c r="DR17" i="162"/>
  <c r="EA15" i="162"/>
  <c r="DZ15" i="162"/>
  <c r="DY15" i="162"/>
  <c r="DX15" i="162"/>
  <c r="DW15" i="162"/>
  <c r="DV15" i="162"/>
  <c r="DU15" i="162"/>
  <c r="DT15" i="162"/>
  <c r="DS15" i="162"/>
  <c r="DR15" i="162"/>
  <c r="EA14" i="162"/>
  <c r="DZ14" i="162"/>
  <c r="DY14" i="162"/>
  <c r="DX14" i="162"/>
  <c r="DW14" i="162"/>
  <c r="DV14" i="162"/>
  <c r="DU14" i="162"/>
  <c r="DT14" i="162"/>
  <c r="DS14" i="162"/>
  <c r="DR14" i="162"/>
  <c r="EA13" i="162"/>
  <c r="DZ13" i="162"/>
  <c r="DY13" i="162"/>
  <c r="DX13" i="162"/>
  <c r="DW13" i="162"/>
  <c r="DV13" i="162"/>
  <c r="DU13" i="162"/>
  <c r="DT13" i="162"/>
  <c r="DS13" i="162"/>
  <c r="DR13" i="162"/>
  <c r="EA11" i="162"/>
  <c r="DZ11" i="162"/>
  <c r="DY11" i="162"/>
  <c r="DX11" i="162"/>
  <c r="DW11" i="162"/>
  <c r="DV11" i="162"/>
  <c r="DU11" i="162"/>
  <c r="DT11" i="162"/>
  <c r="DS11" i="162"/>
  <c r="DR11" i="162"/>
  <c r="EA10" i="162"/>
  <c r="DZ10" i="162"/>
  <c r="DY10" i="162"/>
  <c r="DX10" i="162"/>
  <c r="DW10" i="162"/>
  <c r="DV10" i="162"/>
  <c r="DU10" i="162"/>
  <c r="DT10" i="162"/>
  <c r="DS10" i="162"/>
  <c r="DR10" i="162"/>
  <c r="EA9" i="162"/>
  <c r="DZ9" i="162"/>
  <c r="DY9" i="162"/>
  <c r="DX9" i="162"/>
  <c r="DW9" i="162"/>
  <c r="DV9" i="162"/>
  <c r="DU9" i="162"/>
  <c r="DT9" i="162"/>
  <c r="DS9" i="162"/>
  <c r="DR9" i="162"/>
  <c r="EA8" i="162"/>
  <c r="DZ8" i="162"/>
  <c r="DY8" i="162"/>
  <c r="DX8" i="162"/>
  <c r="DW8" i="162"/>
  <c r="DV8" i="162"/>
  <c r="DU8" i="162"/>
  <c r="DT8" i="162"/>
  <c r="DS8" i="162"/>
  <c r="DR8" i="162"/>
  <c r="EA7" i="162"/>
  <c r="DZ7" i="162"/>
  <c r="DY7" i="162"/>
  <c r="DX7" i="162"/>
  <c r="DW7" i="162"/>
  <c r="DV7" i="162"/>
  <c r="DU7" i="162"/>
  <c r="DT7" i="162"/>
  <c r="DS7" i="162"/>
  <c r="DR7" i="162"/>
  <c r="EA6" i="162"/>
  <c r="DZ6" i="162"/>
  <c r="DY6" i="162"/>
  <c r="DX6" i="162"/>
  <c r="DW6" i="162"/>
  <c r="DV6" i="162"/>
  <c r="DU6" i="162"/>
  <c r="DT6" i="162"/>
  <c r="DS6" i="162"/>
  <c r="DR6" i="162"/>
  <c r="EA5" i="162"/>
  <c r="DZ5" i="162"/>
  <c r="DY5" i="162"/>
  <c r="DX5" i="162"/>
  <c r="DW5" i="162"/>
  <c r="DV5" i="162"/>
  <c r="DU5" i="162"/>
  <c r="DT5" i="162"/>
  <c r="DS5" i="162"/>
  <c r="DR5" i="162"/>
  <c r="EA4" i="162"/>
  <c r="DZ4" i="162"/>
  <c r="DY4" i="162"/>
  <c r="DX4" i="162"/>
  <c r="DW4" i="162"/>
  <c r="DV4" i="162"/>
  <c r="DU4" i="162"/>
  <c r="DT4" i="162"/>
  <c r="DS4" i="162"/>
  <c r="DR4" i="162"/>
  <c r="EA3" i="162"/>
  <c r="DZ3" i="162"/>
  <c r="DY3" i="162"/>
  <c r="DX3" i="162"/>
  <c r="DW3" i="162"/>
  <c r="DV3" i="162"/>
  <c r="DU3" i="162"/>
  <c r="DT3" i="162"/>
  <c r="DS3" i="162"/>
  <c r="DR3" i="162"/>
  <c r="EA2" i="162"/>
  <c r="DZ2" i="162"/>
  <c r="DY2" i="162"/>
  <c r="DX2" i="162"/>
  <c r="DW2" i="162"/>
  <c r="DV2" i="162"/>
  <c r="DU2" i="162"/>
  <c r="DT2" i="162"/>
  <c r="DS2" i="162"/>
  <c r="DR2" i="162"/>
  <c r="BR550" i="162" l="1"/>
  <c r="BY557" i="162" s="1"/>
  <c r="BZ558" i="162" s="1"/>
  <c r="D2" i="115" l="1"/>
  <c r="C2" i="115"/>
  <c r="F16" i="115"/>
  <c r="F25" i="115" s="1"/>
  <c r="F17" i="115"/>
  <c r="F26" i="115" s="1"/>
  <c r="F18" i="115"/>
  <c r="F27" i="115" s="1"/>
  <c r="F19" i="115"/>
  <c r="F28" i="115" s="1"/>
  <c r="F20" i="115"/>
  <c r="F29" i="115" s="1"/>
  <c r="F21" i="115"/>
  <c r="F30" i="115" s="1"/>
  <c r="F22" i="115"/>
  <c r="F31" i="115" s="1"/>
  <c r="F23" i="115"/>
  <c r="F32" i="115" s="1"/>
  <c r="F15" i="115"/>
  <c r="F24" i="115" s="1"/>
  <c r="C39" i="115"/>
  <c r="D39" i="115" s="1"/>
  <c r="E39" i="115" s="1"/>
  <c r="C40" i="115"/>
  <c r="D40" i="115" s="1"/>
  <c r="E40" i="115" s="1"/>
  <c r="C41" i="115"/>
  <c r="D41" i="115" s="1"/>
  <c r="E41" i="115" s="1"/>
  <c r="C42" i="115"/>
  <c r="D42" i="115" s="1"/>
  <c r="E42" i="115" s="1"/>
  <c r="C38" i="115"/>
  <c r="D38" i="115" s="1"/>
  <c r="E38" i="115" s="1"/>
  <c r="C34" i="115"/>
  <c r="D34" i="115" s="1"/>
  <c r="E34" i="115" s="1"/>
  <c r="C35" i="115"/>
  <c r="D35" i="115" s="1"/>
  <c r="E35" i="115" s="1"/>
  <c r="C36" i="115"/>
  <c r="D36" i="115" s="1"/>
  <c r="E36" i="115" s="1"/>
  <c r="C37" i="115"/>
  <c r="D37" i="115" s="1"/>
  <c r="E37" i="115" s="1"/>
  <c r="C33" i="115"/>
  <c r="D33" i="115" s="1"/>
  <c r="E33" i="115" s="1"/>
  <c r="D27" i="115"/>
  <c r="E27" i="115" s="1"/>
  <c r="D28" i="115"/>
  <c r="E28" i="115" s="1"/>
  <c r="D29" i="115"/>
  <c r="E29" i="115" s="1"/>
  <c r="D30" i="115"/>
  <c r="E30" i="115" s="1"/>
  <c r="D31" i="115"/>
  <c r="E31" i="115" s="1"/>
  <c r="D32" i="115"/>
  <c r="E32" i="115" s="1"/>
  <c r="C25" i="115"/>
  <c r="D25" i="115" s="1"/>
  <c r="E25" i="115" s="1"/>
  <c r="C16" i="115"/>
  <c r="D16" i="115" s="1"/>
  <c r="E16" i="115" s="1"/>
  <c r="C17" i="115"/>
  <c r="D17" i="115" s="1"/>
  <c r="E17" i="115" s="1"/>
  <c r="C18" i="115"/>
  <c r="D18" i="115" s="1"/>
  <c r="E18" i="115" s="1"/>
  <c r="C19" i="115"/>
  <c r="D19" i="115" s="1"/>
  <c r="E19" i="115" s="1"/>
  <c r="C20" i="115"/>
  <c r="D20" i="115" s="1"/>
  <c r="E20" i="115" s="1"/>
  <c r="C21" i="115"/>
  <c r="D21" i="115" s="1"/>
  <c r="E21" i="115" s="1"/>
  <c r="C22" i="115"/>
  <c r="D22" i="115" s="1"/>
  <c r="E22" i="115" s="1"/>
  <c r="C23" i="115"/>
  <c r="D23" i="115" s="1"/>
  <c r="E23" i="115" s="1"/>
  <c r="E2" i="115"/>
  <c r="F2" i="115"/>
  <c r="D26" i="115"/>
  <c r="E26" i="115" s="1"/>
  <c r="C24" i="115"/>
  <c r="D24" i="115" s="1"/>
  <c r="E24" i="115" s="1"/>
  <c r="C15" i="115"/>
  <c r="D15" i="115" s="1"/>
  <c r="E15" i="115" s="1"/>
  <c r="I23" i="2" a="1"/>
  <c r="I15" i="2" a="1"/>
  <c r="I10" i="2" a="1"/>
  <c r="I11" i="2" a="1"/>
  <c r="I17" i="2" a="1"/>
  <c r="I24" i="2" a="1"/>
  <c r="I16" i="2" a="1"/>
  <c r="I19" i="2" a="1"/>
  <c r="I13" i="2" a="1"/>
  <c r="I21" i="2" a="1"/>
  <c r="I14" i="2" a="1"/>
  <c r="I9" i="2" a="1"/>
  <c r="I12" i="2" a="1"/>
  <c r="I7" i="2" a="1"/>
  <c r="I20" i="2" a="1"/>
  <c r="I22" i="2" a="1"/>
  <c r="I6" i="2" a="1"/>
  <c r="I18" i="2" a="1"/>
  <c r="I8" i="2" a="1"/>
  <c r="I20" i="2" l="1"/>
  <c r="I22" i="2"/>
  <c r="I14" i="2"/>
  <c r="I10" i="2"/>
  <c r="I24" i="2"/>
  <c r="I18" i="2"/>
  <c r="I8" i="2"/>
  <c r="I21" i="2"/>
  <c r="I13" i="2"/>
  <c r="I9" i="2"/>
  <c r="I12" i="2"/>
  <c r="I17" i="2"/>
  <c r="I16" i="2"/>
  <c r="I23" i="2"/>
  <c r="I19" i="2"/>
  <c r="I15" i="2"/>
  <c r="I11" i="2"/>
  <c r="I7" i="2"/>
  <c r="I6" i="2"/>
  <c r="E6" i="115" l="1"/>
  <c r="E3" i="115" l="1"/>
  <c r="E5" i="115"/>
  <c r="E4" i="115" l="1"/>
  <c r="E7" i="115"/>
  <c r="E8" i="115"/>
  <c r="E9" i="115" l="1"/>
  <c r="C6" i="115"/>
  <c r="D6" i="115"/>
  <c r="C5" i="115" l="1"/>
  <c r="C3" i="115" l="1"/>
  <c r="C8" i="115"/>
  <c r="D3" i="115"/>
  <c r="F8" i="115"/>
  <c r="F7" i="115"/>
  <c r="C4" i="115"/>
  <c r="C7" i="115"/>
  <c r="D4" i="115"/>
  <c r="D5" i="115"/>
  <c r="F9" i="115" l="1"/>
  <c r="C9" i="115"/>
  <c r="D7" i="115"/>
  <c r="D8" i="115"/>
  <c r="O29" i="6"/>
  <c r="D9" i="115" l="1"/>
  <c r="E359" i="7" l="1"/>
  <c r="E360" i="7" s="1"/>
  <c r="E361" i="7" s="1"/>
  <c r="E362" i="7" s="1"/>
  <c r="E363" i="7" s="1"/>
  <c r="E364" i="7" s="1"/>
  <c r="E365" i="7" s="1"/>
  <c r="E366" i="7" s="1"/>
  <c r="E379" i="7" s="1"/>
  <c r="E380" i="7" s="1"/>
  <c r="E381" i="7" s="1"/>
  <c r="E382" i="7" s="1"/>
  <c r="E383" i="7" s="1"/>
  <c r="E384" i="7" s="1"/>
  <c r="E385" i="7" s="1"/>
  <c r="E386" i="7" s="1"/>
  <c r="E387" i="7" s="1"/>
  <c r="E388" i="7" s="1"/>
  <c r="E389" i="7" s="1"/>
  <c r="E390" i="7" s="1"/>
  <c r="E391" i="7" s="1"/>
  <c r="E392" i="7" s="1"/>
  <c r="E393" i="7" l="1"/>
  <c r="E394" i="7" s="1"/>
  <c r="E395" i="7" s="1"/>
  <c r="E279" i="7"/>
  <c r="E1638" i="7"/>
  <c r="E1639" i="7" s="1"/>
  <c r="E1640" i="7" s="1"/>
  <c r="E1641" i="7" s="1"/>
  <c r="E1642" i="7" s="1"/>
  <c r="E1643" i="7" s="1"/>
  <c r="E1649" i="7" s="1"/>
  <c r="E1650" i="7" s="1"/>
  <c r="E1651" i="7" s="1"/>
  <c r="E145" i="7"/>
  <c r="E38" i="7"/>
  <c r="E39" i="7" s="1"/>
  <c r="E40" i="7" s="1"/>
  <c r="E41" i="7" s="1"/>
  <c r="E367" i="7" s="1"/>
  <c r="E368" i="7" s="1"/>
  <c r="E369" i="7" s="1"/>
  <c r="E370" i="7" s="1"/>
  <c r="E371" i="7" s="1"/>
  <c r="E372" i="7" s="1"/>
  <c r="E373" i="7" s="1"/>
  <c r="E374" i="7" s="1"/>
  <c r="E375" i="7" s="1"/>
  <c r="E376" i="7" s="1"/>
  <c r="E377" i="7" s="1"/>
  <c r="E378" i="7" s="1"/>
  <c r="E146" i="7" l="1"/>
  <c r="E147" i="7" s="1"/>
  <c r="E148" i="7" s="1"/>
  <c r="E149" i="7" s="1"/>
  <c r="E150" i="7" s="1"/>
  <c r="E43" i="7" s="1"/>
  <c r="E44" i="7" s="1"/>
  <c r="E156" i="7" s="1"/>
  <c r="E157" i="7" s="1"/>
  <c r="E158" i="7" s="1"/>
  <c r="E159" i="7" s="1"/>
  <c r="E160" i="7" s="1"/>
  <c r="E161" i="7" s="1"/>
  <c r="E162" i="7" s="1"/>
  <c r="E163" i="7" s="1"/>
  <c r="E164" i="7" s="1"/>
  <c r="E165" i="7" s="1"/>
  <c r="E166" i="7" s="1"/>
  <c r="E167" i="7" s="1"/>
  <c r="E168" i="7" s="1"/>
  <c r="E169" i="7" s="1"/>
  <c r="E170" i="7" s="1"/>
  <c r="E171" i="7" s="1"/>
  <c r="E172" i="7" s="1"/>
  <c r="E173" i="7" s="1"/>
  <c r="E174" i="7" s="1"/>
  <c r="E175" i="7" s="1"/>
  <c r="E176" i="7" s="1"/>
  <c r="E177" i="7" s="1"/>
  <c r="E178" i="7" s="1"/>
  <c r="E179" i="7" s="1"/>
  <c r="E180" i="7" s="1"/>
  <c r="E181" i="7" s="1"/>
  <c r="E182" i="7" s="1"/>
  <c r="E183" i="7" s="1"/>
  <c r="E184" i="7" s="1"/>
  <c r="E185" i="7" s="1"/>
  <c r="E186" i="7" s="1"/>
  <c r="E187" i="7" s="1"/>
  <c r="E188" i="7" s="1"/>
  <c r="E189" i="7" s="1"/>
  <c r="E190" i="7" s="1"/>
  <c r="E191" i="7" s="1"/>
  <c r="E192" i="7" s="1"/>
  <c r="E193" i="7" s="1"/>
  <c r="E194" i="7" s="1"/>
  <c r="E195" i="7" s="1"/>
  <c r="E196" i="7" s="1"/>
  <c r="E197" i="7" s="1"/>
  <c r="E198" i="7" s="1"/>
  <c r="E199" i="7" s="1"/>
  <c r="E200" i="7" s="1"/>
  <c r="E201" i="7" s="1"/>
  <c r="E202" i="7" s="1"/>
  <c r="E203" i="7" s="1"/>
  <c r="E204" i="7" s="1"/>
  <c r="E205" i="7" s="1"/>
  <c r="E206" i="7" s="1"/>
  <c r="E207" i="7" s="1"/>
  <c r="E208" i="7" s="1"/>
  <c r="E209" i="7" s="1"/>
  <c r="E210" i="7" s="1"/>
  <c r="E211" i="7" s="1"/>
  <c r="E212" i="7" s="1"/>
  <c r="E213" i="7" s="1"/>
  <c r="E214" i="7" s="1"/>
  <c r="E396" i="7"/>
  <c r="E397" i="7" s="1"/>
  <c r="E398" i="7" s="1"/>
  <c r="E399" i="7" s="1"/>
  <c r="E400" i="7" s="1"/>
  <c r="E401" i="7" s="1"/>
  <c r="E402" i="7" s="1"/>
  <c r="E403" i="7" s="1"/>
  <c r="E404" i="7" s="1"/>
  <c r="E405" i="7" s="1"/>
  <c r="E406" i="7" s="1"/>
  <c r="E407" i="7" s="1"/>
  <c r="E408" i="7" s="1"/>
  <c r="E409" i="7" s="1"/>
  <c r="E410" i="7" s="1"/>
  <c r="E411" i="7" s="1"/>
  <c r="E412" i="7" s="1"/>
  <c r="E413" i="7" s="1"/>
  <c r="E414" i="7" s="1"/>
  <c r="E415" i="7" s="1"/>
  <c r="E416" i="7" s="1"/>
  <c r="E417" i="7" s="1"/>
  <c r="E418" i="7" s="1"/>
  <c r="E419" i="7" s="1"/>
  <c r="E420" i="7" s="1"/>
  <c r="E421" i="7" s="1"/>
  <c r="E422" i="7" s="1"/>
  <c r="E215" i="7" l="1"/>
  <c r="E328" i="7"/>
  <c r="E358" i="7" s="1"/>
  <c r="E423" i="7"/>
  <c r="E424" i="7" s="1"/>
  <c r="E425" i="7" s="1"/>
  <c r="E426" i="7" s="1"/>
  <c r="E427" i="7" l="1"/>
  <c r="E428" i="7" s="1"/>
  <c r="E429" i="7" s="1"/>
  <c r="E430" i="7" s="1"/>
  <c r="E431" i="7" s="1"/>
  <c r="E432" i="7" s="1"/>
  <c r="E433" i="7" l="1"/>
  <c r="E434" i="7" s="1"/>
  <c r="E435" i="7" s="1"/>
  <c r="E436" i="7" s="1"/>
  <c r="E437" i="7" s="1"/>
  <c r="E438" i="7" s="1"/>
  <c r="E439" i="7" s="1"/>
  <c r="E440" i="7" s="1"/>
  <c r="E441" i="7" s="1"/>
  <c r="E442" i="7" s="1"/>
  <c r="E443" i="7" s="1"/>
  <c r="E444" i="7" s="1"/>
  <c r="E445" i="7" s="1"/>
  <c r="E446" i="7" s="1"/>
  <c r="E447" i="7" s="1"/>
  <c r="E448" i="7" s="1"/>
  <c r="E449" i="7" s="1"/>
  <c r="E450" i="7" s="1"/>
  <c r="E451" i="7" s="1"/>
  <c r="E452" i="7" s="1"/>
  <c r="E453" i="7" s="1"/>
  <c r="E454" i="7" s="1"/>
  <c r="E455" i="7" s="1"/>
  <c r="E456" i="7" s="1"/>
  <c r="E457" i="7" s="1"/>
  <c r="E458" i="7" s="1"/>
  <c r="E459" i="7" s="1"/>
  <c r="E460" i="7" s="1"/>
  <c r="E461" i="7" s="1"/>
  <c r="E462" i="7" s="1"/>
  <c r="E463" i="7" s="1"/>
  <c r="E464" i="7" s="1"/>
  <c r="E465" i="7" s="1"/>
  <c r="E466" i="7" s="1"/>
  <c r="E467" i="7" s="1"/>
  <c r="E468" i="7" s="1"/>
  <c r="E469" i="7" s="1"/>
  <c r="E470" i="7" s="1"/>
  <c r="E471" i="7" s="1"/>
  <c r="E472" i="7" s="1"/>
  <c r="E473" i="7" s="1"/>
  <c r="E474" i="7" s="1"/>
  <c r="E475" i="7" s="1"/>
  <c r="E476" i="7" s="1"/>
  <c r="E477" i="7" s="1"/>
  <c r="E478" i="7" s="1"/>
  <c r="E479" i="7" s="1"/>
  <c r="E480" i="7" s="1"/>
  <c r="E481" i="7" s="1"/>
  <c r="E482" i="7" s="1"/>
  <c r="E483" i="7" s="1"/>
  <c r="E484" i="7" s="1"/>
  <c r="E485" i="7" l="1"/>
  <c r="E486" i="7" s="1"/>
  <c r="E487" i="7" s="1"/>
  <c r="E488" i="7" s="1"/>
  <c r="E489" i="7" s="1"/>
  <c r="E490" i="7" s="1"/>
  <c r="E491" i="7" s="1"/>
  <c r="E492" i="7" s="1"/>
  <c r="E493" i="7" s="1"/>
  <c r="E494" i="7" s="1"/>
  <c r="E495" i="7" s="1"/>
  <c r="E496" i="7" s="1"/>
  <c r="E1631" i="7" l="1"/>
  <c r="E1632" i="7" s="1"/>
  <c r="E497" i="7"/>
  <c r="E498" i="7" s="1"/>
  <c r="E499" i="7" s="1"/>
  <c r="E500" i="7" s="1"/>
  <c r="E501" i="7" s="1"/>
  <c r="E502" i="7" s="1"/>
  <c r="E503" i="7" s="1"/>
  <c r="E504" i="7" s="1"/>
  <c r="E505" i="7" s="1"/>
  <c r="E506" i="7" s="1"/>
  <c r="E507" i="7" s="1"/>
  <c r="E508" i="7" s="1"/>
  <c r="E509" i="7" s="1"/>
  <c r="E510" i="7" s="1"/>
  <c r="E511" i="7" s="1"/>
  <c r="E512" i="7" s="1"/>
  <c r="E513" i="7" s="1"/>
  <c r="E514" i="7" s="1"/>
  <c r="E515" i="7" s="1"/>
  <c r="E516" i="7" s="1"/>
  <c r="E517" i="7" s="1"/>
  <c r="E518" i="7" s="1"/>
  <c r="E519" i="7" s="1"/>
  <c r="E520" i="7" s="1"/>
  <c r="E521" i="7" s="1"/>
  <c r="E522" i="7" s="1"/>
  <c r="E523" i="7" s="1"/>
  <c r="E524" i="7" s="1"/>
  <c r="E525" i="7" s="1"/>
  <c r="E526" i="7" s="1"/>
  <c r="E527" i="7" s="1"/>
  <c r="E528" i="7" s="1"/>
  <c r="E529" i="7" s="1"/>
  <c r="E530" i="7" s="1"/>
  <c r="E531" i="7" s="1"/>
  <c r="E532" i="7" s="1"/>
  <c r="E533" i="7" s="1"/>
  <c r="E534" i="7" s="1"/>
  <c r="E535" i="7" s="1"/>
  <c r="E536" i="7" s="1"/>
  <c r="E537" i="7" s="1"/>
  <c r="E538" i="7" s="1"/>
  <c r="E539" i="7" s="1"/>
  <c r="E540" i="7" s="1"/>
  <c r="E541" i="7" s="1"/>
  <c r="E542" i="7" s="1"/>
  <c r="E543" i="7" s="1"/>
  <c r="E544" i="7" s="1"/>
  <c r="E545" i="7" s="1"/>
  <c r="E546" i="7" s="1"/>
  <c r="E547" i="7" s="1"/>
  <c r="E548" i="7" s="1"/>
  <c r="E549" i="7" s="1"/>
  <c r="E550" i="7" s="1"/>
  <c r="E551" i="7" s="1"/>
  <c r="E552" i="7" s="1"/>
  <c r="E553" i="7" s="1"/>
  <c r="E554" i="7" s="1"/>
  <c r="E555" i="7" s="1"/>
  <c r="E556" i="7" s="1"/>
  <c r="E557" i="7" s="1"/>
  <c r="E558" i="7" s="1"/>
  <c r="E559" i="7" s="1"/>
  <c r="E560" i="7" s="1"/>
  <c r="E561" i="7" s="1"/>
  <c r="E562" i="7" s="1"/>
  <c r="E563" i="7" s="1"/>
  <c r="E564" i="7" s="1"/>
  <c r="E565" i="7" s="1"/>
  <c r="E566" i="7" s="1"/>
  <c r="E567" i="7" s="1"/>
  <c r="E568" i="7" s="1"/>
  <c r="E569" i="7" s="1"/>
  <c r="E570" i="7" s="1"/>
  <c r="E571" i="7" s="1"/>
  <c r="E572" i="7" s="1"/>
  <c r="E573" i="7" s="1"/>
  <c r="E574" i="7" s="1"/>
  <c r="E575" i="7" s="1"/>
  <c r="E576" i="7" s="1"/>
  <c r="E577" i="7" s="1"/>
  <c r="E578" i="7" s="1"/>
  <c r="E579" i="7" s="1"/>
  <c r="E580" i="7" s="1"/>
  <c r="E581" i="7" s="1"/>
  <c r="E582" i="7" s="1"/>
  <c r="E583" i="7" s="1"/>
  <c r="E584" i="7" s="1"/>
  <c r="E585" i="7" s="1"/>
  <c r="E586" i="7" s="1"/>
  <c r="E587" i="7" s="1"/>
  <c r="E588" i="7" s="1"/>
  <c r="E589" i="7" s="1"/>
  <c r="E590" i="7" s="1"/>
  <c r="E591" i="7" s="1"/>
  <c r="E592" i="7" s="1"/>
  <c r="E593" i="7" s="1"/>
  <c r="E594" i="7" s="1"/>
  <c r="E595" i="7" s="1"/>
  <c r="E596" i="7" s="1"/>
  <c r="E597" i="7" s="1"/>
  <c r="E598" i="7" s="1"/>
  <c r="E599" i="7" s="1"/>
  <c r="E600" i="7" s="1"/>
  <c r="E601" i="7" s="1"/>
  <c r="E602" i="7" s="1"/>
  <c r="E603" i="7" s="1"/>
  <c r="E604" i="7" s="1"/>
  <c r="E605" i="7" s="1"/>
  <c r="E606" i="7" s="1"/>
  <c r="E607" i="7" s="1"/>
  <c r="E608" i="7" s="1"/>
  <c r="E609" i="7" s="1"/>
  <c r="E610" i="7" s="1"/>
  <c r="E611" i="7" s="1"/>
  <c r="E612" i="7" s="1"/>
  <c r="E613" i="7" s="1"/>
  <c r="E614" i="7" s="1"/>
  <c r="E615" i="7" s="1"/>
  <c r="E616" i="7" s="1"/>
  <c r="E617" i="7" s="1"/>
  <c r="E618" i="7" s="1"/>
  <c r="E619" i="7" s="1"/>
  <c r="E620" i="7" s="1"/>
  <c r="E621" i="7" s="1"/>
  <c r="E622" i="7" s="1"/>
  <c r="E623" i="7" l="1"/>
  <c r="E624" i="7" s="1"/>
  <c r="E625" i="7" s="1"/>
  <c r="E626" i="7" s="1"/>
  <c r="E627" i="7" s="1"/>
  <c r="E628" i="7" s="1"/>
  <c r="E629" i="7" s="1"/>
  <c r="E630" i="7" s="1"/>
  <c r="E631" i="7" s="1"/>
  <c r="E632" i="7" s="1"/>
  <c r="E633" i="7" s="1"/>
  <c r="E634" i="7" s="1"/>
  <c r="E635" i="7" s="1"/>
  <c r="E636" i="7" s="1"/>
  <c r="E637" i="7" s="1"/>
  <c r="E638" i="7" s="1"/>
  <c r="E639" i="7" s="1"/>
  <c r="E640" i="7" s="1"/>
  <c r="E641" i="7" s="1"/>
  <c r="E642" i="7" s="1"/>
  <c r="E643" i="7" s="1"/>
  <c r="E644" i="7" s="1"/>
  <c r="E645" i="7" s="1"/>
  <c r="E646" i="7" s="1"/>
  <c r="E647" i="7" s="1"/>
  <c r="E648" i="7" s="1"/>
  <c r="E649" i="7" s="1"/>
  <c r="E650" i="7" s="1"/>
  <c r="E651" i="7" s="1"/>
  <c r="E652" i="7" s="1"/>
  <c r="E653" i="7" s="1"/>
  <c r="E654" i="7" s="1"/>
  <c r="E655" i="7" s="1"/>
  <c r="E656" i="7" s="1"/>
  <c r="E657" i="7" s="1"/>
  <c r="E658" i="7" s="1"/>
  <c r="E659" i="7" s="1"/>
  <c r="E660" i="7" s="1"/>
  <c r="E661" i="7" s="1"/>
  <c r="E662" i="7" s="1"/>
  <c r="E663" i="7" s="1"/>
  <c r="E664" i="7" s="1"/>
  <c r="E665" i="7" s="1"/>
  <c r="E666" i="7" s="1"/>
  <c r="E667" i="7" s="1"/>
  <c r="E668" i="7" s="1"/>
  <c r="E669" i="7" s="1"/>
  <c r="E670" i="7" s="1"/>
  <c r="E671" i="7" s="1"/>
  <c r="E672" i="7" s="1"/>
  <c r="E673" i="7" s="1"/>
  <c r="E674" i="7" s="1"/>
  <c r="E675" i="7" s="1"/>
  <c r="E676" i="7" s="1"/>
  <c r="E677" i="7" s="1"/>
  <c r="E678" i="7" s="1"/>
  <c r="E679" i="7" s="1"/>
  <c r="E680" i="7" s="1"/>
  <c r="E681" i="7" s="1"/>
  <c r="E682" i="7" s="1"/>
  <c r="E683" i="7" s="1"/>
  <c r="E684" i="7" s="1"/>
  <c r="E685" i="7" s="1"/>
  <c r="E686" i="7" s="1"/>
  <c r="E687" i="7" s="1"/>
  <c r="E688" i="7" s="1"/>
  <c r="E689" i="7" s="1"/>
  <c r="E690" i="7" s="1"/>
  <c r="E691" i="7" s="1"/>
  <c r="E692" i="7" s="1"/>
  <c r="E693" i="7" s="1"/>
  <c r="E694" i="7" s="1"/>
  <c r="E695" i="7" s="1"/>
  <c r="E696" i="7" s="1"/>
  <c r="E697" i="7" s="1"/>
  <c r="E698" i="7" s="1"/>
  <c r="E699" i="7" s="1"/>
  <c r="E700" i="7" s="1"/>
  <c r="E701" i="7" s="1"/>
  <c r="E702" i="7" s="1"/>
  <c r="E703" i="7" s="1"/>
  <c r="E704" i="7" s="1"/>
  <c r="E705" i="7" s="1"/>
  <c r="E706" i="7" s="1"/>
  <c r="E707" i="7" s="1"/>
  <c r="E708" i="7" s="1"/>
  <c r="E709" i="7" s="1"/>
  <c r="E710" i="7" s="1"/>
  <c r="E711" i="7" s="1"/>
  <c r="E712" i="7" s="1"/>
  <c r="E713" i="7" s="1"/>
  <c r="E714" i="7" s="1"/>
  <c r="E715" i="7" s="1"/>
  <c r="E716" i="7" s="1"/>
  <c r="E717" i="7" s="1"/>
  <c r="E718" i="7" s="1"/>
  <c r="E719" i="7" s="1"/>
  <c r="E720" i="7" s="1"/>
  <c r="E721" i="7" s="1"/>
  <c r="E722" i="7" s="1"/>
  <c r="E723" i="7" s="1"/>
  <c r="E724" i="7" s="1"/>
  <c r="E725" i="7" s="1"/>
  <c r="E726" i="7" s="1"/>
  <c r="E727" i="7" s="1"/>
  <c r="E728" i="7" s="1"/>
  <c r="E729" i="7" s="1"/>
  <c r="E730" i="7" s="1"/>
  <c r="E731" i="7" s="1"/>
  <c r="E732" i="7" s="1"/>
  <c r="E733" i="7" s="1"/>
  <c r="E734" i="7" s="1"/>
  <c r="E735" i="7" s="1"/>
  <c r="E736" i="7" s="1"/>
  <c r="E737" i="7" s="1"/>
  <c r="E738" i="7" s="1"/>
  <c r="E739" i="7" s="1"/>
  <c r="E740" i="7" s="1"/>
  <c r="E741" i="7" s="1"/>
  <c r="E742" i="7" s="1"/>
  <c r="E743" i="7" s="1"/>
  <c r="E744" i="7" s="1"/>
  <c r="E745" i="7" s="1"/>
  <c r="E746" i="7" s="1"/>
  <c r="E747" i="7" s="1"/>
  <c r="E748" i="7" s="1"/>
  <c r="E749" i="7" s="1"/>
  <c r="E750" i="7" s="1"/>
  <c r="E751" i="7" s="1"/>
  <c r="E752" i="7" s="1"/>
  <c r="E753" i="7" s="1"/>
  <c r="E754" i="7" s="1"/>
  <c r="E755" i="7" s="1"/>
  <c r="E756" i="7" s="1"/>
  <c r="E757" i="7" s="1"/>
  <c r="E758" i="7" s="1"/>
  <c r="E759" i="7" s="1"/>
  <c r="E760" i="7" s="1"/>
  <c r="E761" i="7" s="1"/>
  <c r="E762" i="7" s="1"/>
  <c r="E763" i="7" s="1"/>
  <c r="E764" i="7" s="1"/>
  <c r="E765" i="7" s="1"/>
  <c r="E766" i="7" s="1"/>
  <c r="E767" i="7" s="1"/>
  <c r="E768" i="7" s="1"/>
  <c r="E769" i="7" s="1"/>
  <c r="E770" i="7" s="1"/>
  <c r="E771" i="7" s="1"/>
  <c r="E772" i="7" s="1"/>
  <c r="E773" i="7" s="1"/>
  <c r="E774" i="7" s="1"/>
  <c r="E775" i="7" s="1"/>
  <c r="E776" i="7" s="1"/>
  <c r="E777" i="7" s="1"/>
  <c r="E778" i="7" s="1"/>
  <c r="E779" i="7" s="1"/>
  <c r="E780" i="7" s="1"/>
  <c r="E781" i="7" s="1"/>
  <c r="E782" i="7" s="1"/>
  <c r="E783" i="7" s="1"/>
  <c r="E784" i="7" s="1"/>
  <c r="E785" i="7" s="1"/>
  <c r="E786" i="7" s="1"/>
  <c r="E787" i="7" s="1"/>
  <c r="E788" i="7" s="1"/>
  <c r="E789" i="7" s="1"/>
  <c r="E790" i="7" s="1"/>
  <c r="E791" i="7" s="1"/>
  <c r="E792" i="7" s="1"/>
  <c r="E793" i="7" s="1"/>
  <c r="E794" i="7" s="1"/>
  <c r="E795" i="7" s="1"/>
  <c r="E796" i="7" s="1"/>
  <c r="E797" i="7" s="1"/>
  <c r="E798" i="7" s="1"/>
  <c r="E799" i="7" s="1"/>
  <c r="E800" i="7" s="1"/>
  <c r="E801" i="7" s="1"/>
  <c r="E802" i="7" s="1"/>
  <c r="E803" i="7" s="1"/>
  <c r="E804" i="7" s="1"/>
  <c r="E805" i="7" s="1"/>
  <c r="E806" i="7" s="1"/>
  <c r="E807" i="7" s="1"/>
  <c r="E808" i="7" s="1"/>
  <c r="E809" i="7" s="1"/>
  <c r="E810" i="7" s="1"/>
  <c r="E811" i="7" s="1"/>
  <c r="E812" i="7" s="1"/>
  <c r="E813" i="7" s="1"/>
  <c r="E814" i="7" s="1"/>
  <c r="E815" i="7" s="1"/>
  <c r="E816" i="7" s="1"/>
  <c r="E817" i="7" s="1"/>
  <c r="E818" i="7" s="1"/>
  <c r="E819" i="7" s="1"/>
  <c r="E820" i="7" s="1"/>
  <c r="E821" i="7" s="1"/>
  <c r="E822" i="7" s="1"/>
  <c r="E823" i="7" s="1"/>
  <c r="E824" i="7" s="1"/>
  <c r="E825" i="7" s="1"/>
  <c r="E826" i="7" s="1"/>
  <c r="E827" i="7" s="1"/>
  <c r="E828" i="7" s="1"/>
  <c r="E216" i="7"/>
  <c r="E217" i="7" s="1"/>
  <c r="E218" i="7" s="1"/>
  <c r="E219" i="7" s="1"/>
  <c r="E220" i="7" s="1"/>
  <c r="E221" i="7" s="1"/>
  <c r="E222" i="7" s="1"/>
  <c r="E223" i="7" s="1"/>
  <c r="E224" i="7" s="1"/>
  <c r="E225" i="7" s="1"/>
  <c r="E226" i="7" s="1"/>
  <c r="E227" i="7" s="1"/>
  <c r="E228" i="7" s="1"/>
  <c r="E229" i="7" s="1"/>
  <c r="E230" i="7" s="1"/>
  <c r="E231" i="7" s="1"/>
  <c r="E232" i="7" s="1"/>
  <c r="E233" i="7" s="1"/>
  <c r="E234" i="7" s="1"/>
  <c r="E235" i="7" s="1"/>
  <c r="E236" i="7" s="1"/>
  <c r="E237" i="7" s="1"/>
  <c r="E238" i="7" s="1"/>
  <c r="E239" i="7" s="1"/>
  <c r="E240" i="7" s="1"/>
  <c r="E241" i="7" s="1"/>
  <c r="E242" i="7" s="1"/>
  <c r="E243" i="7" s="1"/>
  <c r="E244" i="7" s="1"/>
  <c r="E245" i="7" s="1"/>
  <c r="E246" i="7" s="1"/>
  <c r="E247" i="7" s="1"/>
  <c r="E248" i="7" s="1"/>
  <c r="E249" i="7" s="1"/>
  <c r="E250" i="7" s="1"/>
  <c r="E251" i="7" s="1"/>
  <c r="E252" i="7" s="1"/>
  <c r="E253" i="7" s="1"/>
  <c r="E254" i="7" s="1"/>
  <c r="E255" i="7" s="1"/>
  <c r="E256" i="7" s="1"/>
  <c r="E257" i="7" s="1"/>
  <c r="E258" i="7" s="1"/>
  <c r="E259" i="7" s="1"/>
  <c r="E260" i="7" s="1"/>
  <c r="E261" i="7" s="1"/>
  <c r="E262" i="7" s="1"/>
  <c r="E263" i="7" s="1"/>
  <c r="E264" i="7" s="1"/>
  <c r="E265" i="7" s="1"/>
  <c r="E266" i="7" s="1"/>
  <c r="E267" i="7" s="1"/>
  <c r="E268" i="7" s="1"/>
  <c r="E269" i="7" s="1"/>
  <c r="E270" i="7" s="1"/>
  <c r="E271" i="7" s="1"/>
  <c r="E272" i="7" s="1"/>
  <c r="E273" i="7" s="1"/>
  <c r="E274" i="7" s="1"/>
  <c r="E1283" i="7"/>
  <c r="E1284" i="7" s="1"/>
  <c r="E1285" i="7" s="1"/>
  <c r="E1286" i="7" s="1"/>
  <c r="E1287" i="7" s="1"/>
  <c r="E1288" i="7" s="1"/>
  <c r="E1289" i="7" s="1"/>
  <c r="E1290" i="7" s="1"/>
  <c r="E1291" i="7" s="1"/>
  <c r="E1292" i="7" s="1"/>
  <c r="E1293" i="7" s="1"/>
  <c r="E1294" i="7" s="1"/>
  <c r="E1295" i="7" s="1"/>
  <c r="E1296" i="7" s="1"/>
  <c r="E1297" i="7" s="1"/>
  <c r="E1298" i="7" s="1"/>
  <c r="E1299" i="7" s="1"/>
  <c r="E1300" i="7" s="1"/>
  <c r="E1301" i="7" s="1"/>
  <c r="E1302" i="7" s="1"/>
  <c r="E1303" i="7" s="1"/>
  <c r="E1304" i="7" s="1"/>
  <c r="E1305" i="7" s="1"/>
  <c r="E1306" i="7" s="1"/>
  <c r="E1307" i="7" s="1"/>
  <c r="E1308" i="7" s="1"/>
  <c r="E1309" i="7" s="1"/>
  <c r="E1310" i="7" s="1"/>
  <c r="E1311" i="7" s="1"/>
  <c r="E1312" i="7" s="1"/>
  <c r="E1313" i="7" s="1"/>
  <c r="E1314" i="7" s="1"/>
  <c r="E1315" i="7" s="1"/>
  <c r="E1316" i="7" s="1"/>
  <c r="E1317" i="7" s="1"/>
  <c r="E1318" i="7" s="1"/>
  <c r="E1321" i="7" s="1"/>
  <c r="E1322" i="7" s="1"/>
  <c r="E1323" i="7" s="1"/>
  <c r="E1324" i="7" s="1"/>
  <c r="E1325" i="7" s="1"/>
  <c r="E1326" i="7" s="1"/>
  <c r="E833" i="7" l="1"/>
  <c r="E834" i="7" s="1"/>
  <c r="E835" i="7" s="1"/>
  <c r="E836" i="7" s="1"/>
  <c r="E837" i="7" s="1"/>
  <c r="E838" i="7" s="1"/>
  <c r="E839" i="7" s="1"/>
  <c r="E840" i="7" s="1"/>
  <c r="E841" i="7" s="1"/>
  <c r="E842" i="7" s="1"/>
  <c r="E843" i="7" s="1"/>
  <c r="E844" i="7" s="1"/>
  <c r="E845" i="7" s="1"/>
  <c r="E846" i="7" s="1"/>
  <c r="E847" i="7" s="1"/>
  <c r="E848" i="7" s="1"/>
  <c r="E849" i="7" s="1"/>
  <c r="E850" i="7" s="1"/>
  <c r="E851" i="7" s="1"/>
  <c r="E852" i="7" s="1"/>
  <c r="E853" i="7" s="1"/>
  <c r="E854" i="7" s="1"/>
  <c r="E855" i="7" s="1"/>
  <c r="E856" i="7" s="1"/>
  <c r="E857" i="7" s="1"/>
  <c r="E858" i="7" s="1"/>
  <c r="E859" i="7" s="1"/>
  <c r="E860" i="7" s="1"/>
  <c r="E861" i="7" s="1"/>
  <c r="E862" i="7" s="1"/>
  <c r="E863" i="7" s="1"/>
  <c r="E864" i="7" s="1"/>
  <c r="E865" i="7" s="1"/>
  <c r="E866" i="7" s="1"/>
  <c r="E867" i="7" s="1"/>
  <c r="E868" i="7" s="1"/>
  <c r="E869" i="7" s="1"/>
  <c r="E870" i="7" s="1"/>
  <c r="E871" i="7" s="1"/>
  <c r="E872" i="7" s="1"/>
  <c r="E873" i="7" s="1"/>
  <c r="E874" i="7" s="1"/>
  <c r="E875" i="7" s="1"/>
  <c r="E876" i="7" s="1"/>
  <c r="E877" i="7" s="1"/>
  <c r="E878" i="7" s="1"/>
  <c r="E879" i="7" s="1"/>
  <c r="E880" i="7" s="1"/>
  <c r="E881" i="7" s="1"/>
  <c r="E882" i="7" s="1"/>
  <c r="E883" i="7" s="1"/>
  <c r="E884" i="7" s="1"/>
  <c r="E885" i="7" s="1"/>
  <c r="E886" i="7" s="1"/>
  <c r="E887" i="7" s="1"/>
  <c r="E888" i="7" s="1"/>
  <c r="E889" i="7" s="1"/>
  <c r="E890" i="7" s="1"/>
  <c r="E891" i="7" s="1"/>
  <c r="E892" i="7" s="1"/>
  <c r="E893" i="7" s="1"/>
  <c r="E894" i="7" s="1"/>
  <c r="E895" i="7" s="1"/>
  <c r="E896" i="7" s="1"/>
  <c r="E897" i="7" s="1"/>
  <c r="E898" i="7" s="1"/>
  <c r="E899" i="7" s="1"/>
  <c r="E900" i="7" s="1"/>
  <c r="E901" i="7" s="1"/>
  <c r="E902" i="7" s="1"/>
  <c r="E903" i="7" s="1"/>
  <c r="E904" i="7" s="1"/>
  <c r="E829" i="7"/>
  <c r="E832" i="7" s="1"/>
  <c r="E831" i="7" s="1"/>
  <c r="E830" i="7" s="1"/>
  <c r="E1319" i="7"/>
  <c r="E1320" i="7" s="1"/>
  <c r="E1327" i="7"/>
  <c r="E1328" i="7" s="1"/>
  <c r="E1329" i="7" l="1"/>
  <c r="E1330" i="7" s="1"/>
  <c r="E1331" i="7" s="1"/>
  <c r="E1332" i="7" s="1"/>
  <c r="E1333" i="7" s="1"/>
  <c r="E1334" i="7" s="1"/>
  <c r="E1335" i="7" s="1"/>
  <c r="E1336" i="7" s="1"/>
  <c r="E1337" i="7" s="1"/>
  <c r="E1338" i="7" s="1"/>
  <c r="E1339" i="7" s="1"/>
  <c r="E1340" i="7" s="1"/>
  <c r="E1341" i="7" s="1"/>
  <c r="E1342" i="7" s="1"/>
  <c r="E1343" i="7" s="1"/>
  <c r="E1344" i="7" s="1"/>
  <c r="E1345" i="7" s="1"/>
  <c r="E1346" i="7" s="1"/>
  <c r="E1347" i="7" s="1"/>
  <c r="E1348" i="7" s="1"/>
  <c r="E1349" i="7" s="1"/>
  <c r="E1350" i="7" s="1"/>
  <c r="E1351" i="7" s="1"/>
  <c r="E1352" i="7" s="1"/>
  <c r="E1353" i="7" s="1"/>
  <c r="E1354" i="7" s="1"/>
  <c r="E1355" i="7" s="1"/>
  <c r="E1356" i="7" s="1"/>
  <c r="E1357" i="7" s="1"/>
  <c r="E1358" i="7" s="1"/>
  <c r="E1359" i="7" s="1"/>
  <c r="E1360" i="7" s="1"/>
  <c r="E1361" i="7" s="1"/>
  <c r="E1362" i="7" s="1"/>
  <c r="E1363" i="7" s="1"/>
  <c r="E1364" i="7" s="1"/>
  <c r="E1365" i="7" l="1"/>
  <c r="E1367" i="7"/>
  <c r="E1368" i="7" l="1"/>
  <c r="E1369" i="7" s="1"/>
  <c r="E1370" i="7" s="1"/>
  <c r="E1371" i="7" s="1"/>
  <c r="E1372" i="7" s="1"/>
  <c r="E1373" i="7" s="1"/>
  <c r="E1374" i="7" s="1"/>
  <c r="E1375" i="7" s="1"/>
  <c r="E1376" i="7" s="1"/>
  <c r="E1377" i="7" s="1"/>
  <c r="E1378" i="7" s="1"/>
  <c r="E1379" i="7" s="1"/>
  <c r="E1380" i="7" s="1"/>
  <c r="E1381" i="7" s="1"/>
  <c r="E1382" i="7" s="1"/>
  <c r="E1366" i="7"/>
  <c r="O88" i="167" l="1"/>
  <c r="J79" i="167"/>
  <c r="M86" i="167"/>
  <c r="J37" i="167"/>
  <c r="M83" i="167"/>
  <c r="P89" i="167" l="1"/>
  <c r="Q90" i="167"/>
  <c r="BU146" i="167" l="1"/>
  <c r="CB153" i="16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tc={5B36345D-6DA5-4A2D-AEED-54E4DC41640D}</author>
    <author>tc={9D4ACEBB-0044-4ED5-8294-7C1B1A2746A8}</author>
  </authors>
  <commentList>
    <comment ref="F39" authorId="0" shapeId="0" xr:uid="{5B36345D-6DA5-4A2D-AEED-54E4DC41640D}">
      <text>
        <t>[Komentář ve vlákně]
Vaše verze aplikace Excel vám umožňuje číst tento komentář ve vlákně, ale jakékoli jeho úpravy se odeberou, pokud se soubor otevře v novější verzi aplikace Excel. Další informace: https://go.microsoft.com/fwlink/?linkid=870924
Komentář:
    Change to "Achieved averagae in situ tailings density (t/m3)"</t>
      </text>
    </comment>
    <comment ref="F394" authorId="1" shapeId="0" xr:uid="{9D4ACEBB-0044-4ED5-8294-7C1B1A2746A8}">
      <text>
        <t>[Komentář ve vlákně]
Vaše verze aplikace Excel vám umožňuje číst tento komentář ve vlákně, ale jakékoli jeho úpravy se odeberou, pokud se soubor otevře v novější verzi aplikace Excel. Další informace: https://go.microsoft.com/fwlink/?linkid=870924
Komentář:
    Revise to potentially liquefiable materials saturated in structural zones of the dam?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tc={3AFE65DD-F95A-4072-9613-44DA53FF4671}</author>
    <author>tc={8279CB4B-DB66-484A-AA52-D5D50C50127F}</author>
    <author>Jirik Herza</author>
    <author>tc={07C26088-1360-405C-BF33-72E2A2231FA0}</author>
    <author>tc={F4B8955D-920C-4BB7-B929-0B8F1275161B}</author>
    <author>tc={4BD44A9D-38A4-4EA5-8804-D6133C923C53}</author>
    <author>tc={7F01C61E-7FA6-4BDA-A788-7A91F857BD3B}</author>
    <author>tc={DE50CD2F-FB7C-4DB3-9550-BCBA09EC35E2}</author>
    <author>tc={8DECD7D1-02FF-465A-8666-3DE1736A43DE}</author>
    <author>tc={6B7FDD0A-E0C5-4D4E-ACF3-0C12798FDFF7}</author>
    <author>tc={93E4FAE4-FC72-476C-8A65-9B5D63A7D389}</author>
    <author>tc={3943A79F-99FF-485C-94FF-BB8ACEAD5D89}</author>
    <author>tc={986E1B56-A776-42B0-AB12-F58546CD1A41}</author>
    <author>tc={DE84D613-B853-45FC-AD00-F86D4782AF4B}</author>
    <author>tc={E9299DD2-F33E-4E72-95F5-6FFAF752D20C}</author>
    <author>tc={ED78367E-5FBA-48E2-850D-585052DB3DF0}</author>
    <author>tc={CDD5DFBF-FA1B-4EA4-85E8-E4199E6F39AA}</author>
    <author>tc={451A6861-DEEC-4CCE-B7FB-0B378B5C7E64}</author>
    <author>tc={4662F98C-1BB7-4DF2-8482-0D0F640B2498}</author>
    <author>tc={6324015D-C732-459F-AF21-17A7B03484B4}</author>
  </authors>
  <commentList>
    <comment ref="I181" authorId="0" shapeId="0" xr:uid="{3AFE65DD-F95A-4072-9613-44DA53FF4671}">
      <text>
        <t>[Komentář ve vlákně]
Vaše verze aplikace Excel vám umožňuje číst tento komentář ve vlákně, ale jakékoli jeho úpravy se odeberou, pokud se soubor otevře v novější verzi aplikace Excel. Další informace: https://go.microsoft.com/fwlink/?linkid=870924
Komentář:
    For foundation piping</t>
      </text>
    </comment>
    <comment ref="J181" authorId="1" shapeId="0" xr:uid="{8279CB4B-DB66-484A-AA52-D5D50C50127F}">
      <text>
        <t>[Komentář ve vlákně]
Vaše verze aplikace Excel vám umožňuje číst tento komentář ve vlákně, ale jakékoli jeho úpravy se odeberou, pokud se soubor otevře v novější verzi aplikace Excel. Další informace: https://go.microsoft.com/fwlink/?linkid=870924
Komentář:
    Embankment into or at Foundation Piping descriptors
Odpověď:
    for rmb-fdn piping, multiplied by prevailing fdn type (soil - 0.5, rock - 1.5)</t>
      </text>
    </comment>
    <comment ref="I215" authorId="2" shapeId="0" xr:uid="{269D2D1E-0B42-47CE-87CA-B35041FADDE1}">
      <text>
        <r>
          <rPr>
            <b/>
            <sz val="9"/>
            <color indexed="81"/>
            <rFont val="Tahoma"/>
            <family val="2"/>
            <charset val="238"/>
          </rPr>
          <t>Jirik Herza:</t>
        </r>
        <r>
          <rPr>
            <sz val="9"/>
            <color indexed="81"/>
            <rFont val="Tahoma"/>
            <family val="2"/>
            <charset val="238"/>
          </rPr>
          <t xml:space="preserve">
For fdn piping intersect</t>
        </r>
      </text>
    </comment>
    <comment ref="J215" authorId="2" shapeId="0" xr:uid="{B5C8F796-7B66-4089-B3C0-E61299580645}">
      <text>
        <r>
          <rPr>
            <b/>
            <sz val="9"/>
            <color indexed="81"/>
            <rFont val="Tahoma"/>
            <family val="2"/>
            <charset val="238"/>
          </rPr>
          <t>Jirik Herza:</t>
        </r>
        <r>
          <rPr>
            <sz val="9"/>
            <color indexed="81"/>
            <rFont val="Tahoma"/>
            <family val="2"/>
            <charset val="238"/>
          </rPr>
          <t xml:space="preserve">
For fdn piping gradient
</t>
        </r>
      </text>
    </comment>
    <comment ref="J227" authorId="3" shapeId="0" xr:uid="{07C26088-1360-405C-BF33-72E2A2231FA0}">
      <text>
        <t>[Komentář ve vlákně]
Vaše verze aplikace Excel vám umožňuje číst tento komentář ve vlákně, ale jakékoli jeho úpravy se odeberou, pokud se soubor otevře v novější verzi aplikace Excel. Další informace: https://go.microsoft.com/fwlink/?linkid=870924
Komentář:
    Error from dragged over database - had this as 1.</t>
      </text>
    </comment>
    <comment ref="J241" authorId="4" shapeId="0" xr:uid="{F4B8955D-920C-4BB7-B929-0B8F1275161B}">
      <text>
        <t>[Komentář ve vlákně]
Vaše verze aplikace Excel vám umožňuje číst tento komentář ve vlákně, ale jakékoli jeho úpravy se odeberou, pokud se soubor otevře v novější verzi aplikace Excel. Další informace: https://go.microsoft.com/fwlink/?linkid=870924
Komentář:
    Embankment into or at Foundation Piping descriptors
Odpověď:
    multiplied by prevailing fdn type (soil - 0.5, rosk - 1.5)</t>
      </text>
    </comment>
    <comment ref="G343" authorId="5" shapeId="0" xr:uid="{4BD44A9D-38A4-4EA5-8804-D6133C923C53}">
      <text>
        <t>[Komentář ve vlákně]
Vaše verze aplikace Excel vám umožňuje číst tento komentář ve vlákně, ale jakékoli jeho úpravy se odeberou, pokud se soubor otevře v novější verzi aplikace Excel. Další informace: https://go.microsoft.com/fwlink/?linkid=870924
Komentář:
    or Excavated through HW, EW or soil, away from embankment?</t>
      </text>
    </comment>
    <comment ref="F463" authorId="6" shapeId="0" xr:uid="{7F01C61E-7FA6-4BDA-A788-7A91F857BD3B}">
      <text>
        <t>[Komentář ve vlákně]
Vaše verze aplikace Excel vám umožňuje číst tento komentář ve vlákně, ale jakékoli jeho úpravy se odeberou, pokud se soubor otevře v novější verzi aplikace Excel. Další informace: https://go.microsoft.com/fwlink/?linkid=870924
Komentář:
    Could add the specific requirements 1) update every 5 years and 2) capture uncertainties due to climate change
Odpověď:
    Discussed and agreed to keep general and short</t>
      </text>
    </comment>
    <comment ref="F467" authorId="7" shapeId="0" xr:uid="{DE50CD2F-FB7C-4DB3-9550-BCBA09EC35E2}">
      <text>
        <t>[Komentář ve vlákně]
Vaše verze aplikace Excel vám umožňuje číst tento komentář ve vlákně, ale jakékoli jeho úpravy se odeberou, pokud se soubor otevře v novější verzi aplikace Excel. Další informace: https://go.microsoft.com/fwlink/?linkid=870924
Komentář:
    Could add the specific requirements 1) update every 5 years and 2) capture uncertainties due to climate change
Odpověď:
    Discussed and agreed to keep general and short</t>
      </text>
    </comment>
    <comment ref="F647" authorId="8" shapeId="0" xr:uid="{8DECD7D1-02FF-465A-8666-3DE1736A43DE}">
      <text>
        <t>[Komentář ve vlákně]
Vaše verze aplikace Excel vám umožňuje číst tento komentář ve vlákně, ale jakékoli jeho úpravy se odeberou, pokud se soubor otevře v novější verzi aplikace Excel. Další informace: https://go.microsoft.com/fwlink/?linkid=870924
Komentář:
    Either here, or under Monitoring Instrumentation - Overview we should include the question "have realistic surface deformation trigger limits been determined based on deformation modelling..."</t>
      </text>
    </comment>
    <comment ref="F869" authorId="9" shapeId="0" xr:uid="{6B7FDD0A-E0C5-4D4E-ACF3-0C12798FDFF7}">
      <text>
        <t>[Komentář ve vlákně]
Vaše verze aplikace Excel vám umožňuje číst tento komentář ve vlákně, ale jakékoli jeho úpravy se odeberou, pokud se soubor otevře v novější verzi aplikace Excel. Další informace: https://go.microsoft.com/fwlink/?linkid=870924
Komentář:
    Consider including a preceding separate characteristic asking "Has the facility been designed as Extreme CC? ".
Odpověď:
    Will need the ability to answer N/A to this as it stands</t>
      </text>
    </comment>
    <comment ref="F1267" authorId="10" shapeId="0" xr:uid="{93E4FAE4-FC72-476C-8A65-9B5D63A7D389}">
      <text>
        <t>[Komentář ve vlákně]
Vaše verze aplikace Excel vám umožňuje číst tento komentář ve vlákně, ale jakékoli jeho úpravy se odeberou, pokud se soubor otevře v novější verzi aplikace Excel. Další informace: https://go.microsoft.com/fwlink/?linkid=870924
Komentář:
    Are we only presenting preventative controls or also mitigating controls? Inspections could be both e.g. preventative - detect cracks or piping initiation with sufficient time to take action to prevent failure, or, mitigating - as was the case at Cadia Mine, sufficient time to move the construction crew away from the toe (thus reducing consequence)</t>
      </text>
    </comment>
    <comment ref="F1268" authorId="11" shapeId="0" xr:uid="{3943A79F-99FF-485C-94FF-BB8ACEAD5D89}">
      <text>
        <t>[Komentář ve vlákně]
Vaše verze aplikace Excel vám umožňuje číst tento komentář ve vlákně, ale jakékoli jeho úpravy se odeberou, pokud se soubor otevře v novější verzi aplikace Excel. Další informace: https://go.microsoft.com/fwlink/?linkid=870924
Komentář:
    Are we only presenting preventative controls or also mitigating controls? Inspections could be both e.g. preventative - detect cracks or piping initiation with sufficient time to take action to prevent failure, or, mitigating - as was the case at Cadia Mine, sufficient time to move the construction crew away from the toe (thus reducing consequence)</t>
      </text>
    </comment>
    <comment ref="F1269" authorId="12" shapeId="0" xr:uid="{986E1B56-A776-42B0-AB12-F58546CD1A41}">
      <text>
        <t>[Komentář ve vlákně]
Vaše verze aplikace Excel vám umožňuje číst tento komentář ve vlákně, ale jakékoli jeho úpravy se odeberou, pokud se soubor otevře v novější verzi aplikace Excel. Další informace: https://go.microsoft.com/fwlink/?linkid=870924
Komentář:
    Are we only presenting preventative controls or also mitigating controls? Inspections could be both e.g. preventative - detect cracks or piping initiation with sufficient time to take action to prevent failure, or, mitigating - as was the case at Cadia Mine, sufficient time to move the construction crew away from the toe (thus reducing consequence)</t>
      </text>
    </comment>
    <comment ref="F1270" authorId="13" shapeId="0" xr:uid="{DE84D613-B853-45FC-AD00-F86D4782AF4B}">
      <text>
        <t>[Komentář ve vlákně]
Vaše verze aplikace Excel vám umožňuje číst tento komentář ve vlákně, ale jakékoli jeho úpravy se odeberou, pokud se soubor otevře v novější verzi aplikace Excel. Další informace: https://go.microsoft.com/fwlink/?linkid=870924
Komentář:
    Are we only presenting preventative controls or also mitigating controls? Inspections could be both e.g. preventative - detect cracks or piping initiation with sufficient time to take action to prevent failure, or, mitigating - as was the case at Cadia Mine, sufficient time to move the construction crew away from the toe (thus reducing consequence)</t>
      </text>
    </comment>
    <comment ref="F1341" authorId="14" shapeId="0" xr:uid="{E9299DD2-F33E-4E72-95F5-6FFAF752D20C}">
      <text>
        <t>[Komentář ve vlákně]
Vaše verze aplikace Excel vám umožňuje číst tento komentář ve vlákně, ale jakékoli jeho úpravy se odeberou, pokud se soubor otevře v novější verzi aplikace Excel. Další informace: https://go.microsoft.com/fwlink/?linkid=870924
Komentář:
    Can be a critical control for slope failure  - as it "detects event escalation"</t>
      </text>
    </comment>
    <comment ref="F1342" authorId="15" shapeId="0" xr:uid="{ED78367E-5FBA-48E2-850D-585052DB3DF0}">
      <text>
        <t>[Komentář ve vlákně]
Vaše verze aplikace Excel vám umožňuje číst tento komentář ve vlákně, ale jakékoli jeho úpravy se odeberou, pokud se soubor otevře v novější verzi aplikace Excel. Další informace: https://go.microsoft.com/fwlink/?linkid=870924
Komentář:
    Can be a critical control for slope failure  - as it "detects event escalation"</t>
      </text>
    </comment>
    <comment ref="F1343" authorId="16" shapeId="0" xr:uid="{CDD5DFBF-FA1B-4EA4-85E8-E4199E6F39AA}">
      <text>
        <t>[Komentář ve vlákně]
Vaše verze aplikace Excel vám umožňuje číst tento komentář ve vlákně, ale jakékoli jeho úpravy se odeberou, pokud se soubor otevře v novější verzi aplikace Excel. Další informace: https://go.microsoft.com/fwlink/?linkid=870924
Komentář:
    Can be a critical control for slope failure  - as it "detects event escalation"</t>
      </text>
    </comment>
    <comment ref="F1344" authorId="17" shapeId="0" xr:uid="{451A6861-DEEC-4CCE-B7FB-0B378B5C7E64}">
      <text>
        <t>[Komentář ve vlákně]
Vaše verze aplikace Excel vám umožňuje číst tento komentář ve vlákně, ale jakékoli jeho úpravy se odeberou, pokud se soubor otevře v novější verzi aplikace Excel. Další informace: https://go.microsoft.com/fwlink/?linkid=870924
Komentář:
    Can be a critical control for slope failure  - as it "detects event escalation"</t>
      </text>
    </comment>
    <comment ref="F1347" authorId="18" shapeId="0" xr:uid="{4662F98C-1BB7-4DF2-8482-0D0F640B2498}">
      <text>
        <t>[Komentář ve vlákně]
Vaše verze aplikace Excel vám umožňuje číst tento komentář ve vlákně, ale jakékoli jeho úpravy se odeberou, pokud se soubor otevře v novější verzi aplikace Excel. Další informace: https://go.microsoft.com/fwlink/?linkid=870924
Komentář:
    Can be a critical control for slope failure  - as it "detects event escalation"</t>
      </text>
    </comment>
    <comment ref="F1633" authorId="19" shapeId="0" xr:uid="{6324015D-C732-459F-AF21-17A7B03484B4}">
      <text>
        <t>[Komentář ve vlákně]
Vaše verze aplikace Excel vám umožňuje číst tento komentář ve vlákně, ale jakékoli jeho úpravy se odeberou, pokud se soubor otevře v novější verzi aplikace Excel. Další informace: https://go.microsoft.com/fwlink/?linkid=870924
Komentář:
    Added in this characteristic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tc={1037E86E-9520-49B4-99B4-BB90CD68135E}</author>
  </authors>
  <commentList>
    <comment ref="A42" authorId="0" shapeId="0" xr:uid="{1037E86E-9520-49B4-99B4-BB90CD68135E}">
      <text>
        <t>[Komentář ve vlákně]
Vaše verze aplikace Excel vám umožňuje číst tento komentář ve vlákně, ale jakékoli jeho úpravy se odeberou, pokud se soubor otevře v novější verzi aplikace Excel. Další informace: https://go.microsoft.com/fwlink/?linkid=870924
Komentář:
    Core compaction factor removed from Emb-Fdn piping failure as no correlation indicated above.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tc={A6FB8FC0-932A-4601-A819-B16E4AF3CF54}</author>
    <author>tc={E457E9D3-9756-4AF2-A496-D7FF3526E7B7}</author>
  </authors>
  <commentList>
    <comment ref="I6" authorId="0" shapeId="0" xr:uid="{A6FB8FC0-932A-4601-A819-B16E4AF3CF54}">
      <text>
        <t>[Komentář ve vlákně]
Vaše verze aplikace Excel vám umožňuje číst tento komentář ve vlákně, ale jakékoli jeho úpravy se odeberou, pokud se soubor otevře v novější verzi aplikace Excel. Další informace: https://go.microsoft.com/fwlink/?linkid=870924
Komentář:
    Include an additional "Continuation/progression" node regarding detection of unusual movements?</t>
      </text>
    </comment>
    <comment ref="I123" authorId="1" shapeId="0" xr:uid="{E457E9D3-9756-4AF2-A496-D7FF3526E7B7}">
      <text>
        <t>[Komentář ve vlákně]
Vaše verze aplikace Excel vám umožňuje číst tento komentář ve vlákně, ale jakékoli jeho úpravy se odeberou, pokud se soubor otevře v novější verzi aplikace Excel. Další informace: https://go.microsoft.com/fwlink/?linkid=870924
Komentář:
    We assume failure if the crest is overtopped? Could include an additional node regarding energy of flow vs. embankment erosion resistance but may not be standard practice to do so.</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<sst xmlns="http://schemas.openxmlformats.org/spreadsheetml/2006/main" count="8680" uniqueCount="1376">
  <si>
    <t>Main Embankment</t>
  </si>
  <si>
    <t>Saddle 2A</t>
  </si>
  <si>
    <t>Saddle 3</t>
  </si>
  <si>
    <t>Saddle B</t>
  </si>
  <si>
    <t>Saddle C</t>
  </si>
  <si>
    <t>Marandoo</t>
  </si>
  <si>
    <t>WFSF</t>
  </si>
  <si>
    <t>Yes</t>
  </si>
  <si>
    <t>No</t>
  </si>
  <si>
    <t>-</t>
  </si>
  <si>
    <t>Unknown</t>
  </si>
  <si>
    <t>Y</t>
  </si>
  <si>
    <t>Name</t>
  </si>
  <si>
    <t>ID_Chapter</t>
  </si>
  <si>
    <t>Chapter</t>
  </si>
  <si>
    <t>ID_SubChapter</t>
  </si>
  <si>
    <t>SubChapter</t>
  </si>
  <si>
    <t>Characteristic</t>
  </si>
  <si>
    <t>Qualitative Descriptor</t>
  </si>
  <si>
    <t>Quantitative descriptor</t>
  </si>
  <si>
    <t xml:space="preserve">STEADY-STATE SLOPE FAILURE DRAINED - Value Based on Selected Descriptor - Investigation </t>
  </si>
  <si>
    <t>STEADY-STATE SLOPE FAILURE DRAINED - Value Based on Selected Descriptor - Testing</t>
  </si>
  <si>
    <t>STEADY-STATE SLOPE FAILURE DRAINED - Value Based on Selected Descriptor - Stability Assessment</t>
  </si>
  <si>
    <t>STEADY-STATE SLOPE FAILURE DRAINED - Value Based on Selected Descriptor - Construction</t>
  </si>
  <si>
    <t>STEADY-STATE SLOPE FAILURE DRAINED - Value Based on Selected Descriptor - Operation and monitoring</t>
  </si>
  <si>
    <t>STEADY-STATE SLOPE FAILURE DRAINED - Final Structure Class</t>
  </si>
  <si>
    <t>STEADY-STATE SLOPE FAILURE DRAINED - Likelihood of Failure</t>
  </si>
  <si>
    <t xml:space="preserve">STEADY-STATE SLOPE FAILURE UNDRAINED - Value Based on Selected Descriptor - Investigation </t>
  </si>
  <si>
    <t>STEADY-STATE SLOPE FAILURE UNDRAINED - Value Based on Selected Descriptor - Testing</t>
  </si>
  <si>
    <t>STEADY-STATE SLOPE FAILURE UNDRAINED - Value Based on Selected Descriptor - Stability Assessment</t>
  </si>
  <si>
    <t>STEADY-STATE SLOPE FAILURE UNDRAINED - Value Based on Selected Descriptor - Construction</t>
  </si>
  <si>
    <t>STEADY-STATE SLOPE FAILURE UNDRAINED - Value Based on Selected Descriptor - Operation and monitoring</t>
  </si>
  <si>
    <t>STEADY-STATE SLOPE FAILURE UNDRAINED - Final Structure Class</t>
  </si>
  <si>
    <t>STEADY-STATE SLOPE FAILURE UNDRAINED - Likelihood of Failure</t>
  </si>
  <si>
    <t xml:space="preserve">SEISMIC SLOPE FAILURE - Value Based on Selected Descriptor - Investigation </t>
  </si>
  <si>
    <t>SEISMIC SLOPE FAILURE - Value Based on Selected Descriptor - Testing</t>
  </si>
  <si>
    <t>SEISMIC SLOPE FAILURE - Value Based on Selected Descriptor - Stability Assessment</t>
  </si>
  <si>
    <t>SEISMIC SLOPE FAILURE - Value Based on Selected Descriptor - Construction</t>
  </si>
  <si>
    <t>SEISMIC SLOPE FAILURE - Value Based on Selected Descriptor - Operation and monitoring</t>
  </si>
  <si>
    <t>SEISMIC SLOPE FAILURE - Final Structure Class</t>
  </si>
  <si>
    <t>SEISMIC SLOPE FAILURE - Likelihood of Failure</t>
  </si>
  <si>
    <t>OVERTOPPING FAILURE - Stated likelihood of overtopping</t>
  </si>
  <si>
    <t>Hydraulic Gradient Factor</t>
  </si>
  <si>
    <t xml:space="preserve">EMBANKMENT PIPING FAILURE - Values Based on Selected Descriptors - Embankment Filter </t>
  </si>
  <si>
    <t>EMBANKMENT PIPING FAILURE - Values Based on Selected Descriptors - Core Geology Origin WE(cgo)</t>
  </si>
  <si>
    <t>EMBANKMENT PIPING FAILURE - Values Based on Selected Descriptors - Core Soil Type WE (cst)</t>
  </si>
  <si>
    <t>EMBANKMENT PIPING FAILURE - Values Based on Selected Descriptors - Compaction WE(cc)</t>
  </si>
  <si>
    <t>EMBANKMENT PIPING FAILURE - Values Based on Selected Descriptors - Conduits WE(con)</t>
  </si>
  <si>
    <t>EMBANKMENT PIPING FAILURE - Values Based on Selected Descriptors - Observations of Seepage WE(obs)</t>
  </si>
  <si>
    <t>EMBANKMENT PIPING FAILURE - Values Based on Selected Descriptors - Monitoring and Surveillance WE(mon)</t>
  </si>
  <si>
    <t>EMBANKMENT PIPING FAILURE - Final Multiplier</t>
  </si>
  <si>
    <t>EMBANKMENT PIPING FAILURE - Embankment Type Value</t>
  </si>
  <si>
    <t>EMBANKMENT PIPING FAILURE - Final Likelihood of Failure</t>
  </si>
  <si>
    <t>FOUNDATION PIPING FAILURE - Values Based on Selected Descriptors - Filters (blanket)</t>
  </si>
  <si>
    <t>FOUNDATION PIPING FAILURE - Values Based on Selected Descriptors - Foundation Geology (below cutoff)</t>
  </si>
  <si>
    <t xml:space="preserve">FOUNDATION PIPING FAILURE - Values Based on Selected Descriptors - Observations of Seepage WE(obs) </t>
  </si>
  <si>
    <t>FOUNDATION PIPING FAILURE - Values Based on Selected Descriptors - Observations of Pore Pressures WF (obp)</t>
  </si>
  <si>
    <t>FOUNDATION PIPING FAILURE - Values Based on Selected Descriptors - Monitoring and Surveillance WE(mon)</t>
  </si>
  <si>
    <t>FOUNDATION PIPING FAILURE - Final Multiplier</t>
  </si>
  <si>
    <t>FOUNDATION PIPING FAILURE - Base Likelihood of Failure (After 5 years of Operation)</t>
  </si>
  <si>
    <t>FOUNDATION PIPING FAILURE - Final Likelihood of Failure</t>
  </si>
  <si>
    <t>EMBANKMENT INTO OR AT THE FOUNDATION PIPING FAILURE - Values Based on Selected Descriptors - Foundation cutoff trench WEF (cot)</t>
  </si>
  <si>
    <t>EMBANKMENT INTO OR AT THE FOUNDATION PIPING FAILURE - Values Based on Selected Descriptors - Foundation Type WEF(fnd)</t>
  </si>
  <si>
    <t>EMBANKMENT INTO OR AT THE FOUNDATION PIPING FAILURE - Values Based on Selected Descriptors - Erosion Control Measures of Core Foundation WEF(ecm)</t>
  </si>
  <si>
    <t>EMBANKMENT INTO OR AT THE FOUNDATION PIPING FAILURE - Values Based on Selected Descriptors - Grouting of Foundations</t>
  </si>
  <si>
    <t>EMBANKMENT INTO OR AT THE FOUNDATION PIPING FAILURE - Values Based on Selected Descriptors - Core Geology Origin WE(cgo)</t>
  </si>
  <si>
    <t>EMBANKMENT INTO OR AT THE FOUNDATION PIPING FAILURE - Values Based on Selected Descriptors - Core Soil Type WE (cst)</t>
  </si>
  <si>
    <t>EMBANKMENT INTO OR AT THE FOUNDATION PIPING FAILURE - Values Based on Selected Descriptors - Foundation Treatment WE(ft)</t>
  </si>
  <si>
    <t>EMBANKMENT INTO OR AT THE FOUNDATION PIPING FAILURE - Values Based on Selected Descriptors - Observations of Seepage WE(obs)</t>
  </si>
  <si>
    <t>EMBANKMENT INTO OR AT THE FOUNDATION PIPING FAILURE - Values Based on Selected Descriptors - Monitoring and Surveillance WE(mon)</t>
  </si>
  <si>
    <t>EMBANKMENT INTO OR AT THE FOUNDATION PIPING FAILURE - Final Likelihood of Failure</t>
  </si>
  <si>
    <t>FINAL LIKELIHOOD OF FAILURE - STEADY-STATE SLOPE FAILURE DRAINED</t>
  </si>
  <si>
    <t>FINAL LIKELIHOOD OF FAILURE - STEADY-STATE SLOPE FAILURE UNDRAINED</t>
  </si>
  <si>
    <t>FINAL LIKELIHOOD OF FAILURE - SEISMIC SLOPE FAILURE</t>
  </si>
  <si>
    <t>FINAL LIKELIHOOD OF FAILURE - OVERTOPPING FAILURE</t>
  </si>
  <si>
    <t>FINAL LIKELIHOOD OF FAILURE - EMBANKMENT PIPING FAILURE</t>
  </si>
  <si>
    <t>FINAL LIKELIHOOD OF FAILURE - FOUNDATION PIPING FAILURE</t>
  </si>
  <si>
    <t>FINAL LIKELIHOOD OF FAILURE - EMBANKMENT INTO OR AT THE FOUNDATION PIPING FAILURE</t>
  </si>
  <si>
    <t>FINAL LIKELIHOOD OF FAILURE - Final Likelihood of Failure</t>
  </si>
  <si>
    <t>STEADY-STATE SLOPE FAILURE DRAINED - Pore pressures are not unexpectedly excessive SFD-1 - Appropriate design methodology</t>
  </si>
  <si>
    <t>STEADY-STATE SLOPE FAILURE DRAINED - Pore pressures are not unexpectedly excessive SFD-1 - Correct operational practices</t>
  </si>
  <si>
    <t>STEADY-STATE SLOPE FAILURE DRAINED - Field stresses do not exceed peak shear strengths SFD-2 - Adequate geotechnical investigations</t>
  </si>
  <si>
    <t>STEADY-STATE SLOPE FAILURE DRAINED - Field stresses do not exceed peak shear strengths SFD-2 - Adequate laboratory testing</t>
  </si>
  <si>
    <t>STEADY-STATE SLOPE FAILURE DRAINED - Field stresses do not exceed peak shear strengths SFD-2 - Appropriate design methodology</t>
  </si>
  <si>
    <t>STEADY-STATE SLOPE FAILURE DRAINED - Field stresses do not exceed peak shear strengths SFD-2 - Well executed construction</t>
  </si>
  <si>
    <t>STEADY-STATE SLOPE FAILURE UNDRAINED - No contractive materials present SFU-1 - Adequate geotechnical investigations</t>
  </si>
  <si>
    <t>STEADY-STATE SLOPE FAILURE UNDRAINED - No contractive materials present SFU-1 - Adequate laboratory testing</t>
  </si>
  <si>
    <t>STEADY-STATE SLOPE FAILURE UNDRAINED - No contractive materials present SFU-1 - Well executed construction</t>
  </si>
  <si>
    <t>STEADY-STATE SLOPE FAILURE UNDRAINED - Liquefiable materials are not saturated SFU-2 - Appropriate design methodology</t>
  </si>
  <si>
    <t>STEADY-STATE SLOPE FAILURE UNDRAINED - Liquefiable materials are not saturated SFU-2 - Correct operational practices</t>
  </si>
  <si>
    <t>STEADY-STATE SLOPE FAILURE UNDRAINED - Field stresses do not exceed instability line SFU-3 - Adequate geotechnical investigations</t>
  </si>
  <si>
    <t>STEADY-STATE SLOPE FAILURE UNDRAINED - Field stresses do not exceed instability line SFU-3 - Adequate laboratory testing</t>
  </si>
  <si>
    <t>STEADY-STATE SLOPE FAILURE UNDRAINED - Field stresses do not exceed instability line SFU-3 - Appropriate design methodology</t>
  </si>
  <si>
    <t>STEADY-STATE SLOPE FAILURE UNDRAINED - Field stresses do not exceed instability line SFU-3 - Well executed construction</t>
  </si>
  <si>
    <t>STEADY-STATE SLOPE FAILURE UNDRAINED - Field stresses do not exceed instability line SFU-3 - Correct operational practices</t>
  </si>
  <si>
    <t>SEISMIC SLOPE FAILURE - Pore pressures are not unexpectedly excessive SFS-2 - Appropriate design methodology</t>
  </si>
  <si>
    <t>SEISMIC SLOPE FAILURE - Pore pressures are not unexpectedly excessive SFS-2 - Correct operational practices</t>
  </si>
  <si>
    <t>SEISMIC SLOPE FAILURE - Field stresses do not exceed peak shear strengths SFS-3 - Adequate geotechnical investigations</t>
  </si>
  <si>
    <t>SEISMIC SLOPE FAILURE - Field stresses do not exceed peak shear strengths SFS-3 - Adequate laboratory testing</t>
  </si>
  <si>
    <t>SEISMIC SLOPE FAILURE - Field stresses do not exceed peak shear strengths SFS-3 - Appropriate design methodology</t>
  </si>
  <si>
    <t>SEISMIC SLOPE FAILURE - Field stresses do not exceed peak shear strengths SFS-3 - Well executed construction</t>
  </si>
  <si>
    <t>EMBANKMENT PIPING FAILURE - Flaw within embankment/embankment interface material which can hold a pipe does not exist PEM-1 - Defensive design</t>
  </si>
  <si>
    <t>EMBANKMENT PIPING FAILURE - Flaw within embankment/embankment interface material which can hold a pipe does not exist PEM-1 - Well executed construction</t>
  </si>
  <si>
    <t>EMBANKMENT PIPING FAILURE - Actual hydraulic gradient less than critical hydraulic gradient PEM-2 - Appropriate assessment of hydraulic gradients</t>
  </si>
  <si>
    <t>EMBANKMENT PIPING FAILURE - Actual hydraulic gradient less than critical hydraulic gradient PEM-2 - Correct operational practices</t>
  </si>
  <si>
    <t>EMBANKMENT PIPING FAILURE - Properly designed and constructed filters in place PEM-3 - Appropriate design methodology</t>
  </si>
  <si>
    <t>EMBANKMENT PIPING FAILURE - Properly designed and constructed filters in place PEM-3 - Well executed construction</t>
  </si>
  <si>
    <t>FOUNDATION PIPING FAILURE - Flaw within foundation material which can hold a pipe linking storage to downstream area does not exist PFO-1 - Foundation materials type</t>
  </si>
  <si>
    <t>FOUNDATION PIPING FAILURE - Actual hydraulic gradient less than critical hydraulic gradient PFO-2 - Appropriate assessment of hydraulic gradients</t>
  </si>
  <si>
    <t>FOUNDATION PIPING FAILURE - Actual hydraulic gradient less than critical hydraulic gradient PFO-2 - Correct operational practices</t>
  </si>
  <si>
    <t>FOUNDATION PIPING FAILURE - Properly designed and constructed filters in place PFO-3 - Appropriate design methodology</t>
  </si>
  <si>
    <t>FOUNDATION PIPING FAILURE - Properly designed and constructed filters in place PFO-3 - Well executed construction</t>
  </si>
  <si>
    <t>EMBANKMENT INTO OR AT THE FOUNDATION PIPING FAILURE - Flaw within embankment/foundation materials which can hold a pipe linking storage to downstream area does not exist PEF-1 - Material types and treatments</t>
  </si>
  <si>
    <t>EMBANKMENT INTO OR AT THE FOUNDATION PIPING FAILURE - Actual hydraulic gradient less than critical hydraulic gradient PEF-2 - Appropriate assessment of hydraulic gradients</t>
  </si>
  <si>
    <t>EMBANKMENT INTO OR AT THE FOUNDATION PIPING FAILURE - Actual hydraulic gradient less than critical hydraulic gradient PEF-2 - Correct operational practices</t>
  </si>
  <si>
    <t>EMBANKMENT INTO OR AT THE FOUNDATION PIPING FAILURE - Properly designed and constructed filters in place PEF-3 - Appropriate design methodology</t>
  </si>
  <si>
    <t>EMBANKMENT INTO OR AT THE FOUNDATION PIPING FAILURE - Properly designed and constructed filters in place PEF-3 - Well executed construction</t>
  </si>
  <si>
    <t>OVERTOPPING FAILURE -Stored water below maximum operating levels OTF-1 - Appropriate design methodology</t>
  </si>
  <si>
    <t>OVERTOPPING FAILURE -Stored water below maximum operating levels OTF-1 - Correct operational practices</t>
  </si>
  <si>
    <t>OVERTOPPING FAILURE -Freeboard and spillway able to store and manage flood inflow OTF-3 - Appropriate design methodology</t>
  </si>
  <si>
    <t>OVERTOPPING FAILURE -Freeboard and spillway able to store and manage flood inflow OTF-3 - Correct operational practices</t>
  </si>
  <si>
    <t>Risk Assessment</t>
  </si>
  <si>
    <t>D5 IOR Characteristics with Facility Datasheet Characteristics</t>
  </si>
  <si>
    <t>D5 IOR Characteristics without Facility Datasheet Characteristics</t>
  </si>
  <si>
    <t>D5 IOR Tailings Facility Datasheet Characteristics</t>
  </si>
  <si>
    <t>DMIRS Characteristics with Tailings Storage Datasheet Characteristics</t>
  </si>
  <si>
    <t>DMIRS Characteristics without TSDS Characteristics</t>
  </si>
  <si>
    <t>DMIRS TSDS</t>
  </si>
  <si>
    <t>D5 IOR &amp; DMIRS Characteristics with Tailings Facility and Tailings Storage Datasheets Characteristics</t>
  </si>
  <si>
    <t>D5 IOR &amp; DMIRS Characteristics without Tailings Facility and Tailings Storage Datasheets Characteristics</t>
  </si>
  <si>
    <t>DMIRS TSDS &amp; D5 IOR Tailings Facility Datasheet Characteristics</t>
  </si>
  <si>
    <t>General information</t>
  </si>
  <si>
    <t>Name of Facility</t>
  </si>
  <si>
    <t>Location</t>
  </si>
  <si>
    <t>Country</t>
  </si>
  <si>
    <t>City</t>
  </si>
  <si>
    <t>Site/Operation</t>
  </si>
  <si>
    <t>Site Characteristics</t>
  </si>
  <si>
    <t>Seismic Hazard Zone</t>
  </si>
  <si>
    <t>Climate</t>
  </si>
  <si>
    <t>Rainfall Intensity Zone</t>
  </si>
  <si>
    <t>Hazard/Consequence Category</t>
  </si>
  <si>
    <t>ICOLD Rating</t>
  </si>
  <si>
    <t>DMIRS Hazard Rating</t>
  </si>
  <si>
    <t>DMIRS TSF Category</t>
  </si>
  <si>
    <t>ANCOLD Consequence Category</t>
  </si>
  <si>
    <t>Company framework Consequence Category</t>
  </si>
  <si>
    <t>Consequences of failure</t>
  </si>
  <si>
    <t>Population at Risk (Flood Failure)</t>
  </si>
  <si>
    <t>Population at Risk (Sunny Day Failure)</t>
  </si>
  <si>
    <t>Incremental Potential Loss of Life (Flood Failure)</t>
  </si>
  <si>
    <t>Incremental Potential Loss of Life (Sunny Day Failure)</t>
  </si>
  <si>
    <t>Potential Downstream Damage Level</t>
  </si>
  <si>
    <t>Operation details</t>
  </si>
  <si>
    <t>Year of Original Construction</t>
  </si>
  <si>
    <t>Date deposition completed (mm/yy)</t>
  </si>
  <si>
    <t>Year Decommissioned</t>
  </si>
  <si>
    <t>Year rehabilitated</t>
  </si>
  <si>
    <t>Number of Years Active</t>
  </si>
  <si>
    <t>Change in Designer throughout life of facility?</t>
  </si>
  <si>
    <t>Mass of solids stored (present) (tonnes)</t>
  </si>
  <si>
    <t>Expected maximum mass of solids stored (tonnes)</t>
  </si>
  <si>
    <t>Average Tailings Rate of Rise (m/year)</t>
  </si>
  <si>
    <t>Tailings deposition rate (tonnes/year)</t>
  </si>
  <si>
    <t>Stored material</t>
  </si>
  <si>
    <t>Purpose of storage</t>
  </si>
  <si>
    <t>Ore process</t>
  </si>
  <si>
    <t>Facility supernatant water TDS (mg/l)</t>
  </si>
  <si>
    <t>Facility supernatant water pH</t>
  </si>
  <si>
    <t>Deposited slurry solids content (% by weight)</t>
  </si>
  <si>
    <t>Potentially hazardous substances in deposited slurry</t>
  </si>
  <si>
    <t>Weak Acid Dissociable (WAD) cyanide content of deposited slurry (mg/l)</t>
  </si>
  <si>
    <t>Total cyanide (CN) content of deposited slurry (mg/l)</t>
  </si>
  <si>
    <t>Other National pollution inventory (NPI) substances in the TSF</t>
  </si>
  <si>
    <t>Facility details</t>
  </si>
  <si>
    <t>Number of confining embankments</t>
  </si>
  <si>
    <t>Number of expansions</t>
  </si>
  <si>
    <t>Number of remedial works projects</t>
  </si>
  <si>
    <t>Facility centre co-ordinates (GDA 94)</t>
  </si>
  <si>
    <t>Facility status</t>
  </si>
  <si>
    <t>Number of cells</t>
  </si>
  <si>
    <t>Facility nearest water course</t>
  </si>
  <si>
    <t>Depth to original groundwater level (m)</t>
  </si>
  <si>
    <t>Depth to current groundwater level (m)</t>
  </si>
  <si>
    <t>Original groundwater TDS (mg/l)</t>
  </si>
  <si>
    <t>Original groundwater pH</t>
  </si>
  <si>
    <t>Above ground facility - starter bund construction materials (main construction material)</t>
  </si>
  <si>
    <t>Above ground facility - wall construction materials (main construction material)</t>
  </si>
  <si>
    <t>In-pit facility - initial pit depth (maximum) (m)</t>
  </si>
  <si>
    <t>Depth of tailings level build-up (present) (m)</t>
  </si>
  <si>
    <t>Expected maximum depth of tailings level build-up (m)</t>
  </si>
  <si>
    <t>Facility Embankment Details</t>
  </si>
  <si>
    <t>Name of Embankment</t>
  </si>
  <si>
    <t>Facility Arrangement</t>
  </si>
  <si>
    <t>Embankment Type</t>
  </si>
  <si>
    <t>Number of Raises</t>
  </si>
  <si>
    <t>Raise Method</t>
  </si>
  <si>
    <t>Who constructed the embankment/raise?</t>
  </si>
  <si>
    <t>Expected maximum dam height above ground level (m)</t>
  </si>
  <si>
    <t>Dam Crest Width (m)</t>
  </si>
  <si>
    <t>Average upstream slope (1v to ??H)</t>
  </si>
  <si>
    <t>Average downstream slope (1v to ??H)</t>
  </si>
  <si>
    <t>Core Geology Origin WE(cgo)</t>
  </si>
  <si>
    <t>Core Soil Type WE (cst)</t>
  </si>
  <si>
    <t>Foundation Grouting</t>
  </si>
  <si>
    <t>What is the Operating Basis Earthquake used in design? (Input return period) 1 in</t>
  </si>
  <si>
    <t>Underdrainage system</t>
  </si>
  <si>
    <t>Conduits</t>
  </si>
  <si>
    <t>Number of conduits</t>
  </si>
  <si>
    <t>Appurtenant structures</t>
  </si>
  <si>
    <t>Does the facility feature appurtenant structures that requires design calculations (e.g. decant towers, outlet conduits, etc.)</t>
  </si>
  <si>
    <t>Facility expansion details</t>
  </si>
  <si>
    <t>Year of construction</t>
  </si>
  <si>
    <t>Number of confining embankments constructed/expanded</t>
  </si>
  <si>
    <t>Expansion construction arrangement</t>
  </si>
  <si>
    <t>Expansion construction method</t>
  </si>
  <si>
    <t>Volume of storage provided by expansion</t>
  </si>
  <si>
    <t>Remedial works details</t>
  </si>
  <si>
    <t>Purpose of remedial works</t>
  </si>
  <si>
    <t>Scope of remedial works</t>
  </si>
  <si>
    <t>Changes to operation of facility</t>
  </si>
  <si>
    <t>Tailings Deposition</t>
  </si>
  <si>
    <t>Stored material delivery method</t>
  </si>
  <si>
    <t>Deposition Arrangement</t>
  </si>
  <si>
    <t>Water Management</t>
  </si>
  <si>
    <t>Is the embankment designed to retain water?</t>
  </si>
  <si>
    <t>Decant Arrangement</t>
  </si>
  <si>
    <t>Water return works details</t>
  </si>
  <si>
    <t>Outlet works arrangement</t>
  </si>
  <si>
    <t>Emergency outlet works arrangement</t>
  </si>
  <si>
    <t>Flood management structures</t>
  </si>
  <si>
    <t>Are there other flood management structures for the facility?</t>
  </si>
  <si>
    <t>Freeboard and Spillway Details</t>
  </si>
  <si>
    <t>Beach Freeboard Allowance</t>
  </si>
  <si>
    <t xml:space="preserve">&lt; 0.5 m </t>
  </si>
  <si>
    <t>Operational Freeboard Allowance</t>
  </si>
  <si>
    <t>&gt;1.5 m</t>
  </si>
  <si>
    <t>Spillway Present?</t>
  </si>
  <si>
    <t>Location of spillway</t>
  </si>
  <si>
    <t>Type of spillway crest</t>
  </si>
  <si>
    <t>Type of spillway chute</t>
  </si>
  <si>
    <t>Type of energy dissipating structure</t>
  </si>
  <si>
    <t>Design Flood event (Insert Return Period)</t>
  </si>
  <si>
    <t>Spillway Capacity (m3/s)</t>
  </si>
  <si>
    <t>Design Basis Document</t>
  </si>
  <si>
    <t xml:space="preserve"> Yes, presented and achieves the intended objectives, though could be improved</t>
  </si>
  <si>
    <t>Is there documented evidence that the Design Basis Document has been reviewed periodically as required by relevant standards and guidelines and updated as a result of material changes to the facility, to achieve the objective of having all content in the Design Basis document reflecting the current knowledge base and context of the facility and operations?</t>
  </si>
  <si>
    <t>Yes, presented and achieves the intended objective</t>
  </si>
  <si>
    <t>Facility consequences</t>
  </si>
  <si>
    <t>Consequence/hazard assessment</t>
  </si>
  <si>
    <t>Is there documented evidence that the consequence/hazard categories have been reviewed at the frequency required by relevant Standards and Guidelines, to achieve the objective of the consequence/hazard categories reflecting the most current and accurate estimate of potential consequences of failure and context of the facility?</t>
  </si>
  <si>
    <t>Is there documented evidence that the Accountable Executive has accepted the consequence/hazard categories, to achieve the objective that the consequence/hazard category informs the requirements and criteria of the design, operation and management of the facility?</t>
  </si>
  <si>
    <t>Not presented or not documented.</t>
  </si>
  <si>
    <t>Studies &amp; Design</t>
  </si>
  <si>
    <t>Climate and hydrology studies</t>
  </si>
  <si>
    <t>Was a site-specific climate and hydrology study available?</t>
  </si>
  <si>
    <t>Is there documented evidence that the climate data referenced in the study is representative of the latest available and most appropriate climate data, to achieve the objective that the rainfall and climate inputs into the design of the facility are as current and reflect actual conditions as much as practicable?</t>
  </si>
  <si>
    <t>Is there documented evidence of how the rare and extreme intensity-frequency-duration values were derived, to achieve the objective of demonstrating that defensible methods were used?</t>
  </si>
  <si>
    <t>Are the results of the flood study presented clearly, to achieve the objective of the results being appropriate and useable for design (e.g. intensity-duration-frequency curves, inflow hydrograph, etc.)?</t>
  </si>
  <si>
    <t>Geological studies</t>
  </si>
  <si>
    <t>Is a geological study of the site available?</t>
  </si>
  <si>
    <t>Yes, presented, however deficiencies result in the objective not being achieved</t>
  </si>
  <si>
    <t>Geotechnical studies</t>
  </si>
  <si>
    <t>Is there documented evidence that geotechnical design models were derived from objective data and using defensible engineering practices, with the objective of displaying the model zones and parameters to be used in geotechnical analyses for various required loading conditions?</t>
  </si>
  <si>
    <t>Seismic study</t>
  </si>
  <si>
    <t>Is a site-specific seismic study available?</t>
  </si>
  <si>
    <t>Hydrogeological study</t>
  </si>
  <si>
    <t>Is a hydrogeological study for the site and facility available?</t>
  </si>
  <si>
    <t>Is there documented evidence that the source of water considered in the hydrogeological study was based on objective data, to achieve the objective of appropriately considering all sources of water in the hydrogeological study?</t>
  </si>
  <si>
    <t>Is there documented evidence that the potential pathways for seepage considered in the hydrogeological study was based on objective data, to achieve the objective of appropriately considering all pathways of water in the hydrogeological study?</t>
  </si>
  <si>
    <t>Is there documented evidence that the potential receptors of seepage considered in the hydrogeological study was based on objective data, to achieve the objective of appropriately considering all receptors in the hydrogeological study?</t>
  </si>
  <si>
    <t>Is there documented evidence that the hydrogeological study model was carried out using defensible methods, to achieve the objective of identifying and presenting actions, constraints or considerations that should have been considered in the design, operation and closure actions for the facility?</t>
  </si>
  <si>
    <t>Tailings Characterisation</t>
  </si>
  <si>
    <t>Is there documented evidence that representative and expected rheological, chemical and geotechnical properties of the stored material have been characterised to achieve the objective of considering these properties in the design and operation of the facility?</t>
  </si>
  <si>
    <t>Is there documented evidence that the characteristics of the stored material were considered and addressed in the design of the facility, to achieve the objective of producing a design that aligns with the requirements of relevant standards and guidelines?</t>
  </si>
  <si>
    <t>Is there documented evidence that the tailings throughputs (including yield, particle size distribution and minerology) forecast for both the short term to life-of-mine have been estimated with evidence that this information is updated regularly, to achieve the objective of considering the throughputs in the planning and design of the facility?</t>
  </si>
  <si>
    <t>Site constraints</t>
  </si>
  <si>
    <t>Is there documented evidence that other relevant constraints (environmental, social, regulatory) on the facility been documented and regularly reviewed in a standalone document (such as a Facility Management Plan), to achieve the objective of these constraints being understood by all key personnel and stakeholders?</t>
  </si>
  <si>
    <t>Is there documented evidence that the documented site constraints have been regularly reviewed for currency, to achieve the objective of the ensuring that the documented site constraints are as current and accurate as practicable?</t>
  </si>
  <si>
    <t>Tailings Management Studies</t>
  </si>
  <si>
    <t>Is there documented evidence that the multi-criteria option assessment considered the following to reduce the consequences and risks presented by the facility?:
-Societal risks presented by each option
-Minimisation of the volume of stored material that could be unexpectedly released?</t>
  </si>
  <si>
    <t>Is there documented evidence that the preferred storage options for the facility as a result of multi-criteria assessments were advanced, with the objective of producing an appropriate design and implementing the preferred option, for both the facility and each stage of the facility?</t>
  </si>
  <si>
    <t>Potential Failure Mode Assessment</t>
  </si>
  <si>
    <t>Is there documented evidence that a Potential Failure Mode Assessment for the facility been undertaken?</t>
  </si>
  <si>
    <t>Is there clear and detailed documented evidence that the Potential Failure Mode Assessment used objective data and current defensible methods to achieve the objective of identifying all potential failure modes for the facility?</t>
  </si>
  <si>
    <t>Dam break study</t>
  </si>
  <si>
    <t>Is there documented evidence that a dam break assessment been undertaken for all required scenarios?</t>
  </si>
  <si>
    <t>Is there sufficiently detailed documented evidence of the methodology used for the dam break analysis to achieve the objective of demonstrating that the utilised method was suitable and appropriate considering the potential consequences of the facility? (e.g. 1D or 2D analysis and software)</t>
  </si>
  <si>
    <t>Is there documented evidence that the topographic data used in the dam break assessment was sufficiently accurate and current achieve the objective of allowing the impact of potential failure to be estimated and understood with confidence ?</t>
  </si>
  <si>
    <t>Is there detailed documented evidence of the dam break parameters estimation methodology (e.g. breach dimensions and time-to-breach) for each scenario to achieve the objective of incorporating facility-specific failure modes, objective data and defensible methods into the dam break assessment?</t>
  </si>
  <si>
    <t>Is there documented evidence that a dam break sensitivity assessment was appropriately assessed/discussed, to achieve the objective of assessing the sensitivity of the dam break results to variable input parameters and determining representative input parameters and inundation areas?</t>
  </si>
  <si>
    <t>Is there documented evidence of that the Manning's number/s used in the assessment was/were selected based on objective observation of the downstream conditions and defensible reference material, to achieve the objective of appropriately accounting for the conditions of the inundation area in the inundation modelling?</t>
  </si>
  <si>
    <t>Is there documented evidence that the potential for Non-Newtonian fluid behaviour of the outflow material was appropriately considered based on objective data and defensible methods, to achieve the objective of understanding if Non-Newtonian behaviour of the outflow material is possible given the potential conditions at failure?</t>
  </si>
  <si>
    <t>If Non-Newtonian fluid behaviour was assessed in the dam break model, is there documented evidence that the Non-Newtonian fluid parameters used were based on objectively measured data, to achieve the objective of accurately accounting for the Non-Newtonian behaviour of the released material in dam break modelling?</t>
  </si>
  <si>
    <t>Is there documented evidence that the time-step used in the assessment was  selected based on the characteristics of the model, to achieve the objective of producing inundation models that is not negatively impacted by coarse time-steps</t>
  </si>
  <si>
    <t>Is there documented evidence describing the utilised dam break assessment methodology to demonstrate that the dam break assessments achieves the objective of being undertaken in alignment with current practice?</t>
  </si>
  <si>
    <t>Is there documented evidence that a dam break assessment has been appropriately undertaken to reflect the preferred future arrangement of the facility, to achieve the objective of presenting the potential inundation area as a result of the preferred future storage arrangement failing?</t>
  </si>
  <si>
    <t>Consequence assessment</t>
  </si>
  <si>
    <t>Is there documented evidence describing the assessment of consequences of failure for the facility, demonstrating that the objective of estimating consequences of failure based on a standard or guidance framework was achieved?</t>
  </si>
  <si>
    <t>Is there documented evidence that the objective of estimated societal consequences of failure being based on the results of modelled dam break scenarios and objective data regarding the impacted areas was achieved?</t>
  </si>
  <si>
    <t>Is there documented evidence that the objective of societal consequences of failure (Population at Risk and Potential Loss of Life) being estimated for all required dam break scenarios was achieved?</t>
  </si>
  <si>
    <t>Is there documented evidence that the objective of estimated environmental consequences of failure being based on the results of modelled dam break scenarios and objective data regarding the impacted areas was achieved?</t>
  </si>
  <si>
    <t>Is there documented evidence that the objective of environmental consequences of failure being estimated for all required dam break scenarios was achieved?</t>
  </si>
  <si>
    <t>Is there documented evidence that the objective of other estimated consequences of failure (e.g. business consequences, indirect and intangible consequences) being based on the results of modelled dam break scenarios and objective data regarding the impacted areas was achieved?</t>
  </si>
  <si>
    <t>Have the consequences for the preferred future arrangement of the facility have been estimated, with documented evidence that the objective that the estimated consequences were estimated taking into account known uncertainties regarding the facility and downstream developments was achieved?</t>
  </si>
  <si>
    <t>Facility arrangement design</t>
  </si>
  <si>
    <t>Is there documented evidence that a facility arrangement design has been produced which achieves the objective of linking the arrangement to identified site constraints presented?</t>
  </si>
  <si>
    <t>Is there documented evidence that the presented facility arrangement clearly identifies and discusses relevant features of all pertinent details?</t>
  </si>
  <si>
    <t>Is there documented evidence that the storage curve has been derived for the facility which achieves the objective of correctly displaying the relationship between elevation and storage volumes within the storage area?</t>
  </si>
  <si>
    <t>Is there documented evidence that all roads associated with the facility have been designed with all required safety features and consideration to speed restrictions to achieve the objective of reducing vehicle related incidents as much as is reasonably practicable?</t>
  </si>
  <si>
    <t>Stability assessment - Stability analyses scenarios</t>
  </si>
  <si>
    <t>Is there documented evidence that stability analyses for drained conditions were undertaken at suitable locations, to achieve the objective of the drained stability analyses taking into account variability of cross-section, embankment material properties, foundation material properties and loading conditions?</t>
  </si>
  <si>
    <t>Is there documented evidence that stability analyses for undrained conditions were undertaken at suitable locations, to achieve the objective of the undrained stability analyses taking into account variability of cross-section, embankment material properties, foundation material properties and loading conditions?</t>
  </si>
  <si>
    <t>Is there documented evidence that stability analyses for post-seismic conditions were undertaken at suitable locations, to achieve the objective of the post-seismic stability analyses taking into account variability of cross-section, embankment material properties, foundation material properties and loading conditions?</t>
  </si>
  <si>
    <t>Stability assessment - Loading conditions</t>
  </si>
  <si>
    <t>Is there documented evidence that the stability of the facility has been assessed under suitable loading conditions (e.g. normal operating conditions, extreme loading conditions) based on the likely operating and extreme conditions and identified consequence category of the facility, to achieve the objective of the stability modelling reflecting various conditions the facility may be exposed to as required by relevant design standards and guidelines?</t>
  </si>
  <si>
    <t>Material parameters</t>
  </si>
  <si>
    <t>Stability assessment - Phreatic conditions</t>
  </si>
  <si>
    <t>Is there documented evidence that modelled phreatic conditions for each scenario were based on objectively measured data or suitable assessment of pore pressure conditions for each scenario (e.g. seepage modelling, accounting for development of excess pore water pressures, etc.), to achieve the objective of accounting for pore pressures in the confining structures?</t>
  </si>
  <si>
    <t>Stability assessment - Results</t>
  </si>
  <si>
    <t>Is there documented evidence that the stability analyses results for the drained scenarios meet the minimum required stability requirements, to achieve the objective of demonstrating that the stability of the facility under drained conditions meets the minimum requirements of relevant standards and guidelines?</t>
  </si>
  <si>
    <t>Is there documented evidence that the stability analyses results for the undrained scenarios meet the minimum required stability requirements, to achieve the objective of demonstrating that the stability of the facility under undrained conditions meets the minimum requirements of relevant standards and guidelines?</t>
  </si>
  <si>
    <t>Is there documented evidence that the stability analyses results for the post-seismic scenarios meet the minimum required stability requirements, to achieve the objective of demonstrating that the stability of the facility under post-seismic conditions meets the minimum requirements of relevant standards and guidelines?</t>
  </si>
  <si>
    <t>Deformation assessment</t>
  </si>
  <si>
    <t>Is there documented evidence that deformation assessments were undertaken for facility in line with current engineering practice, to achieve the objective of estimating deformations of the facility under relevant loading conditions?</t>
  </si>
  <si>
    <t>Is there documented evidence of the material parameters used in the deformation modelling, to achieve the objective of verifying that adopted parameters were based on those shown in the geotechnical design models and based on objectively measured data and derived using defensible methods?</t>
  </si>
  <si>
    <t>Are all results for completed deformation assessments presented clearly, to achieve the objective of identifying estimated deformations for relevant loading conditions, as well as identifying instability issues??</t>
  </si>
  <si>
    <t>Is there documented evidence that that estimated deformations were deemed acceptable or intolerable for the facility, to achieve the objective of determining if deformations were required to be accounted for in the design and/or operations of the facility, as required?</t>
  </si>
  <si>
    <t>Internal embankment filters - design</t>
  </si>
  <si>
    <t>Is there documented evidence that internal filter zone materials were designed using defensible filter design principles, to achieve the objective of reducing the likelihood of various filter failure modes occurring (e.g. suffusion, segregation, etc.)?</t>
  </si>
  <si>
    <t>Is there documented evidence that the internal filters were designed considering the seepage rates through the confining structure, to achieve the objective of the filters having sufficient drainage capacity?</t>
  </si>
  <si>
    <t>Water balance</t>
  </si>
  <si>
    <t>Is there documented evidence that a balance for the facility is available, which achieves the objective of documenting the mass and water inflow and outflow volumes, as well as estimating future inflow and outflow volumes for planning purposes?</t>
  </si>
  <si>
    <t>Is there documented evidence that an appropriate and defensible water balance methodology/assessment tool was utilised, to achieve the objective that the water balance model be appropriately detailed and sophisticated considering the context of the facility and wider-operations (e.g. Excel tool/GoldSim model)?</t>
  </si>
  <si>
    <t>Is there documented evidence of the inputs used for the  water balance, to demonstrate that the objective that the inputs are based on objectively measured data and/or the most appropriate information is achieved?</t>
  </si>
  <si>
    <t>Is there documented evidence that the assumptions made in the water balance align with site conditions and design assumptions/philosophy to achieve the objective that the water balance reflects actual conditions as much as practicable?</t>
  </si>
  <si>
    <t>Is there documented evidence that the tailings and water throughputs utilised in the water balance were based on forecasted production throughputs, to achieve the objective of the water balance forecast being as accurate and reliable as practicable?</t>
  </si>
  <si>
    <t>Is there documented evidence that all inflows and outflows into the water balance were correctly applied, to achieve the objective of the water balance being as accurate and reliable as practicable?</t>
  </si>
  <si>
    <t>Is there documented evidence that the impacts of rare and extreme rainfall events were correctly and appropriately assessed in the water balance to achieve the objective of reliable forecasting of potential emergency situations?</t>
  </si>
  <si>
    <t>Is there documented evidence that a sensitivity assessment of the inputs and assumptions on the results of the water balance were correctly and appropriately carried out to achieve the objective of understanding the operating limits that the facility may operate under?</t>
  </si>
  <si>
    <t>Is there documented evidence that the results of the water balance were correctly considered to assign tailings and supernatant pond freeboards to achieve the objective of providing sufficient non-operational inflow capacity for rare and extreme rainfall events, as required by relevant regulations, standards and guidelines?</t>
  </si>
  <si>
    <t>Is there documented evidence that the water balance was linked to, or considered the impact of wider site operations to achieve the objective of the water balance correctly reflecting the facility within the site-wide context? (e.g. minimum or maximum water return rates for operations)</t>
  </si>
  <si>
    <t>Storage Modelling</t>
  </si>
  <si>
    <t>Has a storage model been produced for the facility?</t>
  </si>
  <si>
    <t>Is there documented evidence that an appropriate and defensible deposition modelling methodology/assessment tool was utilised, to achieve the objective of the deposition model being appropriately detailed and sophisticated for the context of the facility?</t>
  </si>
  <si>
    <t>Is there documented evidence that appropriate survey data used in the deposition model to achieve the objective of the model being based on as-accurate as practicable conditions?</t>
  </si>
  <si>
    <t>Is there documented evidence that an appropriate digital terrain model was developed for the model to achieve the objective of the model capturing onsite conditions as accurately as practicable?</t>
  </si>
  <si>
    <t>Is there documented evidence that structures and deposition points were correctly to achieve the objective of the deposition model correctly incorporating actual/designed/planned features of the facility?</t>
  </si>
  <si>
    <t>Is there documented evidence that the tailings and water throughputs utilised in the deposition model were based on forecasted production throughputs, to achieve the objective of the model being as accurate and reliable as practicable?</t>
  </si>
  <si>
    <t>Is there documented evidence that the tailings density/densities utilised were based on objectively measured data and/or reasonings provided for adopted values to achieve the objective of the model being as accurate and reliable as practicable?</t>
  </si>
  <si>
    <t>Is there documented evidence that appropriate deposition staging (e.g. deposition from specific spigots over time) was adopted in the model to achieve the objective that the model reflects how the facility will actually be operated?</t>
  </si>
  <si>
    <t>Is there documented evidence that the time-steps/staging used in the model was appropriate to achieve the objective of the model being sufficiently granular to provide meaningful results?</t>
  </si>
  <si>
    <t>Is there documented evidence that the results of the deposition model were used to inform the water return/water management for the facility?</t>
  </si>
  <si>
    <t>Is there documented evidence that the results of the deposition model were used to inform the management of inflows from rare and extreme rainfall  events?</t>
  </si>
  <si>
    <t>Is there documented evidence that the deposition model results were used to provide a statement on the storage volume/time that the facility can provide to achieve the objective that the storage provided by the facility is understood?</t>
  </si>
  <si>
    <t>Spillway design</t>
  </si>
  <si>
    <t>Is there documented evidence that that design loading conditions used the spillway design achieves the objective of aligning with the required flood handling capacity of the facility based on its consequence category?</t>
  </si>
  <si>
    <t>Is there documented evidence that the flood inflow hydrographs used in the spillway calculations were based on a site-specific hydrology study and properly executed flood routing through the storage, to achieve the objective of properly estimating the inflow rates into the spillway structure?</t>
  </si>
  <si>
    <t>Is there documented evidence that the spillway crest was designed using defensible hydraulic calculations and correctly defined flood conditions as inputs, to achieve the objective of sizing the spillway crest to have sufficient capacity to manage the required flow rates?</t>
  </si>
  <si>
    <t>Is there documented evidence that the spillway channel was sized using defensible hydraulic calculations that correctly considered inflows from the crest as inputs into the calculations, to achieve the objective of sizing the spillway chute to have sufficient capacity to manage the required flow rates?</t>
  </si>
  <si>
    <t>Is there documented evidence that the energy dissipator structure was sized using defensible hydraulic calculations that correctly defined inflows from the chute as inputs into the calculations, to achieve the objective of sizing the structure to have sufficient capacity and energy dissipating properties for the required flow rates?</t>
  </si>
  <si>
    <t>Is there documented evidence that the effects of the downstream channel and backwater effects were correctly assessed using defensible hydraulic calculations, to achieve the objective of limiting the potential impact and back erosion during spillway flow events?</t>
  </si>
  <si>
    <t>Is there documented evidence that rating curve for the spillway was appropriately calculated to achieve the objective of relating the water level over the spillway crest with the flow rate through the spillway?</t>
  </si>
  <si>
    <t>Flood management structures - design</t>
  </si>
  <si>
    <t>For any flood management structures for the facility is there documented evidence of the design events that these structures were designed for, to achieve the objective of documenting the capacity of the  structures?</t>
  </si>
  <si>
    <t>Is there documented evidence of the design methodology for the flood management structures, to achieve the objective of demonstrating that the structures were appropriately sized and designed using defensible hydraulic calculations?</t>
  </si>
  <si>
    <t>Underdrainage structures - design</t>
  </si>
  <si>
    <t>Is there documented evidence that the underdrainage was sized considering the hydraulic properties of the underdrainage materials, time-varying conditions and potential for blockages to demonstrate the  objective using defensible methods&gt;</t>
  </si>
  <si>
    <t>Conduits - design</t>
  </si>
  <si>
    <t>Is there documented evidence that the design of the conduit through the embankment has been designed using defensible methods, including the provision and design of appropriate filters, to achieve the objective of limiting the likelihood of structural failure and internal erosion due to the conduit?</t>
  </si>
  <si>
    <t>Liner - design</t>
  </si>
  <si>
    <t>Is there documented evidence that the liner properties were specified based on an assessment which considered the required/maximum seepage rates for the facility, to achieve the objective of specifying a fit-for-purpose liner?</t>
  </si>
  <si>
    <t>Is there documented evidence that a structural assessment of the liner was undertaken using defensible methods and consideration to likely loading conditions and required factors of safety, to achieve the objective of limiting the likelihood of structural failure?</t>
  </si>
  <si>
    <t>Tailings/water delivery works - design</t>
  </si>
  <si>
    <t>Is there documented evidence of the design of all mechanical elements (pipework and valves) for the delivery of water and tailings which demonstrates that the objective of the design being carried out using inputs representative of the operating conditions and defensible design methods was achieved?</t>
  </si>
  <si>
    <t>Water return works - design</t>
  </si>
  <si>
    <t>Is there documented evidence of the design of all mechanical elements (pipework and valves) for the removal and return of water which demonstrates that the objective of the design being carried out using inputs representative of the operating conditions and defensible design methods was achieved?</t>
  </si>
  <si>
    <t>Appurtenant structures - design</t>
  </si>
  <si>
    <t>Is there documented evidence of the design of all apparent structures (e.g. decant towers, outlet conduits) which demonstrates that the objective of the designs being carried out using inputs representative of the operating and extreme conditions and defensible design methods was achieved?</t>
  </si>
  <si>
    <t>Design reports</t>
  </si>
  <si>
    <t>Are there design reports available for all design studies for the facility, to achieve the objective of documenting and providing evidence of all design activities?</t>
  </si>
  <si>
    <t>Design reviews</t>
  </si>
  <si>
    <t>Risk assessment</t>
  </si>
  <si>
    <t>Is there documented evidence that an appropriately detailed risk assessment was completed for the facility to achieve the objective of identifying and documenting the facilities risks within an appropriate framework?</t>
  </si>
  <si>
    <t>Is there documented evidence that the facility risk assessment has been reviewed and revised at the required minimum frequency by an appropriately qualified and experienced reviewer/review team to achieve the objective of ensuring that the facility's risk profile reflects current conditions as much as is practicable?</t>
  </si>
  <si>
    <t>Is there documented evidence that the risk assessment was informed by a Potential Failure Mode Assessment completed for the facility to achieve the objective of relating the facility's risks to the underlying hazards and potential modes of failure that are unique to the facility?</t>
  </si>
  <si>
    <t>Is there documented evidence of the methods used to calculate the probabilities of failure for identified failure modes to demonstrate that the probabilities were estimated using  objectively measured data and appropriate and defensible methods?</t>
  </si>
  <si>
    <t>Is there documented evidence that the stated consequences for the various failure modes were based on dam break studies and consequence assessments to achieve the objective of having the risk profile directly related to estimated consequences of failure?</t>
  </si>
  <si>
    <t>Is there documented evidence that the risks (both societal and business) presented by the facility have been correctly presented to allow the risk profile of the facility to be clearly understood?</t>
  </si>
  <si>
    <t>Is there documented evidence that the risks presented by the facilities were presented within an appropriate risk framework to achieve the objective of allowing the risk profile to be comparatively assessed against other portfolio risks and tolerable risk levels if required?</t>
  </si>
  <si>
    <t>Is there documented evidence that the outcomes of the risk assessment were appropriately considered in the design of the facility, subsequent expansion and remedial works to achieve the objective of reducing the risk profile as-far-as-is-practicable throughout the life of the facility?</t>
  </si>
  <si>
    <t>Facility concept design</t>
  </si>
  <si>
    <t>Is there documented evidence that the facility has been designed to meet the minimum requirements of an Extreme Consequence Category facility to achieve the objective of the objective of providing a design that is able to withstand extreme-level loadings ?  (See GISTM for Consequence Category framework)</t>
  </si>
  <si>
    <t>If the facility has not been designed to the requirements of an Extreme Consequence Category facility, is there documented evidence of a feasible preliminary design to demonstrate that the facility can be upgraded to meet the design requirements for an Extreme Consequence Category facility to achieve the objectives of being able to reduce the risk profile of the facility if required and to adhere to the requirements of the GISTM?</t>
  </si>
  <si>
    <t>Closure Plan</t>
  </si>
  <si>
    <t>Was a concept closure plan available which achieves the objective of detailing all required information that is required to effectively and safely achieve the closure requirements of the facility?</t>
  </si>
  <si>
    <t>Is there documented evidence of a closure plan which includes staging of the facility from the current arrangement to closure which achieves the objective of clearly detailing how the facility should be developed over its life which can serve as a reference to future expansion projects?</t>
  </si>
  <si>
    <t>Is there documented evidence that the closure plan is commensurate with the planned life-cycle of the facility as required by relevant standards and guidelines, including being supported by options assessments, structural design and required studies, which achieves the objective of facilitating progressive definition of the closure plan?</t>
  </si>
  <si>
    <t>Is there documented evidence that the closure plan was reviewed by an independent third-party reviewer to achieve the objectives of producing a defensible closure plan studies and to meet the requirements of relevant standards and guidelines?</t>
  </si>
  <si>
    <t>Is there documented evidence that the closure plan was reviewed by an independent third-party reviewer?</t>
  </si>
  <si>
    <t>Is there documentation detailing the roles and responsibilities of key personnel or positions who are involved in the closure process to achieve the objective of identifying and assigning accountabilities and responsibilities for all activities required for successful closure?</t>
  </si>
  <si>
    <t>Is there documented evidence that the closure plan includes decommissioning and rehabilitation aspects for the facility to achieve the objective of the closure plan considering all pertinent aspects of closure?</t>
  </si>
  <si>
    <t>Is there documented evidence that the closure plan includes decommissioning and rehabilitation aspects for the facility?</t>
  </si>
  <si>
    <t>Is there documented evidence that the closure plan has been adequately reviewed and modified with material changes to the operational procedures of the facility or planned final design, to achieve the objective of the closure plan considering actual conditions as accurately as practicable?</t>
  </si>
  <si>
    <t>Is there documented evidence that closure was considered in the design of the facility and documented in the Design Report to achieve the objective of each design stage appropriately including closure considerations and constraints at each stage of the facility's life?</t>
  </si>
  <si>
    <t>Risk profile and mitigation</t>
  </si>
  <si>
    <t>Facility risk and mitigation actions</t>
  </si>
  <si>
    <t>Is there documented evidence that appropriate actions have been identified with plans for implementation to achieve a risk profile that meets the concept of ALARP to achieve the objective of reducing the risk profile of the facility as low as is reasonably practicable?</t>
  </si>
  <si>
    <t>Is there documented evidence that the Accountable Executive has confirmed that the facility's risk profile satisfied the concept of ALARP and that all reasonable steps to reduce potential consequences were identified with plans for implementation, to achieve the objective of the owner accepting accountability for the risks presented by the facility and all plans to lower that risk?</t>
  </si>
  <si>
    <t>Is there documented evidence that the results of all risk assessments and reviews were communicated to the Independent Technical Review Board or Senior Technical reviewer for review, to achieve the objectives of producing defensible risk assessments and risk mitigation actions and to meet the requirements of relevant standards and guidelines?</t>
  </si>
  <si>
    <t>Is there documented evidence of a plan to address all identified unacceptable tailings facility risks with prioritisation of activities based on stated levels of urgency, to achieve the objective of demonstrating that a feasible and realistic risk mitigation plan is being enacted appropriately and within a reasonable timeframe? (Plans should include required scopes, resources and scheduling details)</t>
  </si>
  <si>
    <t>Is there documented evidence that the plans to address all identified unacceptable risks are being actioned appropriately based on the stated urgencies and within the timeframes stipulated and agreed by all relevant stakeholders, to achieve the objective of reducing the risk profile of the facility within the parameters endorsed by the Accountable Executive?</t>
  </si>
  <si>
    <t>Construction</t>
  </si>
  <si>
    <t>Construction Supervision</t>
  </si>
  <si>
    <t>Construction specifications</t>
  </si>
  <si>
    <t>Is there documented evidence that Technical Specifications were produced for construction of all expansions, remedial works and closure works to achieve the objective of providing requirements and direction to the construction team to meet the design intent?</t>
  </si>
  <si>
    <t>Quality assurance, control and documentation</t>
  </si>
  <si>
    <t>Is there documented evidence that testing for verification of construction activities was carried out to achieve the objective of demonstrating that construction activities complied with the Technical Specifications?</t>
  </si>
  <si>
    <t>Is there documented evidence that deviations from the Technical Specifications were identified and documented, to achieve the objective of documenting all pertinent construction activities and assessing and understanding the effect of any deviances to the risk profile of the facility?</t>
  </si>
  <si>
    <t>Have the As-Constructed data from each construction project been collated and documented, to achieve the objective of adding to the facility knowledge base and adhering to the requirements of relevant standards and guidelines?</t>
  </si>
  <si>
    <t>Have Construction Reports for each construction project been produced, to achieve the objective of adding to the facility knowledge base and adhering to the requirements of relevant standards and guidelines?</t>
  </si>
  <si>
    <t>Governance</t>
  </si>
  <si>
    <t>Management and governance</t>
  </si>
  <si>
    <t>Is there documented evidence of the Board of Directors adopting and publishing a policy which achieves the  objective of stating a commitment to the safe management of storage facilities, emergency preparedness and response and to recovery after failure?</t>
  </si>
  <si>
    <t>Is there documented evidence of a tailings governance framework being established to achieve the objective of effective management, oversight and accountability of storage facilities?</t>
  </si>
  <si>
    <t>Is there documented evidence that an incentive program has been established for those fulfilling responsible personnel roles which achieves the objective of basing incentive payments or performance reviews (at least in part) on public safety and the integrity of the tailings facility? (refer to GISTM for further details)</t>
  </si>
  <si>
    <t>Is there documented evidence that an Accountable Executive has been assigned to achieve the objective of appointing a person to be accountable for all facility management and governance activities and systems?</t>
  </si>
  <si>
    <t>Is there documented evidence that the official appointment of the Accountable Executive included a description of the role and accountabilities to ensure that Accountable Executive is aware of their roles and responsibilities and to provide evidence that these  align with those in relevant standards and guidelines?</t>
  </si>
  <si>
    <t>Is there documented evidence that the Accountable Executive has had scheduled communication with the Engineer of Record to achieve the objective of the Accountable Executive being informed of the  safety of the facility and other matters which they are accountable for?</t>
  </si>
  <si>
    <t>Responsible Personnel</t>
  </si>
  <si>
    <t>Is there documented evidence that a suitably qualified Nominated Manager has been assigned for the facility to achieve the objective of appointing a person who is accountable for the facilities’ compliance with the D5 Standard?</t>
  </si>
  <si>
    <t>Is there documented evidence that a suitably qualified Responsible Facility Engineer has been assigned for the facility to achieve the objective of appointing a person who is accountable for the integrity of the facility?</t>
  </si>
  <si>
    <t>Was a list of responsible personnel (governance, management and operational personnel) available to achieve the objective of clearly documenting all people accountable, responsible or otherwise involved with responsible management of the facility?</t>
  </si>
  <si>
    <t>Is there documented evidence that a suitable hierarchy of personnel has been developed and accepted to achieve the objective of detailing lines of reporting and chains of communication?</t>
  </si>
  <si>
    <t>Is there documented evidence that the role descriptions, responsibilities and accountabilities for each responsible personnel role have been developed to achieve the objective of ensuring personnel are aware of their roles and responsibilities and to provide evidence that they align with those in relevant standards and guidelines?</t>
  </si>
  <si>
    <t>Is there documented evidence that the activities for each responsible personnel role has been developed to achieve the objective of all personnel understanding what they must do to fulfil their responsibilities and accountabilities?</t>
  </si>
  <si>
    <t>Does the documented list of responsible personnel achieve the objective of fulfilling the requirements of all relevant standards, guideline and regulatory requirements?</t>
  </si>
  <si>
    <t>Is there documented evidence that suitably qualified and experienced members of an Independent Technical Review Board or Senior Independent Technical Reviewer was appointed for the facility with documented evidence of no conflicts of interest, to achieve the objective of appropriately establishing the ability to undertake independent reviews of all management, governance and design activities?</t>
  </si>
  <si>
    <t>Is there documented evidence that the Independent Technical Review Board or Senior Independent Technical Reviewer reports directly to the Accountable Executive to achieve the objective of ensuring  suitable line of communication between the reviewers and the Accountable Executive as required by the GISTM?</t>
  </si>
  <si>
    <t>Are the minimum required qualifications and experience for all responsible personnel documented to achieve the objective of setting minimum requirements that align with the requirements of relevant standards and guidelines?</t>
  </si>
  <si>
    <t>Is there documented evidence that the personnel fulfilling the various Responsible Personnel roles meet the minimum qualification and experience requirements to achieve the objective of engaging appropriately qualified and experienced personnel to fulfil the responsible personnel roles?</t>
  </si>
  <si>
    <t>Accountable Executive communication</t>
  </si>
  <si>
    <t>Is there documented evidence that the Accountable Executive has had regular communication with the Board of Directors to achieve the objective of the Board being fully aware of the owner's compliance and other matters regarding relevant standards and guidelines?</t>
  </si>
  <si>
    <t>Engineer of Record</t>
  </si>
  <si>
    <t>Is there documented evidence that an appropriate Engineer of Record has been appointed for the facility (either in-house or external company with identified Senior Engineer) to achieve the objective of engaging a person with the necessary skills and experience that are commensurate with the potential consequences and complexities of the facility?</t>
  </si>
  <si>
    <t>Is there documented evidence that an agreement has been produced which clearly describes the obligations of the Operator to the Engineer of Record to achieve the objective of the Operator formally stating they support the effective performance of the Engineer of Record?</t>
  </si>
  <si>
    <t>Is there documented evidence that a program has been implemented to manage the interactions between the Engineer of Record, the Responsible Facility Engineer and the Accountable Executive and their involvement in the tailings facility lifecycle achieve the objective that there is confirmation that both the implementation of designs and that the design intent are met?</t>
  </si>
  <si>
    <t>Is there documented evidence that a process or procedure has been established to ensure that the selection of the Engineering of Record is decided by the Accountable Executive to achieve the objective that engagement of the Engineer of Record is done so by the person they are accountable to?</t>
  </si>
  <si>
    <t>Is there documented evidence that the selection of the Engineer of Record was not decided by procurement personnel to achieve the objective that commercial pressures do not influence the engagement of the Engineer of Record?</t>
  </si>
  <si>
    <t>Is there documented evidence that a succession plan been developed to facilitate the handover process of the Engineer of Record role to achieve the objective that the gap in knowledge is limited if handover of the role is required?</t>
  </si>
  <si>
    <t>Management</t>
  </si>
  <si>
    <t>Facility Management Plan</t>
  </si>
  <si>
    <t>Is there documented evidence that the Facility Management Plan identified the risks, resources, schedules and capital allowances required for the life of the facility to achieve the objective of allowing appropriate planning for responsible management?</t>
  </si>
  <si>
    <t>Is there documented evidence that the Facility Management Plan identified new and emerging technologies and approaches as opportunities to develop to achieve the objective of exploring opportunities to reduce the risks presented by the facility?</t>
  </si>
  <si>
    <t>Is there documented evidence that the Facility Management Plan is being reviewed and updated as required, when material changes to the requirements of the facility occur, or at least annually to achieve the objective of incorporating all material changes to the facility's knowledge base?</t>
  </si>
  <si>
    <t>Is there documented evidence that the D5 Tailings Management Plan meets the objective of containing all required content as required by the D5 Group Procedure?</t>
  </si>
  <si>
    <t>Facility data book/sheet</t>
  </si>
  <si>
    <t>Is a Facility data book available which achieves the objective of collating and detailing the basic information and all available drawings for the facility?</t>
  </si>
  <si>
    <t>Is a Facility data book detailing basic information and drawings for the available?</t>
  </si>
  <si>
    <t>Management of Change</t>
  </si>
  <si>
    <t>Is there evidence that Deviance Accountability Reports were produced by the Engineer of Record and approved by the Accountable Executive, which achieves the objective of providing an assessment of the cumulative impact of changes on the risk profile of the facility?</t>
  </si>
  <si>
    <t>Is there documented evidence that the available Deviance Accountability Reports contains recommendations to achieve the objective of managing the facility's risks, including updates to the design, operation, management and surveillance of the facility?</t>
  </si>
  <si>
    <t>Tailings management system</t>
  </si>
  <si>
    <t>Is there documented evidence that a performance based Tailings Management System been established, which achieves the objective of detailing the key components for management and design of the tailings facility? (See the GISTM for further details)</t>
  </si>
  <si>
    <t>Is there documented evidence that the site's Environmental and Social Management System includes aspects and requirements related to tailings management to achieve the objective of management systems being in place for matters beyond facility safety?</t>
  </si>
  <si>
    <t>Is there documented evidence that Tailings Management System has been reviewed at a minimum of every three years by a suitably qualified Senior Technical Reviewer, to achieve the objective of reviewing the system's effectiveness?</t>
  </si>
  <si>
    <t>Is there documented evidence that the tailings related elements of a site's Environmental and Social Management System has been reviewed at a minimum of every three years by a suitably qualified Senior Technical Reviewer, to achieve the objective of reviewing the system's effectiveness?</t>
  </si>
  <si>
    <t>Is there documented evidence that the findings of the management system reviews were reported to the Accountable Executive, Board of Directors and project affected people to achieve the objective of informing these stakeholders to the findings of the review and how it may impact them?</t>
  </si>
  <si>
    <t>Is there documented evidence that internal audits were carried out to achieve the objective of verifying implementation of company procedures, guidelines and corporate governance requirements are consistent with tailings related management systems?</t>
  </si>
  <si>
    <t>Is there documented evidence that actions were sufficiently defined to achieve the objective of allowing  deficiencies identified during internal audits of tailings related management systems to be addressed?</t>
  </si>
  <si>
    <t>Audits and reviews</t>
  </si>
  <si>
    <t>Is there documented evidence that the Engineer of Record or Senior Independent Technical Reviewer have completed reviews of the tailings facility's construction and performance to achieve the objective of confirming that the facility has been constructed or is being operated per the design intent and the risk profile of the facility has not materially changed?</t>
  </si>
  <si>
    <t>Is there documented evidence that actions were sufficiently defined by the Engineer of Record or Senior Independent Technical Reviewer to achieve the objective of addressing deficiencies identified in the reviews of the tailings facility's construction and performance?</t>
  </si>
  <si>
    <t>Is there documented evidence that independent Dam Safety Reviews were carried out for the facility at the frequencies required for the facility's consequence category to achieve the objective of meeting the requirements of relevant standards and guidelines?</t>
  </si>
  <si>
    <t>Is there documented evidence that the independent Dam Safety Review achieved the objective of reviewing the technical, operational and governance aspects of the facility using the requirements of the GISTM?</t>
  </si>
  <si>
    <t>Is there documented evidence that the selection process for reviewer/s undertaking independent Dam Safety Reviews achieved the objectives that the same reviewer/s did not undertake consecutive Dam Safety Reviews and that there was confirmation in writing of no conflicts of interest?</t>
  </si>
  <si>
    <t>Is there documented evidence that the Independent Technical Review Board or Senior Independent Technical Reviewer has regularly reviewed and reported the status of the following to the Accountable Executive, to achieve the objective of providing regular reviews that the following have been undertaken using the principles of risk informed performance-based decision making: 
-Planning
-Siting
-Design
-Construction
-Operation
-Water and mass balance 
-Maintenance
-Monitoring
-Performance
-Risk management</t>
  </si>
  <si>
    <t>Is there documented evidence that the frequency of the reviews required by the Independent Technical Review Board or Senior Independent Technical Reviewer for reporting to the Accountable Executive were defined and understood for each phase of the tailings facility lifecycle to achieve the objective that all reviews occur and are reported as required by relevant standards and guidelines?</t>
  </si>
  <si>
    <t>Is there documented evidence that DMIRS operating audits have been conducted for the facility in line with regulatory requirements at least at the minimum frequency specified to achieve the objective of documenting ongoing compliance with regulations?</t>
  </si>
  <si>
    <t>Is there documented evidence that the methods used to estimate closure and post-closure costs were appropriate considering the stage of the facility's life cycle to achieve the objective of the costs being as accurately understood as much as is practicable, given potential changes and unknowns with the future of the facility?</t>
  </si>
  <si>
    <t>Is there documented evidence that the costs (including insurance) and resources that were estimated for the planned closure, early closure, reclamation and post-closure of the tailings facility and appurtenant structures were appropriately reviewed on an annual basis throughout the facility's life, to achieve the objective of the costs and resources being estimated using defensible methods?</t>
  </si>
  <si>
    <t>Is there documented evidence that external parties have expressed interest in acquiring the operations in which the facility is located?</t>
  </si>
  <si>
    <t>If yes, is there documented evidence that demonstrates efforts were made to achieve the objective of determining if the potential new owner was capable of maintaining the facility to the requirements stated in relevant standards and guidelines?</t>
  </si>
  <si>
    <t>Closure and Post-Closure Planning</t>
  </si>
  <si>
    <t>Is there documented evidence that costs (including insurance) and resources were estimated for the planned closure, early closure, reclamation and post-closure of the tailings facility and appurtenant structures to achieve the objective that these costs and required resources are understood by the owner?</t>
  </si>
  <si>
    <t>Training and learning</t>
  </si>
  <si>
    <t>Is there documented evidence that a process and sufficient resources are in place to achieve the objective of educating personnel on their role and responsibilities and how it relates to the risk level of the facility?</t>
  </si>
  <si>
    <t>Is there documented evidence that a process and sufficient resources are in place to educate personnel to achieve the objective of all personnel being educated on the operating requirements of the facility and how it relates to the risk level of the facility?</t>
  </si>
  <si>
    <t>Is there documented evidence that the education process includes certification which achieves the objective of certifying that personnel are adequately trained and educated based on a review of the personnel's understanding of their role and responsibilities and the operating requirements of the facility?</t>
  </si>
  <si>
    <t>Is there documented evidence that the required training achieves the objective of being directly based on, and suitable for, the identified training and qualifications for responsible personnel?</t>
  </si>
  <si>
    <t>Is there documented evidence, supported by verbal confirmation, that operation and management personnel achieve the objective of having a clear understanding of their roles and responsibilities and operating requirements of the facility?</t>
  </si>
  <si>
    <t>Is there documented evidence that management and operations personnel have achieved the objective of completing the minimum training requirements?</t>
  </si>
  <si>
    <t>Operation</t>
  </si>
  <si>
    <t>Operation and Maintenance Manual</t>
  </si>
  <si>
    <t>Is an Operation and Maintenance Manual for the facility available, to achieve the objective of providing direction and guidance to management and operational personnel on how to manage and operate the facility in accordance with the design intent?</t>
  </si>
  <si>
    <t>Does the Operation and Maintenance Manual include a statement which achieves the objective of clearly stating the required frequency of reviews and updates for the Manual ,with documented evidence that this frequency has been adhered to?</t>
  </si>
  <si>
    <t>Does the Operation and Maintenance Manual achieve the objective of documenting the information about the facility that is required by relevant standards and guidelines?</t>
  </si>
  <si>
    <t>Does the OMM contain information that achieves the objective of stating the operation and management personnel and roles that are required by relevant standards and guidelines?</t>
  </si>
  <si>
    <t>Does the OMM contain all the operational procedures which achieves the objective of detailing how to operate the facility in alignment with the documented operational philosophy of the facility, relevant standards and guidelines?</t>
  </si>
  <si>
    <t>Does the OMM contain all the maintenance actions and procedures which achieves the objectives of detailing how to maintain the facility in alignment with the documented operational philosophy of the facility, relevant standards and guidelines?</t>
  </si>
  <si>
    <t>Did the OMM contain all the surveillance and monitoring actions and procedures which achieves the objective of detailing how to inspect and monitor the facility in alignment with the documented operational philosophy of the facility relevant standards and guidelines?</t>
  </si>
  <si>
    <t>Does the OMM state the frequency of surveillance and monitoring actions, with the stated frequencies achieving the objective of meeting the minimum surveillance and monitoring frequencies required by relevant standards and guidelines?</t>
  </si>
  <si>
    <t>Is there documented evidence that the triggers and trigger levels stated in the Trigger Action Response Plan achieve the objective of being based on identified failure modes and the results of appropriate analyses for the facility? (e.g. stability, seepage and deformation assessment)</t>
  </si>
  <si>
    <t>Does the OMM contain sufficient discussion, information and instruction which achieves the objective of detailing actions required to be undertaken by operational staff in the event of emerging deleterious conditions, or failure scenarios (i.e. Emergency Action Plans)?</t>
  </si>
  <si>
    <t>Is supporting information referenced in the OMM attached as appendices which achieve the objective of providing further detailed instructions or information? (e.g. pump instructions, VWP calibration certificates, etc.)</t>
  </si>
  <si>
    <t>Is supporting information to the OMM attached as appendices, with clear references in the main OMM document?</t>
  </si>
  <si>
    <t>Deposition Plan</t>
  </si>
  <si>
    <t>Is there documented evidence that the deposition plan was informed by the deposition modelling carried out as part of the design for the facility to achieve the objective of the operations of the facility adhering to the facility's design intent?</t>
  </si>
  <si>
    <t>Is there documented evidence that the deposition plan has been reviewed at frequent intervals, to achieve the objective of ongoing operations matching the design intent of the facility while considering the actual tailings beach conditions, supernatant water volume and other pertinent factors?</t>
  </si>
  <si>
    <t>Is there documented evidence that the deposition plan is the topic of two-way communications between the responsible tailings facility engineer and operations staff to achieve the objective of onsite operations matching what the deposition plan indicates should be occurring? (e.g. daily communication to tell operators how deposition should occur, with feedback from operators regarding if the plan is achieving the intent)</t>
  </si>
  <si>
    <t>Operational Performance</t>
  </si>
  <si>
    <t>Is there documented evidence that the objective of operational performance measures in the OMM (e.g. key performance indicators) being met is being achieved?</t>
  </si>
  <si>
    <t>Is there documented evidence that the objective of addressing required operation and maintenance actions within nominated time frames are being met?</t>
  </si>
  <si>
    <t>Operation and Maintenance Actions</t>
  </si>
  <si>
    <t>Is there documented evidence that regular inspections are being properly carried out at the required frequency to achieve the objective of identifying visual signs of maloperation or structural distress?</t>
  </si>
  <si>
    <t>Is there documented evidence that annual inspections by qualified personnel are being appropriately and properly carried out, to achieve the objective of reviewing the performance, behaviour, management and operation of the facility?</t>
  </si>
  <si>
    <t>Is there documented evidence that Comprehensive Reviews by qualified personnel are being appropriately and properly carried out, to achieve the objective of reviewing the performance, design intent, assumptions, inputs, design activities, estimated consequences of failure, management, governance and operation of the facility?</t>
  </si>
  <si>
    <t>Is there documented evidence that maintenance on the facility is being carried out when actions are identified in a timely manner to achieve the objective of addressing hazards to the integrity of the facility as soon as practicable?</t>
  </si>
  <si>
    <t>Monitoring instrumentation - Overview</t>
  </si>
  <si>
    <t>Is there documented evidence that storage elevation instruments been installed for the facility, to achieve the objective of being able to monitor storage elevations with sufficient accuracy and frequency considering the context of the facility?</t>
  </si>
  <si>
    <t>Is there documented evidence that a method to record rainfall at the facility is available, to achieve the objective of measuring representative rainfall with sufficient accuracy and frequency considering the context of the facility?</t>
  </si>
  <si>
    <t>Is there documented evidence that pore pressure measuring devices (standpipes, VWPs) have been installed in the confining structure, to achieve the objective of monitoring pore pressures within the embankment with sufficient accuracy and frequency considering the context of the facility?</t>
  </si>
  <si>
    <t>Is there documented evidence that pore pressure measuring devices (standpipes, VWPs) have been installed in the foundations of the confining structure, to achieve the objective of monitoring pore pressures with within the foundation zones with sufficient accuracy and frequency considering the contact of the facility?</t>
  </si>
  <si>
    <t>Storage monitoring</t>
  </si>
  <si>
    <t>Is there documented evidence and data indicating that storage freeboard elevations have been exceeded, since it was reviewed?</t>
  </si>
  <si>
    <t>Foundation pore pressure data</t>
  </si>
  <si>
    <t>Is there documented evidence that foundation pore pressure data was collected and reviewed appropriately and at the minimum required frequencies to achieve the objective of determining if the pore pressures are in line with the expected performance of the structure?</t>
  </si>
  <si>
    <t>Low pore pressures in foundation</t>
  </si>
  <si>
    <t>Does the foundation piezometer pore pressure data indicate that pore pressures have exceeded set trigger levels since it was last reviewed?</t>
  </si>
  <si>
    <t>Embankment pore pressure data</t>
  </si>
  <si>
    <t>Is there documented evidence that embankment pore pressure data was collected and reviewed appropriately and at the minimum required frequencies to achieve the objective of determining if the pore pressures are in line with the expected performance of the structure?</t>
  </si>
  <si>
    <t>Low pore pressures in embankment</t>
  </si>
  <si>
    <t>Does the embankment piezometer pore pressure data indicate that pore pressures have exceeded set trigger levels since it was last reviewed?</t>
  </si>
  <si>
    <t>Surface movement data</t>
  </si>
  <si>
    <t>Internal movement data</t>
  </si>
  <si>
    <t>Is there documented evidence that internal movement data was collected and reviewed appropriately and at the minimum required frequencies to achieve the objective determining if the movements are in line with the expected performance of the structure?</t>
  </si>
  <si>
    <t>Does the internal movement data indicate that movements have exceeded set trigger levels since it was last reviewed?</t>
  </si>
  <si>
    <t>Seepage data</t>
  </si>
  <si>
    <t>Is there documented evidence that seepage data was collected and reviewed appropriately and at the minimum required frequencies to achieve the objective determining if the seepage volumes and rates are in line with the expected performance of the structure?</t>
  </si>
  <si>
    <t>Does the seepage data indicate that seepage rates have exceeded set trigger levels since it was last reviewed?</t>
  </si>
  <si>
    <t>Monitoring instrumentation - Saturated zones</t>
  </si>
  <si>
    <t>Incidents and Events</t>
  </si>
  <si>
    <t>None, during operational life of facility</t>
  </si>
  <si>
    <t>Is there documented evidence of the decant pond exceeding recommended size limits?</t>
  </si>
  <si>
    <t>Is there documented evidence of a piping event in the past?</t>
  </si>
  <si>
    <t>Is there documented evidence that the underdrainage has been functioning as intended?</t>
  </si>
  <si>
    <t>Yes, likely operating as intended</t>
  </si>
  <si>
    <t>Monitoring program and reporting</t>
  </si>
  <si>
    <t>Is the documented evidence that in the instance of monitoring and surveillance triggers being exceeded the Engineer of Record has provided prompt action to achieve the objective of further identifying or mitigating the potential resulting increase in risk presented by the facility?</t>
  </si>
  <si>
    <t>Is there documented evidence of recommended actions and responses being undertaken in the event of triggers being exceeded to achieve the objective of the reducing or eliminating the indicated increased risk of failure?</t>
  </si>
  <si>
    <t>Is there documented evidence that the monitoring program reports were reviewed and approved by the Responsible Facility Engineer or Engineer of Record to achieve the objective of a suitably qualified and experienced person reviewing the performance of the facility?</t>
  </si>
  <si>
    <t>Environmental requirements</t>
  </si>
  <si>
    <t>Licence and operating conditions</t>
  </si>
  <si>
    <t>Is the operation of the facility subject to licence and/or operating conditions?</t>
  </si>
  <si>
    <t>Are relevant clauses/requirements in the licence and/or operating conditions available or documented in operating or management documents to achieve the objective of all pertinent operating requirements being clearly documented for operation and management personnel?</t>
  </si>
  <si>
    <t>Is there documented evidence of operating procedures or requirements related to the facility's licencing and/or operating requirements to achieve the objective of demonstrating that the licence and/or operating conditions are being adhered to?</t>
  </si>
  <si>
    <t>Environmental quality monitoring</t>
  </si>
  <si>
    <t>Is there documented evidence that environmental quality monitoring devices have been installed to achieve the objective of appropriately recording required environmental monitoring data related to the facility?</t>
  </si>
  <si>
    <t>Is there documented evidence that the amount of environmental quality monitoring devices, their location and the data they capture achieves the objective of providing a clear indication of whether the facilities' operation is compliant with current permits, regulations and site licence conditions?</t>
  </si>
  <si>
    <t>Is there documented evidence that environmental quality monitoring data was collected and reviewed appropriately and at the minimum required frequencies to achieve the objective determining if the environmental impacts of the facility are in line stipulated requirements?</t>
  </si>
  <si>
    <t>Does the environmental monitoring data indicate that licence and operating condition environmental limits have been exceeded since it was last reviewed?</t>
  </si>
  <si>
    <t>Emergency Planning &amp; Recovery</t>
  </si>
  <si>
    <t>Dam Safety Emergency Plan/Emergency Response Plan</t>
  </si>
  <si>
    <t>Is a Dam Safety Emergency Plan/ Emergency Response Plan document available which details the actions to be undertaken by the owner's management and responsible personnel and emergency services in the event of an emergency to achieve the objective of mitigating the consequences of failure? (e.g. evacuation actions, location of muster points, emergency coordination, etc.)</t>
  </si>
  <si>
    <t>Does the Dam Safety Emergency Plan/ Emergency Response Plan include an up-to-date list of all relevant contacts of responsible personnel in the event of a dam safety emergency, as well as contacts for local emergency authorities and local and State governments as required by the escalation procedures which achieved the objective of providing a clear method and means to contact the relevant parties in an emergency?</t>
  </si>
  <si>
    <t>Is there documented evidence that the content of the Dam Safety Emergency Plan/ Emergency Response Plan document was based on site and facility specific conditions, including potential failure modes and dam break assessments to achieve the objective of the indicated impacted areas being as accurate as practicable?</t>
  </si>
  <si>
    <t>Is there documented evidence that the Dam Safety Emergency Plan/ Emergency Response Plan document was reviewed and revised for technical, operational and contextual currency at the required frequency or more frequently if required to achieve the objective of the document being as correct and accurate as practicable?</t>
  </si>
  <si>
    <t>Is there documented evidence that relevant personnel and stakeholders were engaged during the production, review and updates of the Dam Safety Emergency Plan/ Emergency Response Plan to achieve the objective of the document being reflecting all pertinent aspects required for emergency planning and response?</t>
  </si>
  <si>
    <t>Is there documented evidence that trials of the Dam Safety Emergency Plan/ Emergency Response Plan, including personnel's understanding and access to required plant and equipment, were undertaken at the required trial frequency to achieve the objective of ensuring all relevant parties are aware of the details in the plan and to identify if improvements to the plan can be made?</t>
  </si>
  <si>
    <t>Is there content in the Dam Safety Emergency Plan/ Emergency Response Plan related to community-focussed emergency preparedness measures of project affected people, with documented evidence that downstream communities were engaged during production of the Dam Safety Emergency Plan/Emergency Response Plan to achieve the objective of affected populations being made aware of how the plan affects/incorporates them?</t>
  </si>
  <si>
    <t>Is there documented evidence that public sector agencies, first responders, local authorities and institutions were engaged to achieve the objective of assessing the capability of the these third-parties to enact the required actions as detailed in the Dam Safety Emergency Plan/ Emergency Response Plan?</t>
  </si>
  <si>
    <t>Is there documented evidence that any deficiencies of the organisation and other third-parties to enact the required actions in the Dam Safety Emergency Plan/ Emergency Response Plan were identified, with required scopes to address these deficiencies to achieve the objective of all parties being operationally ready?</t>
  </si>
  <si>
    <t>Is there documented evidence that annual training and exercises are being carried out to achieve the objective of supporting a state of readiness in the event of an emergency?</t>
  </si>
  <si>
    <t>Is there documented evidence that resources required in the event of an emergency have been secured or that there are plans to secure them to achieve the objective of supporting a state of readiness?</t>
  </si>
  <si>
    <t>Is there documented evidence of emergency response simulations being carried out at the required frequency stated in the Dam Safety Emergency Plan/ Emergency Response Plan and at least every three years to achieve the objective of supporting a state of readiness?</t>
  </si>
  <si>
    <t>Is there documented evidence that the resources required to provide immediate response to save lives, supply humanitarian aid and minimise environmental harm are understood, with a documented commitment to supply these resources in the event of an emergency to achieve the objective of supporting effective emergency recovery?</t>
  </si>
  <si>
    <t>Failure recovery</t>
  </si>
  <si>
    <t>Is there documented evidence that public sector agencies and other organisations that would participate in medium and long-term social and environmental post-failure response strategies were meaningfully engaged to achieve the objective of informing these parties on the estimated potential consequences of failure?</t>
  </si>
  <si>
    <t>As an outcome of as a result of engagement with public sector agencies and other organisations, is there documented evidence that the objective of detailing actions, plans and required resources required to assist medium and long-term social and environmental post-failure response strategies, including plans to develop and implement reconstruction, restoration and recovery plans was achieved?</t>
  </si>
  <si>
    <t>As an outcome of as a result of engagement with public sector agencies and other organisations, is there documented evidence that a commitment was made to achieve the objectives of developing and implementing medium and long-term reconstruction, restoration and recovery plans and define of post-failure outcomes and thresholds in the event of a facility failure, as well as to include participation of affected people?</t>
  </si>
  <si>
    <t>Is there documented evidence of plans that achieve the objective of assessing social, environmental and local economic impacts after people are safe and short-term survival needs are met in the event of facility failure?</t>
  </si>
  <si>
    <t>Is there a documented evidence that the objective of appropriately identifying and understanding the resources required for potential monitoring and public reporting of post-failure outcomes in the event of a facility failure has been achieved?</t>
  </si>
  <si>
    <t>Lessons learned and implementation</t>
  </si>
  <si>
    <t>Personnel experience</t>
  </si>
  <si>
    <t>Is there documented evidence that processes and mechanisms are place to document and incorporate personnel's experience-based knowledge into planning, design and operations for all phases of the facility's life cycle to achieve the objective of incorporating all pertinent information into the facility's knowledge base?</t>
  </si>
  <si>
    <t>Is there documented evidence that personnel's experience-based knowledge was incorporated into planning, design and operation activities to achieve the objective of incorporating all pertinent information into the facility's knowledge base?</t>
  </si>
  <si>
    <t>Cross-functional collaboration</t>
  </si>
  <si>
    <t>Is there documented evidence that mechanisms are in place to promote cross-functional collaboration within the organisation to achieve the objective of effective data and knowledge sharing, communication and implementation of management measures?</t>
  </si>
  <si>
    <t>Is there documented evidence that mechanisms are in place to report internal and relevant external incidents and associated investigations and learnings to achieve the objective of effective incorporating all lessons-learned information into the facility's knowledge base?</t>
  </si>
  <si>
    <t>Lessons learned</t>
  </si>
  <si>
    <t>Is there documented evidence that mechanisms are in place to implement learnings from incidents to achieve the objective of incorporating all lessons-learned into the facility's knowledge base?</t>
  </si>
  <si>
    <t>Is there documented evidence that mechanisms in place to recognise, reward and protect personnel who report problems or identify opportunities to achieve the objective of encouraging personnel to assist with improvements tailings facility management?</t>
  </si>
  <si>
    <t>Is there documented evidence that mechanisms and resources in place to investigate reported problems or identified opportunities to achieve the objective of understand root causes of incidents or problems to improve tailings facility management?</t>
  </si>
  <si>
    <t>Is there documented evidence that mechanisms and resources are in place to implement and communicate outcomes from investigations into reported problems or identified opportunities to achieve the objective of incorporating lessons-learned into tailings facility management improvements?</t>
  </si>
  <si>
    <t>HSE</t>
  </si>
  <si>
    <t>Facility access</t>
  </si>
  <si>
    <t>Is there documented evidence, supported by verbal confirmation, of implemented procedures which achieve the objective of securing the facility site against access from unauthorised people?</t>
  </si>
  <si>
    <t>Are all physical mechanisms for securing the site against unauthorised personnel, as specified within documented procedures, present on the site?</t>
  </si>
  <si>
    <t>Facility deep water hazard</t>
  </si>
  <si>
    <t>Is there documented evidence that adequate life saving equipment has been provided at locations along the facility where there is deep water, including maintenance plans for this equipment, to achieve the objective of limiting the likelihood of personnel drowning at the facility?</t>
  </si>
  <si>
    <t>Are all life saving equipment that are stated to be present in available documentation for deep water hazards present at the facility with evidence that they are being maintained appropriately and in-line with the maintenance plan to achieve the objective of limiting the likelihood of personnel drowning at the facility?</t>
  </si>
  <si>
    <t>Human rights documentation and processes</t>
  </si>
  <si>
    <t>Is there documented evidence of due diligence studies that achieve the objective of identifying the potential impact on human rights as a result of the storage facility been appropriately and adequately carried out?</t>
  </si>
  <si>
    <t>Is there documented evidence that actions have been identified that achieve the objective of mitigating the likelihood or consequence of potential impacts to human rights as a result of the storage facility, along with a plan for implementation?</t>
  </si>
  <si>
    <t>For the new storage facilities, is there documented evidence that the objective of obtaining and maintaining Free Prior and Informed Consent has been achieved?</t>
  </si>
  <si>
    <t>Is there documented evidence that the objective of engaging project-affected people meaningfully and appropriately throughout the tailings facility lifecycle has been achieved?</t>
  </si>
  <si>
    <t>Is there documented evidence that the objective of considering the outcomes from the engagement of project affected people in the design, management and operation of the storage facility has been achieved?</t>
  </si>
  <si>
    <t>Is there documented evidence that a process has been established which achieves the objective of appropriately disseminate relevant information to project affected people as part of engagement processes?</t>
  </si>
  <si>
    <t>Is there documented evidence that a grievance mechanism has been established that appropriately achieves the following objectives:
-Records complaints and grievances from project affected people?
-Addresses complaints and grievances?
-Allows the provision of remedies?</t>
  </si>
  <si>
    <t>Is there documented evidence that the owner has achieved the objective of conforming with international standards for involuntary resettlement?</t>
  </si>
  <si>
    <t>Reporting and whistleblower protection</t>
  </si>
  <si>
    <t>Is there documented evidence that the Accountable Executive has established a formal, confidential and written process which achieves the objective of receiving concerns from personnel regarding facility safety, operating, regulatory compliance, public and environment safety concerns?</t>
  </si>
  <si>
    <t>Is there documented evidence that the Accountable Executive has established a formal process which achieves the objective of investigating reported concerns regarding facility safety, operating, regulatory compliance, public and environment safety concerns?</t>
  </si>
  <si>
    <t>Is there documented evidence that the Accountable Executive has established a formal process which achieves the objective of addressing the outcomes and findings from investigations into reported facility safety, operating, regulatory compliance, public and environment safety concerns?</t>
  </si>
  <si>
    <t>Is there documented evidence that a formal commitment has been produced which achieves the objective of stating that the organisation would not discharge, discriminate against, or otherwise retaliate in any way against a whistleblower who, in good faith, has reported possible permit violations or other matters relating to regulatory  compliance, public safety, tailings facility integrity or the environment.</t>
  </si>
  <si>
    <t>Public disclosure</t>
  </si>
  <si>
    <t>Is there documented evidence that process has been implemented which achieves the objective of publicly disclosing up-to-date information regarding the facility and facility safety information to the public?</t>
  </si>
  <si>
    <t>Is there documented evidence that the objective of publicly disclosing required up-to-date documents relating to facility management, governance, organisation-wide policies, standards and approaches to the design, construction, monitoring and closure of tailings facilities has been achieved?</t>
  </si>
  <si>
    <t>Is there documented evidence that the objective of disclosing the following up-to-date information to the public in alignment with United Nations Guiding Principles has been achieved?:
-Facility details
-Reviews and review findings
-Estimated consequences
-Estimated impacts
-Risks
-Summarised Emergency Action Plan 
-The Owner's financial capacity to cover closure and post-closure costs 
Refer to the GISTM for full list of required information for disclosure</t>
  </si>
  <si>
    <t>Is there documented evidence that a formal process is established which achieves the objective of allowing requests to be received from interested and affected stakeholders for additional information that is material to public safety and integrity of a facility?</t>
  </si>
  <si>
    <t>Is there documented evidence that a formal process has been established which achieves the objective of actioning and responding to requests from interested and affected stakeholders for additional information that is material to public safety and integrity of a facility?</t>
  </si>
  <si>
    <t>Is there documented evidence of a formal and stated commitment to cooperate in credible global transparency initiatives to achieve the objective of creating standardised, independent, industry-wide and publicly accessible databases, inventories or other information repositories about the safety and  integrity of tailings facilities available in any corporate policies?</t>
  </si>
  <si>
    <t>RT Risk Scheme Consequences of Failure</t>
  </si>
  <si>
    <t>Flood Day Failure - Free cash flow (USD)</t>
  </si>
  <si>
    <t>Flood Day Failure - Health and Safety</t>
  </si>
  <si>
    <t>Flood Day Failure - Licence to Operate / Stakeholders</t>
  </si>
  <si>
    <t>Flood Day Failure - Financial Markets</t>
  </si>
  <si>
    <t>Flood Day Failure - Communities and Social Performance</t>
  </si>
  <si>
    <t>Flood Day Failure - People</t>
  </si>
  <si>
    <t>Flood Day Failure - Environment</t>
  </si>
  <si>
    <t>Flood Day Failure - Business Integrity</t>
  </si>
  <si>
    <t>Flood Day Failure - Legal &amp; Regulatory Compliance</t>
  </si>
  <si>
    <t>Sunny Day Failure - Free cash flow (USD)</t>
  </si>
  <si>
    <t>Sunny Day Failure - Health and Safety</t>
  </si>
  <si>
    <t>Sunny Day Failure - Licence to Operate / Stakeholders</t>
  </si>
  <si>
    <t>Sunny Day Failure - Financial Markets</t>
  </si>
  <si>
    <t>Sunny Day Failure - Communities and Social Performance</t>
  </si>
  <si>
    <t>Sunny Day Failure - People</t>
  </si>
  <si>
    <t>Sunny Day Failure - Environment</t>
  </si>
  <si>
    <t>Sunny Day Failure - Business Integrity</t>
  </si>
  <si>
    <t>Sunny Day Failure - Legal &amp; Regulatory Compliance</t>
  </si>
  <si>
    <t>GISTM Consequences</t>
  </si>
  <si>
    <t>Flood Day Failure - Potential Population at Risk (PAR)</t>
  </si>
  <si>
    <t>Flood Day Failure - Potential Loss of Life (PLL)</t>
  </si>
  <si>
    <t>Flood Day Failure - Health, Social and Cultural</t>
  </si>
  <si>
    <t>Flood Day Failure - Infrastructure and Economics</t>
  </si>
  <si>
    <t>Sunny Day Failure - Potential Population at Risk (PAR)</t>
  </si>
  <si>
    <t>Sunny Day Failure - Potential Loss of Life (PLL)</t>
  </si>
  <si>
    <t>Sunny Day Failure - Health, Social and Cultural</t>
  </si>
  <si>
    <t>Sunny Day Failure - Infrastructure and Economics</t>
  </si>
  <si>
    <t>all weights 0,2</t>
  </si>
  <si>
    <t xml:space="preserve">FOUNDATION PIPING FAILURE - Values Based on Selected Descriptors - Cut-off Type </t>
  </si>
  <si>
    <t>Piping emb&amp;fnd</t>
  </si>
  <si>
    <t>Piping embankment</t>
  </si>
  <si>
    <t>Piping foundation</t>
  </si>
  <si>
    <t>Overtopping</t>
  </si>
  <si>
    <t>Post-Seismic sl. stability</t>
  </si>
  <si>
    <t>Australia</t>
  </si>
  <si>
    <t>High</t>
  </si>
  <si>
    <t>Category 1</t>
  </si>
  <si>
    <t>High B</t>
  </si>
  <si>
    <t>N/A</t>
  </si>
  <si>
    <t>Washing and screening</t>
  </si>
  <si>
    <t>Nil</t>
  </si>
  <si>
    <t>Non-active</t>
  </si>
  <si>
    <t>Earthfill</t>
  </si>
  <si>
    <t>Side hill impoundment</t>
  </si>
  <si>
    <t>Downstream raise</t>
  </si>
  <si>
    <t>Contractor</t>
  </si>
  <si>
    <t>Alluvial</t>
  </si>
  <si>
    <t>Clayey and silty gravels (GC,GM)</t>
  </si>
  <si>
    <t>Soil Foundation</t>
  </si>
  <si>
    <t>Alluvial (soil)</t>
  </si>
  <si>
    <t>Shallow or no cutoff trench</t>
  </si>
  <si>
    <t>Mechanically</t>
  </si>
  <si>
    <t>Perimeter discharge, multiple spigots</t>
  </si>
  <si>
    <t>Ground mounted pump</t>
  </si>
  <si>
    <t>Significant</t>
  </si>
  <si>
    <t>Very High</t>
  </si>
  <si>
    <t>Southern Waste Fines Storage Facility</t>
  </si>
  <si>
    <t>2,110,236*
*Based on survey conducted on 3 September 2021</t>
  </si>
  <si>
    <t>2,680,000*
*At the time of survey conducted on 3 September 2021</t>
  </si>
  <si>
    <t>333 - 650</t>
  </si>
  <si>
    <t>7.6 - 7.9</t>
  </si>
  <si>
    <t>30.4 - 38.1</t>
  </si>
  <si>
    <t>Active</t>
  </si>
  <si>
    <t>Turee Creek</t>
  </si>
  <si>
    <t>670 m - 715 mRL</t>
  </si>
  <si>
    <t>500 - 1200</t>
  </si>
  <si>
    <t>8.1 - 8.4</t>
  </si>
  <si>
    <t>170m (NW) + 2270m (Main)</t>
  </si>
  <si>
    <t>Mine/Contractor</t>
  </si>
  <si>
    <t>Residual, Lacustrine, Marine, Volcanic</t>
  </si>
  <si>
    <t>Residual (soil)</t>
  </si>
  <si>
    <t>Upstream blanket, Partially penetrating well constructed slurry trench wall</t>
  </si>
  <si>
    <t>Good erosion control measures present and good foundations</t>
  </si>
  <si>
    <t>Moderate</t>
  </si>
  <si>
    <t>Cross valley</t>
  </si>
  <si>
    <t>Aeolian, Colluvial</t>
  </si>
  <si>
    <t>Rock -clay infilled or open fractures and/or erodible rock substance</t>
  </si>
  <si>
    <t>Conglomerate (rock)</t>
  </si>
  <si>
    <t>Average cutoff trench</t>
  </si>
  <si>
    <t>Rock Foundation - Not Grouted</t>
  </si>
  <si>
    <t>High pressure measured in foundation</t>
  </si>
  <si>
    <t>Sub-Chapter</t>
  </si>
  <si>
    <t>Value</t>
  </si>
  <si>
    <t xml:space="preserve"> </t>
  </si>
  <si>
    <t>Depth of Foundation Cutoff (m)</t>
  </si>
  <si>
    <t>Cutoff Type (Rock foundation) (ctr)</t>
  </si>
  <si>
    <t>Rock - closed fractures and non-erodible substance</t>
  </si>
  <si>
    <t>Rock Foundation - Grouted</t>
  </si>
  <si>
    <t>Partially penetrating sheetpile wall or poorly constructed slurry trench wall</t>
  </si>
  <si>
    <t>Summary of the weighting factors for piping through the foundation mode of failure</t>
  </si>
  <si>
    <t>Table 11.3</t>
  </si>
  <si>
    <t xml:space="preserve">                                      General Factors Influencing Likelihood of Failure</t>
  </si>
  <si>
    <t>Factor</t>
  </si>
  <si>
    <t>Much More Likely</t>
  </si>
  <si>
    <t>More Likely</t>
  </si>
  <si>
    <t xml:space="preserve">Neutral </t>
  </si>
  <si>
    <t>Less Likely</t>
  </si>
  <si>
    <t>Much Less Likely</t>
  </si>
  <si>
    <t>Zoning</t>
  </si>
  <si>
    <t xml:space="preserve">          </t>
  </si>
  <si>
    <t>Refer to Table 11.1 for baseline annual probabilities of failure depending on Zoning Types</t>
  </si>
  <si>
    <t>Column</t>
  </si>
  <si>
    <t>Filters WF (filt)</t>
  </si>
  <si>
    <t>No Foundation filter present when required</t>
  </si>
  <si>
    <t>No foundation filter</t>
  </si>
  <si>
    <t>Foundation Filter(s) Present</t>
  </si>
  <si>
    <t>Foundation Type (below cutoff) Wf (fnd)</t>
  </si>
  <si>
    <t xml:space="preserve">Cutoff Type (Soil foundation) (cts) </t>
  </si>
  <si>
    <t>OR</t>
  </si>
  <si>
    <t>Partially penetrating deep cutoff trench</t>
  </si>
  <si>
    <t>Sheetpile wall Poorly constructed diaphragm wall</t>
  </si>
  <si>
    <t>Well constructed diaphragm wall</t>
  </si>
  <si>
    <t>Well constructed cutoff trench</t>
  </si>
  <si>
    <t xml:space="preserve">Soil Geology Types (below cutoff) WF(sg) </t>
  </si>
  <si>
    <t>Dispersive soils or Volcanic Ash</t>
  </si>
  <si>
    <t>Residual</t>
  </si>
  <si>
    <t>Aeolian, Colluvial, Lacustrine, Marine</t>
  </si>
  <si>
    <t>Glacial</t>
  </si>
  <si>
    <t>Rock Geology Types (below cutoff) WF(sg)</t>
  </si>
  <si>
    <t>Dolomite or Basalt</t>
  </si>
  <si>
    <t>Tuff</t>
  </si>
  <si>
    <t>Sandstone, Shale, Siltstone, Claystone, Mudstone, Hornfels</t>
  </si>
  <si>
    <t>Conglomerate, Andesite, Gabbo, Schist Phyllite, or Slate</t>
  </si>
  <si>
    <t>(Select one row only)</t>
  </si>
  <si>
    <t xml:space="preserve"> Limestone or Saline (gypsum)</t>
  </si>
  <si>
    <t>Rhyolite, Marble or Quartzite</t>
  </si>
  <si>
    <t>Agglomerate, Volc. Breccia</t>
  </si>
  <si>
    <t>Granite, or Gneiss</t>
  </si>
  <si>
    <t xml:space="preserve">Observations of Seepage WE(obs) </t>
  </si>
  <si>
    <t>Muddy leakage Sudden increase in leakage</t>
  </si>
  <si>
    <t>Leakage gradually increasing, clear, Sinkholes, Sand boils</t>
  </si>
  <si>
    <t>Leakage steady, clear, or not observed</t>
  </si>
  <si>
    <t>Minor Leakage</t>
  </si>
  <si>
    <t>Leakage measured none or very small</t>
  </si>
  <si>
    <t>Observations of Pore Pressures WF (obp)</t>
  </si>
  <si>
    <t>Sudden increase in pressure</t>
  </si>
  <si>
    <t>Gradually increasing  pressure in foundations</t>
  </si>
  <si>
    <t>Monitoring and Surveillance WE(mon)</t>
  </si>
  <si>
    <t>Inspections annually</t>
  </si>
  <si>
    <t>Inspections Monthly</t>
  </si>
  <si>
    <t>Irregular seepage observations, inspections weekly</t>
  </si>
  <si>
    <t>Weekly - monthly seepage monitoring, weekly inspections</t>
  </si>
  <si>
    <t>Daily monitoring of seepage, daily inspections</t>
  </si>
  <si>
    <t>Filters (blanket)</t>
  </si>
  <si>
    <t>Foundation Type (below cutoff)</t>
  </si>
  <si>
    <t>Foundation Geology (below cutoff)</t>
  </si>
  <si>
    <t>Direct from inputs</t>
  </si>
  <si>
    <t>Average probability of failure due to piping through the foundation by dam zoning types - statistics for large dams up to 1986</t>
  </si>
  <si>
    <t>Data from Table 7.2 and Table 11.1</t>
  </si>
  <si>
    <t>Average Annual Probabilities of Failure (x10^-6) (g)</t>
  </si>
  <si>
    <t>Zoning No.</t>
  </si>
  <si>
    <t>Zoning Category</t>
  </si>
  <si>
    <t>No. of Failures</t>
  </si>
  <si>
    <t>% of Failures</t>
  </si>
  <si>
    <t>No. of Accidents</t>
  </si>
  <si>
    <t>% of Accidents</t>
  </si>
  <si>
    <t>% Dams in Population</t>
  </si>
  <si>
    <t>Average Probability of Failure (x10^-3)</t>
  </si>
  <si>
    <t>Average Propability of Accidents (x10^-3)</t>
  </si>
  <si>
    <t>Average Age (up to 1986)</t>
  </si>
  <si>
    <t>Average probabilies of failure over the lifetime of the dam</t>
  </si>
  <si>
    <t xml:space="preserve">First 5 Years of Operation </t>
  </si>
  <si>
    <t>After 5 Years of Operation</t>
  </si>
  <si>
    <t>Earthfill with Filter</t>
  </si>
  <si>
    <t>Zoned Earthfill</t>
  </si>
  <si>
    <t>Homogenious Earthfill</t>
  </si>
  <si>
    <t>Hydraulic Fill</t>
  </si>
  <si>
    <t>Central Core Earth and Rockfill</t>
  </si>
  <si>
    <t>Earthfill with Rock Toe</t>
  </si>
  <si>
    <t>Zoned Earth and Rockfill</t>
  </si>
  <si>
    <t>Concrete (or other) Face Earthfill</t>
  </si>
  <si>
    <t>Concrete (or other) Face Rockfill</t>
  </si>
  <si>
    <t>Puddle Core Earthfill</t>
  </si>
  <si>
    <t>Concrete Corewall, Earthfill</t>
  </si>
  <si>
    <t>Concrete Corewall, Rockfill</t>
  </si>
  <si>
    <t>Zoning Type Unkown</t>
  </si>
  <si>
    <t>All Dams</t>
  </si>
  <si>
    <t xml:space="preserve">          Refer to Table 11.1 for baseline annual probabilities of failure depending on Zoning Types</t>
  </si>
  <si>
    <t>Appears to be independent of presence/absence of embankment into foundation (use average value for all dams)</t>
  </si>
  <si>
    <t>Foundation cutoff trench WEF (cot)</t>
  </si>
  <si>
    <t>Deep and narrow cutoff trench</t>
  </si>
  <si>
    <t>Average cutoff trench width and depth</t>
  </si>
  <si>
    <t>Foundation Type WEF(fnd)</t>
  </si>
  <si>
    <t>Founding on or partly on rock foundations</t>
  </si>
  <si>
    <t>Foundations on or partly on soil foundations</t>
  </si>
  <si>
    <t>Erosion Control Measures of Core Foundation WEF(ecm)</t>
  </si>
  <si>
    <t>No erosion control measures, open jointed bedrock or open work gravels</t>
  </si>
  <si>
    <t>No erosion control measures, average foundation conditions</t>
  </si>
  <si>
    <t>No erosion control measures, good foundation conditions</t>
  </si>
  <si>
    <t>Erosion control measures present, poor foundations</t>
  </si>
  <si>
    <t>Grouting of Foundations</t>
  </si>
  <si>
    <t>No grouting on rock foundations</t>
  </si>
  <si>
    <t xml:space="preserve">Soil foundation only - not applicable </t>
  </si>
  <si>
    <t>Rock foundations grouted</t>
  </si>
  <si>
    <t xml:space="preserve">Soil Geology Types (below cutoff) WF(sg)  </t>
  </si>
  <si>
    <t>Colluvial</t>
  </si>
  <si>
    <t>Alluvial, Aeolian, Lacustrine, Marine or Volcanic</t>
  </si>
  <si>
    <t>Sandstone interbedded with shale or limestone</t>
  </si>
  <si>
    <t>Dolomite, Tuff, Quartzite</t>
  </si>
  <si>
    <t>Agglomerate, Volcanic breccia</t>
  </si>
  <si>
    <t>Sandstone, Conglomerate</t>
  </si>
  <si>
    <t>Shale ,Siltstone, Mudstone, Claystone</t>
  </si>
  <si>
    <t>Limestone, gypsum</t>
  </si>
  <si>
    <t>Rhyolite, Basalt, Marble</t>
  </si>
  <si>
    <t>Granite, Andersite,Gabbro,Gneiss</t>
  </si>
  <si>
    <t>Schist, Phyllite, Slate, Hornfels</t>
  </si>
  <si>
    <t>Dispersive clays</t>
  </si>
  <si>
    <t>Clayey and silty sands (SC,SM)</t>
  </si>
  <si>
    <t>Well graded and poorly graded gravels (GW,GP)</t>
  </si>
  <si>
    <t>High plasticity clays (CH)</t>
  </si>
  <si>
    <t>Low plasticity silts (ML)</t>
  </si>
  <si>
    <t>Highly plasticity silts (MH)</t>
  </si>
  <si>
    <t>Low Plasticity clays (CL)</t>
  </si>
  <si>
    <t>Poorly and well graded sands (SP,SW)</t>
  </si>
  <si>
    <t>Core Compaction WEF (cst)</t>
  </si>
  <si>
    <t>Appears to be independent of compaction - all compaction types</t>
  </si>
  <si>
    <t>Foundation Treatment WE(ft)</t>
  </si>
  <si>
    <t>Untreated vertical faces or overhangs in core foundation</t>
  </si>
  <si>
    <t>Irregularities in foundation or abutment, Steep abutments</t>
  </si>
  <si>
    <t>Careful slope modification by cutting, filling with concrete</t>
  </si>
  <si>
    <t>Observations of Seepage WE(obs)</t>
  </si>
  <si>
    <t>Muddy leakage, Sudden increases in leakage</t>
  </si>
  <si>
    <t>Leakage gradually increasing, clear, Sinkholes</t>
  </si>
  <si>
    <t>Leakage steady, clear or not monitored</t>
  </si>
  <si>
    <t>Minor leakage</t>
  </si>
  <si>
    <t>Inspections monthly</t>
  </si>
  <si>
    <t>Factors</t>
  </si>
  <si>
    <t xml:space="preserve">Soil Geology Types (below cutoff) </t>
  </si>
  <si>
    <t>Average Probability of Failure due to Piping from the Embankment into the foundation by Dam Zoning Types - Statistics for Large Dams up to 1986</t>
  </si>
  <si>
    <t>Data from Table 8.2 and Table 11.1</t>
  </si>
  <si>
    <t>% of Incidents</t>
  </si>
  <si>
    <t>Summary of the weighting factors for piping through the embankment mode of failure</t>
  </si>
  <si>
    <t>Table 11.2</t>
  </si>
  <si>
    <t>Embankment Filter WE (filt)</t>
  </si>
  <si>
    <t>No embankment filter (for dams which usually have filters)</t>
  </si>
  <si>
    <t>Other dam types</t>
  </si>
  <si>
    <t>Embankment filter present - poor quality</t>
  </si>
  <si>
    <t>Embankment filter present - well designed and constructed</t>
  </si>
  <si>
    <t xml:space="preserve">Dispersive clays </t>
  </si>
  <si>
    <t>High plasticity clays</t>
  </si>
  <si>
    <t xml:space="preserve">Low plasticity silts (ML) </t>
  </si>
  <si>
    <t>High plasticity silts</t>
  </si>
  <si>
    <t>Low plasticity clays</t>
  </si>
  <si>
    <t>Compaction WE(cc)</t>
  </si>
  <si>
    <t>No Formal compaction</t>
  </si>
  <si>
    <t>Rolled, modest control</t>
  </si>
  <si>
    <t>Puddle, Hydraulic fill</t>
  </si>
  <si>
    <t>Rolled, good control</t>
  </si>
  <si>
    <t>Conduits WE(con)</t>
  </si>
  <si>
    <t>Conduit through the embankment - many poor details</t>
  </si>
  <si>
    <t>Conduit through the embankment - some poor details</t>
  </si>
  <si>
    <t>Conduit through embankment - typical USBR practice</t>
  </si>
  <si>
    <t>Conduit through embankment - including downstream filters</t>
  </si>
  <si>
    <t>No Conduit through the embankment</t>
  </si>
  <si>
    <t>Leakage gradually increasing, clear, Sinkholes, Seepage emerging on downstream slope</t>
  </si>
  <si>
    <t>Leakage steady, clear or not observed</t>
  </si>
  <si>
    <t>Direct from Inputs</t>
  </si>
  <si>
    <t>PIPING THROUGH THE EMBANKMENT</t>
  </si>
  <si>
    <t>Data from Table 6.1 and Table 11.1</t>
  </si>
  <si>
    <t>Average Probability of failure due to piping through the embankment by dam zoning types - Statistics for Large Dams up to 1986</t>
  </si>
  <si>
    <t>Homogeneous Earthfill</t>
  </si>
  <si>
    <t>(&lt;1)</t>
  </si>
  <si>
    <t>0 (1)</t>
  </si>
  <si>
    <t>(&lt;1.1)</t>
  </si>
  <si>
    <t>1 (11)</t>
  </si>
  <si>
    <t>Factor of Safety</t>
  </si>
  <si>
    <t>Category 1 Structure</t>
  </si>
  <si>
    <t>Category 2 Structure</t>
  </si>
  <si>
    <t>Category 3 Structure</t>
  </si>
  <si>
    <t>Category 4 Structure</t>
  </si>
  <si>
    <t>Slope Failure - Undrained conditions</t>
  </si>
  <si>
    <t>Initiation</t>
  </si>
  <si>
    <t>Continuation/Progression</t>
  </si>
  <si>
    <t>Failure</t>
  </si>
  <si>
    <t>ID</t>
  </si>
  <si>
    <t>Critical Control</t>
  </si>
  <si>
    <t>Supporting Controls</t>
  </si>
  <si>
    <t>SFU-1</t>
  </si>
  <si>
    <t>No contractive materials present</t>
  </si>
  <si>
    <t>Adequate geotechnical investigations</t>
  </si>
  <si>
    <t>Facility rendered inoperable/uncontrolled release of tailings</t>
  </si>
  <si>
    <t>→</t>
  </si>
  <si>
    <t>FAILURE</t>
  </si>
  <si>
    <t>Adequate laboratory testing</t>
  </si>
  <si>
    <t>↗</t>
  </si>
  <si>
    <t>Well executed construction</t>
  </si>
  <si>
    <t xml:space="preserve">Field stresses exceed instability line </t>
  </si>
  <si>
    <t>↘</t>
  </si>
  <si>
    <t>SFU-2</t>
  </si>
  <si>
    <t>Liquefiable materials are not saturated</t>
  </si>
  <si>
    <t>Appropriate design methodology</t>
  </si>
  <si>
    <t>SFU-3</t>
  </si>
  <si>
    <t>Facility operable</t>
  </si>
  <si>
    <t>Correct operational practices</t>
  </si>
  <si>
    <t>Materials saturated</t>
  </si>
  <si>
    <t>Field stresses do not exceed instability line</t>
  </si>
  <si>
    <t xml:space="preserve">Field stresses do not exceed instability line </t>
  </si>
  <si>
    <t>NO FAILURE</t>
  </si>
  <si>
    <t>Contractive materials present</t>
  </si>
  <si>
    <t>Materials not saturated</t>
  </si>
  <si>
    <t>UNDRAINED FAILURE NOT POSSIBLE</t>
  </si>
  <si>
    <t>Materials are dense</t>
  </si>
  <si>
    <t>Slope Failure - Drained conditions</t>
  </si>
  <si>
    <t>SFD-1</t>
  </si>
  <si>
    <t>Pore pressures are not unexpectedly excessive</t>
  </si>
  <si>
    <t>SFD-2</t>
  </si>
  <si>
    <t>Field stresses do not exceed peak shear strengths</t>
  </si>
  <si>
    <t>Peak shear strength is exceeded</t>
  </si>
  <si>
    <t>Excessive pore water pressures</t>
  </si>
  <si>
    <t>Peak shear strength is not exceeded</t>
  </si>
  <si>
    <t>No excessive pore water pressures</t>
  </si>
  <si>
    <t>Slope Failure - Seismic induced failure</t>
  </si>
  <si>
    <t>SFS-2</t>
  </si>
  <si>
    <t>SFS-3</t>
  </si>
  <si>
    <t>Seismic event occurs</t>
  </si>
  <si>
    <t>SFS-1</t>
  </si>
  <si>
    <t>No seismic event</t>
  </si>
  <si>
    <t>SEISMIC INDUCED FAILURE NOT POSSIBLE</t>
  </si>
  <si>
    <t>Piping Failure - Through the embankment</t>
  </si>
  <si>
    <t>PEM-1</t>
  </si>
  <si>
    <t>Flaw within embankment/embankment interface material which can hold a pipe does not exist</t>
  </si>
  <si>
    <t>Defensive design</t>
  </si>
  <si>
    <t>PEM-2</t>
  </si>
  <si>
    <t>Actual hydraulic gradient less than critical hydraulic gradient</t>
  </si>
  <si>
    <t>Appropriate assessment of hydraulic gradients</t>
  </si>
  <si>
    <t>PEM-3</t>
  </si>
  <si>
    <t>Properly designed and constructed filters in place</t>
  </si>
  <si>
    <t>Properly designed and constructed filters not in place to prevent continuation of piping</t>
  </si>
  <si>
    <t>Actual hydraulic gradient above critical hydraulic gradient</t>
  </si>
  <si>
    <t xml:space="preserve"> PEM-2</t>
  </si>
  <si>
    <t>Properly designed and constructed filters in place to prevent continuation of piping</t>
  </si>
  <si>
    <t>NEGLIGIBLE LIKELIHOOD OF FAILURE</t>
  </si>
  <si>
    <t>Flaw within embankment/embankment interface material which can hold a pipe exists</t>
  </si>
  <si>
    <t>Actual hydraulic gradient not above critical hydraulic gradient</t>
  </si>
  <si>
    <t>Flaw within embankment/embankment interfaces does not exist</t>
  </si>
  <si>
    <t>Piping Failure - Through the foundation</t>
  </si>
  <si>
    <t>PFO-1</t>
  </si>
  <si>
    <t>Flaw within foundation material which can hold a pipe linking storage to downstream area does not exist</t>
  </si>
  <si>
    <t>Foundation materials type</t>
  </si>
  <si>
    <t>PFO-2</t>
  </si>
  <si>
    <t>PFO-3</t>
  </si>
  <si>
    <t>Flaw within foundation material which can hold a pipe linking storage to downstream area exists</t>
  </si>
  <si>
    <t>Flaw within foundation material linking storage to downstream area does not exist</t>
  </si>
  <si>
    <t>Piping Failure - Through/at the embankment foundation interface</t>
  </si>
  <si>
    <t>PEF-1</t>
  </si>
  <si>
    <t xml:space="preserve">Flaw within embankment/foundation materials which can hold a pipe linking storage to downstream area does not exist </t>
  </si>
  <si>
    <t>Material types and treatments</t>
  </si>
  <si>
    <t>PEF-2</t>
  </si>
  <si>
    <t>PEF-3</t>
  </si>
  <si>
    <t xml:space="preserve">Flaw within embankment/foundation interface materials which can hold a pipe exists </t>
  </si>
  <si>
    <t>Flaw within embankment/foundation interfaces does not exist</t>
  </si>
  <si>
    <t>Overtopping failure</t>
  </si>
  <si>
    <t>OTF-1</t>
  </si>
  <si>
    <t>Stored water below maximum operating levels</t>
  </si>
  <si>
    <t>OTF-3</t>
  </si>
  <si>
    <t>Freeboard and spillway able to store and manage flood inflow</t>
  </si>
  <si>
    <t>Freeboard and spillway unable to store and manage resulting flood inflows</t>
  </si>
  <si>
    <t>OTF-2</t>
  </si>
  <si>
    <t>Rare or extreme rainfall event occurs</t>
  </si>
  <si>
    <t>Freeboard and spillway able to store and manage resulting flood</t>
  </si>
  <si>
    <t>LIKELIHOOD OF OVERTOPPING NEGLIGIBLE/NOT POSSIBLE</t>
  </si>
  <si>
    <t>Stored water above maximum operating levels</t>
  </si>
  <si>
    <t>Rare or extreme rainfall event does not occur</t>
  </si>
  <si>
    <t>Stored water below or at maximum operating levels</t>
  </si>
  <si>
    <t>AG WFSF - Main Embankment without filter</t>
  </si>
  <si>
    <t>AG WFSF - Main Embankment with filter</t>
  </si>
  <si>
    <t>WFSF - Eastern Embankment</t>
  </si>
  <si>
    <t xml:space="preserve">Kalgan3/4 pillar </t>
  </si>
  <si>
    <t>Failure Mode</t>
  </si>
  <si>
    <t>Saddle Dam C</t>
  </si>
  <si>
    <t xml:space="preserve">Static slope instability </t>
  </si>
  <si>
    <t>TOTAL</t>
  </si>
  <si>
    <t>Consequence Framework</t>
  </si>
  <si>
    <t>Consequence Type</t>
  </si>
  <si>
    <t>Consequence BASE</t>
  </si>
  <si>
    <t>ANCOLD</t>
  </si>
  <si>
    <t>Population at Risk - SDF (No. of people)</t>
  </si>
  <si>
    <t>Population at Risk - Flood Failure (No. of people)</t>
  </si>
  <si>
    <t>Potential Loss of Life - SDF (No. of people)</t>
  </si>
  <si>
    <t>Potential Loss of Life - Flood Failure (No. of people)</t>
  </si>
  <si>
    <t>RT Risk Scheme</t>
  </si>
  <si>
    <t>GISTM</t>
  </si>
  <si>
    <t>Low</t>
  </si>
  <si>
    <t>Critical failure mode</t>
  </si>
  <si>
    <t>Main drivers to critical failure mode likelihood</t>
  </si>
  <si>
    <t>Static Slope Instability under undrained conditions</t>
  </si>
  <si>
    <t xml:space="preserve">Embankment Seepage and Stability Review (KP, 2020) found FoS for undrained conditions may be as low 1.0 if the alluvial foundation are saturated and act as normally consolidated under the overburden stress by the dam. The WVP indicated saturation of the potentially contractive foundation materials. </t>
  </si>
  <si>
    <t xml:space="preserve">Sudden increase of PWP in October 2020 indicates hydraulic connection of the U/S toe and the decant area resulting in saturation of the potentially contractive alluvium underneath the downstream shoulder of the dam. </t>
  </si>
  <si>
    <t xml:space="preserve">Monitoring data from June 2021 show vertical surface movements in excess of yellow trigger levels (June 2021). </t>
  </si>
  <si>
    <t xml:space="preserve">Cracking of the Main Embankment crest was noted after M3.4 earthquake in East Pilbara recorded on 7 August 2020 (Geo Au). </t>
  </si>
  <si>
    <t>Eastern Embankment</t>
  </si>
  <si>
    <t>Overtopping - Nominal AEP of PMF</t>
  </si>
  <si>
    <t>Kalgan 3 / 4 pillar</t>
  </si>
  <si>
    <t>Main Embankment without drain</t>
  </si>
  <si>
    <t>Saddle Dam B</t>
  </si>
  <si>
    <t>Descriptor</t>
  </si>
  <si>
    <t>Free-form text</t>
  </si>
  <si>
    <t xml:space="preserve">Location </t>
  </si>
  <si>
    <t>Zone 1</t>
  </si>
  <si>
    <t>Zone 2</t>
  </si>
  <si>
    <t>Zone 3</t>
  </si>
  <si>
    <t>Zone 4</t>
  </si>
  <si>
    <t>Extreme rainfall intensity zone</t>
  </si>
  <si>
    <t>High rainfall intensity zone</t>
  </si>
  <si>
    <t>Moderate rainfall intensity zone</t>
  </si>
  <si>
    <t>Low rainfall intensity zone</t>
  </si>
  <si>
    <t xml:space="preserve">High </t>
  </si>
  <si>
    <t>Extreme</t>
  </si>
  <si>
    <t>Medium</t>
  </si>
  <si>
    <t>Category 2</t>
  </si>
  <si>
    <t>Category 3</t>
  </si>
  <si>
    <t>Very low</t>
  </si>
  <si>
    <t>High C</t>
  </si>
  <si>
    <t>High A</t>
  </si>
  <si>
    <t>Achieved tailings density (t/m3)</t>
  </si>
  <si>
    <t>Acid leaching (Atmospheric)</t>
  </si>
  <si>
    <t>Acid leaching (Pressure)</t>
  </si>
  <si>
    <t>Alkali leaching (Atmospheric)</t>
  </si>
  <si>
    <t>Alkali leaching (Pressure)</t>
  </si>
  <si>
    <t>Bayer process</t>
  </si>
  <si>
    <t>Becher process</t>
  </si>
  <si>
    <t>BIOX</t>
  </si>
  <si>
    <t>Crushing and screening</t>
  </si>
  <si>
    <t>CIL/CIP</t>
  </si>
  <si>
    <t>Flotation</t>
  </si>
  <si>
    <t>Gravity separation</t>
  </si>
  <si>
    <t>Heap leaching</t>
  </si>
  <si>
    <t>Magnetic separation</t>
  </si>
  <si>
    <t>Ore sorters</t>
  </si>
  <si>
    <t>Pyromet</t>
  </si>
  <si>
    <t>SX/EW (Solvent extraction/Electrowinning)</t>
  </si>
  <si>
    <t>Vat leaching</t>
  </si>
  <si>
    <t xml:space="preserve">Any other National pollution inventory (NPI) substances in the TSF? </t>
  </si>
  <si>
    <t>Integer</t>
  </si>
  <si>
    <t>Co-ordinates in GDA94 format</t>
  </si>
  <si>
    <t>Closed</t>
  </si>
  <si>
    <t>Rehabilitated</t>
  </si>
  <si>
    <t>Decommissioned</t>
  </si>
  <si>
    <t>Proposed</t>
  </si>
  <si>
    <t>Clay</t>
  </si>
  <si>
    <t>Synthetic</t>
  </si>
  <si>
    <t>Rockfill</t>
  </si>
  <si>
    <t>Earthfill/Rockfill</t>
  </si>
  <si>
    <t>Tailings</t>
  </si>
  <si>
    <t>Turkeys nest (ring dyke)</t>
  </si>
  <si>
    <t>In-pit</t>
  </si>
  <si>
    <t>Depression</t>
  </si>
  <si>
    <t>Waste fill</t>
  </si>
  <si>
    <t>Central thickened discharge</t>
  </si>
  <si>
    <t>Stacked tailings</t>
  </si>
  <si>
    <t>Embankment crest length (present) (m)</t>
  </si>
  <si>
    <t>Expected maximum embankment crest length (m)</t>
  </si>
  <si>
    <t>Mine waste end-tipped</t>
  </si>
  <si>
    <t>Centreline raise</t>
  </si>
  <si>
    <t>Modified Centreline raise</t>
  </si>
  <si>
    <t>Upstream raise</t>
  </si>
  <si>
    <t>Mine</t>
  </si>
  <si>
    <t>Dispersive soils</t>
  </si>
  <si>
    <t>Volcanic (soil)</t>
  </si>
  <si>
    <t>Aeolian (soil)</t>
  </si>
  <si>
    <t>Colluvial (soil)</t>
  </si>
  <si>
    <t>Lacustrine (soil)</t>
  </si>
  <si>
    <t>Marine (soil)</t>
  </si>
  <si>
    <t>Glacial (soil)</t>
  </si>
  <si>
    <t>Dolomite (rock)</t>
  </si>
  <si>
    <t>Basalt (rock)</t>
  </si>
  <si>
    <t>Tuff (rock)</t>
  </si>
  <si>
    <t>Sandstone (rock)</t>
  </si>
  <si>
    <t>Shale (rock)</t>
  </si>
  <si>
    <t>Siltstone (rock)</t>
  </si>
  <si>
    <t>Claystone (rock)</t>
  </si>
  <si>
    <t>Mudstone (rock)</t>
  </si>
  <si>
    <t>Hornfels (rock)</t>
  </si>
  <si>
    <t>Andesite (rock)</t>
  </si>
  <si>
    <t>Gabbro (rock)</t>
  </si>
  <si>
    <t>Schist (rock)</t>
  </si>
  <si>
    <t>Phyllite (rock)</t>
  </si>
  <si>
    <t>Slate (rock)</t>
  </si>
  <si>
    <t>Limestone (rock)</t>
  </si>
  <si>
    <t>Gypsum (rock)</t>
  </si>
  <si>
    <t>Rhyolite (rock)</t>
  </si>
  <si>
    <t>Marble (rock)</t>
  </si>
  <si>
    <t>Quartzite (rock)</t>
  </si>
  <si>
    <t>Agglomerate (rock)</t>
  </si>
  <si>
    <t>Volcanic breccia (rock)</t>
  </si>
  <si>
    <t>Granite (rock)</t>
  </si>
  <si>
    <t>Gneiss (rock)</t>
  </si>
  <si>
    <t>Sandstone interbedded with shale or limestone (rock)</t>
  </si>
  <si>
    <t>Hydraulically</t>
  </si>
  <si>
    <t>Delivery pipeline</t>
  </si>
  <si>
    <t>Haul truck</t>
  </si>
  <si>
    <t>Conveyor</t>
  </si>
  <si>
    <t>Sub-aerial or sub-aqueous deposition?</t>
  </si>
  <si>
    <t>Sub-aerial</t>
  </si>
  <si>
    <t>Sub-aqueous</t>
  </si>
  <si>
    <t>From embankment, multiple spigots</t>
  </si>
  <si>
    <t>Towards embankment, multiple spigots</t>
  </si>
  <si>
    <t>Single spigot</t>
  </si>
  <si>
    <t>End of pipe (movable)</t>
  </si>
  <si>
    <t>End of pipe (fixed)</t>
  </si>
  <si>
    <t>Cyclone</t>
  </si>
  <si>
    <t>Central thickened discharge (CTD)</t>
  </si>
  <si>
    <t>Dry stacking</t>
  </si>
  <si>
    <t>Decant tower</t>
  </si>
  <si>
    <t>Gravity</t>
  </si>
  <si>
    <t>Syphon</t>
  </si>
  <si>
    <t>Wet well pumped</t>
  </si>
  <si>
    <t>Flow through embankment</t>
  </si>
  <si>
    <t>Pumped pipeline</t>
  </si>
  <si>
    <t>Gravity pipeline</t>
  </si>
  <si>
    <t>Evaporation pond</t>
  </si>
  <si>
    <t>Floating offtake</t>
  </si>
  <si>
    <t>Concrete well</t>
  </si>
  <si>
    <t>Other</t>
  </si>
  <si>
    <t>Control structure (e.g. overflow section with stop-logs)</t>
  </si>
  <si>
    <t xml:space="preserve">1 m &lt; x &lt; 1.5 m </t>
  </si>
  <si>
    <t xml:space="preserve">0.5 m &lt; x &lt; 1 m </t>
  </si>
  <si>
    <t>Excavated through rock, away from embankment</t>
  </si>
  <si>
    <t>Excavated through moderately weathered rock, away from embankment</t>
  </si>
  <si>
    <t>Excavated through embankment</t>
  </si>
  <si>
    <t>No spillway</t>
  </si>
  <si>
    <t>Ogee crest</t>
  </si>
  <si>
    <t>Trapezoidal</t>
  </si>
  <si>
    <t>Broad crested</t>
  </si>
  <si>
    <t>Sharp crested</t>
  </si>
  <si>
    <t>Concrete-lined</t>
  </si>
  <si>
    <t>In situ rock</t>
  </si>
  <si>
    <t>Rock-lined</t>
  </si>
  <si>
    <t>Grass-covered</t>
  </si>
  <si>
    <t xml:space="preserve">Unlined </t>
  </si>
  <si>
    <t>Concrete terminal structure (stilling basin, plunge pool, flip bucket)</t>
  </si>
  <si>
    <t>In situ rock terminal structure</t>
  </si>
  <si>
    <t>Placed rock terminal structure</t>
  </si>
  <si>
    <t>Unlined/no terminal structure</t>
  </si>
  <si>
    <t xml:space="preserve">A Design Basis Report is available which achieves the objective of stating and detailing all current design assumptions and criteria and operating and site assumptions and constraints, with evidence, to an appropriate level for all life cycle stages of the facility, as required by relevant standards and guidelines.  </t>
  </si>
  <si>
    <t xml:space="preserve">Have all required consequence/hazard categories for the facility been documented, with evidence provided to prove that objective that the consequence/hazard categories were based on an assessment of consequences for relevant failure scenarios and that the relevant consequence/hazard category frameworks were adhered to. </t>
  </si>
  <si>
    <t>Is there documented evidence that geotechnical models for the site were derived, with the objective of displaying geotechnical units and properties spatially in relation to the facility, with evidence that the information presented is clearly linked and based on objective data and information obtained from the geological investigations completed?</t>
  </si>
  <si>
    <t xml:space="preserve">Is there documented evidence that a multi-criteria options assessment has been correctly undertaken and documented to support each stage of the facility, to achieve the objective of determining the preferred future option for tailings storages, including sites, technologies and strategies? </t>
  </si>
  <si>
    <t xml:space="preserve">Is there documented evidence that the modelled scenarios considered potential failure modes specific to the facility, to achieve the objective of allowing identified potential failure modes to be considered in the estimation of the potential inundation area as a result of failure of the facility? </t>
  </si>
  <si>
    <t xml:space="preserve">Is there detailed documented evidence that the downstream topography model (e.g. extents, cross-section lengths and reach lengths, or mesh sizes) was appropriately produced to achieve the objective of allowing the impact of potential failure to be estimated with confidence? </t>
  </si>
  <si>
    <t xml:space="preserve">Is there documented evidence that the upstream and downstream boundary conditions of the model geometry was based on onsite conditions and assigned correctly within the model, to achieve the objective of producing a model geometry that reflects onsite conditions. </t>
  </si>
  <si>
    <t xml:space="preserve">Is there documented evidence that the spillway was appropriately designed for structural stability and correctly assessed the various loading conditions that the spillway may experience, to achieve the objective of limiting the likelihood that the structural elements of the spillway will fail? </t>
  </si>
  <si>
    <t xml:space="preserve">Is there documented evidence that the capacity of the underdrainage system was based on an assessment of the seepage from the facility or from the required seepage removal/water return rate, to achieve the objective of demonstrating that the system was sized using defensible methods? </t>
  </si>
  <si>
    <t xml:space="preserve">Is there documented evidence that the structural integrity of the underdrainage system was assessed using defensible methods, expected loading conditions and required factors of safety, to achieve the objective of limiting the likelihood that the structural elements of the underdrainage system will fail? </t>
  </si>
  <si>
    <t xml:space="preserve">Is there documented evidence that an agreement has been produced which clearly describes the roles, responsibilities and accountabilities of the Engineer of Record to achieve the objective of making the Engineer of Record aware of the requirements of the role and to provide evidence that the role meets the requirements in the GISTM? </t>
  </si>
  <si>
    <t xml:space="preserve">Is there documented evidence that a program been implemented to manage the quality of all engineering work to achieve the objective that there is confirmation that both the implementation of the design and the design intent are met? </t>
  </si>
  <si>
    <t>Is a Facility Management Plan available which achieves the objective of detailing all pertinent short-medium and long term considerations associated with managing the facility?</t>
  </si>
  <si>
    <t>Is there documented evidence of a Management of Change system with evidence that it is being updated to achieve the objective of the facility knowledge base reflecting current conditions as much as is practicable?</t>
  </si>
  <si>
    <t xml:space="preserve">Is there documented evidence that the Management of Change system includes a statement of the risk introduced by all changes with approval from required personnel to achieve the objective of all material changes being appropriately recognised, assessed and accepted. </t>
  </si>
  <si>
    <t xml:space="preserve">Is there documented evidence that the closure and post-closure costs were publicly disclosed annually to achieve the objective of responsible management and transparency to relevant stakeholders? </t>
  </si>
  <si>
    <t>Is there documented evidence that external parties have expressed interest to acquire the operations in which the facility is located?</t>
  </si>
  <si>
    <t xml:space="preserve">Is there documented evidence of a deposition plan that is referred to by operations and management personnel which achieves the objective of providing guidance of the location and duration that tailings should be deposited from into the storage? </t>
  </si>
  <si>
    <t xml:space="preserve">Is a Trigger Action Response Plan available that achieves the objective of clearly stating triggers related to various visual and monitoring instrument indications and response actions in a tiered approach that would allow appropriate actions to be undertaken to mitigate the likelihood and/or consequence of failure if adhered to? 
</t>
  </si>
  <si>
    <t>Only small, local slips noted and repaired (less than 5% of embankment width deep). Infrequent.</t>
  </si>
  <si>
    <t>Only moderate, local slips noted and repaired (between 5% to 10% of embankment width deep) and or/frequent small local slips noted.</t>
  </si>
  <si>
    <t>Moderate to severe slips noted frequently and recently (greater than 105 of embankment width deep) and/or moderate slips noted frequently.</t>
  </si>
  <si>
    <t>Yes, though one-off, or has not occurred over the last two years.</t>
  </si>
  <si>
    <t>Yes, several time, or has occurred within the last two years.</t>
  </si>
  <si>
    <t>Size of decant pond frequently exceeds recommended size limits (several times a year)</t>
  </si>
  <si>
    <t>Initial stages of piping noted, with successful remediation.</t>
  </si>
  <si>
    <t>Yes, with successful remediation.</t>
  </si>
  <si>
    <t>Yes, without successful remediation.</t>
  </si>
  <si>
    <t>Yes, operating as intended, with evidence (seepage monitoring)</t>
  </si>
  <si>
    <t>Yes, though likely not operating as intended</t>
  </si>
  <si>
    <t xml:space="preserve">Is there documented evidence that the Engineer of Record has been informed of monitoring and surveillance data reviews (specifically the status of triggers being exceeded) to achieve the objective of Engineer of Record being informed of the performance of the facility? </t>
  </si>
  <si>
    <t xml:space="preserve">Is there documented evidence that a monitoring program report is produced at least annually to achieve the objective of documenting and detailing the instrumentation and monitoring program and results? </t>
  </si>
  <si>
    <t xml:space="preserve">Lessons learned </t>
  </si>
  <si>
    <t xml:space="preserve">EMBANKMENT PIPING FAILURE - Base Likelihood of Failure </t>
  </si>
  <si>
    <t>No conduit present</t>
  </si>
  <si>
    <t>Yes, present and achieves the intended objective</t>
  </si>
  <si>
    <t xml:space="preserve"> Yes, present and achieves the intended objectives, though could be improved</t>
  </si>
  <si>
    <t>Yes, present, however deficiencies result in the objective not being achieved</t>
  </si>
  <si>
    <t>Not present or not documented.</t>
  </si>
  <si>
    <t xml:space="preserve">Yes, present, however deficiencies result in the objective not being achieved either due to lacking treatment or due to steep abutments. </t>
  </si>
  <si>
    <t xml:space="preserve"> Yes, present and achieves the intended objectives, though could be improved. Embankment has gentle abutments. </t>
  </si>
  <si>
    <t xml:space="preserve">Yes, present and achieves the intended objective. Embankment has gentle abutments. </t>
  </si>
  <si>
    <t>EMBANKMENT PIPING FAILURE - Values Based on Selected Descriptors - Foundation Slopes Treatment WE(ft)</t>
  </si>
  <si>
    <t>Foundation Slopes Treatment WE(ft)</t>
  </si>
  <si>
    <t xml:space="preserve">None or minor flow of clear water. </t>
  </si>
  <si>
    <t xml:space="preserve">Gradually increasing flow of clear water.  Seepage or sinkholes emerging on downstream slope. </t>
  </si>
  <si>
    <t>Steady flows of clear water.</t>
  </si>
  <si>
    <t xml:space="preserve">Turbid and/or suddenly increasing seepage. </t>
  </si>
  <si>
    <t>EMBANKMENT PIPING FAILURE - Baseline PoF based on Embankment Type Value</t>
  </si>
  <si>
    <t>Soil</t>
  </si>
  <si>
    <t>Foundation cutoff terminating in soil</t>
  </si>
  <si>
    <t>Foundation cutoff terminating in rock</t>
  </si>
  <si>
    <t>Cutoff trench</t>
  </si>
  <si>
    <t>Diaphragm wall</t>
  </si>
  <si>
    <t xml:space="preserve">Construction quality </t>
  </si>
  <si>
    <t xml:space="preserve">Sheetpile wall </t>
  </si>
  <si>
    <t>Upstream blanket</t>
  </si>
  <si>
    <t>Slurry trench</t>
  </si>
  <si>
    <t xml:space="preserve">Slurry Trench </t>
  </si>
  <si>
    <t>Upstream Blanket</t>
  </si>
  <si>
    <t>Sheetpile wall</t>
  </si>
  <si>
    <t xml:space="preserve">No cutoff </t>
  </si>
  <si>
    <t>Cutoff type</t>
  </si>
  <si>
    <t>Backfilled trench</t>
  </si>
  <si>
    <t xml:space="preserve">Slurry trench </t>
  </si>
  <si>
    <t xml:space="preserve">Backfilled trench depper than 3 m </t>
  </si>
  <si>
    <t>Backfilled trench less than 3 m deep or no cutoff</t>
  </si>
  <si>
    <t>Slope</t>
  </si>
  <si>
    <t>Intercept</t>
  </si>
  <si>
    <t xml:space="preserve">FOUNDATION PIPING FAILURE - Values Based on Selected Descriptors - Foundation material below cutoff </t>
  </si>
  <si>
    <t>FOUNDATION PIPING FAILURE - Values Based on Selected Descriptors - Foundation cutoff type</t>
  </si>
  <si>
    <t xml:space="preserve">FOUNDATION PIPING FAILURE - Base Likelihood of Failure </t>
  </si>
  <si>
    <t>No cutoff trench</t>
  </si>
  <si>
    <t>Deep trench (&gt;5m deep) and narrow (W/D &lt; 1)</t>
  </si>
  <si>
    <t>Shallow trench (&lt;3m deep)</t>
  </si>
  <si>
    <t>Average depth trench (3 m to 5 m) and average width (W/D &gt;1)</t>
  </si>
  <si>
    <t>EMBANKMENT INTO OR AT THE FOUNDATION PIPING FAILURE - Values Based on Selected Descriptors - Foundation geology below cutoff</t>
  </si>
  <si>
    <t>EMBANKMENT INTO OR AT THE FOUNDATION PIPING FAILURE - Values Based on Selected Descriptors - Foundation geology below dowsntream shoulder</t>
  </si>
  <si>
    <t xml:space="preserve">Gradually increasing flow of clear water.  Seepage or sinkholes emerging at the downstream toe. </t>
  </si>
  <si>
    <t xml:space="preserve">Good foundation </t>
  </si>
  <si>
    <t xml:space="preserve">bad foundation </t>
  </si>
  <si>
    <t xml:space="preserve">Avereage foundation </t>
  </si>
  <si>
    <t>Control measures in place</t>
  </si>
  <si>
    <t>No control measures</t>
  </si>
  <si>
    <t>Mapping of foundation interface</t>
  </si>
  <si>
    <t>Conditions at the foundation interdace not documented</t>
  </si>
  <si>
    <t>There is documented evidence of open joints, cracks, fissurers,voids or gravels at  the foundaiton interface</t>
  </si>
  <si>
    <t>There is documented evidence of foundation interface with none of the defects listed above</t>
  </si>
  <si>
    <t>EMBANKMENT INTO OR AT THE FOUNDATION PIPING FAILURE - Values Based on Selected Descriptors - Erosion Control Measures atfoundation interface</t>
  </si>
  <si>
    <t>EMBANKMENT INTO OR AT THE FOUNDATION PIPING FAILURE - Values Based on Selected Descriptors - Foundation Slopes Treatment WE(ft)</t>
  </si>
  <si>
    <t xml:space="preserve">EMBANKMENT INTO OR AT THE FOUNDATION PIPING FAILURE - Base Likelihood of Failure </t>
  </si>
  <si>
    <t>EMBANKMENT INTO OR AT THE FOUNDATION PIPING FAILURE - Final Multiplier for cutoff</t>
  </si>
  <si>
    <t>EMBANKMENT INTO OR AT THE FOUNDATION PIPING FAILURE - Final Multiplier for ds shoulder</t>
  </si>
  <si>
    <t>Quantitative descriptor 2</t>
  </si>
  <si>
    <t>Backfilled trench depper than 3 m  terminating in soil</t>
  </si>
  <si>
    <t>Upstream blanket on soils foundation</t>
  </si>
  <si>
    <t>Slurry Trench terminating in soil</t>
  </si>
  <si>
    <t>Sheetpile wall terminating in soil</t>
  </si>
  <si>
    <t xml:space="preserve">Backfilled trench less than 3 m deep terminating in soil </t>
  </si>
  <si>
    <t>No cutoff on soil foundations</t>
  </si>
  <si>
    <t>Backfilled trench terminating in rock</t>
  </si>
  <si>
    <t xml:space="preserve">Slurry trench terminating in rock </t>
  </si>
  <si>
    <t>Diaphragm wall in rock</t>
  </si>
  <si>
    <t>Sheetpile wall terminating in rock</t>
  </si>
  <si>
    <t>No cutoff on rock foundation</t>
  </si>
  <si>
    <t>Numer with two decimal places</t>
  </si>
  <si>
    <t>Is there documented evidence of seepage through the embankment?</t>
  </si>
  <si>
    <t>Is there documented evidence of seepage through the foundation?</t>
  </si>
  <si>
    <t>FOUNDATION PIPING FAILURE - Values Based on Selected Descriptors - Foundation cutoff type construction quality multiplier</t>
  </si>
  <si>
    <t>FOUNDATION PIPING FAILURE - Values Based on Selected Descriptors - Cutoff Type  - Construction quality</t>
  </si>
  <si>
    <t xml:space="preserve">What is the vertical distance between the dam crest and the maximum measured or modelled  phreatic line at the upstream face? </t>
  </si>
  <si>
    <t xml:space="preserve">There is no documented evidence that erosion control measures were applied and the foundation interface was documented not to have adverse features including  voids, cracks, open joints, fissures or gravels. </t>
  </si>
  <si>
    <t xml:space="preserve">There is no documented evidence that erosion control measures were applied and the foundation interface was either not documented or adverse features including  voids, cracks, open joints, fissures or gravels were documented. </t>
  </si>
  <si>
    <t xml:space="preserve">There is documented evidence that erosion control measures (filling of open joints with concrete or shotcrete, foundation filters etc.) were applied. </t>
  </si>
  <si>
    <t>Rating (where applicable)</t>
  </si>
  <si>
    <t>Value 2  (if exists)</t>
  </si>
  <si>
    <t>Chapter No.</t>
  </si>
  <si>
    <t>Sub-chapter No.</t>
  </si>
  <si>
    <t xml:space="preserve"> Original ID</t>
  </si>
  <si>
    <t>Row Labels</t>
  </si>
  <si>
    <t>Grand Total</t>
  </si>
  <si>
    <t>Min of ID_Chapter</t>
  </si>
  <si>
    <t>Min of ID_SubChapter</t>
  </si>
  <si>
    <t>Original ID</t>
  </si>
  <si>
    <t xml:space="preserve">Risk </t>
  </si>
  <si>
    <t>Empounding Embankment Details</t>
  </si>
  <si>
    <t xml:space="preserve">Physical Details </t>
  </si>
  <si>
    <t>Current storage capacity (present) (tonnes)</t>
  </si>
  <si>
    <t>Type of facility</t>
  </si>
  <si>
    <t xml:space="preserve">Facility impounded by one or more embankments capable of storing water. </t>
  </si>
  <si>
    <t>Facility without not impounded by one or more embankments.</t>
  </si>
  <si>
    <t>Facility impounded by one or more embankments, not capable of storing water.</t>
  </si>
  <si>
    <t>No decant included</t>
  </si>
  <si>
    <t>No outlet works</t>
  </si>
  <si>
    <t>Intake tower</t>
  </si>
  <si>
    <t>Floating decant</t>
  </si>
  <si>
    <t>Type of seal or liner under the facility</t>
  </si>
  <si>
    <t>No liner included</t>
  </si>
  <si>
    <t>Combined liner</t>
  </si>
  <si>
    <t>No emergency outlet</t>
  </si>
  <si>
    <t>Low-level emergency outlet pipe system</t>
  </si>
  <si>
    <t>Low-level gates system</t>
  </si>
  <si>
    <t>whole number</t>
  </si>
  <si>
    <t>Is there documented evidence of any past slips or large movements of the embankment?</t>
  </si>
  <si>
    <t>Does collected data and observations indicate that structural embankment and foundation zones which analyses and modelling indicated should be unsaturated are indeed saturated?</t>
  </si>
  <si>
    <t>Is there documented evidence that surface movement data was collected and reviewed appropriately and at the minimum required frequencies to achieve the objective of determining if the movements are in line with the expected performance of the structure?</t>
  </si>
  <si>
    <t>Is there a documented evidence that an embankment chimney filter is present?</t>
  </si>
  <si>
    <t>Is there a documented evidence that a blanket filter is present?</t>
  </si>
  <si>
    <t>Design Reports</t>
  </si>
  <si>
    <t>Was the embankment raised in the last five years?</t>
  </si>
  <si>
    <t>Maximum embankment height above ground level (m)</t>
  </si>
  <si>
    <t>Question</t>
  </si>
  <si>
    <t>Answer</t>
  </si>
  <si>
    <t>RO</t>
  </si>
  <si>
    <t>Cal</t>
  </si>
  <si>
    <t>Is there documented evidence that the arrangement of the pore water pressure instrumentation within the foundations is based on or supported by the failure mode assessment to achieve the objective of informing critical controls?</t>
  </si>
  <si>
    <t>Is there documented evidence that the arrangement of the pore water pressure instrumentation within the embankment is based on or supported by the failure mode assessment to achieve the objective of informing critical controls?</t>
  </si>
  <si>
    <t>Is there documented evidence that foundation pore water pressure data were analysed using current engineering practice and at the frequencies prescribed in the operation manual with the objective of confirming the embankment performance in respect with the failure mode assessment?</t>
  </si>
  <si>
    <r>
      <t>Impoundment volume (present) (m</t>
    </r>
    <r>
      <rPr>
        <vertAlign val="superscript"/>
        <sz val="10"/>
        <color theme="1"/>
        <rFont val="Calibri"/>
        <family val="2"/>
        <scheme val="minor"/>
      </rPr>
      <t>3</t>
    </r>
    <r>
      <rPr>
        <sz val="10"/>
        <color theme="1"/>
        <rFont val="Calibri"/>
        <family val="2"/>
        <scheme val="minor"/>
      </rPr>
      <t>)</t>
    </r>
  </si>
  <si>
    <r>
      <t>Storage Capacity (present) (Mm</t>
    </r>
    <r>
      <rPr>
        <vertAlign val="superscript"/>
        <sz val="10"/>
        <color theme="1"/>
        <rFont val="Calibri"/>
        <family val="2"/>
        <scheme val="minor"/>
      </rPr>
      <t>3</t>
    </r>
    <r>
      <rPr>
        <sz val="10"/>
        <color theme="1"/>
        <rFont val="Calibri"/>
        <family val="2"/>
        <scheme val="minor"/>
      </rPr>
      <t>)</t>
    </r>
  </si>
  <si>
    <r>
      <t>Deposited slurry density (t/m</t>
    </r>
    <r>
      <rPr>
        <vertAlign val="superscript"/>
        <sz val="10"/>
        <color theme="1"/>
        <rFont val="Calibri"/>
        <family val="2"/>
        <scheme val="minor"/>
      </rPr>
      <t>3</t>
    </r>
    <r>
      <rPr>
        <sz val="10"/>
        <color theme="1"/>
        <rFont val="Calibri"/>
        <family val="2"/>
        <scheme val="minor"/>
      </rPr>
      <t>)</t>
    </r>
  </si>
  <si>
    <r>
      <t>Facility catchment area (m</t>
    </r>
    <r>
      <rPr>
        <vertAlign val="superscript"/>
        <sz val="10"/>
        <color theme="1"/>
        <rFont val="Calibri"/>
        <family val="2"/>
        <scheme val="minor"/>
      </rPr>
      <t>2</t>
    </r>
    <r>
      <rPr>
        <sz val="10"/>
        <color theme="1"/>
        <rFont val="Calibri"/>
        <family val="2"/>
        <scheme val="minor"/>
      </rPr>
      <t>)</t>
    </r>
  </si>
  <si>
    <r>
      <t>In-pit facility - area of pit base (m</t>
    </r>
    <r>
      <rPr>
        <vertAlign val="superscript"/>
        <sz val="10"/>
        <color theme="1"/>
        <rFont val="Calibri"/>
        <family val="2"/>
        <scheme val="minor"/>
      </rPr>
      <t>2</t>
    </r>
    <r>
      <rPr>
        <sz val="10"/>
        <color theme="1"/>
        <rFont val="Calibri"/>
        <family val="2"/>
        <scheme val="minor"/>
      </rPr>
      <t>)</t>
    </r>
  </si>
  <si>
    <r>
      <t>Facility impoundment area (present) (m</t>
    </r>
    <r>
      <rPr>
        <vertAlign val="superscript"/>
        <sz val="10"/>
        <color theme="1"/>
        <rFont val="Calibri"/>
        <family val="2"/>
        <scheme val="minor"/>
      </rPr>
      <t>2</t>
    </r>
    <r>
      <rPr>
        <sz val="10"/>
        <color theme="1"/>
        <rFont val="Calibri"/>
        <family val="2"/>
        <scheme val="minor"/>
      </rPr>
      <t>)</t>
    </r>
  </si>
  <si>
    <r>
      <t>Expected maximum facility impoundment area (m</t>
    </r>
    <r>
      <rPr>
        <vertAlign val="superscript"/>
        <sz val="10"/>
        <color theme="1"/>
        <rFont val="Calibri"/>
        <family val="2"/>
        <scheme val="minor"/>
      </rPr>
      <t>2</t>
    </r>
    <r>
      <rPr>
        <sz val="10"/>
        <color theme="1"/>
        <rFont val="Calibri"/>
        <family val="2"/>
        <scheme val="minor"/>
      </rPr>
      <t>)</t>
    </r>
  </si>
  <si>
    <r>
      <t>Expected maximum storage capacity (Mm</t>
    </r>
    <r>
      <rPr>
        <vertAlign val="superscript"/>
        <sz val="10"/>
        <color theme="1"/>
        <rFont val="Calibri"/>
        <family val="2"/>
        <scheme val="minor"/>
      </rPr>
      <t>3</t>
    </r>
    <r>
      <rPr>
        <sz val="10"/>
        <color theme="1"/>
        <rFont val="Calibri"/>
        <family val="2"/>
        <scheme val="minor"/>
      </rPr>
      <t>)</t>
    </r>
  </si>
  <si>
    <t>Is there documented evidence that the seismic loadings used in the embankment stability assessment were derived from the seismic hazard assessment with the objective of presenting representative seismic parameters for verifying the embankment performance under and after a seismic event?</t>
  </si>
  <si>
    <t>Is there documented evidence that liquefaction assessment was completed for materials in the structural zone of the embankment and foundations with the objective of confirming the embankment stability under relevant loading conditions associated with the failure modes?</t>
  </si>
  <si>
    <t>What is the geological origin of the embankment core material?</t>
  </si>
  <si>
    <t>What is the soil type of the embankment core material?</t>
  </si>
  <si>
    <t>What is the type of the foundation cutoff?</t>
  </si>
  <si>
    <t>What is the foundation cutoff trench geometry?</t>
  </si>
  <si>
    <t>What were the conditions and treatment of the foundation interface within the cutoff trench or beneath the low permeability zone (if cutoff is not in place)?</t>
  </si>
  <si>
    <t>What is the Safety Evaluation Earthquake used in design? (Input return annual probability).</t>
  </si>
  <si>
    <t>Is there documented evidence that the geological model is based on and shows the outcomes of the geological mapping, with the objective of providing a factual and complete description of the geological setting and geological units at the area of the embankment?</t>
  </si>
  <si>
    <t>Is there documented evidence that the geological model is incorporates the results of relevant laboratory testing with the objective of providing a factual and complete description of the geological setting and geological units at the area of the embankment?</t>
  </si>
  <si>
    <t>Is there documented evidence that the geological model is based on and presents the outcomes of the field investigations with the objective of providing a factual and complete description of the geological setting and geological units at the area of the embankment?</t>
  </si>
  <si>
    <t>Is there documented evidence that computational model(s) used for the embankment design and/or assessment was derived from the geotechnical analytical model , with the objective of presenting the performance of the embankment under a specific loading conditions associated with the potential failure mod(s)?</t>
  </si>
  <si>
    <t xml:space="preserve">Is there documented evidence that the seismic hazard assessment for the embankment was based on objectively measure data and current defensible methods with the objective of providing relevant seismic loading condition(s) for the embankment design/assessment? </t>
  </si>
  <si>
    <t>Is there documented evidence that the arrangement of the surface deformation instruments is based on or supported by the failure mode assessment to achieve the objective of informing critical controls?</t>
  </si>
  <si>
    <t>Is there documented evidence that the arrangement of the internal embankment deformation instruments is based on or supported by the failure mode assessment to achieve the objective of informing critical controls?</t>
  </si>
  <si>
    <t>Is there documented evidence that the arrangement of the seepage monitoring instruments is based on or supported by the failure mode assessment to achieve the objective of informing critical controls?</t>
  </si>
  <si>
    <t>Is there a documented evidence that the analysed surface movement data confirmed that the embankment deformations were in line with the expected performance ?</t>
  </si>
  <si>
    <t>Is there documented evidence that geotechnical analytical model(s) used for the embankment design and/or assessment was derived from the geological model, with the objective of providing representative properties required for specific loading conditions associated with the potential failure mode(s)?</t>
  </si>
  <si>
    <t>What was the documented conclusion of the embankment pore pressure data assessment?</t>
  </si>
  <si>
    <t>Pore water pressures have been at the maximum level of the expected performance range.</t>
  </si>
  <si>
    <t xml:space="preserve">Pore water pressures were measured outside the expected performance range but have reduced to within the range. </t>
  </si>
  <si>
    <t xml:space="preserve">Pore water pressures have been outside the expected performance range or the data were not collected or analysed. </t>
  </si>
  <si>
    <t>Pore water pressures have been well within the expected performance range.</t>
  </si>
  <si>
    <t>Does the assessment of the  internal movement data shows that internal deformations are in line with the expected performance?</t>
  </si>
  <si>
    <t>Does the assessment of the seepage data shows that seepage rates are in line with the expected performance?</t>
  </si>
  <si>
    <t>No of inputs</t>
  </si>
  <si>
    <t xml:space="preserve">Is there documented evidence that the outcomes of the Potential Failure Mode Assessment were considered throughout the design process with the objective of minimising the likelihood of failure under the identified failure modes? </t>
  </si>
  <si>
    <t>Is there documented evidence that the computational model(s) used for the embankment stability assessment(s) was derived from the analytical model using defendable engineering principles with the objective of presenting design material zones and properties for specific loading conditions?</t>
  </si>
  <si>
    <t>Is there documented evidence that piping failure modes were assessed using current engineering practice to achieve the objective of confirming that piping failure controls are in place?</t>
  </si>
  <si>
    <t xml:space="preserve">Based on the latest assessment, what is the slope stability FoS considering drained shear strength of materials along a slip surface, movement of which would result in release of stored materials. </t>
  </si>
  <si>
    <t xml:space="preserve">Based on the latest assessment, what is the slope stability FoS considering undrained shear strength of materials along a slip surface, movement of which would result in release of stored materials. </t>
  </si>
  <si>
    <t xml:space="preserve">Based on the latest assessment, what is the slope stability FoS considering post-seismic shear strength of materials along a slip surface, movement of which would result in release of stored materials. </t>
  </si>
  <si>
    <t>What is the type of foundation material below the cutoff (if constructed) or below the low permeability zone of the embankment (if a cutoff was not constructed)?</t>
  </si>
  <si>
    <t>What is the geology of foundations below the cutoff (if constructed) or below the low permeability zone of the embankment (if a cutoff was not constructed)?</t>
  </si>
  <si>
    <t xml:space="preserve">Is there documented evidence that the foundation slopes were treated with the objective to remove vertical faces, overhangs and irregularities by cutting and/or filling? </t>
  </si>
  <si>
    <t>What is the geology of the foundations below the downstream shoulder of the dam?</t>
  </si>
  <si>
    <t>Is there documented evidence to demonstrate that the Potential Failure Mode Assessment was undertaken using defensible methods that are commensurate with the complexity and potential consequences of the facility, to achieve the objective of understanding the progression of potential failure modes from hazard to failure?</t>
  </si>
  <si>
    <t xml:space="preserve">Are the stability assessment results presented with the objective of clearly showing the boundary conditions, materials zoning, geometry and all parameters and loading conditions used? </t>
  </si>
  <si>
    <t>Is there documented evidence that independent reviews were completed for all design studies by appropriately qualified reviewers, to achieve the objective of producing defensible design studies and to meet the requirements of relevant standards and guidelines?</t>
  </si>
  <si>
    <t>Is there documented evidence that the outcomes of the design reviews for all stages were incorporated in the design and that all comments were closed, to achieve the objective of confirming that the design was completed in accordance with the current engineering practices?</t>
  </si>
  <si>
    <t>Is there documented evidence that there was appropriately qualified and experienced supervisors present during construction of all expansions, remedial works and closure works to achieve the objective of ensuring that construction activities adhered to the requirements of technical specificationd and that the design intent was met?</t>
  </si>
  <si>
    <t xml:space="preserve">how many times used (weight) </t>
  </si>
  <si>
    <t>EMBANKMENT PIPING FAILURE - Embankment Type Value For First Five Years</t>
  </si>
  <si>
    <t>EMBANKMENT PIPING FAILURE - Embankment Type Value After Five Years</t>
  </si>
  <si>
    <t>AVG</t>
  </si>
  <si>
    <t>T1</t>
  </si>
  <si>
    <t>T2</t>
  </si>
  <si>
    <t>T3</t>
  </si>
  <si>
    <t>T4</t>
  </si>
  <si>
    <t>T6</t>
  </si>
  <si>
    <t>T7</t>
  </si>
  <si>
    <t>T8</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</si>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</sst>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_-* #,##0.00\ _K_č_-;\-* #,##0.00\ _K_č_-;_-* &quot;-&quot;??\ _K_č_-;_-@_-"/>
    <numFmt numFmtId="165" formatCode="_-&quot;$&quot;* #,##0.00_-;\-&quot;$&quot;* #,##0.00_-;_-&quot;$&quot;* &quot;-&quot;??_-;_-@_-"/>
    <numFmt numFmtId="166" formatCode="_(&quot;$&quot;* #,##0.00_);_(&quot;$&quot;* \(#,##0.00\);_(&quot;$&quot;* &quot;-&quot;??_);_(@_)"/>
    <numFmt numFmtId="167" formatCode="_-&quot;$&quot;* #,##0_-;\-&quot;$&quot;* #,##0_-;_-&quot;$&quot;* &quot;-&quot;??_-;_-@_-"/>
    <numFmt numFmtId="168" formatCode="0.0000"/>
    <numFmt numFmtId="169" formatCode="0.0E+00"/>
    <numFmt numFmtId="170" formatCode="&quot;$&quot;#,##0.00"/>
    <numFmt numFmtId="171" formatCode="0.0"/>
    <numFmt numFmtId="172" formatCode="0.000"/>
  </numFmts>
  <fonts count="55" x14ac:knownFonts="1">
    <font>
      <sz val="11"/>
      <color theme="1"/>
      <name val="Calibri"/>
      <family val="2"/>
      <scheme val="minor"/>
    </font>
    <font>
      <b/>
      <sz val="11"/>
      <color rgb="FF000000"/>
      <name val="Calibri"/>
      <family val="2"/>
    </font>
    <font>
      <sz val="11"/>
      <color rgb="FF000000"/>
      <name val="Calibri"/>
      <family val="2"/>
    </font>
    <font>
      <sz val="11"/>
      <name val="Calibri"/>
      <family val="2"/>
      <scheme val="minor"/>
    </font>
    <font>
      <sz val="11"/>
      <color rgb="FFFF0000"/>
      <name val="Calibri"/>
      <family val="2"/>
      <charset val="238"/>
    </font>
    <font>
      <b/>
      <sz val="10"/>
      <name val="Arial"/>
      <family val="2"/>
    </font>
    <font>
      <b/>
      <sz val="8"/>
      <name val="Arial"/>
      <family val="2"/>
    </font>
    <font>
      <sz val="8"/>
      <name val="Arial"/>
      <family val="2"/>
    </font>
    <font>
      <b/>
      <sz val="11"/>
      <color theme="1"/>
      <name val="Calibri"/>
      <family val="2"/>
      <scheme val="minor"/>
    </font>
    <font>
      <i/>
      <sz val="11"/>
      <color theme="1"/>
      <name val="Calibri"/>
      <family val="2"/>
      <scheme val="minor"/>
    </font>
    <font>
      <sz val="11"/>
      <color theme="1"/>
      <name val="Calibri"/>
      <family val="2"/>
    </font>
    <font>
      <sz val="11"/>
      <color theme="1"/>
      <name val="Calibri"/>
      <family val="2"/>
      <scheme val="minor"/>
    </font>
    <font>
      <sz val="11"/>
      <color rgb="FFFF0000"/>
      <name val="Calibri"/>
      <family val="2"/>
      <scheme val="minor"/>
    </font>
    <font>
      <sz val="8"/>
      <name val="Calibri"/>
      <family val="2"/>
      <scheme val="minor"/>
    </font>
    <font>
      <sz val="12"/>
      <color theme="1"/>
      <name val="Calibri"/>
      <family val="2"/>
      <scheme val="minor"/>
    </font>
    <font>
      <i/>
      <sz val="11"/>
      <name val="Calibri"/>
      <family val="2"/>
      <scheme val="minor"/>
    </font>
    <font>
      <sz val="11"/>
      <name val="Calibri"/>
      <family val="2"/>
    </font>
    <font>
      <sz val="11"/>
      <color theme="0"/>
      <name val="Calibri"/>
      <family val="2"/>
      <scheme val="minor"/>
    </font>
    <font>
      <b/>
      <sz val="16"/>
      <color theme="1"/>
      <name val="Calibri"/>
      <family val="2"/>
      <charset val="238"/>
      <scheme val="minor"/>
    </font>
    <font>
      <b/>
      <sz val="12"/>
      <color theme="0"/>
      <name val="Calibri"/>
      <family val="2"/>
      <scheme val="minor"/>
    </font>
    <font>
      <b/>
      <sz val="16"/>
      <color theme="0"/>
      <name val="Calibri"/>
      <family val="2"/>
      <charset val="238"/>
      <scheme val="minor"/>
    </font>
    <font>
      <b/>
      <sz val="16"/>
      <color theme="0"/>
      <name val="Calibri"/>
      <family val="2"/>
      <scheme val="minor"/>
    </font>
    <font>
      <sz val="12"/>
      <color theme="0"/>
      <name val="Calibri"/>
      <family val="2"/>
      <scheme val="minor"/>
    </font>
    <font>
      <b/>
      <sz val="12"/>
      <color theme="1"/>
      <name val="Calibri"/>
      <family val="2"/>
      <scheme val="minor"/>
    </font>
    <font>
      <sz val="12"/>
      <name val="Calibri"/>
      <family val="2"/>
      <scheme val="minor"/>
    </font>
    <font>
      <b/>
      <sz val="14"/>
      <color theme="1"/>
      <name val="Calibri"/>
      <family val="2"/>
      <charset val="238"/>
      <scheme val="minor"/>
    </font>
    <font>
      <b/>
      <sz val="20"/>
      <color theme="1"/>
      <name val="Calibri"/>
      <family val="2"/>
      <charset val="238"/>
      <scheme val="minor"/>
    </font>
    <font>
      <b/>
      <sz val="14"/>
      <color theme="0"/>
      <name val="Calibri"/>
      <family val="2"/>
      <scheme val="minor"/>
    </font>
    <font>
      <b/>
      <sz val="14"/>
      <color theme="0"/>
      <name val="Calibri"/>
      <family val="2"/>
      <charset val="238"/>
      <scheme val="minor"/>
    </font>
    <font>
      <u/>
      <sz val="11"/>
      <color theme="10"/>
      <name val="Calibri"/>
      <family val="2"/>
      <scheme val="minor"/>
    </font>
    <font>
      <b/>
      <sz val="11"/>
      <color rgb="FF000000"/>
      <name val="Calibri"/>
      <family val="2"/>
      <charset val="238"/>
    </font>
    <font>
      <b/>
      <sz val="11"/>
      <name val="Calibri"/>
      <family val="2"/>
      <charset val="238"/>
    </font>
    <font>
      <b/>
      <sz val="11"/>
      <color theme="1"/>
      <name val="Calibri"/>
      <family val="2"/>
      <charset val="238"/>
      <scheme val="minor"/>
    </font>
    <font>
      <sz val="11"/>
      <color rgb="FF000000"/>
      <name val="Calibri"/>
      <family val="2"/>
      <charset val="238"/>
    </font>
    <font>
      <sz val="11"/>
      <name val="Calibri"/>
      <family val="2"/>
      <charset val="238"/>
    </font>
    <font>
      <sz val="9"/>
      <color indexed="81"/>
      <name val="Tahoma"/>
      <family val="2"/>
      <charset val="238"/>
    </font>
    <font>
      <b/>
      <sz val="9"/>
      <color indexed="81"/>
      <name val="Tahoma"/>
      <family val="2"/>
      <charset val="238"/>
    </font>
    <font>
      <b/>
      <sz val="11"/>
      <color rgb="FFFF0000"/>
      <name val="Calibri"/>
      <family val="2"/>
      <charset val="238"/>
    </font>
    <font>
      <u/>
      <sz val="11"/>
      <color theme="1"/>
      <name val="Calibri"/>
      <family val="2"/>
      <scheme val="minor"/>
    </font>
    <font>
      <sz val="12"/>
      <color rgb="FFFF0000"/>
      <name val="Calibri"/>
      <family val="2"/>
      <scheme val="minor"/>
    </font>
    <font>
      <i/>
      <sz val="11"/>
      <color rgb="FFFF0000"/>
      <name val="Calibri"/>
      <family val="2"/>
      <scheme val="minor"/>
    </font>
    <font>
      <b/>
      <sz val="10"/>
      <color theme="1"/>
      <name val="Calibri"/>
      <family val="2"/>
      <charset val="238"/>
      <scheme val="minor"/>
    </font>
    <font>
      <sz val="10"/>
      <color theme="1"/>
      <name val="Calibri"/>
      <family val="2"/>
      <charset val="238"/>
      <scheme val="minor"/>
    </font>
    <font>
      <sz val="10"/>
      <color rgb="FF000000"/>
      <name val="Calibri"/>
      <family val="2"/>
      <charset val="238"/>
      <scheme val="minor"/>
    </font>
    <font>
      <sz val="10"/>
      <name val="Calibri"/>
      <family val="2"/>
      <charset val="238"/>
      <scheme val="minor"/>
    </font>
    <font>
      <sz val="10"/>
      <color rgb="FFFF0000"/>
      <name val="Calibri"/>
      <family val="2"/>
      <scheme val="minor"/>
    </font>
    <font>
      <sz val="10"/>
      <color theme="1"/>
      <name val="Segoe UI"/>
      <family val="2"/>
    </font>
    <font>
      <sz val="10"/>
      <color theme="1"/>
      <name val="Calibri"/>
      <family val="2"/>
      <scheme val="minor"/>
    </font>
    <font>
      <vertAlign val="superscript"/>
      <sz val="10"/>
      <color theme="1"/>
      <name val="Calibri"/>
      <family val="2"/>
      <scheme val="minor"/>
    </font>
    <font>
      <sz val="10"/>
      <name val="Tahoma"/>
      <family val="2"/>
    </font>
    <font>
      <sz val="10"/>
      <color rgb="FFFF0000"/>
      <name val="Tahoma"/>
      <family val="2"/>
    </font>
    <font>
      <sz val="10"/>
      <color theme="1"/>
      <name val="Tahoma"/>
      <family val="2"/>
    </font>
    <font>
      <sz val="10"/>
      <name val="Calibri"/>
      <family val="2"/>
      <scheme val="minor"/>
    </font>
    <font>
      <u/>
      <sz val="10"/>
      <color theme="1"/>
      <name val="Calibri"/>
      <family val="2"/>
      <scheme val="minor"/>
    </font>
    <font>
      <sz val="10"/>
      <color rgb="FFFF0000"/>
      <name val="Calibri"/>
      <family val="2"/>
      <charset val="238"/>
      <scheme val="minor"/>
    </font>
  </fonts>
  <fills count="34">
    <fill>
      <patternFill patternType="none"/>
    </fill>
    <fill>
      <patternFill patternType="gray125"/>
    </fill>
    <fill>
      <patternFill patternType="solid">
        <fgColor rgb="FFC0C0C0"/>
        <bgColor rgb="FFC0C0C0"/>
      </patternFill>
    </fill>
    <fill>
      <patternFill patternType="none">
        <fgColor rgb="FF000000"/>
        <bgColor rgb="FFFFFFFF"/>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rgb="FFDFBDDD"/>
        <bgColor indexed="64"/>
      </patternFill>
    </fill>
    <fill>
      <patternFill patternType="solid">
        <fgColor rgb="FFABECF1"/>
        <bgColor indexed="64"/>
      </patternFill>
    </fill>
    <fill>
      <patternFill patternType="solid">
        <fgColor rgb="FF00FF00"/>
        <bgColor indexed="64"/>
      </patternFill>
    </fill>
    <fill>
      <patternFill patternType="solid">
        <fgColor indexed="22"/>
        <bgColor indexed="64"/>
      </patternFill>
    </fill>
    <fill>
      <patternFill patternType="solid">
        <fgColor indexed="9"/>
        <bgColor indexed="64"/>
      </patternFill>
    </fill>
    <fill>
      <patternFill patternType="solid">
        <fgColor theme="6" tint="0.3999755851924192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rgb="FFEEB0CC"/>
        <bgColor indexed="64"/>
      </patternFill>
    </fill>
    <fill>
      <patternFill patternType="solid">
        <fgColor theme="5" tint="0.39997558519241921"/>
        <bgColor indexed="64"/>
      </patternFill>
    </fill>
    <fill>
      <patternFill patternType="solid">
        <fgColor rgb="FFC4D79B"/>
        <bgColor indexed="64"/>
      </patternFill>
    </fill>
    <fill>
      <patternFill patternType="solid">
        <fgColor rgb="FF552FA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rgb="FF00B0F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theme="4" tint="0.59999389629810485"/>
      </patternFill>
    </fill>
  </fills>
  <borders count="89">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top style="medium">
        <color indexed="64"/>
      </top>
      <bottom style="thin">
        <color indexed="64"/>
      </bottom>
      <diagonal/>
    </border>
    <border>
      <left style="thin">
        <color rgb="FFD0D7E5"/>
      </left>
      <right/>
      <top style="thin">
        <color rgb="FFD0D7E5"/>
      </top>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auto="1"/>
      </right>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
      <left style="dashed">
        <color auto="1"/>
      </left>
      <right/>
      <top style="dashed">
        <color auto="1"/>
      </top>
      <bottom/>
      <diagonal/>
    </border>
    <border>
      <left style="dashed">
        <color auto="1"/>
      </left>
      <right/>
      <top style="medium">
        <color auto="1"/>
      </top>
      <bottom/>
      <diagonal/>
    </border>
    <border>
      <left style="thin">
        <color indexed="64"/>
      </left>
      <right/>
      <top/>
      <bottom/>
      <diagonal/>
    </border>
    <border>
      <left style="medium">
        <color indexed="64"/>
      </left>
      <right style="medium">
        <color indexed="64"/>
      </right>
      <top/>
      <bottom/>
      <diagonal/>
    </border>
    <border>
      <left style="thin">
        <color theme="0"/>
      </left>
      <right/>
      <top/>
      <bottom/>
      <diagonal/>
    </border>
    <border>
      <left style="thin">
        <color rgb="FFD0D7E5"/>
      </left>
      <right/>
      <top style="thin">
        <color auto="1"/>
      </top>
      <bottom/>
      <diagonal/>
    </border>
    <border>
      <left style="thin">
        <color theme="0"/>
      </left>
      <right/>
      <top style="medium">
        <color auto="1"/>
      </top>
      <bottom/>
      <diagonal/>
    </border>
    <border>
      <left style="medium">
        <color auto="1"/>
      </left>
      <right/>
      <top style="thin">
        <color theme="0"/>
      </top>
      <bottom/>
      <diagonal/>
    </border>
    <border>
      <left style="thin">
        <color theme="0"/>
      </left>
      <right/>
      <top style="thin">
        <color theme="0"/>
      </top>
      <bottom/>
      <diagonal/>
    </border>
    <border>
      <left style="medium">
        <color auto="1"/>
      </left>
      <right/>
      <top style="dashed">
        <color auto="1"/>
      </top>
      <bottom/>
      <diagonal/>
    </border>
    <border>
      <left style="thin">
        <color theme="0"/>
      </left>
      <right/>
      <top style="dashed">
        <color auto="1"/>
      </top>
      <bottom/>
      <diagonal/>
    </border>
    <border>
      <left style="medium">
        <color indexed="64"/>
      </left>
      <right/>
      <top style="dotted">
        <color auto="1"/>
      </top>
      <bottom/>
      <diagonal/>
    </border>
    <border>
      <left style="dotted">
        <color auto="1"/>
      </left>
      <right/>
      <top style="dotted">
        <color auto="1"/>
      </top>
      <bottom/>
      <diagonal/>
    </border>
    <border>
      <left style="dotted">
        <color auto="1"/>
      </left>
      <right/>
      <top style="dashed">
        <color auto="1"/>
      </top>
      <bottom/>
      <diagonal/>
    </border>
    <border>
      <left style="thin">
        <color rgb="FFD0D7E5"/>
      </left>
      <right/>
      <top style="medium">
        <color indexed="64"/>
      </top>
      <bottom/>
      <diagonal/>
    </border>
    <border>
      <left style="thin">
        <color theme="0"/>
      </left>
      <right/>
      <top style="thin">
        <color theme="0"/>
      </top>
      <bottom style="thin">
        <color theme="0"/>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theme="0"/>
      </left>
      <right style="thin">
        <color theme="0"/>
      </right>
      <top style="thin">
        <color theme="0"/>
      </top>
      <bottom style="thin">
        <color theme="0"/>
      </bottom>
      <diagonal/>
    </border>
    <border>
      <left style="dashed">
        <color auto="1"/>
      </left>
      <right/>
      <top/>
      <bottom/>
      <diagonal/>
    </border>
  </borders>
  <cellStyleXfs count="13">
    <xf numFmtId="0" fontId="0" fillId="0" borderId="0"/>
    <xf numFmtId="166" fontId="11" fillId="0" borderId="0" applyFont="0" applyFill="0" applyBorder="0" applyAlignment="0" applyProtection="0"/>
    <xf numFmtId="0" fontId="11" fillId="3" borderId="0"/>
    <xf numFmtId="0" fontId="11" fillId="3" borderId="0"/>
    <xf numFmtId="165" fontId="11" fillId="3" borderId="0" applyFont="0" applyFill="0" applyBorder="0" applyAlignment="0" applyProtection="0"/>
    <xf numFmtId="0" fontId="11" fillId="3" borderId="0"/>
    <xf numFmtId="43" fontId="11" fillId="3" borderId="0" applyFont="0" applyFill="0" applyBorder="0" applyAlignment="0" applyProtection="0"/>
    <xf numFmtId="0" fontId="11" fillId="3" borderId="0"/>
    <xf numFmtId="43" fontId="11" fillId="3" borderId="0" applyFont="0" applyFill="0" applyBorder="0" applyAlignment="0" applyProtection="0"/>
    <xf numFmtId="165" fontId="11" fillId="3" borderId="0" applyFont="0" applyFill="0" applyBorder="0" applyAlignment="0" applyProtection="0"/>
    <xf numFmtId="0" fontId="29" fillId="3" borderId="0" applyNumberFormat="0" applyFill="0" applyBorder="0" applyAlignment="0" applyProtection="0"/>
    <xf numFmtId="0" fontId="11" fillId="3" borderId="0"/>
    <xf numFmtId="164" fontId="11" fillId="0" borderId="0" applyFont="0" applyFill="0" applyBorder="0" applyAlignment="0" applyProtection="0"/>
  </cellStyleXfs>
  <cellXfs count="553">
    <xf numFmtId="0" fontId="0" fillId="0" borderId="0" xfId="0"/>
    <xf numFmtId="11" fontId="0" fillId="0" borderId="0" xfId="0" applyNumberFormat="1"/>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xf>
    <xf numFmtId="0" fontId="5" fillId="12" borderId="5" xfId="0" applyFont="1" applyFill="1" applyBorder="1" applyAlignment="1">
      <alignment horizontal="center" vertical="center"/>
    </xf>
    <xf numFmtId="0" fontId="5" fillId="12" borderId="10" xfId="0" applyFont="1" applyFill="1" applyBorder="1" applyAlignment="1">
      <alignment horizontal="center" vertical="center"/>
    </xf>
    <xf numFmtId="0" fontId="5" fillId="12" borderId="14" xfId="0" applyFont="1" applyFill="1" applyBorder="1" applyAlignment="1">
      <alignment horizontal="center" vertical="center"/>
    </xf>
    <xf numFmtId="0" fontId="6" fillId="12" borderId="19" xfId="0" applyFont="1" applyFill="1" applyBorder="1" applyAlignment="1">
      <alignment horizontal="center" vertical="center" wrapText="1"/>
    </xf>
    <xf numFmtId="0" fontId="7" fillId="13" borderId="19" xfId="0" applyFont="1" applyFill="1" applyBorder="1" applyAlignment="1">
      <alignment horizontal="center" vertical="center" wrapText="1"/>
    </xf>
    <xf numFmtId="0" fontId="0" fillId="13" borderId="20" xfId="0" applyFill="1" applyBorder="1" applyAlignment="1">
      <alignment horizontal="center" vertical="center" wrapText="1"/>
    </xf>
    <xf numFmtId="0" fontId="7" fillId="13" borderId="20" xfId="0" applyFont="1" applyFill="1" applyBorder="1" applyAlignment="1">
      <alignment horizontal="center" vertical="center" wrapText="1"/>
    </xf>
    <xf numFmtId="0" fontId="5" fillId="0" borderId="0" xfId="0" applyFont="1" applyAlignment="1">
      <alignment horizontal="center" vertical="center" wrapText="1"/>
    </xf>
    <xf numFmtId="0" fontId="6" fillId="12" borderId="21" xfId="0" applyFont="1" applyFill="1" applyBorder="1" applyAlignment="1">
      <alignment horizontal="center" vertical="center" wrapText="1"/>
    </xf>
    <xf numFmtId="0" fontId="7" fillId="13" borderId="21" xfId="0" applyFont="1" applyFill="1" applyBorder="1" applyAlignment="1">
      <alignment horizontal="center" vertical="center" wrapText="1"/>
    </xf>
    <xf numFmtId="0" fontId="7" fillId="13" borderId="22" xfId="0" applyFont="1" applyFill="1" applyBorder="1" applyAlignment="1">
      <alignment horizontal="center" vertical="center" wrapText="1"/>
    </xf>
    <xf numFmtId="0" fontId="7" fillId="13" borderId="22" xfId="0" applyFont="1" applyFill="1" applyBorder="1" applyAlignment="1">
      <alignment horizontal="center" vertical="center"/>
    </xf>
    <xf numFmtId="0" fontId="6" fillId="12" borderId="23" xfId="0" applyFont="1" applyFill="1" applyBorder="1" applyAlignment="1">
      <alignment horizontal="center" vertical="center" wrapText="1"/>
    </xf>
    <xf numFmtId="0" fontId="7" fillId="13" borderId="23" xfId="0" applyFont="1" applyFill="1" applyBorder="1" applyAlignment="1">
      <alignment horizontal="center" vertical="center" wrapText="1"/>
    </xf>
    <xf numFmtId="0" fontId="7" fillId="13" borderId="24" xfId="0" applyFont="1" applyFill="1" applyBorder="1" applyAlignment="1">
      <alignment horizontal="center" vertical="center" wrapText="1"/>
    </xf>
    <xf numFmtId="0" fontId="7" fillId="13" borderId="24" xfId="0" applyFont="1" applyFill="1" applyBorder="1" applyAlignment="1">
      <alignment horizontal="center" vertical="center"/>
    </xf>
    <xf numFmtId="0" fontId="6" fillId="12" borderId="25" xfId="0" applyFont="1" applyFill="1" applyBorder="1" applyAlignment="1">
      <alignment horizontal="center" vertical="center" wrapText="1"/>
    </xf>
    <xf numFmtId="0" fontId="7" fillId="13" borderId="25" xfId="0" applyFont="1" applyFill="1" applyBorder="1" applyAlignment="1">
      <alignment horizontal="center" vertical="center" wrapText="1"/>
    </xf>
    <xf numFmtId="0" fontId="7" fillId="13" borderId="26" xfId="0" applyFont="1" applyFill="1" applyBorder="1" applyAlignment="1">
      <alignment horizontal="center" vertical="center" wrapText="1"/>
    </xf>
    <xf numFmtId="0" fontId="0" fillId="13" borderId="26" xfId="0" applyFill="1" applyBorder="1" applyAlignment="1">
      <alignment horizontal="center" vertical="center" wrapText="1"/>
    </xf>
    <xf numFmtId="0" fontId="0" fillId="13" borderId="26" xfId="0" applyFill="1" applyBorder="1" applyAlignment="1">
      <alignment horizontal="center" vertical="center"/>
    </xf>
    <xf numFmtId="0" fontId="0" fillId="13" borderId="20" xfId="0" applyFill="1" applyBorder="1" applyAlignment="1">
      <alignment horizontal="center" vertical="center"/>
    </xf>
    <xf numFmtId="0" fontId="5" fillId="13" borderId="27" xfId="0" applyFont="1" applyFill="1" applyBorder="1" applyAlignment="1">
      <alignment horizontal="center" vertical="center"/>
    </xf>
    <xf numFmtId="0" fontId="5" fillId="13" borderId="28" xfId="0" applyFont="1" applyFill="1" applyBorder="1" applyAlignment="1">
      <alignment horizontal="center" vertical="center"/>
    </xf>
    <xf numFmtId="0" fontId="5" fillId="13" borderId="29" xfId="0" applyFont="1" applyFill="1" applyBorder="1" applyAlignment="1">
      <alignment horizontal="center" vertical="center"/>
    </xf>
    <xf numFmtId="0" fontId="5" fillId="13" borderId="1" xfId="0" applyFont="1" applyFill="1" applyBorder="1" applyAlignment="1">
      <alignment horizontal="center" vertical="center"/>
    </xf>
    <xf numFmtId="0" fontId="5" fillId="13" borderId="30" xfId="0" applyFont="1" applyFill="1" applyBorder="1" applyAlignment="1">
      <alignment horizontal="center" vertical="center"/>
    </xf>
    <xf numFmtId="0" fontId="5" fillId="13" borderId="32" xfId="0" applyFont="1" applyFill="1" applyBorder="1" applyAlignment="1">
      <alignment horizontal="center" vertical="center"/>
    </xf>
    <xf numFmtId="0" fontId="5" fillId="13" borderId="34" xfId="0" applyFont="1" applyFill="1" applyBorder="1" applyAlignment="1">
      <alignment horizontal="center" vertical="center"/>
    </xf>
    <xf numFmtId="0" fontId="5" fillId="13" borderId="35" xfId="0" applyFont="1" applyFill="1" applyBorder="1" applyAlignment="1">
      <alignment horizontal="center" vertical="center"/>
    </xf>
    <xf numFmtId="0" fontId="7" fillId="0" borderId="0" xfId="0" applyFont="1" applyAlignment="1">
      <alignment horizontal="center" vertical="center"/>
    </xf>
    <xf numFmtId="0" fontId="0" fillId="13" borderId="0" xfId="0" applyFill="1" applyAlignment="1">
      <alignment horizontal="center" vertical="center"/>
    </xf>
    <xf numFmtId="0" fontId="0" fillId="13" borderId="0" xfId="0" applyFill="1" applyAlignment="1">
      <alignment horizontal="center" vertical="center" wrapText="1"/>
    </xf>
    <xf numFmtId="0" fontId="7" fillId="13" borderId="0" xfId="0" applyFont="1" applyFill="1" applyAlignment="1">
      <alignment horizontal="center" vertical="center"/>
    </xf>
    <xf numFmtId="0" fontId="0" fillId="12" borderId="36" xfId="0" applyFill="1" applyBorder="1" applyAlignment="1">
      <alignment horizontal="center" wrapText="1"/>
    </xf>
    <xf numFmtId="0" fontId="0" fillId="12" borderId="37" xfId="0" applyFill="1" applyBorder="1" applyAlignment="1">
      <alignment horizontal="center" wrapText="1"/>
    </xf>
    <xf numFmtId="0" fontId="0" fillId="12" borderId="38" xfId="0" applyFill="1" applyBorder="1" applyAlignment="1">
      <alignment horizontal="center" wrapText="1"/>
    </xf>
    <xf numFmtId="0" fontId="0" fillId="12" borderId="39" xfId="0" applyFill="1" applyBorder="1" applyAlignment="1">
      <alignment horizontal="center" wrapText="1"/>
    </xf>
    <xf numFmtId="0" fontId="5" fillId="12" borderId="6" xfId="0" applyFont="1" applyFill="1" applyBorder="1" applyAlignment="1">
      <alignment horizontal="center" wrapText="1"/>
    </xf>
    <xf numFmtId="0" fontId="5" fillId="12" borderId="5" xfId="0" applyFont="1" applyFill="1" applyBorder="1" applyAlignment="1">
      <alignment horizontal="center" wrapText="1"/>
    </xf>
    <xf numFmtId="0" fontId="5" fillId="12" borderId="43" xfId="0" applyFont="1" applyFill="1" applyBorder="1" applyAlignment="1">
      <alignment horizontal="center" wrapText="1"/>
    </xf>
    <xf numFmtId="0" fontId="5" fillId="12" borderId="44" xfId="0" applyFont="1" applyFill="1" applyBorder="1" applyAlignment="1">
      <alignment horizontal="center" wrapText="1"/>
    </xf>
    <xf numFmtId="0" fontId="5" fillId="12" borderId="1" xfId="0" applyFont="1" applyFill="1" applyBorder="1" applyAlignment="1">
      <alignment horizontal="center" wrapText="1"/>
    </xf>
    <xf numFmtId="0" fontId="5" fillId="12" borderId="30" xfId="0" applyFont="1" applyFill="1" applyBorder="1" applyAlignment="1">
      <alignment horizontal="center" wrapText="1"/>
    </xf>
    <xf numFmtId="0" fontId="0" fillId="0" borderId="32" xfId="0" applyBorder="1" applyAlignment="1">
      <alignment horizontal="center"/>
    </xf>
    <xf numFmtId="0" fontId="0" fillId="0" borderId="43" xfId="0" applyBorder="1" applyAlignment="1">
      <alignment horizontal="center"/>
    </xf>
    <xf numFmtId="0" fontId="0" fillId="0" borderId="10"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1" xfId="0" applyBorder="1" applyAlignment="1">
      <alignment horizontal="center"/>
    </xf>
    <xf numFmtId="0" fontId="0" fillId="0" borderId="30" xfId="0" applyBorder="1" applyAlignment="1">
      <alignment horizontal="center"/>
    </xf>
    <xf numFmtId="0" fontId="0" fillId="0" borderId="23" xfId="0" applyBorder="1" applyAlignment="1">
      <alignment horizontal="center"/>
    </xf>
    <xf numFmtId="0" fontId="0" fillId="0" borderId="0" xfId="0" applyAlignment="1">
      <alignment horizontal="center"/>
    </xf>
    <xf numFmtId="0" fontId="5" fillId="0" borderId="45" xfId="0" applyFont="1" applyBorder="1" applyAlignment="1">
      <alignment horizontal="center"/>
    </xf>
    <xf numFmtId="0" fontId="5" fillId="0" borderId="34" xfId="0" applyFont="1" applyBorder="1" applyAlignment="1">
      <alignment horizontal="center"/>
    </xf>
    <xf numFmtId="0" fontId="5" fillId="0" borderId="46" xfId="0" applyFont="1" applyBorder="1" applyAlignment="1">
      <alignment horizontal="center"/>
    </xf>
    <xf numFmtId="0" fontId="5" fillId="0" borderId="35" xfId="0" applyFont="1" applyBorder="1" applyAlignment="1">
      <alignment horizontal="center"/>
    </xf>
    <xf numFmtId="0" fontId="5" fillId="12" borderId="21" xfId="0" applyFont="1" applyFill="1" applyBorder="1" applyAlignment="1">
      <alignment horizontal="center" vertical="center"/>
    </xf>
    <xf numFmtId="0" fontId="5" fillId="12" borderId="22" xfId="0" applyFont="1" applyFill="1" applyBorder="1" applyAlignment="1">
      <alignment horizontal="center" vertical="center"/>
    </xf>
    <xf numFmtId="0" fontId="5" fillId="12" borderId="13" xfId="0" applyFont="1" applyFill="1" applyBorder="1" applyAlignment="1">
      <alignment vertical="center"/>
    </xf>
    <xf numFmtId="0" fontId="5" fillId="12" borderId="23" xfId="0" applyFont="1" applyFill="1" applyBorder="1" applyAlignment="1">
      <alignment horizontal="center" vertical="center"/>
    </xf>
    <xf numFmtId="0" fontId="5" fillId="12" borderId="24" xfId="0" applyFont="1" applyFill="1" applyBorder="1" applyAlignment="1">
      <alignment horizontal="center" vertical="center"/>
    </xf>
    <xf numFmtId="0" fontId="5" fillId="12" borderId="20" xfId="0" applyFont="1" applyFill="1" applyBorder="1" applyAlignment="1">
      <alignment horizontal="center" vertical="center" wrapText="1"/>
    </xf>
    <xf numFmtId="0" fontId="7" fillId="13" borderId="47" xfId="0" applyFont="1" applyFill="1" applyBorder="1" applyAlignment="1">
      <alignment horizontal="center" vertical="center" wrapText="1"/>
    </xf>
    <xf numFmtId="0" fontId="6" fillId="3" borderId="0" xfId="0" applyFont="1" applyFill="1" applyAlignment="1">
      <alignment horizontal="center" vertical="center" wrapText="1"/>
    </xf>
    <xf numFmtId="0" fontId="5" fillId="12" borderId="22" xfId="0" applyFont="1" applyFill="1" applyBorder="1" applyAlignment="1">
      <alignment horizontal="center" vertical="center" wrapText="1"/>
    </xf>
    <xf numFmtId="0" fontId="7" fillId="13" borderId="39" xfId="0" applyFont="1" applyFill="1" applyBorder="1" applyAlignment="1">
      <alignment horizontal="center" vertical="center" wrapText="1"/>
    </xf>
    <xf numFmtId="0" fontId="5" fillId="12" borderId="26" xfId="0" applyFont="1" applyFill="1" applyBorder="1" applyAlignment="1">
      <alignment horizontal="center" vertical="center" wrapText="1"/>
    </xf>
    <xf numFmtId="0" fontId="7" fillId="13" borderId="48" xfId="0" applyFont="1" applyFill="1" applyBorder="1" applyAlignment="1">
      <alignment horizontal="center" vertical="center" wrapText="1"/>
    </xf>
    <xf numFmtId="0" fontId="7" fillId="13" borderId="26" xfId="0" applyFont="1" applyFill="1" applyBorder="1" applyAlignment="1">
      <alignment horizontal="center" vertical="center"/>
    </xf>
    <xf numFmtId="0" fontId="7" fillId="0" borderId="20" xfId="0" applyFont="1" applyBorder="1" applyAlignment="1">
      <alignment horizontal="center" vertical="center" wrapText="1"/>
    </xf>
    <xf numFmtId="0" fontId="7" fillId="0" borderId="19" xfId="0" applyFont="1" applyBorder="1" applyAlignment="1">
      <alignment horizontal="center" vertical="center" wrapText="1"/>
    </xf>
    <xf numFmtId="0" fontId="5" fillId="13" borderId="27" xfId="0" applyFont="1" applyFill="1" applyBorder="1" applyAlignment="1">
      <alignment horizontal="center"/>
    </xf>
    <xf numFmtId="0" fontId="5" fillId="13" borderId="28" xfId="0" applyFont="1" applyFill="1" applyBorder="1" applyAlignment="1">
      <alignment horizontal="center"/>
    </xf>
    <xf numFmtId="0" fontId="5" fillId="13" borderId="29" xfId="0" applyFont="1" applyFill="1" applyBorder="1" applyAlignment="1">
      <alignment horizontal="center"/>
    </xf>
    <xf numFmtId="0" fontId="0" fillId="13" borderId="1" xfId="0" applyFill="1" applyBorder="1" applyAlignment="1">
      <alignment horizontal="center"/>
    </xf>
    <xf numFmtId="0" fontId="0" fillId="13" borderId="30" xfId="0" applyFill="1" applyBorder="1" applyAlignment="1">
      <alignment horizontal="center"/>
    </xf>
    <xf numFmtId="0" fontId="0" fillId="0" borderId="32" xfId="0" applyBorder="1" applyAlignment="1">
      <alignment horizontal="center" vertical="center"/>
    </xf>
    <xf numFmtId="0" fontId="5" fillId="13" borderId="1" xfId="0" applyFont="1" applyFill="1" applyBorder="1" applyAlignment="1">
      <alignment horizontal="center"/>
    </xf>
    <xf numFmtId="0" fontId="5" fillId="13" borderId="30" xfId="0" applyFont="1" applyFill="1" applyBorder="1" applyAlignment="1">
      <alignment horizontal="center"/>
    </xf>
    <xf numFmtId="0" fontId="5" fillId="13" borderId="34" xfId="0" applyFont="1" applyFill="1" applyBorder="1" applyAlignment="1">
      <alignment horizontal="center"/>
    </xf>
    <xf numFmtId="0" fontId="5" fillId="13" borderId="35" xfId="0" applyFont="1" applyFill="1" applyBorder="1" applyAlignment="1">
      <alignment horizontal="center"/>
    </xf>
    <xf numFmtId="0" fontId="6" fillId="12" borderId="20" xfId="0" applyFont="1" applyFill="1" applyBorder="1" applyAlignment="1">
      <alignment horizontal="center" vertical="center" wrapText="1"/>
    </xf>
    <xf numFmtId="0" fontId="0" fillId="0" borderId="20" xfId="0" applyBorder="1" applyAlignment="1">
      <alignment horizontal="center" vertical="center"/>
    </xf>
    <xf numFmtId="0" fontId="6" fillId="12" borderId="22" xfId="0" applyFont="1" applyFill="1" applyBorder="1" applyAlignment="1">
      <alignment horizontal="center" vertical="center" wrapText="1"/>
    </xf>
    <xf numFmtId="0" fontId="6" fillId="12" borderId="26" xfId="0" applyFont="1" applyFill="1" applyBorder="1" applyAlignment="1">
      <alignment horizontal="center" vertical="center" wrapText="1"/>
    </xf>
    <xf numFmtId="0" fontId="0" fillId="13" borderId="22" xfId="0" applyFill="1" applyBorder="1" applyAlignment="1">
      <alignment horizontal="center" vertical="center" wrapText="1"/>
    </xf>
    <xf numFmtId="0" fontId="6" fillId="12" borderId="24" xfId="0" applyFont="1" applyFill="1" applyBorder="1" applyAlignment="1">
      <alignment horizontal="center" vertical="center" wrapText="1"/>
    </xf>
    <xf numFmtId="0" fontId="7" fillId="13" borderId="0" xfId="0" applyFont="1" applyFill="1" applyAlignment="1">
      <alignment horizontal="center" vertical="center" wrapText="1"/>
    </xf>
    <xf numFmtId="0" fontId="0" fillId="12" borderId="25" xfId="0" applyFill="1" applyBorder="1" applyAlignment="1">
      <alignment horizontal="center" vertical="center"/>
    </xf>
    <xf numFmtId="0" fontId="0" fillId="12" borderId="26" xfId="0" applyFill="1" applyBorder="1" applyAlignment="1">
      <alignment horizontal="center" vertical="center"/>
    </xf>
    <xf numFmtId="0" fontId="0" fillId="0" borderId="23" xfId="0" applyBorder="1" applyAlignment="1">
      <alignment horizontal="center" vertical="center"/>
    </xf>
    <xf numFmtId="0" fontId="5" fillId="12" borderId="32" xfId="0" applyFont="1" applyFill="1" applyBorder="1" applyAlignment="1">
      <alignment horizontal="center" wrapText="1"/>
    </xf>
    <xf numFmtId="0" fontId="5" fillId="12" borderId="37" xfId="0" applyFont="1" applyFill="1" applyBorder="1" applyAlignment="1">
      <alignment horizontal="center"/>
    </xf>
    <xf numFmtId="0" fontId="0" fillId="12" borderId="22" xfId="0" applyFill="1" applyBorder="1" applyAlignment="1">
      <alignment horizontal="center" wrapText="1"/>
    </xf>
    <xf numFmtId="0" fontId="0" fillId="0" borderId="0" xfId="0" applyAlignment="1">
      <alignment wrapText="1"/>
    </xf>
    <xf numFmtId="0" fontId="10" fillId="0" borderId="0" xfId="0" applyFont="1"/>
    <xf numFmtId="0" fontId="8" fillId="16" borderId="0" xfId="0" applyFont="1" applyFill="1"/>
    <xf numFmtId="0" fontId="0" fillId="16" borderId="0" xfId="0" applyFill="1"/>
    <xf numFmtId="0" fontId="9" fillId="16" borderId="0" xfId="0" applyFont="1" applyFill="1"/>
    <xf numFmtId="0" fontId="0" fillId="16" borderId="0" xfId="0" applyFill="1" applyAlignment="1">
      <alignment horizontal="center"/>
    </xf>
    <xf numFmtId="0" fontId="0" fillId="16" borderId="0" xfId="0" applyFill="1" applyAlignment="1">
      <alignment wrapText="1"/>
    </xf>
    <xf numFmtId="0" fontId="10" fillId="16" borderId="0" xfId="0" applyFont="1" applyFill="1"/>
    <xf numFmtId="0" fontId="10" fillId="16" borderId="0" xfId="0" applyFont="1" applyFill="1" applyAlignment="1">
      <alignment horizontal="center" vertical="center"/>
    </xf>
    <xf numFmtId="0" fontId="10" fillId="16" borderId="0" xfId="0" applyFont="1" applyFill="1" applyAlignment="1">
      <alignment horizontal="center"/>
    </xf>
    <xf numFmtId="0" fontId="8" fillId="17" borderId="0" xfId="0" applyFont="1" applyFill="1"/>
    <xf numFmtId="0" fontId="0" fillId="17" borderId="0" xfId="0" applyFill="1"/>
    <xf numFmtId="0" fontId="0" fillId="17" borderId="0" xfId="0" applyFill="1" applyAlignment="1">
      <alignment horizontal="center"/>
    </xf>
    <xf numFmtId="0" fontId="0" fillId="17" borderId="0" xfId="0" applyFill="1" applyAlignment="1">
      <alignment wrapText="1"/>
    </xf>
    <xf numFmtId="0" fontId="10" fillId="17" borderId="0" xfId="0" applyFont="1" applyFill="1" applyAlignment="1">
      <alignment horizontal="center" vertical="center"/>
    </xf>
    <xf numFmtId="0" fontId="10" fillId="17" borderId="0" xfId="0" applyFont="1" applyFill="1"/>
    <xf numFmtId="0" fontId="10" fillId="17" borderId="0" xfId="0" applyFont="1" applyFill="1" applyAlignment="1">
      <alignment horizontal="center"/>
    </xf>
    <xf numFmtId="0" fontId="8" fillId="18" borderId="0" xfId="0" applyFont="1" applyFill="1"/>
    <xf numFmtId="0" fontId="0" fillId="18" borderId="0" xfId="0" applyFill="1"/>
    <xf numFmtId="0" fontId="0" fillId="18" borderId="0" xfId="0" applyFill="1" applyAlignment="1">
      <alignment wrapText="1"/>
    </xf>
    <xf numFmtId="0" fontId="9" fillId="18" borderId="0" xfId="0" applyFont="1" applyFill="1"/>
    <xf numFmtId="0" fontId="0" fillId="18" borderId="0" xfId="0" applyFill="1" applyAlignment="1">
      <alignment horizontal="center"/>
    </xf>
    <xf numFmtId="0" fontId="10" fillId="18" borderId="0" xfId="0" applyFont="1" applyFill="1"/>
    <xf numFmtId="0" fontId="10" fillId="18" borderId="0" xfId="0" applyFont="1" applyFill="1" applyAlignment="1">
      <alignment horizontal="center" vertical="center"/>
    </xf>
    <xf numFmtId="0" fontId="10" fillId="18" borderId="0" xfId="0" applyFont="1" applyFill="1" applyAlignment="1">
      <alignment horizontal="center"/>
    </xf>
    <xf numFmtId="0" fontId="8" fillId="19" borderId="0" xfId="0" applyFont="1" applyFill="1"/>
    <xf numFmtId="0" fontId="0" fillId="19" borderId="0" xfId="0" applyFill="1"/>
    <xf numFmtId="0" fontId="0" fillId="19" borderId="0" xfId="0" applyFill="1" applyAlignment="1">
      <alignment wrapText="1"/>
    </xf>
    <xf numFmtId="0" fontId="9" fillId="19" borderId="0" xfId="0" applyFont="1" applyFill="1"/>
    <xf numFmtId="0" fontId="0" fillId="19" borderId="0" xfId="0" applyFill="1" applyAlignment="1">
      <alignment horizontal="center"/>
    </xf>
    <xf numFmtId="0" fontId="10" fillId="19" borderId="0" xfId="0" applyFont="1" applyFill="1"/>
    <xf numFmtId="0" fontId="10" fillId="19" borderId="0" xfId="0" applyFont="1" applyFill="1" applyAlignment="1">
      <alignment horizontal="center" vertical="center"/>
    </xf>
    <xf numFmtId="0" fontId="10" fillId="19" borderId="0" xfId="0" applyFont="1" applyFill="1" applyAlignment="1">
      <alignment horizontal="center"/>
    </xf>
    <xf numFmtId="0" fontId="8" fillId="20" borderId="0" xfId="0" applyFont="1" applyFill="1"/>
    <xf numFmtId="0" fontId="0" fillId="20" borderId="0" xfId="0" applyFill="1"/>
    <xf numFmtId="0" fontId="0" fillId="20" borderId="0" xfId="0" applyFill="1" applyAlignment="1">
      <alignment wrapText="1"/>
    </xf>
    <xf numFmtId="0" fontId="9" fillId="20" borderId="0" xfId="0" applyFont="1" applyFill="1"/>
    <xf numFmtId="0" fontId="0" fillId="20" borderId="0" xfId="0" applyFill="1" applyAlignment="1">
      <alignment horizontal="center"/>
    </xf>
    <xf numFmtId="0" fontId="10" fillId="20" borderId="0" xfId="0" applyFont="1" applyFill="1"/>
    <xf numFmtId="0" fontId="10" fillId="20" borderId="0" xfId="0" applyFont="1" applyFill="1" applyAlignment="1">
      <alignment horizontal="center" vertical="center"/>
    </xf>
    <xf numFmtId="0" fontId="10" fillId="20" borderId="0" xfId="0" applyFont="1" applyFill="1" applyAlignment="1">
      <alignment horizontal="center"/>
    </xf>
    <xf numFmtId="0" fontId="8" fillId="21" borderId="0" xfId="0" applyFont="1" applyFill="1"/>
    <xf numFmtId="0" fontId="0" fillId="21" borderId="0" xfId="0" applyFill="1"/>
    <xf numFmtId="0" fontId="0" fillId="21" borderId="0" xfId="0" applyFill="1" applyAlignment="1">
      <alignment wrapText="1"/>
    </xf>
    <xf numFmtId="0" fontId="9" fillId="21" borderId="0" xfId="0" applyFont="1" applyFill="1"/>
    <xf numFmtId="0" fontId="0" fillId="21" borderId="0" xfId="0" applyFill="1" applyAlignment="1">
      <alignment horizontal="center"/>
    </xf>
    <xf numFmtId="0" fontId="10" fillId="21" borderId="0" xfId="0" applyFont="1" applyFill="1"/>
    <xf numFmtId="0" fontId="10" fillId="21" borderId="0" xfId="0" applyFont="1" applyFill="1" applyAlignment="1">
      <alignment horizontal="center" vertical="center"/>
    </xf>
    <xf numFmtId="0" fontId="10" fillId="21" borderId="0" xfId="0" applyFont="1" applyFill="1" applyAlignment="1">
      <alignment horizontal="center"/>
    </xf>
    <xf numFmtId="0" fontId="8" fillId="22" borderId="0" xfId="0" applyFont="1" applyFill="1"/>
    <xf numFmtId="0" fontId="0" fillId="22" borderId="0" xfId="0" applyFill="1"/>
    <xf numFmtId="0" fontId="9" fillId="22" borderId="0" xfId="0" applyFont="1" applyFill="1"/>
    <xf numFmtId="0" fontId="0" fillId="22" borderId="0" xfId="0" applyFill="1" applyAlignment="1">
      <alignment horizontal="center"/>
    </xf>
    <xf numFmtId="0" fontId="0" fillId="22" borderId="0" xfId="0" applyFill="1" applyAlignment="1">
      <alignment wrapText="1"/>
    </xf>
    <xf numFmtId="0" fontId="10" fillId="22" borderId="0" xfId="0" applyFont="1" applyFill="1"/>
    <xf numFmtId="0" fontId="10" fillId="22" borderId="0" xfId="0" applyFont="1" applyFill="1" applyAlignment="1">
      <alignment horizontal="center" vertical="center"/>
    </xf>
    <xf numFmtId="0" fontId="10" fillId="22" borderId="0" xfId="0" applyFont="1" applyFill="1" applyAlignment="1">
      <alignment horizontal="center"/>
    </xf>
    <xf numFmtId="0" fontId="0" fillId="3" borderId="0" xfId="0" applyFill="1" applyAlignment="1">
      <alignment horizontal="center" vertical="center" wrapText="1"/>
    </xf>
    <xf numFmtId="0" fontId="0" fillId="3" borderId="0" xfId="0" applyFill="1" applyAlignment="1">
      <alignment horizontal="left" vertical="center" wrapText="1"/>
    </xf>
    <xf numFmtId="0" fontId="0" fillId="3" borderId="24" xfId="0" applyFill="1" applyBorder="1" applyAlignment="1">
      <alignment horizontal="center" vertical="center" wrapText="1"/>
    </xf>
    <xf numFmtId="0" fontId="0" fillId="3" borderId="39" xfId="0" applyFill="1" applyBorder="1" applyAlignment="1">
      <alignment horizontal="left" vertical="center" wrapText="1"/>
    </xf>
    <xf numFmtId="0" fontId="0" fillId="3" borderId="39" xfId="0" applyFill="1" applyBorder="1" applyAlignment="1">
      <alignment horizontal="center" vertical="center" wrapText="1"/>
    </xf>
    <xf numFmtId="0" fontId="0" fillId="3" borderId="22" xfId="0" applyFill="1" applyBorder="1" applyAlignment="1">
      <alignment horizontal="center" vertical="center" wrapText="1"/>
    </xf>
    <xf numFmtId="0" fontId="0" fillId="3" borderId="48" xfId="0" applyFill="1" applyBorder="1" applyAlignment="1">
      <alignment horizontal="left" vertical="center" wrapText="1"/>
    </xf>
    <xf numFmtId="0" fontId="0" fillId="3" borderId="48" xfId="0" applyFill="1" applyBorder="1" applyAlignment="1">
      <alignment horizontal="center" vertical="center" wrapText="1"/>
    </xf>
    <xf numFmtId="0" fontId="0" fillId="3" borderId="26" xfId="0" applyFill="1" applyBorder="1" applyAlignment="1">
      <alignment horizontal="center" vertical="center" wrapText="1"/>
    </xf>
    <xf numFmtId="0" fontId="0" fillId="15" borderId="0" xfId="0" applyFill="1" applyAlignment="1">
      <alignment horizontal="center" vertical="center" wrapText="1"/>
    </xf>
    <xf numFmtId="0" fontId="0" fillId="3" borderId="0" xfId="0" applyFill="1"/>
    <xf numFmtId="0" fontId="0" fillId="15" borderId="0" xfId="0" applyFill="1"/>
    <xf numFmtId="0" fontId="2" fillId="3" borderId="50" xfId="0" applyFont="1" applyFill="1" applyBorder="1" applyAlignment="1">
      <alignment horizontal="right" vertical="center" wrapText="1"/>
    </xf>
    <xf numFmtId="0" fontId="0" fillId="0" borderId="48" xfId="0" applyBorder="1"/>
    <xf numFmtId="0" fontId="5" fillId="12" borderId="11" xfId="0" applyFont="1" applyFill="1" applyBorder="1" applyAlignment="1">
      <alignment horizontal="center" vertical="center"/>
    </xf>
    <xf numFmtId="0" fontId="5" fillId="12" borderId="13" xfId="0" applyFont="1" applyFill="1" applyBorder="1" applyAlignment="1">
      <alignment horizontal="center" vertical="center"/>
    </xf>
    <xf numFmtId="0" fontId="7" fillId="13" borderId="20" xfId="0" applyFont="1" applyFill="1" applyBorder="1" applyAlignment="1">
      <alignment horizontal="center" vertical="center"/>
    </xf>
    <xf numFmtId="11" fontId="0" fillId="0" borderId="0" xfId="0" applyNumberFormat="1" applyAlignment="1">
      <alignment horizontal="center" vertical="center" wrapText="1"/>
    </xf>
    <xf numFmtId="0" fontId="11" fillId="3" borderId="0" xfId="2" applyAlignment="1">
      <alignment vertical="center"/>
    </xf>
    <xf numFmtId="0" fontId="14" fillId="3" borderId="0" xfId="2" applyFont="1" applyAlignment="1">
      <alignment vertical="center"/>
    </xf>
    <xf numFmtId="0" fontId="21" fillId="3" borderId="0" xfId="2" applyFont="1" applyAlignment="1">
      <alignment horizontal="center" vertical="center" wrapText="1"/>
    </xf>
    <xf numFmtId="0" fontId="14" fillId="3" borderId="54" xfId="2" applyFont="1" applyBorder="1" applyAlignment="1">
      <alignment horizontal="left" vertical="center" wrapText="1"/>
    </xf>
    <xf numFmtId="0" fontId="17" fillId="3" borderId="0" xfId="2" applyFont="1" applyAlignment="1">
      <alignment vertical="center"/>
    </xf>
    <xf numFmtId="169" fontId="22" fillId="3" borderId="0" xfId="2" applyNumberFormat="1" applyFont="1" applyAlignment="1">
      <alignment horizontal="center" vertical="center"/>
    </xf>
    <xf numFmtId="0" fontId="14" fillId="3" borderId="55" xfId="2" applyFont="1" applyBorder="1" applyAlignment="1">
      <alignment horizontal="left" vertical="center" wrapText="1"/>
    </xf>
    <xf numFmtId="0" fontId="19" fillId="26" borderId="21" xfId="2" applyFont="1" applyFill="1" applyBorder="1" applyAlignment="1">
      <alignment horizontal="center" vertical="center"/>
    </xf>
    <xf numFmtId="0" fontId="19" fillId="26" borderId="52" xfId="2" applyFont="1" applyFill="1" applyBorder="1" applyAlignment="1">
      <alignment horizontal="center" vertical="center"/>
    </xf>
    <xf numFmtId="0" fontId="14" fillId="18" borderId="40" xfId="2" applyFont="1" applyFill="1" applyBorder="1" applyAlignment="1">
      <alignment horizontal="left" vertical="center" wrapText="1"/>
    </xf>
    <xf numFmtId="0" fontId="14" fillId="18" borderId="56" xfId="2" applyFont="1" applyFill="1" applyBorder="1" applyAlignment="1">
      <alignment horizontal="left" vertical="center" wrapText="1"/>
    </xf>
    <xf numFmtId="0" fontId="14" fillId="18" borderId="56" xfId="2" applyFont="1" applyFill="1" applyBorder="1" applyAlignment="1">
      <alignment horizontal="center" vertical="center" wrapText="1"/>
    </xf>
    <xf numFmtId="0" fontId="14" fillId="18" borderId="11" xfId="2" applyFont="1" applyFill="1" applyBorder="1" applyAlignment="1">
      <alignment horizontal="left" vertical="center" wrapText="1"/>
    </xf>
    <xf numFmtId="0" fontId="14" fillId="18" borderId="55" xfId="2" applyFont="1" applyFill="1" applyBorder="1" applyAlignment="1">
      <alignment horizontal="left" vertical="center" wrapText="1"/>
    </xf>
    <xf numFmtId="0" fontId="14" fillId="18" borderId="55" xfId="2" applyFont="1" applyFill="1" applyBorder="1" applyAlignment="1">
      <alignment horizontal="center" vertical="center" wrapText="1"/>
    </xf>
    <xf numFmtId="0" fontId="14" fillId="28" borderId="11" xfId="2" applyFont="1" applyFill="1" applyBorder="1" applyAlignment="1">
      <alignment horizontal="left" vertical="center" wrapText="1"/>
    </xf>
    <xf numFmtId="0" fontId="14" fillId="28" borderId="55" xfId="2" applyFont="1" applyFill="1" applyBorder="1" applyAlignment="1">
      <alignment horizontal="left" vertical="center" wrapText="1"/>
    </xf>
    <xf numFmtId="167" fontId="24" fillId="28" borderId="55" xfId="4" applyNumberFormat="1" applyFont="1" applyFill="1" applyBorder="1" applyAlignment="1">
      <alignment horizontal="center" vertical="center"/>
    </xf>
    <xf numFmtId="167" fontId="24" fillId="3" borderId="0" xfId="4" applyNumberFormat="1" applyFont="1" applyFill="1" applyBorder="1" applyAlignment="1">
      <alignment horizontal="center" vertical="center"/>
    </xf>
    <xf numFmtId="0" fontId="14" fillId="28" borderId="55" xfId="2" applyFont="1" applyFill="1" applyBorder="1" applyAlignment="1">
      <alignment horizontal="center" vertical="center" wrapText="1"/>
    </xf>
    <xf numFmtId="0" fontId="14" fillId="4" borderId="11" xfId="2" applyFont="1" applyFill="1" applyBorder="1" applyAlignment="1">
      <alignment horizontal="left" vertical="center" wrapText="1"/>
    </xf>
    <xf numFmtId="0" fontId="14" fillId="4" borderId="55" xfId="2" applyFont="1" applyFill="1" applyBorder="1" applyAlignment="1">
      <alignment horizontal="left" vertical="center" wrapText="1"/>
    </xf>
    <xf numFmtId="167" fontId="24" fillId="4" borderId="55" xfId="4" applyNumberFormat="1" applyFont="1" applyFill="1" applyBorder="1" applyAlignment="1">
      <alignment horizontal="center" vertical="center"/>
    </xf>
    <xf numFmtId="0" fontId="14" fillId="4" borderId="55" xfId="2" applyFont="1" applyFill="1" applyBorder="1" applyAlignment="1">
      <alignment horizontal="center" vertical="center" wrapText="1"/>
    </xf>
    <xf numFmtId="0" fontId="14" fillId="8" borderId="11" xfId="2" applyFont="1" applyFill="1" applyBorder="1" applyAlignment="1">
      <alignment horizontal="left" vertical="center" wrapText="1"/>
    </xf>
    <xf numFmtId="0" fontId="14" fillId="8" borderId="55" xfId="2" applyFont="1" applyFill="1" applyBorder="1" applyAlignment="1">
      <alignment horizontal="left" vertical="center" wrapText="1"/>
    </xf>
    <xf numFmtId="0" fontId="14" fillId="8" borderId="55" xfId="2" applyFont="1" applyFill="1" applyBorder="1" applyAlignment="1">
      <alignment horizontal="center" vertical="center" wrapText="1"/>
    </xf>
    <xf numFmtId="0" fontId="14" fillId="29" borderId="11" xfId="2" applyFont="1" applyFill="1" applyBorder="1" applyAlignment="1">
      <alignment horizontal="left" vertical="center" wrapText="1"/>
    </xf>
    <xf numFmtId="0" fontId="14" fillId="29" borderId="55" xfId="2" applyFont="1" applyFill="1" applyBorder="1" applyAlignment="1">
      <alignment horizontal="left" vertical="center" wrapText="1"/>
    </xf>
    <xf numFmtId="0" fontId="14" fillId="29" borderId="55" xfId="2" applyFont="1" applyFill="1" applyBorder="1" applyAlignment="1">
      <alignment horizontal="center" vertical="center" wrapText="1"/>
    </xf>
    <xf numFmtId="0" fontId="14" fillId="29" borderId="17" xfId="2" applyFont="1" applyFill="1" applyBorder="1" applyAlignment="1">
      <alignment horizontal="left" vertical="center" wrapText="1"/>
    </xf>
    <xf numFmtId="0" fontId="14" fillId="29" borderId="57" xfId="2" applyFont="1" applyFill="1" applyBorder="1" applyAlignment="1">
      <alignment horizontal="left" vertical="center" wrapText="1"/>
    </xf>
    <xf numFmtId="0" fontId="14" fillId="29" borderId="57" xfId="2" applyFont="1" applyFill="1" applyBorder="1" applyAlignment="1">
      <alignment horizontal="center" vertical="center" wrapText="1"/>
    </xf>
    <xf numFmtId="0" fontId="11" fillId="3" borderId="0" xfId="2" applyAlignment="1">
      <alignment horizontal="left" vertical="center" wrapText="1"/>
    </xf>
    <xf numFmtId="0" fontId="25" fillId="3" borderId="2" xfId="2" applyFont="1" applyBorder="1" applyAlignment="1">
      <alignment horizontal="center" vertical="center" wrapText="1"/>
    </xf>
    <xf numFmtId="0" fontId="25" fillId="3" borderId="3" xfId="2" applyFont="1" applyBorder="1" applyAlignment="1">
      <alignment horizontal="center" vertical="center"/>
    </xf>
    <xf numFmtId="0" fontId="3" fillId="3" borderId="0" xfId="2" applyFont="1" applyAlignment="1">
      <alignment vertical="center"/>
    </xf>
    <xf numFmtId="0" fontId="26" fillId="3" borderId="0" xfId="2" applyFont="1" applyAlignment="1">
      <alignment vertical="center"/>
    </xf>
    <xf numFmtId="0" fontId="11" fillId="3" borderId="0" xfId="2" applyAlignment="1">
      <alignment vertical="center" wrapText="1"/>
    </xf>
    <xf numFmtId="0" fontId="18" fillId="3" borderId="0" xfId="2" applyFont="1" applyAlignment="1">
      <alignment horizontal="center" vertical="center" wrapText="1"/>
    </xf>
    <xf numFmtId="11" fontId="11" fillId="3" borderId="0" xfId="2" applyNumberFormat="1" applyAlignment="1">
      <alignment vertical="center"/>
    </xf>
    <xf numFmtId="169" fontId="11" fillId="3" borderId="0" xfId="2" applyNumberFormat="1" applyAlignment="1">
      <alignment vertical="center"/>
    </xf>
    <xf numFmtId="0" fontId="20" fillId="26" borderId="53" xfId="2" applyFont="1" applyFill="1" applyBorder="1" applyAlignment="1">
      <alignment horizontal="right" vertical="center" wrapText="1"/>
    </xf>
    <xf numFmtId="169" fontId="14" fillId="3" borderId="54" xfId="2" applyNumberFormat="1" applyFont="1" applyBorder="1" applyAlignment="1">
      <alignment horizontal="right" vertical="center"/>
    </xf>
    <xf numFmtId="169" fontId="14" fillId="27" borderId="55" xfId="2" applyNumberFormat="1" applyFont="1" applyFill="1" applyBorder="1" applyAlignment="1">
      <alignment horizontal="right" vertical="center"/>
    </xf>
    <xf numFmtId="169" fontId="23" fillId="3" borderId="53" xfId="2" applyNumberFormat="1" applyFont="1" applyBorder="1" applyAlignment="1">
      <alignment horizontal="right" vertical="center"/>
    </xf>
    <xf numFmtId="0" fontId="23" fillId="3" borderId="53" xfId="2" applyFont="1" applyBorder="1" applyAlignment="1">
      <alignment horizontal="left" vertical="center" wrapText="1"/>
    </xf>
    <xf numFmtId="0" fontId="27" fillId="26" borderId="53" xfId="2" applyFont="1" applyFill="1" applyBorder="1" applyAlignment="1">
      <alignment horizontal="left" vertical="center" wrapText="1"/>
    </xf>
    <xf numFmtId="0" fontId="28" fillId="26" borderId="53" xfId="2" applyFont="1" applyFill="1" applyBorder="1" applyAlignment="1">
      <alignment horizontal="right" vertical="center" wrapText="1"/>
    </xf>
    <xf numFmtId="169" fontId="14" fillId="3" borderId="55" xfId="2" applyNumberFormat="1" applyFont="1" applyBorder="1" applyAlignment="1">
      <alignment horizontal="right" vertical="center"/>
    </xf>
    <xf numFmtId="0" fontId="2" fillId="14" borderId="63" xfId="0" applyFont="1" applyFill="1" applyBorder="1" applyAlignment="1">
      <alignment vertical="center" wrapText="1"/>
    </xf>
    <xf numFmtId="0" fontId="0" fillId="0" borderId="0" xfId="0" applyAlignment="1">
      <alignment horizontal="center" wrapText="1"/>
    </xf>
    <xf numFmtId="0" fontId="0" fillId="5" borderId="23" xfId="0" applyFill="1" applyBorder="1" applyAlignment="1">
      <alignment horizontal="center" vertical="center" wrapText="1"/>
    </xf>
    <xf numFmtId="0" fontId="0" fillId="5" borderId="0" xfId="0" applyFill="1" applyAlignment="1">
      <alignment horizontal="center" vertical="center" wrapText="1"/>
    </xf>
    <xf numFmtId="0" fontId="0" fillId="5" borderId="24" xfId="0" applyFill="1" applyBorder="1" applyAlignment="1">
      <alignment horizontal="center" vertical="center" wrapText="1"/>
    </xf>
    <xf numFmtId="0" fontId="0" fillId="0" borderId="24" xfId="0" applyBorder="1" applyAlignment="1">
      <alignment horizontal="center" vertical="center"/>
    </xf>
    <xf numFmtId="0" fontId="0" fillId="4" borderId="23" xfId="0" applyFill="1" applyBorder="1" applyAlignment="1">
      <alignment horizontal="center" vertical="center" wrapText="1"/>
    </xf>
    <xf numFmtId="0" fontId="0" fillId="4" borderId="0" xfId="0" applyFill="1" applyAlignment="1">
      <alignment horizontal="center" vertical="center" wrapText="1"/>
    </xf>
    <xf numFmtId="0" fontId="0" fillId="4" borderId="24" xfId="0" applyFill="1" applyBorder="1" applyAlignment="1">
      <alignment horizontal="center" vertical="center" wrapText="1"/>
    </xf>
    <xf numFmtId="0" fontId="0" fillId="29" borderId="23" xfId="0" applyFill="1" applyBorder="1" applyAlignment="1">
      <alignment horizontal="center" vertical="center" wrapText="1"/>
    </xf>
    <xf numFmtId="0" fontId="0" fillId="29" borderId="0" xfId="0" applyFill="1" applyAlignment="1">
      <alignment horizontal="center" vertical="center" wrapText="1"/>
    </xf>
    <xf numFmtId="0" fontId="0" fillId="29" borderId="24" xfId="0" applyFill="1" applyBorder="1" applyAlignment="1">
      <alignment horizontal="center" vertical="center" wrapText="1"/>
    </xf>
    <xf numFmtId="0" fontId="0" fillId="0" borderId="66" xfId="0" applyBorder="1" applyAlignment="1">
      <alignment horizontal="center" vertical="center" wrapText="1"/>
    </xf>
    <xf numFmtId="0" fontId="0" fillId="6" borderId="66" xfId="0" applyFill="1" applyBorder="1" applyAlignment="1">
      <alignment horizontal="center" vertical="center"/>
    </xf>
    <xf numFmtId="0" fontId="0" fillId="30" borderId="66" xfId="0" applyFill="1" applyBorder="1" applyAlignment="1">
      <alignment horizontal="center" vertical="center"/>
    </xf>
    <xf numFmtId="0" fontId="0" fillId="0" borderId="66" xfId="0" applyBorder="1" applyAlignment="1">
      <alignment horizontal="center" vertical="center"/>
    </xf>
    <xf numFmtId="0" fontId="16" fillId="25" borderId="64" xfId="0" applyFont="1" applyFill="1" applyBorder="1" applyAlignment="1">
      <alignment horizontal="center" vertical="center" wrapText="1"/>
    </xf>
    <xf numFmtId="0" fontId="0" fillId="0" borderId="15" xfId="0" applyBorder="1" applyAlignment="1">
      <alignment horizontal="center" vertical="center"/>
    </xf>
    <xf numFmtId="0" fontId="0" fillId="0" borderId="31" xfId="0" applyBorder="1" applyAlignment="1">
      <alignment horizontal="center" vertical="center"/>
    </xf>
    <xf numFmtId="0" fontId="0" fillId="0" borderId="6" xfId="0" applyBorder="1" applyAlignment="1">
      <alignment horizontal="center" vertical="center"/>
    </xf>
    <xf numFmtId="0" fontId="0" fillId="0" borderId="33" xfId="0" applyBorder="1" applyAlignment="1">
      <alignment horizontal="center" vertical="center"/>
    </xf>
    <xf numFmtId="0" fontId="7" fillId="13" borderId="20" xfId="0" applyFont="1" applyFill="1" applyBorder="1" applyAlignment="1">
      <alignment horizontal="center" vertical="center"/>
    </xf>
    <xf numFmtId="0" fontId="5" fillId="12" borderId="40" xfId="0" applyFont="1" applyFill="1" applyBorder="1" applyAlignment="1">
      <alignment horizontal="center"/>
    </xf>
    <xf numFmtId="0" fontId="5" fillId="13" borderId="15" xfId="0" applyFont="1" applyFill="1" applyBorder="1" applyAlignment="1">
      <alignment horizontal="center" vertical="center" wrapText="1"/>
    </xf>
    <xf numFmtId="0" fontId="5" fillId="13" borderId="31"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4" xfId="0" applyFont="1" applyFill="1" applyBorder="1" applyAlignment="1">
      <alignment horizontal="center" vertical="center" wrapText="1"/>
    </xf>
    <xf numFmtId="0" fontId="1" fillId="2" borderId="65" xfId="0" applyFont="1" applyFill="1" applyBorder="1" applyAlignment="1">
      <alignment horizontal="center" vertical="center"/>
    </xf>
    <xf numFmtId="0" fontId="1" fillId="2" borderId="67" xfId="0" applyFont="1" applyFill="1" applyBorder="1" applyAlignment="1">
      <alignment horizontal="center" vertical="center"/>
    </xf>
    <xf numFmtId="0" fontId="3" fillId="4" borderId="67" xfId="0" applyFont="1" applyFill="1" applyBorder="1" applyAlignment="1">
      <alignment horizontal="center" wrapText="1"/>
    </xf>
    <xf numFmtId="0" fontId="3" fillId="5" borderId="67" xfId="0" applyFont="1" applyFill="1" applyBorder="1" applyAlignment="1">
      <alignment horizontal="center" wrapText="1"/>
    </xf>
    <xf numFmtId="0" fontId="3" fillId="6" borderId="67" xfId="0" applyFont="1" applyFill="1" applyBorder="1" applyAlignment="1">
      <alignment horizontal="center" wrapText="1"/>
    </xf>
    <xf numFmtId="0" fontId="0" fillId="7" borderId="67" xfId="0" applyFont="1" applyFill="1" applyBorder="1" applyAlignment="1">
      <alignment horizontal="center" wrapText="1"/>
    </xf>
    <xf numFmtId="0" fontId="0" fillId="23" borderId="67" xfId="0" applyFont="1" applyFill="1" applyBorder="1" applyAlignment="1">
      <alignment horizontal="center" wrapText="1"/>
    </xf>
    <xf numFmtId="0" fontId="3" fillId="8" borderId="67" xfId="0" applyFont="1" applyFill="1" applyBorder="1" applyAlignment="1">
      <alignment horizontal="center" wrapText="1"/>
    </xf>
    <xf numFmtId="0" fontId="0" fillId="8" borderId="67" xfId="0" applyFont="1" applyFill="1" applyBorder="1" applyAlignment="1">
      <alignment horizontal="center" wrapText="1"/>
    </xf>
    <xf numFmtId="0" fontId="3" fillId="9" borderId="67" xfId="0" applyFont="1" applyFill="1" applyBorder="1" applyAlignment="1">
      <alignment horizontal="center" wrapText="1"/>
    </xf>
    <xf numFmtId="0" fontId="0" fillId="9" borderId="67" xfId="0" applyFont="1" applyFill="1" applyBorder="1" applyAlignment="1">
      <alignment horizontal="center" wrapText="1"/>
    </xf>
    <xf numFmtId="0" fontId="3" fillId="10" borderId="67" xfId="0" applyFont="1" applyFill="1" applyBorder="1" applyAlignment="1">
      <alignment horizontal="center" wrapText="1"/>
    </xf>
    <xf numFmtId="0" fontId="0" fillId="10" borderId="67" xfId="0" applyFont="1" applyFill="1" applyBorder="1" applyAlignment="1">
      <alignment horizontal="center" wrapText="1"/>
    </xf>
    <xf numFmtId="0" fontId="0" fillId="11" borderId="67" xfId="0" applyFont="1" applyFill="1" applyBorder="1" applyAlignment="1">
      <alignment horizontal="center" wrapText="1"/>
    </xf>
    <xf numFmtId="0" fontId="0" fillId="17" borderId="67" xfId="0" applyFont="1" applyFill="1" applyBorder="1" applyAlignment="1">
      <alignment wrapText="1"/>
    </xf>
    <xf numFmtId="0" fontId="3" fillId="17" borderId="67" xfId="0" applyFont="1" applyFill="1" applyBorder="1" applyAlignment="1">
      <alignment wrapText="1"/>
    </xf>
    <xf numFmtId="0" fontId="0" fillId="16" borderId="67" xfId="0" applyFont="1" applyFill="1" applyBorder="1" applyAlignment="1">
      <alignment wrapText="1"/>
    </xf>
    <xf numFmtId="0" fontId="3" fillId="16" borderId="67" xfId="0" applyFont="1" applyFill="1" applyBorder="1" applyAlignment="1">
      <alignment wrapText="1"/>
    </xf>
    <xf numFmtId="0" fontId="0" fillId="18" borderId="67" xfId="0" applyFont="1" applyFill="1" applyBorder="1" applyAlignment="1">
      <alignment wrapText="1"/>
    </xf>
    <xf numFmtId="0" fontId="3" fillId="18" borderId="67" xfId="0" applyFont="1" applyFill="1" applyBorder="1" applyAlignment="1">
      <alignment wrapText="1"/>
    </xf>
    <xf numFmtId="0" fontId="3" fillId="19" borderId="67" xfId="0" applyFont="1" applyFill="1" applyBorder="1" applyAlignment="1">
      <alignment wrapText="1"/>
    </xf>
    <xf numFmtId="0" fontId="3" fillId="20" borderId="67" xfId="0" applyFont="1" applyFill="1" applyBorder="1" applyAlignment="1">
      <alignment wrapText="1"/>
    </xf>
    <xf numFmtId="0" fontId="3" fillId="21" borderId="67" xfId="0" applyFont="1" applyFill="1" applyBorder="1" applyAlignment="1">
      <alignment wrapText="1"/>
    </xf>
    <xf numFmtId="0" fontId="0" fillId="22" borderId="67" xfId="0" applyFont="1" applyFill="1" applyBorder="1" applyAlignment="1">
      <alignment wrapText="1"/>
    </xf>
    <xf numFmtId="0" fontId="2" fillId="3" borderId="68" xfId="0" applyFont="1" applyFill="1" applyBorder="1" applyAlignment="1">
      <alignment horizontal="right" vertical="center" wrapText="1"/>
    </xf>
    <xf numFmtId="0" fontId="2" fillId="14" borderId="21" xfId="0" applyFont="1" applyFill="1" applyBorder="1" applyAlignment="1">
      <alignment vertical="center" wrapText="1"/>
    </xf>
    <xf numFmtId="0" fontId="2" fillId="14" borderId="64" xfId="0" applyFont="1" applyFill="1" applyBorder="1" applyAlignment="1">
      <alignment horizontal="right" vertical="center" wrapText="1"/>
    </xf>
    <xf numFmtId="0" fontId="2" fillId="14" borderId="64" xfId="0" applyFont="1" applyFill="1" applyBorder="1" applyAlignment="1">
      <alignment vertical="center" wrapText="1"/>
    </xf>
    <xf numFmtId="0" fontId="16" fillId="14" borderId="69" xfId="0" applyFont="1" applyFill="1" applyBorder="1" applyAlignment="1">
      <alignment vertical="center" wrapText="1"/>
    </xf>
    <xf numFmtId="0" fontId="16" fillId="14" borderId="64" xfId="0" applyFont="1" applyFill="1" applyBorder="1" applyAlignment="1">
      <alignment vertical="center" wrapText="1"/>
    </xf>
    <xf numFmtId="0" fontId="2" fillId="14" borderId="64" xfId="0" applyFont="1" applyFill="1" applyBorder="1" applyAlignment="1">
      <alignment horizontal="center" vertical="center" wrapText="1"/>
    </xf>
    <xf numFmtId="0" fontId="0" fillId="14" borderId="64" xfId="0" applyFont="1" applyFill="1" applyBorder="1"/>
    <xf numFmtId="0" fontId="0" fillId="3" borderId="70" xfId="0" applyFont="1" applyFill="1" applyBorder="1"/>
    <xf numFmtId="0" fontId="0" fillId="3" borderId="71" xfId="0" applyFont="1" applyFill="1" applyBorder="1"/>
    <xf numFmtId="0" fontId="2" fillId="14" borderId="72" xfId="0" applyFont="1" applyFill="1" applyBorder="1" applyAlignment="1">
      <alignment vertical="center" wrapText="1"/>
    </xf>
    <xf numFmtId="0" fontId="2" fillId="14" borderId="63" xfId="0" applyFont="1" applyFill="1" applyBorder="1" applyAlignment="1">
      <alignment horizontal="right" vertical="center" wrapText="1"/>
    </xf>
    <xf numFmtId="0" fontId="16" fillId="25" borderId="63" xfId="0" applyFont="1" applyFill="1" applyBorder="1" applyAlignment="1">
      <alignment horizontal="center" vertical="center" wrapText="1"/>
    </xf>
    <xf numFmtId="0" fontId="16" fillId="14" borderId="73" xfId="0" applyFont="1" applyFill="1" applyBorder="1" applyAlignment="1">
      <alignment vertical="center" wrapText="1"/>
    </xf>
    <xf numFmtId="0" fontId="16" fillId="14" borderId="63" xfId="0" applyFont="1" applyFill="1" applyBorder="1" applyAlignment="1">
      <alignment vertical="center" wrapText="1"/>
    </xf>
    <xf numFmtId="0" fontId="2" fillId="14" borderId="63" xfId="0" applyFont="1" applyFill="1" applyBorder="1" applyAlignment="1">
      <alignment horizontal="center" vertical="center" wrapText="1"/>
    </xf>
    <xf numFmtId="0" fontId="0" fillId="14" borderId="63" xfId="0" applyFont="1" applyFill="1" applyBorder="1"/>
    <xf numFmtId="0" fontId="2" fillId="24" borderId="63" xfId="0" applyFont="1" applyFill="1" applyBorder="1" applyAlignment="1">
      <alignment horizontal="right" vertical="center" wrapText="1"/>
    </xf>
    <xf numFmtId="0" fontId="16" fillId="14" borderId="73" xfId="0" applyFont="1" applyFill="1" applyBorder="1" applyAlignment="1">
      <alignment horizontal="left" vertical="center" wrapText="1"/>
    </xf>
    <xf numFmtId="0" fontId="16" fillId="14" borderId="63" xfId="0" applyFont="1" applyFill="1" applyBorder="1" applyAlignment="1">
      <alignment horizontal="center" vertical="center" wrapText="1"/>
    </xf>
    <xf numFmtId="1" fontId="16" fillId="25" borderId="63" xfId="0" applyNumberFormat="1" applyFont="1" applyFill="1" applyBorder="1" applyAlignment="1">
      <alignment horizontal="center" vertical="center" wrapText="1"/>
    </xf>
    <xf numFmtId="171" fontId="16" fillId="25" borderId="63" xfId="0" applyNumberFormat="1" applyFont="1" applyFill="1" applyBorder="1" applyAlignment="1">
      <alignment horizontal="center" vertical="center" wrapText="1"/>
    </xf>
    <xf numFmtId="0" fontId="2" fillId="30" borderId="63" xfId="0" applyFont="1" applyFill="1" applyBorder="1" applyAlignment="1">
      <alignment horizontal="right" vertical="center" wrapText="1"/>
    </xf>
    <xf numFmtId="0" fontId="0" fillId="15" borderId="63" xfId="0" applyFont="1" applyFill="1" applyBorder="1"/>
    <xf numFmtId="0" fontId="0" fillId="7" borderId="63" xfId="0" applyFont="1" applyFill="1" applyBorder="1"/>
    <xf numFmtId="0" fontId="2" fillId="3" borderId="70" xfId="0" applyFont="1" applyFill="1" applyBorder="1" applyAlignment="1">
      <alignment horizontal="right" vertical="center" wrapText="1"/>
    </xf>
    <xf numFmtId="0" fontId="2" fillId="21" borderId="74" xfId="0" applyFont="1" applyFill="1" applyBorder="1" applyAlignment="1">
      <alignment vertical="center" wrapText="1"/>
    </xf>
    <xf numFmtId="0" fontId="2" fillId="21" borderId="75" xfId="0" applyFont="1" applyFill="1" applyBorder="1" applyAlignment="1">
      <alignment horizontal="right" vertical="center" wrapText="1"/>
    </xf>
    <xf numFmtId="0" fontId="2" fillId="21" borderId="75" xfId="0" applyFont="1" applyFill="1" applyBorder="1" applyAlignment="1">
      <alignment vertical="center" wrapText="1"/>
    </xf>
    <xf numFmtId="170" fontId="16" fillId="21" borderId="76" xfId="1" applyNumberFormat="1" applyFont="1" applyFill="1" applyBorder="1" applyAlignment="1">
      <alignment horizontal="center" vertical="center" wrapText="1"/>
    </xf>
    <xf numFmtId="0" fontId="16" fillId="21" borderId="75" xfId="0" applyFont="1" applyFill="1" applyBorder="1" applyAlignment="1">
      <alignment vertical="center" wrapText="1"/>
    </xf>
    <xf numFmtId="0" fontId="2" fillId="21" borderId="75" xfId="0" applyFont="1" applyFill="1" applyBorder="1" applyAlignment="1">
      <alignment horizontal="center" vertical="center" wrapText="1"/>
    </xf>
    <xf numFmtId="0" fontId="0" fillId="21" borderId="75" xfId="0" applyFont="1" applyFill="1" applyBorder="1"/>
    <xf numFmtId="0" fontId="16" fillId="21" borderId="75" xfId="1" applyNumberFormat="1" applyFont="1" applyFill="1" applyBorder="1" applyAlignment="1">
      <alignment horizontal="center" vertical="center" wrapText="1"/>
    </xf>
    <xf numFmtId="170" fontId="16" fillId="21" borderId="75" xfId="1" applyNumberFormat="1" applyFont="1" applyFill="1" applyBorder="1" applyAlignment="1">
      <alignment horizontal="center" vertical="center" wrapText="1"/>
    </xf>
    <xf numFmtId="0" fontId="16" fillId="5" borderId="75" xfId="1" applyNumberFormat="1" applyFont="1" applyFill="1" applyBorder="1" applyAlignment="1">
      <alignment horizontal="center" vertical="center" wrapText="1"/>
    </xf>
    <xf numFmtId="0" fontId="0" fillId="31" borderId="69" xfId="0" applyFont="1" applyFill="1" applyBorder="1"/>
    <xf numFmtId="0" fontId="4" fillId="3" borderId="77" xfId="0" applyFont="1" applyFill="1" applyBorder="1" applyAlignment="1">
      <alignment vertical="center" wrapText="1"/>
    </xf>
    <xf numFmtId="0" fontId="3" fillId="4" borderId="69" xfId="0" applyFont="1" applyFill="1" applyBorder="1" applyAlignment="1">
      <alignment horizontal="center" wrapText="1"/>
    </xf>
    <xf numFmtId="0" fontId="0" fillId="3" borderId="69" xfId="0" applyFont="1" applyFill="1" applyBorder="1"/>
    <xf numFmtId="0" fontId="0" fillId="32" borderId="71" xfId="0" applyFont="1" applyFill="1" applyBorder="1"/>
    <xf numFmtId="0" fontId="3" fillId="4" borderId="71" xfId="0" applyFont="1" applyFill="1" applyBorder="1" applyAlignment="1">
      <alignment horizontal="center" wrapText="1"/>
    </xf>
    <xf numFmtId="0" fontId="0" fillId="31" borderId="71" xfId="0" applyFont="1" applyFill="1" applyBorder="1"/>
    <xf numFmtId="0" fontId="3" fillId="5" borderId="71" xfId="0" applyFont="1" applyFill="1" applyBorder="1" applyAlignment="1">
      <alignment horizontal="center" wrapText="1"/>
    </xf>
    <xf numFmtId="0" fontId="3" fillId="6" borderId="71" xfId="0" applyFont="1" applyFill="1" applyBorder="1" applyAlignment="1">
      <alignment horizontal="center" wrapText="1"/>
    </xf>
    <xf numFmtId="0" fontId="0" fillId="7" borderId="71" xfId="0" applyFont="1" applyFill="1" applyBorder="1" applyAlignment="1">
      <alignment horizontal="center" wrapText="1"/>
    </xf>
    <xf numFmtId="11" fontId="0" fillId="32" borderId="71" xfId="0" applyNumberFormat="1" applyFont="1" applyFill="1" applyBorder="1"/>
    <xf numFmtId="0" fontId="0" fillId="23" borderId="71" xfId="0" applyFont="1" applyFill="1" applyBorder="1" applyAlignment="1">
      <alignment horizontal="center" wrapText="1"/>
    </xf>
    <xf numFmtId="0" fontId="3" fillId="8" borderId="71" xfId="0" applyFont="1" applyFill="1" applyBorder="1" applyAlignment="1">
      <alignment horizontal="center" wrapText="1"/>
    </xf>
    <xf numFmtId="0" fontId="0" fillId="8" borderId="71" xfId="0" applyFont="1" applyFill="1" applyBorder="1" applyAlignment="1">
      <alignment horizontal="center" wrapText="1"/>
    </xf>
    <xf numFmtId="0" fontId="3" fillId="9" borderId="71" xfId="0" applyFont="1" applyFill="1" applyBorder="1" applyAlignment="1">
      <alignment horizontal="center" wrapText="1"/>
    </xf>
    <xf numFmtId="0" fontId="0" fillId="9" borderId="71" xfId="0" applyFont="1" applyFill="1" applyBorder="1" applyAlignment="1">
      <alignment horizontal="center" wrapText="1"/>
    </xf>
    <xf numFmtId="0" fontId="3" fillId="10" borderId="71" xfId="0" applyFont="1" applyFill="1" applyBorder="1" applyAlignment="1">
      <alignment horizontal="center" wrapText="1"/>
    </xf>
    <xf numFmtId="0" fontId="0" fillId="10" borderId="71" xfId="0" applyFont="1" applyFill="1" applyBorder="1" applyAlignment="1">
      <alignment horizontal="center" wrapText="1"/>
    </xf>
    <xf numFmtId="0" fontId="0" fillId="11" borderId="71" xfId="0" applyFont="1" applyFill="1" applyBorder="1" applyAlignment="1">
      <alignment horizontal="center" wrapText="1"/>
    </xf>
    <xf numFmtId="0" fontId="0" fillId="32" borderId="78" xfId="0" applyFont="1" applyFill="1" applyBorder="1"/>
    <xf numFmtId="0" fontId="0" fillId="33" borderId="77" xfId="0" applyFont="1" applyFill="1" applyBorder="1"/>
    <xf numFmtId="0" fontId="2" fillId="21" borderId="75" xfId="1" applyNumberFormat="1" applyFont="1" applyFill="1" applyBorder="1" applyAlignment="1">
      <alignment horizontal="right" vertical="center" wrapText="1"/>
    </xf>
    <xf numFmtId="2" fontId="5" fillId="13" borderId="1" xfId="0" applyNumberFormat="1" applyFont="1" applyFill="1" applyBorder="1" applyAlignment="1">
      <alignment horizontal="center" vertical="center"/>
    </xf>
    <xf numFmtId="171" fontId="5" fillId="13" borderId="30" xfId="0" applyNumberFormat="1" applyFont="1" applyFill="1" applyBorder="1" applyAlignment="1">
      <alignment horizontal="center" vertical="center"/>
    </xf>
    <xf numFmtId="2" fontId="5" fillId="13" borderId="30" xfId="0" applyNumberFormat="1" applyFont="1" applyFill="1" applyBorder="1" applyAlignment="1">
      <alignment horizontal="center" vertical="center"/>
    </xf>
    <xf numFmtId="2" fontId="0" fillId="0" borderId="0" xfId="0" applyNumberFormat="1"/>
    <xf numFmtId="2" fontId="0" fillId="0" borderId="0" xfId="0" applyNumberFormat="1" applyAlignment="1">
      <alignment horizontal="center" vertical="center" wrapText="1"/>
    </xf>
    <xf numFmtId="2" fontId="5" fillId="12" borderId="41" xfId="0" applyNumberFormat="1" applyFont="1" applyFill="1" applyBorder="1" applyAlignment="1">
      <alignment horizontal="center"/>
    </xf>
    <xf numFmtId="2" fontId="0" fillId="12" borderId="42" xfId="0" applyNumberFormat="1" applyFill="1" applyBorder="1" applyAlignment="1">
      <alignment horizontal="center" wrapText="1"/>
    </xf>
    <xf numFmtId="2" fontId="5" fillId="12" borderId="1" xfId="0" applyNumberFormat="1" applyFont="1" applyFill="1" applyBorder="1" applyAlignment="1">
      <alignment horizontal="center" wrapText="1"/>
    </xf>
    <xf numFmtId="2" fontId="5" fillId="12" borderId="30" xfId="0" applyNumberFormat="1" applyFont="1" applyFill="1" applyBorder="1" applyAlignment="1">
      <alignment horizontal="center" wrapText="1"/>
    </xf>
    <xf numFmtId="2" fontId="0" fillId="0" borderId="43" xfId="0" applyNumberFormat="1" applyBorder="1" applyAlignment="1">
      <alignment horizontal="center"/>
    </xf>
    <xf numFmtId="2" fontId="0" fillId="0" borderId="7" xfId="0" applyNumberFormat="1" applyBorder="1" applyAlignment="1">
      <alignment horizontal="center"/>
    </xf>
    <xf numFmtId="2" fontId="0" fillId="0" borderId="1" xfId="0" applyNumberFormat="1" applyBorder="1" applyAlignment="1">
      <alignment horizontal="center"/>
    </xf>
    <xf numFmtId="2" fontId="0" fillId="0" borderId="30" xfId="0" applyNumberFormat="1" applyBorder="1" applyAlignment="1">
      <alignment horizontal="center"/>
    </xf>
    <xf numFmtId="2" fontId="0" fillId="0" borderId="0" xfId="0" applyNumberFormat="1" applyAlignment="1">
      <alignment horizontal="center" vertical="center"/>
    </xf>
    <xf numFmtId="2" fontId="5" fillId="0" borderId="34" xfId="0" applyNumberFormat="1" applyFont="1" applyBorder="1" applyAlignment="1">
      <alignment horizontal="center"/>
    </xf>
    <xf numFmtId="2" fontId="5" fillId="0" borderId="35" xfId="0" applyNumberFormat="1" applyFont="1" applyBorder="1" applyAlignment="1">
      <alignment horizontal="center"/>
    </xf>
    <xf numFmtId="2" fontId="7" fillId="0" borderId="0" xfId="0" applyNumberFormat="1" applyFont="1" applyAlignment="1">
      <alignment horizontal="center" vertical="center"/>
    </xf>
    <xf numFmtId="0" fontId="0" fillId="3" borderId="0" xfId="0" applyFill="1" applyBorder="1" applyAlignment="1">
      <alignment horizontal="left" vertical="center" wrapText="1"/>
    </xf>
    <xf numFmtId="0" fontId="30" fillId="14" borderId="63" xfId="0" applyFont="1" applyFill="1" applyBorder="1" applyAlignment="1">
      <alignment horizontal="center" vertical="center" wrapText="1"/>
    </xf>
    <xf numFmtId="0" fontId="30" fillId="14" borderId="63" xfId="0" applyFont="1" applyFill="1" applyBorder="1" applyAlignment="1">
      <alignment vertical="center" wrapText="1"/>
    </xf>
    <xf numFmtId="0" fontId="32" fillId="14" borderId="63" xfId="0" applyFont="1" applyFill="1" applyBorder="1"/>
    <xf numFmtId="0" fontId="0" fillId="0" borderId="0" xfId="0" applyBorder="1"/>
    <xf numFmtId="0" fontId="32" fillId="0" borderId="0" xfId="0" applyFont="1"/>
    <xf numFmtId="0" fontId="0" fillId="0" borderId="79" xfId="0" applyBorder="1"/>
    <xf numFmtId="0" fontId="0" fillId="0" borderId="80" xfId="0" applyBorder="1"/>
    <xf numFmtId="0" fontId="0" fillId="0" borderId="81" xfId="0" applyBorder="1"/>
    <xf numFmtId="0" fontId="0" fillId="0" borderId="82" xfId="0" applyBorder="1"/>
    <xf numFmtId="0" fontId="0" fillId="0" borderId="83" xfId="0" applyBorder="1"/>
    <xf numFmtId="0" fontId="0" fillId="3" borderId="82" xfId="0" applyFill="1" applyBorder="1" applyAlignment="1">
      <alignment horizontal="left" vertical="center" wrapText="1"/>
    </xf>
    <xf numFmtId="0" fontId="0" fillId="0" borderId="84" xfId="0" applyBorder="1"/>
    <xf numFmtId="0" fontId="0" fillId="0" borderId="85" xfId="0" applyBorder="1"/>
    <xf numFmtId="0" fontId="0" fillId="0" borderId="86" xfId="0" applyBorder="1"/>
    <xf numFmtId="172" fontId="0" fillId="0" borderId="0" xfId="0" applyNumberFormat="1"/>
    <xf numFmtId="172" fontId="0" fillId="0" borderId="81" xfId="0" applyNumberFormat="1" applyBorder="1"/>
    <xf numFmtId="172" fontId="0" fillId="0" borderId="83" xfId="0" applyNumberFormat="1" applyBorder="1"/>
    <xf numFmtId="172" fontId="0" fillId="0" borderId="86" xfId="0" applyNumberFormat="1" applyBorder="1"/>
    <xf numFmtId="0" fontId="30" fillId="3" borderId="50" xfId="0" applyFont="1" applyFill="1" applyBorder="1" applyAlignment="1">
      <alignment horizontal="right" vertical="center" wrapText="1"/>
    </xf>
    <xf numFmtId="0" fontId="30" fillId="14" borderId="72" xfId="0" applyFont="1" applyFill="1" applyBorder="1" applyAlignment="1">
      <alignment vertical="center" wrapText="1"/>
    </xf>
    <xf numFmtId="0" fontId="30" fillId="14" borderId="63" xfId="0" applyFont="1" applyFill="1" applyBorder="1" applyAlignment="1">
      <alignment horizontal="right" vertical="center" wrapText="1"/>
    </xf>
    <xf numFmtId="0" fontId="31" fillId="14" borderId="73" xfId="0" applyFont="1" applyFill="1" applyBorder="1" applyAlignment="1">
      <alignment vertical="center" wrapText="1"/>
    </xf>
    <xf numFmtId="0" fontId="32" fillId="3" borderId="70" xfId="0" applyFont="1" applyFill="1" applyBorder="1"/>
    <xf numFmtId="0" fontId="32" fillId="3" borderId="71" xfId="0" applyFont="1" applyFill="1" applyBorder="1"/>
    <xf numFmtId="0" fontId="32" fillId="0" borderId="0" xfId="0" applyFont="1" applyAlignment="1">
      <alignment horizontal="center"/>
    </xf>
    <xf numFmtId="168" fontId="2" fillId="14" borderId="63" xfId="0" applyNumberFormat="1" applyFont="1" applyFill="1" applyBorder="1" applyAlignment="1">
      <alignment horizontal="center" vertical="center" wrapText="1"/>
    </xf>
    <xf numFmtId="0" fontId="33" fillId="24" borderId="63" xfId="0" applyFont="1" applyFill="1" applyBorder="1" applyAlignment="1">
      <alignment horizontal="right" vertical="center" wrapText="1"/>
    </xf>
    <xf numFmtId="0" fontId="34" fillId="14" borderId="63" xfId="0" applyFont="1" applyFill="1" applyBorder="1" applyAlignment="1">
      <alignment vertical="center" wrapText="1"/>
    </xf>
    <xf numFmtId="0" fontId="34" fillId="25" borderId="63" xfId="0" applyFont="1" applyFill="1" applyBorder="1" applyAlignment="1">
      <alignment horizontal="center" vertical="center" wrapText="1"/>
    </xf>
    <xf numFmtId="0" fontId="33" fillId="14" borderId="63" xfId="0" applyFont="1" applyFill="1" applyBorder="1" applyAlignment="1">
      <alignment horizontal="center" vertical="center" wrapText="1"/>
    </xf>
    <xf numFmtId="11" fontId="0" fillId="31" borderId="69" xfId="0" applyNumberFormat="1" applyFont="1" applyFill="1" applyBorder="1"/>
    <xf numFmtId="11" fontId="0" fillId="31" borderId="87" xfId="0" applyNumberFormat="1" applyFont="1" applyFill="1" applyBorder="1"/>
    <xf numFmtId="11" fontId="0" fillId="32" borderId="87" xfId="0" applyNumberFormat="1" applyFont="1" applyFill="1" applyBorder="1"/>
    <xf numFmtId="11" fontId="32" fillId="31" borderId="87" xfId="0" applyNumberFormat="1" applyFont="1" applyFill="1" applyBorder="1"/>
    <xf numFmtId="11" fontId="32" fillId="32" borderId="87" xfId="0" applyNumberFormat="1" applyFont="1" applyFill="1" applyBorder="1"/>
    <xf numFmtId="0" fontId="0" fillId="0" borderId="0" xfId="0" applyFont="1" applyFill="1" applyBorder="1" applyAlignment="1">
      <alignment horizontal="left" vertical="center" wrapText="1"/>
    </xf>
    <xf numFmtId="0" fontId="37" fillId="14" borderId="63" xfId="0" applyFont="1" applyFill="1" applyBorder="1" applyAlignment="1">
      <alignment horizontal="center" vertical="center" wrapText="1"/>
    </xf>
    <xf numFmtId="0" fontId="0" fillId="0" borderId="0" xfId="0" applyFill="1" applyBorder="1" applyAlignment="1">
      <alignment horizontal="center" vertical="center" wrapText="1"/>
    </xf>
    <xf numFmtId="0" fontId="12" fillId="0" borderId="0" xfId="0" applyFont="1" applyFill="1" applyBorder="1" applyAlignment="1">
      <alignment horizontal="center" vertical="center" wrapText="1"/>
    </xf>
    <xf numFmtId="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12" fillId="0" borderId="0" xfId="0" applyFont="1" applyFill="1" applyBorder="1" applyAlignment="1">
      <alignment horizontal="left" vertical="center" wrapText="1"/>
    </xf>
    <xf numFmtId="1" fontId="0" fillId="0" borderId="0" xfId="0" applyNumberFormat="1" applyFill="1" applyBorder="1" applyAlignment="1">
      <alignment horizontal="center" vertical="center" wrapText="1"/>
    </xf>
    <xf numFmtId="0" fontId="3" fillId="0" borderId="0" xfId="0" applyFont="1" applyFill="1" applyBorder="1" applyAlignment="1">
      <alignment horizontal="center" vertical="center" wrapText="1"/>
    </xf>
    <xf numFmtId="0" fontId="0" fillId="0" borderId="0" xfId="0" applyFill="1" applyBorder="1"/>
    <xf numFmtId="0" fontId="38" fillId="0" borderId="0" xfId="0" applyFont="1" applyFill="1" applyBorder="1"/>
    <xf numFmtId="0" fontId="8" fillId="0" borderId="0" xfId="0" applyFont="1" applyFill="1" applyBorder="1" applyAlignment="1">
      <alignment horizontal="center" vertical="center" wrapText="1"/>
    </xf>
    <xf numFmtId="0" fontId="8" fillId="0" borderId="0" xfId="0" applyFont="1" applyFill="1" applyBorder="1" applyAlignment="1">
      <alignment horizontal="left" vertical="center" wrapText="1"/>
    </xf>
    <xf numFmtId="0" fontId="14" fillId="0" borderId="0" xfId="0" applyFont="1" applyFill="1" applyBorder="1" applyAlignment="1">
      <alignment horizontal="center" vertical="center" wrapText="1"/>
    </xf>
    <xf numFmtId="0" fontId="9" fillId="0" borderId="0" xfId="0" applyFont="1" applyFill="1" applyBorder="1" applyAlignment="1">
      <alignment horizontal="left" vertical="center" wrapText="1"/>
    </xf>
    <xf numFmtId="0" fontId="9" fillId="0" borderId="0" xfId="0" applyFont="1" applyFill="1" applyBorder="1" applyAlignment="1">
      <alignment horizontal="center" vertical="center" wrapText="1"/>
    </xf>
    <xf numFmtId="1" fontId="0" fillId="0" borderId="0" xfId="0" applyNumberFormat="1" applyFill="1" applyBorder="1" applyAlignment="1">
      <alignment horizontal="center" vertical="center"/>
    </xf>
    <xf numFmtId="0" fontId="3" fillId="0" borderId="0" xfId="0" applyFont="1" applyFill="1" applyBorder="1" applyAlignment="1">
      <alignment horizontal="left" vertical="center" wrapText="1"/>
    </xf>
    <xf numFmtId="2" fontId="3" fillId="0" borderId="0" xfId="0" applyNumberFormat="1" applyFont="1" applyFill="1" applyBorder="1" applyAlignment="1">
      <alignment horizontal="center" vertical="center" wrapText="1"/>
    </xf>
    <xf numFmtId="2" fontId="0" fillId="0" borderId="0" xfId="0" applyNumberFormat="1" applyFill="1" applyBorder="1" applyAlignment="1">
      <alignment horizontal="center" vertical="center" wrapText="1"/>
    </xf>
    <xf numFmtId="0" fontId="0" fillId="0" borderId="0" xfId="0" applyFont="1" applyFill="1" applyBorder="1" applyAlignment="1">
      <alignment horizontal="left"/>
    </xf>
    <xf numFmtId="0" fontId="0" fillId="0" borderId="0" xfId="0" applyFill="1" applyBorder="1" applyAlignment="1">
      <alignment horizontal="center" vertical="center"/>
    </xf>
    <xf numFmtId="2" fontId="0" fillId="0" borderId="0" xfId="0" applyNumberFormat="1" applyFill="1" applyBorder="1" applyAlignment="1">
      <alignment horizontal="center" vertical="center"/>
    </xf>
    <xf numFmtId="0" fontId="15" fillId="0" borderId="0" xfId="0" applyFont="1" applyFill="1" applyBorder="1" applyAlignment="1">
      <alignment horizontal="left" vertical="center" wrapText="1"/>
    </xf>
    <xf numFmtId="0" fontId="15" fillId="0" borderId="0" xfId="0" applyFont="1" applyFill="1" applyBorder="1" applyAlignment="1">
      <alignment horizontal="center" vertical="center" wrapText="1"/>
    </xf>
    <xf numFmtId="0" fontId="38" fillId="0" borderId="0" xfId="0" applyFont="1" applyFill="1" applyBorder="1" applyAlignment="1">
      <alignment horizontal="left"/>
    </xf>
    <xf numFmtId="0" fontId="38" fillId="0" borderId="0" xfId="0" applyFont="1" applyFill="1" applyBorder="1" applyAlignment="1">
      <alignment horizontal="center" vertical="center"/>
    </xf>
    <xf numFmtId="0" fontId="39" fillId="0" borderId="0" xfId="0" applyFont="1" applyFill="1" applyBorder="1" applyAlignment="1">
      <alignment horizontal="center" vertical="center" wrapText="1"/>
    </xf>
    <xf numFmtId="0" fontId="40" fillId="0" borderId="0" xfId="0" applyFont="1" applyFill="1" applyBorder="1" applyAlignment="1">
      <alignment horizontal="left" vertical="center" wrapText="1"/>
    </xf>
    <xf numFmtId="0" fontId="40" fillId="0" borderId="0" xfId="0" applyFont="1" applyFill="1" applyBorder="1" applyAlignment="1">
      <alignment horizontal="center" vertical="center" wrapText="1"/>
    </xf>
    <xf numFmtId="0" fontId="12" fillId="0" borderId="0" xfId="0" applyFont="1" applyFill="1" applyBorder="1"/>
    <xf numFmtId="0" fontId="41" fillId="0" borderId="0"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43" fillId="0" borderId="0" xfId="0" applyFont="1" applyFill="1" applyBorder="1" applyAlignment="1">
      <alignment vertical="center" wrapText="1"/>
    </xf>
    <xf numFmtId="0" fontId="44" fillId="0" borderId="0" xfId="0" applyFont="1" applyFill="1" applyBorder="1" applyAlignment="1">
      <alignment horizontal="left" vertical="center" wrapText="1"/>
    </xf>
    <xf numFmtId="0" fontId="42" fillId="0" borderId="0" xfId="2" applyFont="1" applyFill="1" applyBorder="1" applyAlignment="1">
      <alignment horizontal="left" vertical="center" wrapText="1"/>
    </xf>
    <xf numFmtId="0" fontId="1" fillId="0" borderId="14" xfId="0" applyFont="1" applyFill="1" applyBorder="1" applyAlignment="1">
      <alignment horizontal="center" vertical="center" wrapText="1"/>
    </xf>
    <xf numFmtId="0" fontId="2" fillId="0" borderId="63" xfId="0" applyFont="1" applyFill="1" applyBorder="1" applyAlignment="1">
      <alignment horizontal="right" vertical="center" wrapText="1"/>
    </xf>
    <xf numFmtId="0" fontId="0" fillId="0" borderId="77" xfId="0" applyFont="1" applyFill="1" applyBorder="1"/>
    <xf numFmtId="0" fontId="0" fillId="0" borderId="71" xfId="0" applyFont="1" applyFill="1" applyBorder="1"/>
    <xf numFmtId="0" fontId="0" fillId="0" borderId="0" xfId="0" applyFill="1"/>
    <xf numFmtId="0" fontId="45" fillId="0" borderId="0" xfId="0" applyFont="1" applyFill="1" applyBorder="1" applyAlignment="1">
      <alignment horizontal="left" vertical="center" wrapText="1"/>
    </xf>
    <xf numFmtId="0" fontId="47" fillId="0" borderId="0" xfId="0" applyFont="1" applyFill="1" applyBorder="1" applyAlignment="1">
      <alignment horizontal="left" vertical="center" wrapText="1"/>
    </xf>
    <xf numFmtId="0" fontId="49" fillId="0" borderId="0" xfId="0" applyFont="1" applyFill="1" applyBorder="1" applyAlignment="1">
      <alignment horizontal="left" vertical="center" wrapText="1"/>
    </xf>
    <xf numFmtId="0" fontId="50" fillId="0" borderId="0" xfId="0" applyFont="1" applyFill="1" applyBorder="1" applyAlignment="1">
      <alignment horizontal="left" vertical="center" wrapText="1"/>
    </xf>
    <xf numFmtId="0" fontId="51" fillId="0" borderId="0" xfId="0" applyFont="1" applyFill="1" applyBorder="1" applyAlignment="1">
      <alignment horizontal="left" vertical="center" wrapText="1"/>
    </xf>
    <xf numFmtId="0" fontId="46" fillId="0" borderId="0" xfId="0" applyFont="1" applyFill="1" applyBorder="1" applyAlignment="1">
      <alignment horizontal="left" vertical="center" wrapText="1"/>
    </xf>
    <xf numFmtId="0" fontId="52" fillId="0" borderId="0" xfId="0" applyFont="1" applyFill="1" applyBorder="1" applyAlignment="1">
      <alignment horizontal="left" vertical="center" wrapText="1"/>
    </xf>
    <xf numFmtId="0" fontId="47" fillId="0" borderId="0" xfId="0" applyFont="1" applyFill="1" applyBorder="1"/>
    <xf numFmtId="0" fontId="53" fillId="0" borderId="0" xfId="0" applyFont="1" applyFill="1" applyBorder="1"/>
    <xf numFmtId="0" fontId="54" fillId="0" borderId="0" xfId="0" applyFont="1" applyFill="1" applyBorder="1" applyAlignment="1">
      <alignment horizontal="left" vertical="center" wrapText="1"/>
    </xf>
    <xf numFmtId="0" fontId="1" fillId="2" borderId="67" xfId="0" applyFont="1" applyFill="1" applyBorder="1" applyAlignment="1">
      <alignment horizontal="center" vertical="center" wrapText="1"/>
    </xf>
    <xf numFmtId="0" fontId="2" fillId="14" borderId="88" xfId="0" applyFont="1" applyFill="1" applyBorder="1" applyAlignment="1">
      <alignment horizontal="center" vertical="center" wrapText="1"/>
    </xf>
    <xf numFmtId="0" fontId="2" fillId="0" borderId="59" xfId="0" applyFont="1" applyFill="1" applyBorder="1" applyAlignment="1">
      <alignment horizontal="right" vertical="center" wrapText="1"/>
    </xf>
    <xf numFmtId="0" fontId="2" fillId="14" borderId="59" xfId="0" applyFont="1" applyFill="1" applyBorder="1" applyAlignment="1">
      <alignment vertical="center" wrapText="1"/>
    </xf>
    <xf numFmtId="0" fontId="2" fillId="14" borderId="59" xfId="0" applyFont="1" applyFill="1" applyBorder="1" applyAlignment="1">
      <alignment horizontal="right" vertical="center" wrapText="1"/>
    </xf>
    <xf numFmtId="0" fontId="16" fillId="14" borderId="59" xfId="0" applyFont="1" applyFill="1" applyBorder="1" applyAlignment="1">
      <alignment vertical="center" wrapText="1"/>
    </xf>
    <xf numFmtId="0" fontId="16" fillId="14" borderId="59" xfId="0" applyFont="1" applyFill="1" applyBorder="1" applyAlignment="1">
      <alignment horizontal="center" vertical="center" wrapText="1"/>
    </xf>
    <xf numFmtId="0" fontId="2" fillId="14" borderId="59" xfId="0" applyFont="1" applyFill="1" applyBorder="1" applyAlignment="1">
      <alignment horizontal="center" vertical="center" wrapText="1"/>
    </xf>
    <xf numFmtId="0" fontId="0" fillId="14" borderId="59" xfId="0" applyFont="1" applyFill="1" applyBorder="1"/>
    <xf numFmtId="0" fontId="0" fillId="0" borderId="59" xfId="0" applyBorder="1"/>
    <xf numFmtId="0" fontId="31" fillId="14" borderId="59" xfId="0" applyFont="1" applyFill="1" applyBorder="1" applyAlignment="1">
      <alignment vertical="center" wrapText="1"/>
    </xf>
    <xf numFmtId="2" fontId="2" fillId="0" borderId="1" xfId="0" applyNumberFormat="1" applyFont="1" applyFill="1" applyBorder="1" applyAlignment="1">
      <alignment horizontal="right" vertical="center" wrapText="1"/>
    </xf>
    <xf numFmtId="2" fontId="2" fillId="14" borderId="1" xfId="0" applyNumberFormat="1" applyFont="1" applyFill="1" applyBorder="1" applyAlignment="1">
      <alignment vertical="center" wrapText="1"/>
    </xf>
    <xf numFmtId="2" fontId="2" fillId="14" borderId="1" xfId="0" applyNumberFormat="1" applyFont="1" applyFill="1" applyBorder="1" applyAlignment="1">
      <alignment horizontal="right" vertical="center" wrapText="1"/>
    </xf>
    <xf numFmtId="2" fontId="16" fillId="14" borderId="1" xfId="0" applyNumberFormat="1" applyFont="1" applyFill="1" applyBorder="1" applyAlignment="1">
      <alignment vertical="center" wrapText="1"/>
    </xf>
    <xf numFmtId="2" fontId="16" fillId="14" borderId="1" xfId="0" applyNumberFormat="1" applyFont="1" applyFill="1" applyBorder="1" applyAlignment="1">
      <alignment horizontal="center" vertical="center" wrapText="1"/>
    </xf>
    <xf numFmtId="2" fontId="2" fillId="14" borderId="1" xfId="0" applyNumberFormat="1" applyFont="1" applyFill="1" applyBorder="1" applyAlignment="1">
      <alignment horizontal="center" vertical="center" wrapText="1"/>
    </xf>
    <xf numFmtId="2" fontId="0" fillId="14" borderId="1" xfId="0" applyNumberFormat="1" applyFont="1" applyFill="1" applyBorder="1"/>
    <xf numFmtId="0" fontId="1" fillId="0" borderId="0" xfId="0" applyFont="1" applyFill="1" applyBorder="1" applyAlignment="1">
      <alignment horizontal="center" vertical="center" wrapText="1"/>
    </xf>
    <xf numFmtId="0" fontId="1" fillId="2" borderId="0" xfId="0" applyFont="1" applyFill="1" applyBorder="1" applyAlignment="1">
      <alignment horizontal="center" vertical="center"/>
    </xf>
    <xf numFmtId="0" fontId="1" fillId="2" borderId="0" xfId="0" applyFont="1" applyFill="1" applyBorder="1" applyAlignment="1">
      <alignment horizontal="center" vertical="center" wrapText="1"/>
    </xf>
    <xf numFmtId="0" fontId="3" fillId="4" borderId="0" xfId="0" applyFont="1" applyFill="1" applyBorder="1" applyAlignment="1">
      <alignment horizontal="center" wrapText="1"/>
    </xf>
    <xf numFmtId="0" fontId="3" fillId="5" borderId="0" xfId="0" applyFont="1" applyFill="1" applyBorder="1" applyAlignment="1">
      <alignment horizontal="center" wrapText="1"/>
    </xf>
    <xf numFmtId="0" fontId="3" fillId="6" borderId="0" xfId="0" applyFont="1" applyFill="1" applyBorder="1" applyAlignment="1">
      <alignment horizontal="center" wrapText="1"/>
    </xf>
    <xf numFmtId="0" fontId="0" fillId="7" borderId="0" xfId="0" applyFont="1" applyFill="1" applyBorder="1" applyAlignment="1">
      <alignment horizontal="center" wrapText="1"/>
    </xf>
    <xf numFmtId="0" fontId="0" fillId="23" borderId="0" xfId="0" applyFont="1" applyFill="1" applyBorder="1" applyAlignment="1">
      <alignment horizontal="center" wrapText="1"/>
    </xf>
    <xf numFmtId="0" fontId="3" fillId="8" borderId="0" xfId="0" applyFont="1" applyFill="1" applyBorder="1" applyAlignment="1">
      <alignment horizontal="center" wrapText="1"/>
    </xf>
    <xf numFmtId="0" fontId="0" fillId="8" borderId="0" xfId="0" applyFont="1" applyFill="1" applyBorder="1" applyAlignment="1">
      <alignment horizontal="center" wrapText="1"/>
    </xf>
    <xf numFmtId="0" fontId="3" fillId="9" borderId="0" xfId="0" applyFont="1" applyFill="1" applyBorder="1" applyAlignment="1">
      <alignment horizontal="center" wrapText="1"/>
    </xf>
    <xf numFmtId="0" fontId="0" fillId="9" borderId="0" xfId="0" applyFont="1" applyFill="1" applyBorder="1" applyAlignment="1">
      <alignment horizontal="center" wrapText="1"/>
    </xf>
    <xf numFmtId="0" fontId="3" fillId="10" borderId="0" xfId="0" applyFont="1" applyFill="1" applyBorder="1" applyAlignment="1">
      <alignment horizontal="center" wrapText="1"/>
    </xf>
    <xf numFmtId="0" fontId="0" fillId="10" borderId="0" xfId="0" applyFont="1" applyFill="1" applyBorder="1" applyAlignment="1">
      <alignment horizontal="center" wrapText="1"/>
    </xf>
    <xf numFmtId="0" fontId="0" fillId="11" borderId="0" xfId="0" applyFont="1" applyFill="1" applyBorder="1" applyAlignment="1">
      <alignment horizontal="center" wrapText="1"/>
    </xf>
    <xf numFmtId="2" fontId="0" fillId="0" borderId="0" xfId="12" applyNumberFormat="1" applyFont="1" applyFill="1" applyBorder="1" applyAlignment="1">
      <alignment horizontal="center" vertical="center"/>
    </xf>
    <xf numFmtId="0" fontId="0" fillId="0" borderId="15" xfId="0" applyBorder="1" applyAlignment="1">
      <alignment horizontal="center" vertical="center"/>
    </xf>
    <xf numFmtId="0" fontId="0" fillId="0" borderId="31" xfId="0" applyBorder="1" applyAlignment="1">
      <alignment horizontal="center" vertical="center"/>
    </xf>
    <xf numFmtId="0" fontId="0" fillId="0" borderId="6" xfId="0" applyBorder="1" applyAlignment="1">
      <alignment horizontal="center" vertical="center"/>
    </xf>
    <xf numFmtId="0" fontId="0" fillId="13" borderId="10" xfId="0" applyFill="1" applyBorder="1" applyAlignment="1">
      <alignment horizontal="center"/>
    </xf>
    <xf numFmtId="0" fontId="0" fillId="13" borderId="13" xfId="0" applyFill="1" applyBorder="1" applyAlignment="1">
      <alignment horizontal="center"/>
    </xf>
    <xf numFmtId="0" fontId="5" fillId="12" borderId="11" xfId="0" applyFont="1" applyFill="1" applyBorder="1" applyAlignment="1">
      <alignment horizontal="center" vertical="center"/>
    </xf>
    <xf numFmtId="0" fontId="5" fillId="12" borderId="12" xfId="0" applyFont="1" applyFill="1" applyBorder="1" applyAlignment="1">
      <alignment horizontal="center" vertical="center"/>
    </xf>
    <xf numFmtId="0" fontId="5" fillId="12" borderId="13" xfId="0" applyFont="1" applyFill="1" applyBorder="1" applyAlignment="1">
      <alignment horizontal="center" vertical="center"/>
    </xf>
    <xf numFmtId="0" fontId="5" fillId="12" borderId="17" xfId="0" applyFont="1" applyFill="1" applyBorder="1" applyAlignment="1">
      <alignment horizontal="center" vertical="center"/>
    </xf>
    <xf numFmtId="0" fontId="5" fillId="12" borderId="18" xfId="0" applyFont="1" applyFill="1" applyBorder="1" applyAlignment="1">
      <alignment horizontal="center" vertical="center"/>
    </xf>
    <xf numFmtId="0" fontId="5" fillId="12" borderId="17" xfId="0" applyFont="1" applyFill="1" applyBorder="1" applyAlignment="1">
      <alignment horizontal="center" vertical="center" wrapText="1"/>
    </xf>
    <xf numFmtId="0" fontId="5" fillId="12" borderId="18" xfId="0" applyFont="1" applyFill="1" applyBorder="1" applyAlignment="1">
      <alignment horizontal="center" vertical="center" wrapText="1"/>
    </xf>
    <xf numFmtId="0" fontId="5" fillId="12" borderId="19" xfId="0" applyFont="1" applyFill="1" applyBorder="1" applyAlignment="1">
      <alignment horizontal="center" vertical="center"/>
    </xf>
    <xf numFmtId="0" fontId="5" fillId="12" borderId="47" xfId="0" applyFont="1" applyFill="1" applyBorder="1" applyAlignment="1">
      <alignment horizontal="center" vertical="center"/>
    </xf>
    <xf numFmtId="0" fontId="5" fillId="12" borderId="20" xfId="0" applyFont="1" applyFill="1" applyBorder="1" applyAlignment="1">
      <alignment horizontal="center" vertical="center"/>
    </xf>
    <xf numFmtId="0" fontId="5" fillId="12" borderId="40" xfId="0" applyFont="1" applyFill="1" applyBorder="1" applyAlignment="1">
      <alignment horizontal="center" vertical="center"/>
    </xf>
    <xf numFmtId="0" fontId="5" fillId="12" borderId="42" xfId="0" applyFont="1" applyFill="1" applyBorder="1" applyAlignment="1">
      <alignment horizontal="center" vertical="center"/>
    </xf>
    <xf numFmtId="0" fontId="5" fillId="12" borderId="40" xfId="0" applyFont="1" applyFill="1" applyBorder="1" applyAlignment="1">
      <alignment horizontal="center" vertical="center" wrapText="1"/>
    </xf>
    <xf numFmtId="0" fontId="5" fillId="12" borderId="42" xfId="0" applyFont="1" applyFill="1" applyBorder="1" applyAlignment="1">
      <alignment horizontal="center" vertical="center" wrapText="1"/>
    </xf>
    <xf numFmtId="0" fontId="7" fillId="13" borderId="19" xfId="0" applyFont="1" applyFill="1" applyBorder="1" applyAlignment="1">
      <alignment horizontal="center" vertical="center"/>
    </xf>
    <xf numFmtId="0" fontId="7" fillId="13" borderId="47" xfId="0" applyFont="1" applyFill="1" applyBorder="1" applyAlignment="1">
      <alignment horizontal="center" vertical="center"/>
    </xf>
    <xf numFmtId="0" fontId="7" fillId="13" borderId="20" xfId="0" applyFont="1" applyFill="1" applyBorder="1" applyAlignment="1">
      <alignment horizontal="center" vertical="center"/>
    </xf>
    <xf numFmtId="0" fontId="5" fillId="12" borderId="40" xfId="0" applyFont="1" applyFill="1" applyBorder="1" applyAlignment="1">
      <alignment horizontal="center"/>
    </xf>
    <xf numFmtId="0" fontId="5" fillId="12" borderId="49" xfId="0" applyFont="1" applyFill="1" applyBorder="1" applyAlignment="1">
      <alignment horizontal="center"/>
    </xf>
    <xf numFmtId="0" fontId="5" fillId="12" borderId="42" xfId="0" applyFont="1" applyFill="1" applyBorder="1" applyAlignment="1">
      <alignment horizontal="center"/>
    </xf>
    <xf numFmtId="0" fontId="0" fillId="0" borderId="33" xfId="0" applyBorder="1" applyAlignment="1">
      <alignment horizontal="center" vertical="center"/>
    </xf>
    <xf numFmtId="0" fontId="5" fillId="13" borderId="15" xfId="0" applyFont="1" applyFill="1" applyBorder="1" applyAlignment="1">
      <alignment horizontal="center" vertical="center" wrapText="1"/>
    </xf>
    <xf numFmtId="0" fontId="5" fillId="13" borderId="31" xfId="0" applyFont="1" applyFill="1" applyBorder="1" applyAlignment="1">
      <alignment horizontal="center" vertical="center" wrapText="1"/>
    </xf>
    <xf numFmtId="0" fontId="5" fillId="13" borderId="6" xfId="0" applyFont="1" applyFill="1" applyBorder="1" applyAlignment="1">
      <alignment horizontal="center" vertical="center" wrapText="1"/>
    </xf>
    <xf numFmtId="0" fontId="5" fillId="13" borderId="33" xfId="0" applyFont="1" applyFill="1" applyBorder="1" applyAlignment="1">
      <alignment horizontal="center" vertical="center" wrapText="1"/>
    </xf>
    <xf numFmtId="2" fontId="5" fillId="13" borderId="10" xfId="0" applyNumberFormat="1" applyFont="1" applyFill="1" applyBorder="1" applyAlignment="1">
      <alignment horizontal="center" vertical="center"/>
    </xf>
    <xf numFmtId="2" fontId="5" fillId="13" borderId="13" xfId="0" applyNumberFormat="1" applyFont="1" applyFill="1" applyBorder="1" applyAlignment="1">
      <alignment horizontal="center" vertical="center"/>
    </xf>
    <xf numFmtId="0" fontId="5" fillId="13" borderId="15" xfId="0" applyFont="1" applyFill="1" applyBorder="1" applyAlignment="1">
      <alignment horizontal="center" vertical="center"/>
    </xf>
    <xf numFmtId="0" fontId="5" fillId="13" borderId="31" xfId="0" applyFont="1" applyFill="1" applyBorder="1" applyAlignment="1">
      <alignment horizontal="center" vertical="center"/>
    </xf>
    <xf numFmtId="0" fontId="5" fillId="13" borderId="6" xfId="0" applyFont="1" applyFill="1" applyBorder="1" applyAlignment="1">
      <alignment horizontal="center" vertical="center"/>
    </xf>
    <xf numFmtId="0" fontId="5" fillId="12" borderId="15" xfId="0" applyFont="1" applyFill="1" applyBorder="1" applyAlignment="1">
      <alignment horizontal="center" vertical="center"/>
    </xf>
    <xf numFmtId="0" fontId="5" fillId="12" borderId="16" xfId="0" applyFont="1" applyFill="1" applyBorder="1" applyAlignment="1">
      <alignment horizontal="center" vertical="center"/>
    </xf>
    <xf numFmtId="0" fontId="5" fillId="12" borderId="15" xfId="0" applyFont="1" applyFill="1" applyBorder="1" applyAlignment="1">
      <alignment horizontal="center" vertical="center" wrapText="1"/>
    </xf>
    <xf numFmtId="0" fontId="5" fillId="12" borderId="16" xfId="0" applyFont="1" applyFill="1" applyBorder="1" applyAlignment="1">
      <alignment horizontal="center" vertical="center" wrapText="1"/>
    </xf>
    <xf numFmtId="0" fontId="5" fillId="12" borderId="2" xfId="0" applyFont="1" applyFill="1" applyBorder="1" applyAlignment="1">
      <alignment horizontal="center" vertical="center"/>
    </xf>
    <xf numFmtId="0" fontId="5" fillId="12" borderId="3" xfId="0" applyFont="1" applyFill="1" applyBorder="1" applyAlignment="1">
      <alignment horizontal="center" vertical="center"/>
    </xf>
    <xf numFmtId="0" fontId="5" fillId="12" borderId="4" xfId="0" applyFont="1" applyFill="1" applyBorder="1" applyAlignment="1">
      <alignment horizontal="center" vertical="center"/>
    </xf>
    <xf numFmtId="0" fontId="5" fillId="12" borderId="6" xfId="0" applyFont="1" applyFill="1" applyBorder="1" applyAlignment="1">
      <alignment horizontal="center" vertical="center"/>
    </xf>
    <xf numFmtId="0" fontId="5" fillId="12" borderId="7" xfId="0" applyFont="1" applyFill="1" applyBorder="1" applyAlignment="1">
      <alignment horizontal="center" vertical="center"/>
    </xf>
    <xf numFmtId="0" fontId="5" fillId="12" borderId="8" xfId="0" applyFont="1" applyFill="1" applyBorder="1" applyAlignment="1">
      <alignment horizontal="center" vertical="center"/>
    </xf>
    <xf numFmtId="0" fontId="5" fillId="12" borderId="9" xfId="0" applyFont="1" applyFill="1" applyBorder="1" applyAlignment="1">
      <alignment horizontal="center" vertical="center"/>
    </xf>
    <xf numFmtId="0" fontId="5" fillId="12" borderId="6" xfId="0" applyFont="1" applyFill="1" applyBorder="1" applyAlignment="1">
      <alignment horizontal="center" vertical="center" wrapText="1"/>
    </xf>
    <xf numFmtId="0" fontId="5" fillId="12" borderId="7" xfId="0" applyFont="1" applyFill="1" applyBorder="1" applyAlignment="1">
      <alignment horizontal="center" vertical="center" wrapText="1"/>
    </xf>
    <xf numFmtId="0" fontId="24" fillId="3" borderId="10" xfId="2" applyFont="1" applyBorder="1" applyAlignment="1">
      <alignment horizontal="left" vertical="center" wrapText="1"/>
    </xf>
    <xf numFmtId="0" fontId="24" fillId="3" borderId="12" xfId="2" applyFont="1" applyBorder="1" applyAlignment="1">
      <alignment horizontal="left" vertical="center" wrapText="1"/>
    </xf>
    <xf numFmtId="0" fontId="24" fillId="3" borderId="13" xfId="2" applyFont="1" applyBorder="1" applyAlignment="1">
      <alignment horizontal="left" vertical="center" wrapText="1"/>
    </xf>
    <xf numFmtId="0" fontId="24" fillId="3" borderId="32" xfId="2" applyFont="1" applyBorder="1" applyAlignment="1">
      <alignment horizontal="center" vertical="center"/>
    </xf>
    <xf numFmtId="0" fontId="24" fillId="3" borderId="1" xfId="2" applyFont="1" applyBorder="1" applyAlignment="1">
      <alignment horizontal="center" vertical="center"/>
    </xf>
    <xf numFmtId="0" fontId="25" fillId="3" borderId="51" xfId="2" applyFont="1" applyBorder="1" applyAlignment="1">
      <alignment horizontal="left" vertical="center"/>
    </xf>
    <xf numFmtId="0" fontId="25" fillId="3" borderId="47" xfId="2" applyFont="1" applyBorder="1" applyAlignment="1">
      <alignment horizontal="left" vertical="center"/>
    </xf>
    <xf numFmtId="0" fontId="25" fillId="3" borderId="20" xfId="2" applyFont="1" applyBorder="1" applyAlignment="1">
      <alignment horizontal="left" vertical="center"/>
    </xf>
    <xf numFmtId="0" fontId="24" fillId="17" borderId="36" xfId="2" applyFont="1" applyFill="1" applyBorder="1" applyAlignment="1">
      <alignment horizontal="center" vertical="center" wrapText="1"/>
    </xf>
    <xf numFmtId="0" fontId="24" fillId="17" borderId="31" xfId="2" applyFont="1" applyFill="1" applyBorder="1" applyAlignment="1">
      <alignment horizontal="center" vertical="center" wrapText="1"/>
    </xf>
    <xf numFmtId="0" fontId="24" fillId="17" borderId="38" xfId="2" applyFont="1" applyFill="1" applyBorder="1" applyAlignment="1">
      <alignment horizontal="center" vertical="center"/>
    </xf>
    <xf numFmtId="0" fontId="24" fillId="17" borderId="58" xfId="2" applyFont="1" applyFill="1" applyBorder="1" applyAlignment="1">
      <alignment horizontal="center" vertical="center"/>
    </xf>
    <xf numFmtId="0" fontId="24" fillId="17" borderId="41" xfId="2" applyFont="1" applyFill="1" applyBorder="1" applyAlignment="1">
      <alignment horizontal="left" vertical="center" wrapText="1"/>
    </xf>
    <xf numFmtId="0" fontId="24" fillId="17" borderId="49" xfId="2" applyFont="1" applyFill="1" applyBorder="1" applyAlignment="1">
      <alignment horizontal="left" vertical="center" wrapText="1"/>
    </xf>
    <xf numFmtId="0" fontId="24" fillId="17" borderId="42" xfId="2" applyFont="1" applyFill="1" applyBorder="1" applyAlignment="1">
      <alignment horizontal="left" vertical="center" wrapText="1"/>
    </xf>
    <xf numFmtId="0" fontId="24" fillId="17" borderId="10" xfId="2" applyFont="1" applyFill="1" applyBorder="1" applyAlignment="1">
      <alignment horizontal="left" vertical="center" wrapText="1"/>
    </xf>
    <xf numFmtId="0" fontId="24" fillId="17" borderId="12" xfId="2" applyFont="1" applyFill="1" applyBorder="1" applyAlignment="1">
      <alignment horizontal="left" vertical="center" wrapText="1"/>
    </xf>
    <xf numFmtId="0" fontId="24" fillId="17" borderId="13" xfId="2" applyFont="1" applyFill="1" applyBorder="1" applyAlignment="1">
      <alignment horizontal="left" vertical="center" wrapText="1"/>
    </xf>
    <xf numFmtId="0" fontId="24" fillId="17" borderId="14" xfId="2" applyFont="1" applyFill="1" applyBorder="1" applyAlignment="1">
      <alignment horizontal="left" vertical="center" wrapText="1"/>
    </xf>
    <xf numFmtId="0" fontId="24" fillId="17" borderId="59" xfId="2" applyFont="1" applyFill="1" applyBorder="1" applyAlignment="1">
      <alignment horizontal="left" vertical="center" wrapText="1"/>
    </xf>
    <xf numFmtId="0" fontId="24" fillId="17" borderId="60" xfId="2" applyFont="1" applyFill="1" applyBorder="1" applyAlignment="1">
      <alignment horizontal="left" vertical="center" wrapText="1"/>
    </xf>
    <xf numFmtId="0" fontId="24" fillId="17" borderId="6" xfId="2" applyFont="1" applyFill="1" applyBorder="1" applyAlignment="1">
      <alignment horizontal="center" vertical="center"/>
    </xf>
    <xf numFmtId="0" fontId="24" fillId="17" borderId="45" xfId="2" applyFont="1" applyFill="1" applyBorder="1" applyAlignment="1">
      <alignment horizontal="center" vertical="center"/>
    </xf>
    <xf numFmtId="0" fontId="24" fillId="17" borderId="61" xfId="2" applyFont="1" applyFill="1" applyBorder="1" applyAlignment="1">
      <alignment horizontal="center" vertical="center"/>
    </xf>
    <xf numFmtId="0" fontId="24" fillId="17" borderId="5" xfId="2" applyFont="1" applyFill="1" applyBorder="1" applyAlignment="1">
      <alignment horizontal="left" vertical="center" wrapText="1"/>
    </xf>
    <xf numFmtId="0" fontId="24" fillId="17" borderId="44" xfId="2" applyFont="1" applyFill="1" applyBorder="1" applyAlignment="1">
      <alignment horizontal="left" vertical="center" wrapText="1"/>
    </xf>
    <xf numFmtId="0" fontId="24" fillId="17" borderId="9" xfId="2" applyFont="1" applyFill="1" applyBorder="1" applyAlignment="1">
      <alignment horizontal="left" vertical="center" wrapText="1"/>
    </xf>
    <xf numFmtId="0" fontId="24" fillId="17" borderId="46" xfId="2" applyFont="1" applyFill="1" applyBorder="1" applyAlignment="1">
      <alignment horizontal="left" vertical="center" wrapText="1"/>
    </xf>
    <xf numFmtId="0" fontId="24" fillId="17" borderId="62" xfId="2" applyFont="1" applyFill="1" applyBorder="1" applyAlignment="1">
      <alignment horizontal="left" vertical="center" wrapText="1"/>
    </xf>
    <xf numFmtId="0" fontId="24" fillId="17" borderId="18" xfId="2" applyFont="1" applyFill="1" applyBorder="1" applyAlignment="1">
      <alignment horizontal="left" vertical="center" wrapText="1"/>
    </xf>
  </cellXfs>
  <cellStyles count="13">
    <cellStyle name="Comma 2" xfId="8" xr:uid="{210C9DE5-BC4A-4F56-B03D-46CB39FE1C15}"/>
    <cellStyle name="Comma 3" xfId="6" xr:uid="{4F211818-D1D4-48FC-9702-9670FC656063}"/>
    <cellStyle name="Currency 2" xfId="4" xr:uid="{BE7D9F2D-E1B0-4ACC-AF90-0D1B629CF5D5}"/>
    <cellStyle name="Currency 2 2" xfId="9" xr:uid="{8C2F27D5-ECF0-464D-8F64-1D44336F4782}"/>
    <cellStyle name="Čárka" xfId="12" builtinId="3"/>
    <cellStyle name="Hyperlink 2" xfId="10" xr:uid="{E27CF593-799B-403D-A6C5-CCC36CA1903D}"/>
    <cellStyle name="Měna" xfId="1" builtinId="4"/>
    <cellStyle name="Normal 2" xfId="2" xr:uid="{0D70441E-267B-4235-AE30-D5317EA829A5}"/>
    <cellStyle name="Normal 3" xfId="3" xr:uid="{B76849AD-B658-4A56-9676-8B31C61C36B2}"/>
    <cellStyle name="Normal 4" xfId="7" xr:uid="{39A9EB75-F1E1-4F89-B8F2-3EB2CD6BCCA8}"/>
    <cellStyle name="Normal 5" xfId="11" xr:uid="{D7F46AE3-9EA7-4C7D-8716-2884F3FC8CA3}"/>
    <cellStyle name="Normal 6" xfId="5" xr:uid="{666D81EB-8454-4900-84FB-87BB6120B5D7}"/>
    <cellStyle name="Normální" xfId="0" builtinId="0"/>
  </cellStyles>
  <dxfs count="2">
    <dxf>
      <fill>
        <patternFill patternType="solid">
          <fgColor rgb="FFDA9694"/>
          <bgColor rgb="FF000000"/>
        </patternFill>
      </fill>
    </dxf>
    <dxf>
      <fill>
        <patternFill patternType="solid">
          <fgColor rgb="FFDA9694"/>
          <bgColor rgb="FF000000"/>
        </patternFill>
      </fill>
    </dxf>
  </dxfs>
  <tableStyles count="0" defaultTableStyle="TableStyleMedium9" defaultPivotStyle="PivotStyleLight16"/>
  <colors>
    <mruColors>
      <color rgb="FFDC329B"/>
      <color rgb="FFFF99CC"/>
      <color rgb="FFFFFF00"/>
      <color rgb="FFFFFF99"/>
      <color rgb="FF00B0F0"/>
      <color rgb="FF3F3F76"/>
      <color rgb="FFC4D79B"/>
      <color rgb="FF4F81BD"/>
      <color rgb="FF3399FF"/>
      <color rgb="FFDBEE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623760992728133E-2"/>
          <c:y val="0.15002094349831346"/>
          <c:w val="0.89945708050408923"/>
          <c:h val="0.76455811984206645"/>
        </c:manualLayout>
      </c:layout>
      <c:barChart>
        <c:barDir val="col"/>
        <c:grouping val="clustered"/>
        <c:varyColors val="0"/>
        <c:ser>
          <c:idx val="3"/>
          <c:order val="0"/>
          <c:tx>
            <c:v>GISTM Consequence Ratings</c:v>
          </c:tx>
          <c:spPr>
            <a:solidFill>
              <a:schemeClr val="accent4"/>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F4D4-4EE7-9014-8375BE2446A5}"/>
              </c:ext>
            </c:extLst>
          </c:dPt>
          <c:dPt>
            <c:idx val="1"/>
            <c:invertIfNegative val="0"/>
            <c:bubble3D val="0"/>
            <c:spPr>
              <a:solidFill>
                <a:srgbClr val="00B0F0"/>
              </a:solidFill>
              <a:ln>
                <a:noFill/>
              </a:ln>
              <a:effectLst/>
            </c:spPr>
            <c:extLst>
              <c:ext xmlns:c16="http://schemas.microsoft.com/office/drawing/2014/chart" uri="{C3380CC4-5D6E-409C-BE32-E72D297353CC}">
                <c16:uniqueId val="{00000003-F4D4-4EE7-9014-8375BE2446A5}"/>
              </c:ext>
            </c:extLst>
          </c:dPt>
          <c:dPt>
            <c:idx val="2"/>
            <c:invertIfNegative val="0"/>
            <c:bubble3D val="0"/>
            <c:spPr>
              <a:solidFill>
                <a:srgbClr val="FFC000"/>
              </a:solidFill>
              <a:ln>
                <a:noFill/>
              </a:ln>
              <a:effectLst/>
            </c:spPr>
            <c:extLst>
              <c:ext xmlns:c16="http://schemas.microsoft.com/office/drawing/2014/chart" uri="{C3380CC4-5D6E-409C-BE32-E72D297353CC}">
                <c16:uniqueId val="{00000005-F4D4-4EE7-9014-8375BE2446A5}"/>
              </c:ext>
            </c:extLst>
          </c:dPt>
          <c:dPt>
            <c:idx val="3"/>
            <c:invertIfNegative val="0"/>
            <c:bubble3D val="0"/>
            <c:spPr>
              <a:solidFill>
                <a:srgbClr val="FF0000"/>
              </a:solidFill>
              <a:ln>
                <a:noFill/>
              </a:ln>
              <a:effectLst/>
            </c:spPr>
            <c:extLst>
              <c:ext xmlns:c16="http://schemas.microsoft.com/office/drawing/2014/chart" uri="{C3380CC4-5D6E-409C-BE32-E72D297353CC}">
                <c16:uniqueId val="{00000007-F4D4-4EE7-9014-8375BE2446A5}"/>
              </c:ext>
            </c:extLst>
          </c:dPt>
          <c:dPt>
            <c:idx val="4"/>
            <c:invertIfNegative val="0"/>
            <c:bubble3D val="0"/>
            <c:spPr>
              <a:solidFill>
                <a:srgbClr val="7030A0"/>
              </a:solidFill>
              <a:ln>
                <a:noFill/>
              </a:ln>
              <a:effectLst/>
            </c:spPr>
            <c:extLst>
              <c:ext xmlns:c16="http://schemas.microsoft.com/office/drawing/2014/chart" uri="{C3380CC4-5D6E-409C-BE32-E72D297353CC}">
                <c16:uniqueId val="{00000009-F4D4-4EE7-9014-8375BE2446A5}"/>
              </c:ext>
            </c:extLst>
          </c:dPt>
          <c:val>
            <c:numRef>
              <c:f>'GISTM Consequences'!#REF!</c:f>
              <c:numCache>
                <c:formatCode>General</c:formatCode>
                <c:ptCount val="1"/>
                <c:pt idx="0">
                  <c:v>1</c:v>
                </c:pt>
              </c:numCache>
            </c:numRef>
          </c:val>
          <c:extLst>
            <c:ext xmlns:c15="http://schemas.microsoft.com/office/drawing/2012/chart" uri="{02D57815-91ED-43cb-92C2-25804820EDAC}">
              <c15:filteredCategoryTitle>
                <c15:cat>
                  <c:strRef>
                    <c:extLst>
                      <c:ext uri="{02D57815-91ED-43cb-92C2-25804820EDAC}">
                        <c15:formulaRef>
                          <c15:sqref>'GISTM Consequences'!#REF!</c15:sqref>
                        </c15:formulaRef>
                      </c:ext>
                    </c:extLst>
                    <c:strCache>
                      <c:ptCount val="1"/>
                      <c:pt idx="0">
                        <c:v>#REF!</c:v>
                      </c:pt>
                    </c:strCache>
                  </c:strRef>
                </c15:cat>
              </c15:filteredCategoryTitle>
            </c:ext>
            <c:ext xmlns:c16="http://schemas.microsoft.com/office/drawing/2014/chart" uri="{C3380CC4-5D6E-409C-BE32-E72D297353CC}">
              <c16:uniqueId val="{0000000A-F4D4-4EE7-9014-8375BE2446A5}"/>
            </c:ext>
          </c:extLst>
        </c:ser>
        <c:dLbls>
          <c:showLegendKey val="0"/>
          <c:showVal val="0"/>
          <c:showCatName val="0"/>
          <c:showSerName val="0"/>
          <c:showPercent val="0"/>
          <c:showBubbleSize val="0"/>
        </c:dLbls>
        <c:gapWidth val="0"/>
        <c:axId val="929605104"/>
        <c:axId val="929604688"/>
      </c:barChart>
      <c:scatterChart>
        <c:scatterStyle val="lineMarker"/>
        <c:varyColors val="0"/>
        <c:ser>
          <c:idx val="0"/>
          <c:order val="1"/>
          <c:tx>
            <c:strRef>
              <c:f>'GISTM Consequences'!#REF!</c:f>
              <c:strCache>
                <c:ptCount val="1"/>
                <c:pt idx="0">
                  <c:v>#REF!</c:v>
                </c:pt>
              </c:strCache>
            </c:strRef>
          </c:tx>
          <c:spPr>
            <a:ln w="25400" cap="rnd">
              <a:noFill/>
              <a:round/>
            </a:ln>
            <a:effectLst/>
          </c:spPr>
          <c:marker>
            <c:symbol val="circle"/>
            <c:size val="15"/>
            <c:spPr>
              <a:solidFill>
                <a:schemeClr val="accent1"/>
              </a:solidFill>
              <a:ln w="9525">
                <a:solidFill>
                  <a:schemeClr val="accent1"/>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B-F4D4-4EE7-9014-8375BE2446A5}"/>
            </c:ext>
          </c:extLst>
        </c:ser>
        <c:ser>
          <c:idx val="1"/>
          <c:order val="2"/>
          <c:tx>
            <c:strRef>
              <c:f>'GISTM Consequences'!#REF!</c:f>
              <c:strCache>
                <c:ptCount val="1"/>
                <c:pt idx="0">
                  <c:v>#REF!</c:v>
                </c:pt>
              </c:strCache>
            </c:strRef>
          </c:tx>
          <c:spPr>
            <a:ln w="25400" cap="rnd">
              <a:noFill/>
              <a:round/>
            </a:ln>
            <a:effectLst/>
          </c:spPr>
          <c:marker>
            <c:symbol val="circle"/>
            <c:size val="15"/>
            <c:spPr>
              <a:solidFill>
                <a:schemeClr val="accent2"/>
              </a:solidFill>
              <a:ln w="9525">
                <a:solidFill>
                  <a:schemeClr val="accent2"/>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C-F4D4-4EE7-9014-8375BE2446A5}"/>
            </c:ext>
          </c:extLst>
        </c:ser>
        <c:ser>
          <c:idx val="2"/>
          <c:order val="3"/>
          <c:tx>
            <c:strRef>
              <c:f>'GISTM Consequences'!#REF!</c:f>
              <c:strCache>
                <c:ptCount val="1"/>
                <c:pt idx="0">
                  <c:v>#REF!</c:v>
                </c:pt>
              </c:strCache>
            </c:strRef>
          </c:tx>
          <c:spPr>
            <a:ln w="25400" cap="rnd">
              <a:noFill/>
              <a:round/>
            </a:ln>
            <a:effectLst/>
          </c:spPr>
          <c:marker>
            <c:symbol val="circle"/>
            <c:size val="15"/>
            <c:spPr>
              <a:solidFill>
                <a:schemeClr val="accent3"/>
              </a:solidFill>
              <a:ln w="9525">
                <a:solidFill>
                  <a:schemeClr val="accent3"/>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D-F4D4-4EE7-9014-8375BE2446A5}"/>
            </c:ext>
          </c:extLst>
        </c:ser>
        <c:ser>
          <c:idx val="4"/>
          <c:order val="4"/>
          <c:tx>
            <c:strRef>
              <c:f>'GISTM Consequences'!#REF!</c:f>
              <c:strCache>
                <c:ptCount val="1"/>
                <c:pt idx="0">
                  <c:v>#REF!</c:v>
                </c:pt>
              </c:strCache>
            </c:strRef>
          </c:tx>
          <c:spPr>
            <a:ln w="25400" cap="rnd">
              <a:noFill/>
              <a:round/>
            </a:ln>
            <a:effectLst/>
          </c:spPr>
          <c:marker>
            <c:symbol val="circle"/>
            <c:size val="15"/>
            <c:spPr>
              <a:solidFill>
                <a:schemeClr val="accent5"/>
              </a:solidFill>
              <a:ln w="9525">
                <a:solidFill>
                  <a:schemeClr val="accent5"/>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E-F4D4-4EE7-9014-8375BE2446A5}"/>
            </c:ext>
          </c:extLst>
        </c:ser>
        <c:ser>
          <c:idx val="5"/>
          <c:order val="5"/>
          <c:tx>
            <c:strRef>
              <c:f>'GISTM Consequences'!#REF!</c:f>
              <c:strCache>
                <c:ptCount val="1"/>
                <c:pt idx="0">
                  <c:v>#REF!</c:v>
                </c:pt>
              </c:strCache>
            </c:strRef>
          </c:tx>
          <c:spPr>
            <a:ln w="25400" cap="rnd">
              <a:noFill/>
              <a:round/>
            </a:ln>
            <a:effectLst/>
          </c:spPr>
          <c:marker>
            <c:symbol val="circle"/>
            <c:size val="15"/>
            <c:spPr>
              <a:solidFill>
                <a:schemeClr val="accent6"/>
              </a:solidFill>
              <a:ln w="9525">
                <a:solidFill>
                  <a:schemeClr val="accent6"/>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F-F4D4-4EE7-9014-8375BE2446A5}"/>
            </c:ext>
          </c:extLst>
        </c:ser>
        <c:ser>
          <c:idx val="6"/>
          <c:order val="6"/>
          <c:tx>
            <c:strRef>
              <c:f>'GISTM Consequences'!#REF!</c:f>
              <c:strCache>
                <c:ptCount val="1"/>
                <c:pt idx="0">
                  <c:v>#REF!</c:v>
                </c:pt>
              </c:strCache>
            </c:strRef>
          </c:tx>
          <c:spPr>
            <a:ln w="25400" cap="rnd">
              <a:noFill/>
              <a:round/>
            </a:ln>
            <a:effectLst/>
          </c:spPr>
          <c:marker>
            <c:symbol val="circle"/>
            <c:size val="15"/>
            <c:spPr>
              <a:solidFill>
                <a:schemeClr val="accent1">
                  <a:lumMod val="60000"/>
                </a:schemeClr>
              </a:solidFill>
              <a:ln w="9525">
                <a:solidFill>
                  <a:schemeClr val="accent1">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0-F4D4-4EE7-9014-8375BE2446A5}"/>
            </c:ext>
          </c:extLst>
        </c:ser>
        <c:ser>
          <c:idx val="7"/>
          <c:order val="7"/>
          <c:tx>
            <c:strRef>
              <c:f>'GISTM Consequences'!#REF!</c:f>
              <c:strCache>
                <c:ptCount val="1"/>
                <c:pt idx="0">
                  <c:v>#REF!</c:v>
                </c:pt>
              </c:strCache>
            </c:strRef>
          </c:tx>
          <c:spPr>
            <a:ln w="25400" cap="rnd">
              <a:noFill/>
              <a:round/>
            </a:ln>
            <a:effectLst/>
          </c:spPr>
          <c:marker>
            <c:symbol val="circle"/>
            <c:size val="15"/>
            <c:spPr>
              <a:solidFill>
                <a:schemeClr val="accent2">
                  <a:lumMod val="60000"/>
                </a:schemeClr>
              </a:solidFill>
              <a:ln w="9525">
                <a:solidFill>
                  <a:schemeClr val="accent2">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1-F4D4-4EE7-9014-8375BE2446A5}"/>
            </c:ext>
          </c:extLst>
        </c:ser>
        <c:ser>
          <c:idx val="8"/>
          <c:order val="8"/>
          <c:tx>
            <c:strRef>
              <c:f>'GISTM Consequences'!#REF!</c:f>
              <c:strCache>
                <c:ptCount val="1"/>
                <c:pt idx="0">
                  <c:v>#REF!</c:v>
                </c:pt>
              </c:strCache>
            </c:strRef>
          </c:tx>
          <c:spPr>
            <a:ln w="25400" cap="rnd">
              <a:noFill/>
              <a:round/>
            </a:ln>
            <a:effectLst/>
          </c:spPr>
          <c:marker>
            <c:symbol val="circle"/>
            <c:size val="15"/>
            <c:spPr>
              <a:solidFill>
                <a:schemeClr val="accent3">
                  <a:lumMod val="60000"/>
                </a:schemeClr>
              </a:solidFill>
              <a:ln w="9525">
                <a:solidFill>
                  <a:schemeClr val="accent3">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2-F4D4-4EE7-9014-8375BE2446A5}"/>
            </c:ext>
          </c:extLst>
        </c:ser>
        <c:ser>
          <c:idx val="9"/>
          <c:order val="9"/>
          <c:tx>
            <c:strRef>
              <c:f>'GISTM Consequences'!#REF!</c:f>
              <c:strCache>
                <c:ptCount val="1"/>
                <c:pt idx="0">
                  <c:v>#REF!</c:v>
                </c:pt>
              </c:strCache>
            </c:strRef>
          </c:tx>
          <c:spPr>
            <a:ln w="25400" cap="rnd">
              <a:noFill/>
              <a:round/>
            </a:ln>
            <a:effectLst/>
          </c:spPr>
          <c:marker>
            <c:symbol val="circle"/>
            <c:size val="15"/>
            <c:spPr>
              <a:solidFill>
                <a:schemeClr val="accent4">
                  <a:lumMod val="60000"/>
                </a:schemeClr>
              </a:solidFill>
              <a:ln w="9525">
                <a:solidFill>
                  <a:schemeClr val="accent4">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3-F4D4-4EE7-9014-8375BE2446A5}"/>
            </c:ext>
          </c:extLst>
        </c:ser>
        <c:ser>
          <c:idx val="10"/>
          <c:order val="10"/>
          <c:tx>
            <c:strRef>
              <c:f>'GISTM Consequences'!#REF!</c:f>
              <c:strCache>
                <c:ptCount val="1"/>
                <c:pt idx="0">
                  <c:v>#REF!</c:v>
                </c:pt>
              </c:strCache>
            </c:strRef>
          </c:tx>
          <c:spPr>
            <a:ln w="25400" cap="rnd">
              <a:noFill/>
              <a:round/>
            </a:ln>
            <a:effectLst/>
          </c:spPr>
          <c:marker>
            <c:symbol val="circle"/>
            <c:size val="15"/>
            <c:spPr>
              <a:solidFill>
                <a:schemeClr val="accent5">
                  <a:lumMod val="60000"/>
                </a:schemeClr>
              </a:solidFill>
              <a:ln w="9525">
                <a:solidFill>
                  <a:schemeClr val="accent5">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4-F4D4-4EE7-9014-8375BE2446A5}"/>
            </c:ext>
          </c:extLst>
        </c:ser>
        <c:dLbls>
          <c:showLegendKey val="0"/>
          <c:showVal val="0"/>
          <c:showCatName val="0"/>
          <c:showSerName val="0"/>
          <c:showPercent val="0"/>
          <c:showBubbleSize val="0"/>
        </c:dLbls>
        <c:axId val="1459482096"/>
        <c:axId val="1459487504"/>
      </c:scatterChart>
      <c:valAx>
        <c:axId val="1459482096"/>
        <c:scaling>
          <c:orientation val="minMax"/>
          <c:max val="5"/>
        </c:scaling>
        <c:delete val="1"/>
        <c:axPos val="b"/>
        <c:majorGridlines>
          <c:spPr>
            <a:ln w="9525" cap="flat" cmpd="sng" algn="ctr">
              <a:solidFill>
                <a:schemeClr val="bg1">
                  <a:lumMod val="65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GISTM Consequence Category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cs-CZ"/>
            </a:p>
          </c:txPr>
        </c:title>
        <c:numFmt formatCode="General" sourceLinked="1"/>
        <c:majorTickMark val="none"/>
        <c:minorTickMark val="none"/>
        <c:tickLblPos val="nextTo"/>
        <c:crossAx val="1459487504"/>
        <c:crosses val="autoZero"/>
        <c:crossBetween val="midCat"/>
        <c:majorUnit val="1"/>
      </c:valAx>
      <c:valAx>
        <c:axId val="1459487504"/>
        <c:scaling>
          <c:logBase val="10"/>
          <c:orientation val="minMax"/>
          <c:max val="1.0000000000000002E-2"/>
          <c:min val="1.0000000000000005E-9"/>
        </c:scaling>
        <c:delete val="0"/>
        <c:axPos val="l"/>
        <c:majorGridlines>
          <c:spPr>
            <a:ln w="9525" cap="flat" cmpd="sng" algn="ctr">
              <a:solidFill>
                <a:schemeClr val="bg1">
                  <a:lumMod val="50000"/>
                </a:schemeClr>
              </a:solidFill>
              <a:round/>
            </a:ln>
            <a:effectLst/>
          </c:spPr>
        </c:majorGridlines>
        <c:minorGridlines>
          <c:spPr>
            <a:ln w="9525" cap="flat" cmpd="sng" algn="ctr">
              <a:solidFill>
                <a:schemeClr val="bg1">
                  <a:lumMod val="65000"/>
                </a:schemeClr>
              </a:solidFill>
              <a:round/>
            </a:ln>
            <a:effectLst/>
          </c:spPr>
        </c:min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PoF (AEP)</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cs-CZ"/>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cs-CZ"/>
          </a:p>
        </c:txPr>
        <c:crossAx val="1459482096"/>
        <c:crosses val="autoZero"/>
        <c:crossBetween val="midCat"/>
      </c:valAx>
      <c:valAx>
        <c:axId val="929604688"/>
        <c:scaling>
          <c:logBase val="10"/>
          <c:orientation val="minMax"/>
        </c:scaling>
        <c:delete val="1"/>
        <c:axPos val="l"/>
        <c:numFmt formatCode="General" sourceLinked="1"/>
        <c:majorTickMark val="out"/>
        <c:minorTickMark val="none"/>
        <c:tickLblPos val="nextTo"/>
        <c:crossAx val="929605104"/>
        <c:crossesAt val="5"/>
        <c:crossBetween val="between"/>
      </c:valAx>
      <c:catAx>
        <c:axId val="929605104"/>
        <c:scaling>
          <c:orientation val="minMax"/>
        </c:scaling>
        <c:delete val="0"/>
        <c:axPos val="t"/>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cs-CZ"/>
          </a:p>
        </c:txPr>
        <c:crossAx val="929604688"/>
        <c:crosses val="max"/>
        <c:auto val="1"/>
        <c:lblAlgn val="ctr"/>
        <c:lblOffset val="100"/>
        <c:noMultiLvlLbl val="0"/>
      </c:cat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cs-CZ"/>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35697212156513"/>
          <c:y val="0.1817550535962128"/>
          <c:w val="0.86372375493861009"/>
          <c:h val="0.73282393536543877"/>
        </c:manualLayout>
      </c:layout>
      <c:barChart>
        <c:barDir val="col"/>
        <c:grouping val="clustered"/>
        <c:varyColors val="0"/>
        <c:ser>
          <c:idx val="3"/>
          <c:order val="0"/>
          <c:tx>
            <c:v>GISTM Consequence Ratings</c:v>
          </c:tx>
          <c:spPr>
            <a:solidFill>
              <a:schemeClr val="accent4"/>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CFBE-4908-A7C3-03D80FAE91E1}"/>
              </c:ext>
            </c:extLst>
          </c:dPt>
          <c:dPt>
            <c:idx val="1"/>
            <c:invertIfNegative val="0"/>
            <c:bubble3D val="0"/>
            <c:spPr>
              <a:solidFill>
                <a:srgbClr val="00B0F0"/>
              </a:solidFill>
              <a:ln>
                <a:noFill/>
              </a:ln>
              <a:effectLst/>
            </c:spPr>
            <c:extLst>
              <c:ext xmlns:c16="http://schemas.microsoft.com/office/drawing/2014/chart" uri="{C3380CC4-5D6E-409C-BE32-E72D297353CC}">
                <c16:uniqueId val="{00000003-CFBE-4908-A7C3-03D80FAE91E1}"/>
              </c:ext>
            </c:extLst>
          </c:dPt>
          <c:dPt>
            <c:idx val="2"/>
            <c:invertIfNegative val="0"/>
            <c:bubble3D val="0"/>
            <c:spPr>
              <a:solidFill>
                <a:srgbClr val="FFC000"/>
              </a:solidFill>
              <a:ln>
                <a:noFill/>
              </a:ln>
              <a:effectLst/>
            </c:spPr>
            <c:extLst>
              <c:ext xmlns:c16="http://schemas.microsoft.com/office/drawing/2014/chart" uri="{C3380CC4-5D6E-409C-BE32-E72D297353CC}">
                <c16:uniqueId val="{00000005-CFBE-4908-A7C3-03D80FAE91E1}"/>
              </c:ext>
            </c:extLst>
          </c:dPt>
          <c:dPt>
            <c:idx val="3"/>
            <c:invertIfNegative val="0"/>
            <c:bubble3D val="0"/>
            <c:spPr>
              <a:solidFill>
                <a:srgbClr val="FF0000"/>
              </a:solidFill>
              <a:ln>
                <a:noFill/>
              </a:ln>
              <a:effectLst/>
            </c:spPr>
            <c:extLst>
              <c:ext xmlns:c16="http://schemas.microsoft.com/office/drawing/2014/chart" uri="{C3380CC4-5D6E-409C-BE32-E72D297353CC}">
                <c16:uniqueId val="{00000007-CFBE-4908-A7C3-03D80FAE91E1}"/>
              </c:ext>
            </c:extLst>
          </c:dPt>
          <c:dPt>
            <c:idx val="4"/>
            <c:invertIfNegative val="0"/>
            <c:bubble3D val="0"/>
            <c:spPr>
              <a:solidFill>
                <a:srgbClr val="7030A0"/>
              </a:solidFill>
              <a:ln>
                <a:noFill/>
              </a:ln>
              <a:effectLst/>
            </c:spPr>
            <c:extLst>
              <c:ext xmlns:c16="http://schemas.microsoft.com/office/drawing/2014/chart" uri="{C3380CC4-5D6E-409C-BE32-E72D297353CC}">
                <c16:uniqueId val="{00000009-CFBE-4908-A7C3-03D80FAE91E1}"/>
              </c:ext>
            </c:extLst>
          </c:dPt>
          <c:val>
            <c:numRef>
              <c:f>'GISTM Consequences'!#REF!</c:f>
              <c:numCache>
                <c:formatCode>General</c:formatCode>
                <c:ptCount val="1"/>
                <c:pt idx="0">
                  <c:v>1</c:v>
                </c:pt>
              </c:numCache>
            </c:numRef>
          </c:val>
          <c:extLst>
            <c:ext xmlns:c15="http://schemas.microsoft.com/office/drawing/2012/chart" uri="{02D57815-91ED-43cb-92C2-25804820EDAC}">
              <c15:filteredCategoryTitle>
                <c15:cat>
                  <c:strRef>
                    <c:extLst>
                      <c:ext uri="{02D57815-91ED-43cb-92C2-25804820EDAC}">
                        <c15:formulaRef>
                          <c15:sqref>'GISTM Consequences'!#REF!</c15:sqref>
                        </c15:formulaRef>
                      </c:ext>
                    </c:extLst>
                    <c:strCache>
                      <c:ptCount val="1"/>
                      <c:pt idx="0">
                        <c:v>#REF!</c:v>
                      </c:pt>
                    </c:strCache>
                  </c:strRef>
                </c15:cat>
              </c15:filteredCategoryTitle>
            </c:ext>
            <c:ext xmlns:c16="http://schemas.microsoft.com/office/drawing/2014/chart" uri="{C3380CC4-5D6E-409C-BE32-E72D297353CC}">
              <c16:uniqueId val="{0000000A-CFBE-4908-A7C3-03D80FAE91E1}"/>
            </c:ext>
          </c:extLst>
        </c:ser>
        <c:dLbls>
          <c:showLegendKey val="0"/>
          <c:showVal val="0"/>
          <c:showCatName val="0"/>
          <c:showSerName val="0"/>
          <c:showPercent val="0"/>
          <c:showBubbleSize val="0"/>
        </c:dLbls>
        <c:gapWidth val="0"/>
        <c:axId val="929605104"/>
        <c:axId val="929604688"/>
      </c:barChart>
      <c:scatterChart>
        <c:scatterStyle val="lineMarker"/>
        <c:varyColors val="0"/>
        <c:ser>
          <c:idx val="0"/>
          <c:order val="1"/>
          <c:tx>
            <c:strRef>
              <c:f>'GISTM Consequences'!#REF!</c:f>
              <c:strCache>
                <c:ptCount val="1"/>
                <c:pt idx="0">
                  <c:v>#REF!</c:v>
                </c:pt>
              </c:strCache>
            </c:strRef>
          </c:tx>
          <c:spPr>
            <a:ln w="25400" cap="rnd">
              <a:noFill/>
              <a:round/>
            </a:ln>
            <a:effectLst/>
          </c:spPr>
          <c:marker>
            <c:symbol val="circle"/>
            <c:size val="10"/>
            <c:spPr>
              <a:solidFill>
                <a:schemeClr val="accent1"/>
              </a:solidFill>
              <a:ln w="9525">
                <a:solidFill>
                  <a:schemeClr val="accent1"/>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B-CFBE-4908-A7C3-03D80FAE91E1}"/>
            </c:ext>
          </c:extLst>
        </c:ser>
        <c:ser>
          <c:idx val="1"/>
          <c:order val="2"/>
          <c:tx>
            <c:strRef>
              <c:f>'GISTM Consequences'!#REF!</c:f>
              <c:strCache>
                <c:ptCount val="1"/>
                <c:pt idx="0">
                  <c:v>#REF!</c:v>
                </c:pt>
              </c:strCache>
            </c:strRef>
          </c:tx>
          <c:spPr>
            <a:ln w="25400" cap="rnd">
              <a:noFill/>
              <a:round/>
            </a:ln>
            <a:effectLst/>
          </c:spPr>
          <c:marker>
            <c:symbol val="circle"/>
            <c:size val="10"/>
            <c:spPr>
              <a:solidFill>
                <a:schemeClr val="accent2"/>
              </a:solidFill>
              <a:ln w="9525">
                <a:solidFill>
                  <a:schemeClr val="accent2"/>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C-CFBE-4908-A7C3-03D80FAE91E1}"/>
            </c:ext>
          </c:extLst>
        </c:ser>
        <c:ser>
          <c:idx val="2"/>
          <c:order val="3"/>
          <c:tx>
            <c:strRef>
              <c:f>'GISTM Consequences'!#REF!</c:f>
              <c:strCache>
                <c:ptCount val="1"/>
                <c:pt idx="0">
                  <c:v>#REF!</c:v>
                </c:pt>
              </c:strCache>
            </c:strRef>
          </c:tx>
          <c:spPr>
            <a:ln w="25400" cap="rnd">
              <a:noFill/>
              <a:round/>
            </a:ln>
            <a:effectLst/>
          </c:spPr>
          <c:marker>
            <c:symbol val="circle"/>
            <c:size val="10"/>
            <c:spPr>
              <a:solidFill>
                <a:schemeClr val="accent3"/>
              </a:solidFill>
              <a:ln w="9525">
                <a:solidFill>
                  <a:schemeClr val="accent3"/>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D-CFBE-4908-A7C3-03D80FAE91E1}"/>
            </c:ext>
          </c:extLst>
        </c:ser>
        <c:ser>
          <c:idx val="4"/>
          <c:order val="4"/>
          <c:tx>
            <c:strRef>
              <c:f>'GISTM Consequences'!#REF!</c:f>
              <c:strCache>
                <c:ptCount val="1"/>
                <c:pt idx="0">
                  <c:v>#REF!</c:v>
                </c:pt>
              </c:strCache>
            </c:strRef>
          </c:tx>
          <c:spPr>
            <a:ln w="25400" cap="rnd">
              <a:noFill/>
              <a:round/>
            </a:ln>
            <a:effectLst/>
          </c:spPr>
          <c:marker>
            <c:symbol val="circle"/>
            <c:size val="10"/>
            <c:spPr>
              <a:solidFill>
                <a:schemeClr val="accent5"/>
              </a:solidFill>
              <a:ln w="9525">
                <a:solidFill>
                  <a:schemeClr val="accent5"/>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E-CFBE-4908-A7C3-03D80FAE91E1}"/>
            </c:ext>
          </c:extLst>
        </c:ser>
        <c:ser>
          <c:idx val="5"/>
          <c:order val="5"/>
          <c:tx>
            <c:strRef>
              <c:f>'GISTM Consequences'!#REF!</c:f>
              <c:strCache>
                <c:ptCount val="1"/>
                <c:pt idx="0">
                  <c:v>#REF!</c:v>
                </c:pt>
              </c:strCache>
            </c:strRef>
          </c:tx>
          <c:spPr>
            <a:ln w="25400" cap="rnd">
              <a:noFill/>
              <a:round/>
            </a:ln>
            <a:effectLst/>
          </c:spPr>
          <c:marker>
            <c:symbol val="circle"/>
            <c:size val="10"/>
            <c:spPr>
              <a:solidFill>
                <a:schemeClr val="accent6"/>
              </a:solidFill>
              <a:ln w="9525">
                <a:solidFill>
                  <a:schemeClr val="accent6"/>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F-CFBE-4908-A7C3-03D80FAE91E1}"/>
            </c:ext>
          </c:extLst>
        </c:ser>
        <c:ser>
          <c:idx val="6"/>
          <c:order val="6"/>
          <c:tx>
            <c:strRef>
              <c:f>'GISTM Consequences'!#REF!</c:f>
              <c:strCache>
                <c:ptCount val="1"/>
                <c:pt idx="0">
                  <c:v>#REF!</c:v>
                </c:pt>
              </c:strCache>
            </c:strRef>
          </c:tx>
          <c:spPr>
            <a:ln w="25400" cap="rnd">
              <a:noFill/>
              <a:round/>
            </a:ln>
            <a:effectLst/>
          </c:spPr>
          <c:marker>
            <c:symbol val="circle"/>
            <c:size val="10"/>
            <c:spPr>
              <a:solidFill>
                <a:schemeClr val="accent1">
                  <a:lumMod val="60000"/>
                </a:schemeClr>
              </a:solidFill>
              <a:ln w="9525">
                <a:solidFill>
                  <a:schemeClr val="accent1">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0-CFBE-4908-A7C3-03D80FAE91E1}"/>
            </c:ext>
          </c:extLst>
        </c:ser>
        <c:ser>
          <c:idx val="7"/>
          <c:order val="7"/>
          <c:tx>
            <c:strRef>
              <c:f>'GISTM Consequences'!#REF!</c:f>
              <c:strCache>
                <c:ptCount val="1"/>
                <c:pt idx="0">
                  <c:v>#REF!</c:v>
                </c:pt>
              </c:strCache>
            </c:strRef>
          </c:tx>
          <c:spPr>
            <a:ln w="25400" cap="rnd">
              <a:noFill/>
              <a:round/>
            </a:ln>
            <a:effectLst/>
          </c:spPr>
          <c:marker>
            <c:symbol val="circle"/>
            <c:size val="10"/>
            <c:spPr>
              <a:solidFill>
                <a:schemeClr val="accent2">
                  <a:lumMod val="60000"/>
                </a:schemeClr>
              </a:solidFill>
              <a:ln w="9525">
                <a:solidFill>
                  <a:schemeClr val="accent2">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1-CFBE-4908-A7C3-03D80FAE91E1}"/>
            </c:ext>
          </c:extLst>
        </c:ser>
        <c:ser>
          <c:idx val="8"/>
          <c:order val="8"/>
          <c:tx>
            <c:strRef>
              <c:f>'GISTM Consequences'!#REF!</c:f>
              <c:strCache>
                <c:ptCount val="1"/>
                <c:pt idx="0">
                  <c:v>#REF!</c:v>
                </c:pt>
              </c:strCache>
            </c:strRef>
          </c:tx>
          <c:spPr>
            <a:ln w="25400" cap="rnd">
              <a:noFill/>
              <a:round/>
            </a:ln>
            <a:effectLst/>
          </c:spPr>
          <c:marker>
            <c:symbol val="circle"/>
            <c:size val="10"/>
            <c:spPr>
              <a:solidFill>
                <a:schemeClr val="accent3">
                  <a:lumMod val="60000"/>
                </a:schemeClr>
              </a:solidFill>
              <a:ln w="9525">
                <a:solidFill>
                  <a:schemeClr val="accent3">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2-CFBE-4908-A7C3-03D80FAE91E1}"/>
            </c:ext>
          </c:extLst>
        </c:ser>
        <c:ser>
          <c:idx val="9"/>
          <c:order val="9"/>
          <c:tx>
            <c:strRef>
              <c:f>'GISTM Consequences'!#REF!</c:f>
              <c:strCache>
                <c:ptCount val="1"/>
                <c:pt idx="0">
                  <c:v>#REF!</c:v>
                </c:pt>
              </c:strCache>
            </c:strRef>
          </c:tx>
          <c:spPr>
            <a:ln w="25400" cap="rnd">
              <a:noFill/>
              <a:round/>
            </a:ln>
            <a:effectLst/>
          </c:spPr>
          <c:marker>
            <c:symbol val="circle"/>
            <c:size val="10"/>
            <c:spPr>
              <a:solidFill>
                <a:schemeClr val="accent4">
                  <a:lumMod val="60000"/>
                </a:schemeClr>
              </a:solidFill>
              <a:ln w="9525">
                <a:solidFill>
                  <a:schemeClr val="accent4">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3-CFBE-4908-A7C3-03D80FAE91E1}"/>
            </c:ext>
          </c:extLst>
        </c:ser>
        <c:ser>
          <c:idx val="10"/>
          <c:order val="10"/>
          <c:tx>
            <c:strRef>
              <c:f>'GISTM Consequences'!#REF!</c:f>
              <c:strCache>
                <c:ptCount val="1"/>
                <c:pt idx="0">
                  <c:v>#REF!</c:v>
                </c:pt>
              </c:strCache>
            </c:strRef>
          </c:tx>
          <c:spPr>
            <a:ln w="25400" cap="rnd">
              <a:noFill/>
              <a:round/>
            </a:ln>
            <a:effectLst/>
          </c:spPr>
          <c:marker>
            <c:symbol val="circle"/>
            <c:size val="10"/>
            <c:spPr>
              <a:solidFill>
                <a:schemeClr val="accent5">
                  <a:lumMod val="60000"/>
                </a:schemeClr>
              </a:solidFill>
              <a:ln w="9525">
                <a:solidFill>
                  <a:schemeClr val="accent5">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4-CFBE-4908-A7C3-03D80FAE91E1}"/>
            </c:ext>
          </c:extLst>
        </c:ser>
        <c:dLbls>
          <c:showLegendKey val="0"/>
          <c:showVal val="0"/>
          <c:showCatName val="0"/>
          <c:showSerName val="0"/>
          <c:showPercent val="0"/>
          <c:showBubbleSize val="0"/>
        </c:dLbls>
        <c:axId val="1459482096"/>
        <c:axId val="1459487504"/>
      </c:scatterChart>
      <c:valAx>
        <c:axId val="1459482096"/>
        <c:scaling>
          <c:orientation val="minMax"/>
          <c:max val="5"/>
        </c:scaling>
        <c:delete val="1"/>
        <c:axPos val="b"/>
        <c:majorGridlines>
          <c:spPr>
            <a:ln w="9525" cap="flat" cmpd="sng" algn="ctr">
              <a:solidFill>
                <a:schemeClr val="bg1">
                  <a:lumMod val="65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GISTM Consequence Category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cs-CZ"/>
            </a:p>
          </c:txPr>
        </c:title>
        <c:numFmt formatCode="General" sourceLinked="1"/>
        <c:majorTickMark val="none"/>
        <c:minorTickMark val="none"/>
        <c:tickLblPos val="nextTo"/>
        <c:crossAx val="1459487504"/>
        <c:crosses val="autoZero"/>
        <c:crossBetween val="midCat"/>
        <c:majorUnit val="1"/>
      </c:valAx>
      <c:valAx>
        <c:axId val="1459487504"/>
        <c:scaling>
          <c:logBase val="10"/>
          <c:orientation val="minMax"/>
          <c:max val="1.0000000000000002E-2"/>
          <c:min val="1.0000000000000005E-9"/>
        </c:scaling>
        <c:delete val="0"/>
        <c:axPos val="l"/>
        <c:majorGridlines>
          <c:spPr>
            <a:ln w="9525" cap="flat" cmpd="sng" algn="ctr">
              <a:solidFill>
                <a:schemeClr val="bg1">
                  <a:lumMod val="50000"/>
                </a:schemeClr>
              </a:solidFill>
              <a:round/>
            </a:ln>
            <a:effectLst/>
          </c:spPr>
        </c:majorGridlines>
        <c:minorGridlines>
          <c:spPr>
            <a:ln w="9525" cap="flat" cmpd="sng" algn="ctr">
              <a:solidFill>
                <a:schemeClr val="bg1">
                  <a:lumMod val="65000"/>
                </a:schemeClr>
              </a:solidFill>
              <a:round/>
            </a:ln>
            <a:effectLst/>
          </c:spPr>
        </c:min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PoF (AEP)</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cs-CZ"/>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cs-CZ"/>
          </a:p>
        </c:txPr>
        <c:crossAx val="1459482096"/>
        <c:crosses val="autoZero"/>
        <c:crossBetween val="midCat"/>
      </c:valAx>
      <c:valAx>
        <c:axId val="929604688"/>
        <c:scaling>
          <c:logBase val="10"/>
          <c:orientation val="minMax"/>
        </c:scaling>
        <c:delete val="1"/>
        <c:axPos val="l"/>
        <c:numFmt formatCode="General" sourceLinked="1"/>
        <c:majorTickMark val="out"/>
        <c:minorTickMark val="none"/>
        <c:tickLblPos val="nextTo"/>
        <c:crossAx val="929605104"/>
        <c:crossesAt val="5"/>
        <c:crossBetween val="between"/>
      </c:valAx>
      <c:catAx>
        <c:axId val="929605104"/>
        <c:scaling>
          <c:orientation val="minMax"/>
        </c:scaling>
        <c:delete val="0"/>
        <c:axPos val="t"/>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cs-CZ"/>
          </a:p>
        </c:txPr>
        <c:crossAx val="929604688"/>
        <c:crosses val="max"/>
        <c:auto val="1"/>
        <c:lblAlgn val="ctr"/>
        <c:lblOffset val="100"/>
        <c:noMultiLvlLbl val="0"/>
      </c:catAx>
      <c:spPr>
        <a:noFill/>
        <a:ln>
          <a:noFill/>
        </a:ln>
        <a:effectLst/>
      </c:spPr>
    </c:plotArea>
    <c:legend>
      <c:legendPos val="t"/>
      <c:legendEntry>
        <c:idx val="0"/>
        <c:delete val="1"/>
      </c:legendEntry>
      <c:layout>
        <c:manualLayout>
          <c:xMode val="edge"/>
          <c:yMode val="edge"/>
          <c:x val="0.1253189027630206"/>
          <c:y val="9.8444791915227921E-3"/>
          <c:w val="0.86066261664206134"/>
          <c:h val="0.1558353925563593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cs-CZ"/>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35697212156513"/>
          <c:y val="0.18293233967742467"/>
          <c:w val="0.86372375493861009"/>
          <c:h val="0.72093043860170947"/>
        </c:manualLayout>
      </c:layout>
      <c:barChart>
        <c:barDir val="col"/>
        <c:grouping val="clustered"/>
        <c:varyColors val="0"/>
        <c:ser>
          <c:idx val="3"/>
          <c:order val="0"/>
          <c:tx>
            <c:v>GISTM Consequence Ratings</c:v>
          </c:tx>
          <c:spPr>
            <a:solidFill>
              <a:schemeClr val="accent4"/>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66F2-4A44-9523-310EC9EC417C}"/>
              </c:ext>
            </c:extLst>
          </c:dPt>
          <c:dPt>
            <c:idx val="1"/>
            <c:invertIfNegative val="0"/>
            <c:bubble3D val="0"/>
            <c:spPr>
              <a:solidFill>
                <a:srgbClr val="00B0F0"/>
              </a:solidFill>
              <a:ln>
                <a:noFill/>
              </a:ln>
              <a:effectLst/>
            </c:spPr>
            <c:extLst>
              <c:ext xmlns:c16="http://schemas.microsoft.com/office/drawing/2014/chart" uri="{C3380CC4-5D6E-409C-BE32-E72D297353CC}">
                <c16:uniqueId val="{00000003-66F2-4A44-9523-310EC9EC417C}"/>
              </c:ext>
            </c:extLst>
          </c:dPt>
          <c:dPt>
            <c:idx val="2"/>
            <c:invertIfNegative val="0"/>
            <c:bubble3D val="0"/>
            <c:spPr>
              <a:solidFill>
                <a:srgbClr val="FFC000"/>
              </a:solidFill>
              <a:ln>
                <a:noFill/>
              </a:ln>
              <a:effectLst/>
            </c:spPr>
            <c:extLst>
              <c:ext xmlns:c16="http://schemas.microsoft.com/office/drawing/2014/chart" uri="{C3380CC4-5D6E-409C-BE32-E72D297353CC}">
                <c16:uniqueId val="{00000005-66F2-4A44-9523-310EC9EC417C}"/>
              </c:ext>
            </c:extLst>
          </c:dPt>
          <c:dPt>
            <c:idx val="3"/>
            <c:invertIfNegative val="0"/>
            <c:bubble3D val="0"/>
            <c:spPr>
              <a:solidFill>
                <a:srgbClr val="FF0000"/>
              </a:solidFill>
              <a:ln>
                <a:noFill/>
              </a:ln>
              <a:effectLst/>
            </c:spPr>
            <c:extLst>
              <c:ext xmlns:c16="http://schemas.microsoft.com/office/drawing/2014/chart" uri="{C3380CC4-5D6E-409C-BE32-E72D297353CC}">
                <c16:uniqueId val="{00000007-66F2-4A44-9523-310EC9EC417C}"/>
              </c:ext>
            </c:extLst>
          </c:dPt>
          <c:dPt>
            <c:idx val="4"/>
            <c:invertIfNegative val="0"/>
            <c:bubble3D val="0"/>
            <c:spPr>
              <a:solidFill>
                <a:srgbClr val="7030A0"/>
              </a:solidFill>
              <a:ln>
                <a:noFill/>
              </a:ln>
              <a:effectLst/>
            </c:spPr>
            <c:extLst>
              <c:ext xmlns:c16="http://schemas.microsoft.com/office/drawing/2014/chart" uri="{C3380CC4-5D6E-409C-BE32-E72D297353CC}">
                <c16:uniqueId val="{00000009-66F2-4A44-9523-310EC9EC417C}"/>
              </c:ext>
            </c:extLst>
          </c:dPt>
          <c:val>
            <c:numRef>
              <c:f>'GISTM Consequences'!#REF!</c:f>
              <c:numCache>
                <c:formatCode>General</c:formatCode>
                <c:ptCount val="1"/>
                <c:pt idx="0">
                  <c:v>1</c:v>
                </c:pt>
              </c:numCache>
            </c:numRef>
          </c:val>
          <c:extLst>
            <c:ext xmlns:c15="http://schemas.microsoft.com/office/drawing/2012/chart" uri="{02D57815-91ED-43cb-92C2-25804820EDAC}">
              <c15:filteredCategoryTitle>
                <c15:cat>
                  <c:strRef>
                    <c:extLst>
                      <c:ext uri="{02D57815-91ED-43cb-92C2-25804820EDAC}">
                        <c15:formulaRef>
                          <c15:sqref>'GISTM Consequences'!#REF!</c15:sqref>
                        </c15:formulaRef>
                      </c:ext>
                    </c:extLst>
                    <c:strCache>
                      <c:ptCount val="1"/>
                      <c:pt idx="0">
                        <c:v>#REF!</c:v>
                      </c:pt>
                    </c:strCache>
                  </c:strRef>
                </c15:cat>
              </c15:filteredCategoryTitle>
            </c:ext>
            <c:ext xmlns:c16="http://schemas.microsoft.com/office/drawing/2014/chart" uri="{C3380CC4-5D6E-409C-BE32-E72D297353CC}">
              <c16:uniqueId val="{0000000A-66F2-4A44-9523-310EC9EC417C}"/>
            </c:ext>
          </c:extLst>
        </c:ser>
        <c:dLbls>
          <c:showLegendKey val="0"/>
          <c:showVal val="0"/>
          <c:showCatName val="0"/>
          <c:showSerName val="0"/>
          <c:showPercent val="0"/>
          <c:showBubbleSize val="0"/>
        </c:dLbls>
        <c:gapWidth val="0"/>
        <c:axId val="929605104"/>
        <c:axId val="929604688"/>
      </c:barChart>
      <c:scatterChart>
        <c:scatterStyle val="lineMarker"/>
        <c:varyColors val="0"/>
        <c:ser>
          <c:idx val="0"/>
          <c:order val="1"/>
          <c:tx>
            <c:strRef>
              <c:f>'GISTM Consequences'!#REF!</c:f>
              <c:strCache>
                <c:ptCount val="1"/>
                <c:pt idx="0">
                  <c:v>#REF!</c:v>
                </c:pt>
              </c:strCache>
            </c:strRef>
          </c:tx>
          <c:spPr>
            <a:ln w="25400" cap="rnd">
              <a:noFill/>
              <a:round/>
            </a:ln>
            <a:effectLst/>
          </c:spPr>
          <c:marker>
            <c:symbol val="circle"/>
            <c:size val="10"/>
            <c:spPr>
              <a:solidFill>
                <a:schemeClr val="accent1"/>
              </a:solidFill>
              <a:ln w="9525">
                <a:solidFill>
                  <a:schemeClr val="accent1"/>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B-66F2-4A44-9523-310EC9EC417C}"/>
            </c:ext>
          </c:extLst>
        </c:ser>
        <c:ser>
          <c:idx val="1"/>
          <c:order val="2"/>
          <c:tx>
            <c:strRef>
              <c:f>'GISTM Consequences'!#REF!</c:f>
              <c:strCache>
                <c:ptCount val="1"/>
                <c:pt idx="0">
                  <c:v>#REF!</c:v>
                </c:pt>
              </c:strCache>
            </c:strRef>
          </c:tx>
          <c:spPr>
            <a:ln w="25400" cap="rnd">
              <a:noFill/>
              <a:round/>
            </a:ln>
            <a:effectLst/>
          </c:spPr>
          <c:marker>
            <c:symbol val="circle"/>
            <c:size val="10"/>
            <c:spPr>
              <a:solidFill>
                <a:schemeClr val="accent2"/>
              </a:solidFill>
              <a:ln w="9525">
                <a:solidFill>
                  <a:schemeClr val="accent2"/>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C-66F2-4A44-9523-310EC9EC417C}"/>
            </c:ext>
          </c:extLst>
        </c:ser>
        <c:ser>
          <c:idx val="2"/>
          <c:order val="3"/>
          <c:tx>
            <c:strRef>
              <c:f>'GISTM Consequences'!#REF!</c:f>
              <c:strCache>
                <c:ptCount val="1"/>
                <c:pt idx="0">
                  <c:v>#REF!</c:v>
                </c:pt>
              </c:strCache>
            </c:strRef>
          </c:tx>
          <c:spPr>
            <a:ln w="25400" cap="rnd">
              <a:noFill/>
              <a:round/>
            </a:ln>
            <a:effectLst/>
          </c:spPr>
          <c:marker>
            <c:symbol val="circle"/>
            <c:size val="10"/>
            <c:spPr>
              <a:solidFill>
                <a:schemeClr val="accent3"/>
              </a:solidFill>
              <a:ln w="9525">
                <a:solidFill>
                  <a:schemeClr val="accent3"/>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D-66F2-4A44-9523-310EC9EC417C}"/>
            </c:ext>
          </c:extLst>
        </c:ser>
        <c:ser>
          <c:idx val="4"/>
          <c:order val="4"/>
          <c:tx>
            <c:strRef>
              <c:f>'GISTM Consequences'!#REF!</c:f>
              <c:strCache>
                <c:ptCount val="1"/>
                <c:pt idx="0">
                  <c:v>#REF!</c:v>
                </c:pt>
              </c:strCache>
            </c:strRef>
          </c:tx>
          <c:spPr>
            <a:ln w="25400" cap="rnd">
              <a:noFill/>
              <a:round/>
            </a:ln>
            <a:effectLst/>
          </c:spPr>
          <c:marker>
            <c:symbol val="circle"/>
            <c:size val="10"/>
            <c:spPr>
              <a:solidFill>
                <a:schemeClr val="accent5"/>
              </a:solidFill>
              <a:ln w="9525">
                <a:solidFill>
                  <a:schemeClr val="accent5"/>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E-66F2-4A44-9523-310EC9EC417C}"/>
            </c:ext>
          </c:extLst>
        </c:ser>
        <c:ser>
          <c:idx val="5"/>
          <c:order val="5"/>
          <c:tx>
            <c:strRef>
              <c:f>'GISTM Consequences'!#REF!</c:f>
              <c:strCache>
                <c:ptCount val="1"/>
                <c:pt idx="0">
                  <c:v>#REF!</c:v>
                </c:pt>
              </c:strCache>
            </c:strRef>
          </c:tx>
          <c:spPr>
            <a:ln w="25400" cap="rnd">
              <a:noFill/>
              <a:round/>
            </a:ln>
            <a:effectLst/>
          </c:spPr>
          <c:marker>
            <c:symbol val="circle"/>
            <c:size val="10"/>
            <c:spPr>
              <a:solidFill>
                <a:schemeClr val="accent6"/>
              </a:solidFill>
              <a:ln w="9525">
                <a:solidFill>
                  <a:schemeClr val="accent6"/>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F-66F2-4A44-9523-310EC9EC417C}"/>
            </c:ext>
          </c:extLst>
        </c:ser>
        <c:ser>
          <c:idx val="6"/>
          <c:order val="6"/>
          <c:tx>
            <c:strRef>
              <c:f>'GISTM Consequences'!#REF!</c:f>
              <c:strCache>
                <c:ptCount val="1"/>
                <c:pt idx="0">
                  <c:v>#REF!</c:v>
                </c:pt>
              </c:strCache>
            </c:strRef>
          </c:tx>
          <c:spPr>
            <a:ln w="25400" cap="rnd">
              <a:noFill/>
              <a:round/>
            </a:ln>
            <a:effectLst/>
          </c:spPr>
          <c:marker>
            <c:symbol val="circle"/>
            <c:size val="10"/>
            <c:spPr>
              <a:solidFill>
                <a:schemeClr val="accent1">
                  <a:lumMod val="60000"/>
                </a:schemeClr>
              </a:solidFill>
              <a:ln w="9525">
                <a:solidFill>
                  <a:schemeClr val="accent1">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0-66F2-4A44-9523-310EC9EC417C}"/>
            </c:ext>
          </c:extLst>
        </c:ser>
        <c:ser>
          <c:idx val="7"/>
          <c:order val="7"/>
          <c:tx>
            <c:strRef>
              <c:f>'GISTM Consequences'!#REF!</c:f>
              <c:strCache>
                <c:ptCount val="1"/>
                <c:pt idx="0">
                  <c:v>#REF!</c:v>
                </c:pt>
              </c:strCache>
            </c:strRef>
          </c:tx>
          <c:spPr>
            <a:ln w="25400" cap="rnd">
              <a:noFill/>
              <a:round/>
            </a:ln>
            <a:effectLst/>
          </c:spPr>
          <c:marker>
            <c:symbol val="circle"/>
            <c:size val="10"/>
            <c:spPr>
              <a:solidFill>
                <a:schemeClr val="accent2">
                  <a:lumMod val="60000"/>
                </a:schemeClr>
              </a:solidFill>
              <a:ln w="9525">
                <a:solidFill>
                  <a:schemeClr val="accent2">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1-66F2-4A44-9523-310EC9EC417C}"/>
            </c:ext>
          </c:extLst>
        </c:ser>
        <c:ser>
          <c:idx val="8"/>
          <c:order val="8"/>
          <c:tx>
            <c:strRef>
              <c:f>'GISTM Consequences'!#REF!</c:f>
              <c:strCache>
                <c:ptCount val="1"/>
                <c:pt idx="0">
                  <c:v>#REF!</c:v>
                </c:pt>
              </c:strCache>
            </c:strRef>
          </c:tx>
          <c:spPr>
            <a:ln w="25400" cap="rnd">
              <a:noFill/>
              <a:round/>
            </a:ln>
            <a:effectLst/>
          </c:spPr>
          <c:marker>
            <c:symbol val="circle"/>
            <c:size val="10"/>
            <c:spPr>
              <a:solidFill>
                <a:schemeClr val="accent3">
                  <a:lumMod val="60000"/>
                </a:schemeClr>
              </a:solidFill>
              <a:ln w="9525">
                <a:solidFill>
                  <a:schemeClr val="accent3">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2-66F2-4A44-9523-310EC9EC417C}"/>
            </c:ext>
          </c:extLst>
        </c:ser>
        <c:ser>
          <c:idx val="9"/>
          <c:order val="9"/>
          <c:tx>
            <c:strRef>
              <c:f>'GISTM Consequences'!#REF!</c:f>
              <c:strCache>
                <c:ptCount val="1"/>
                <c:pt idx="0">
                  <c:v>#REF!</c:v>
                </c:pt>
              </c:strCache>
            </c:strRef>
          </c:tx>
          <c:spPr>
            <a:ln w="25400" cap="rnd">
              <a:noFill/>
              <a:round/>
            </a:ln>
            <a:effectLst/>
          </c:spPr>
          <c:marker>
            <c:symbol val="circle"/>
            <c:size val="10"/>
            <c:spPr>
              <a:solidFill>
                <a:schemeClr val="accent4">
                  <a:lumMod val="60000"/>
                </a:schemeClr>
              </a:solidFill>
              <a:ln w="9525">
                <a:solidFill>
                  <a:schemeClr val="accent4">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3-66F2-4A44-9523-310EC9EC417C}"/>
            </c:ext>
          </c:extLst>
        </c:ser>
        <c:ser>
          <c:idx val="10"/>
          <c:order val="10"/>
          <c:tx>
            <c:strRef>
              <c:f>'GISTM Consequences'!#REF!</c:f>
              <c:strCache>
                <c:ptCount val="1"/>
                <c:pt idx="0">
                  <c:v>#REF!</c:v>
                </c:pt>
              </c:strCache>
            </c:strRef>
          </c:tx>
          <c:spPr>
            <a:ln w="25400" cap="rnd">
              <a:noFill/>
              <a:round/>
            </a:ln>
            <a:effectLst/>
          </c:spPr>
          <c:marker>
            <c:symbol val="circle"/>
            <c:size val="10"/>
            <c:spPr>
              <a:solidFill>
                <a:schemeClr val="accent5">
                  <a:lumMod val="60000"/>
                </a:schemeClr>
              </a:solidFill>
              <a:ln w="9525">
                <a:solidFill>
                  <a:schemeClr val="accent5">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4-66F2-4A44-9523-310EC9EC417C}"/>
            </c:ext>
          </c:extLst>
        </c:ser>
        <c:dLbls>
          <c:showLegendKey val="0"/>
          <c:showVal val="0"/>
          <c:showCatName val="0"/>
          <c:showSerName val="0"/>
          <c:showPercent val="0"/>
          <c:showBubbleSize val="0"/>
        </c:dLbls>
        <c:axId val="1459482096"/>
        <c:axId val="1459487504"/>
      </c:scatterChart>
      <c:valAx>
        <c:axId val="1459482096"/>
        <c:scaling>
          <c:orientation val="minMax"/>
          <c:max val="5"/>
        </c:scaling>
        <c:delete val="1"/>
        <c:axPos val="b"/>
        <c:majorGridlines>
          <c:spPr>
            <a:ln w="9525" cap="flat" cmpd="sng" algn="ctr">
              <a:solidFill>
                <a:schemeClr val="bg1">
                  <a:lumMod val="65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GISTM Consequence Category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cs-CZ"/>
            </a:p>
          </c:txPr>
        </c:title>
        <c:numFmt formatCode="General" sourceLinked="1"/>
        <c:majorTickMark val="none"/>
        <c:minorTickMark val="none"/>
        <c:tickLblPos val="nextTo"/>
        <c:crossAx val="1459487504"/>
        <c:crosses val="autoZero"/>
        <c:crossBetween val="midCat"/>
        <c:majorUnit val="1"/>
      </c:valAx>
      <c:valAx>
        <c:axId val="1459487504"/>
        <c:scaling>
          <c:logBase val="10"/>
          <c:orientation val="minMax"/>
          <c:max val="1.0000000000000002E-2"/>
          <c:min val="1.0000000000000005E-9"/>
        </c:scaling>
        <c:delete val="0"/>
        <c:axPos val="l"/>
        <c:majorGridlines>
          <c:spPr>
            <a:ln w="9525" cap="flat" cmpd="sng" algn="ctr">
              <a:solidFill>
                <a:schemeClr val="bg1">
                  <a:lumMod val="50000"/>
                </a:schemeClr>
              </a:solidFill>
              <a:round/>
            </a:ln>
            <a:effectLst/>
          </c:spPr>
        </c:majorGridlines>
        <c:minorGridlines>
          <c:spPr>
            <a:ln w="9525" cap="flat" cmpd="sng" algn="ctr">
              <a:solidFill>
                <a:schemeClr val="bg1">
                  <a:lumMod val="65000"/>
                </a:schemeClr>
              </a:solidFill>
              <a:round/>
            </a:ln>
            <a:effectLst/>
          </c:spPr>
        </c:min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PoF (AEP)</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cs-CZ"/>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cs-CZ"/>
          </a:p>
        </c:txPr>
        <c:crossAx val="1459482096"/>
        <c:crosses val="autoZero"/>
        <c:crossBetween val="midCat"/>
      </c:valAx>
      <c:valAx>
        <c:axId val="929604688"/>
        <c:scaling>
          <c:logBase val="10"/>
          <c:orientation val="minMax"/>
        </c:scaling>
        <c:delete val="1"/>
        <c:axPos val="l"/>
        <c:numFmt formatCode="General" sourceLinked="1"/>
        <c:majorTickMark val="out"/>
        <c:minorTickMark val="none"/>
        <c:tickLblPos val="nextTo"/>
        <c:crossAx val="929605104"/>
        <c:crossesAt val="5"/>
        <c:crossBetween val="between"/>
      </c:valAx>
      <c:catAx>
        <c:axId val="929605104"/>
        <c:scaling>
          <c:orientation val="minMax"/>
        </c:scaling>
        <c:delete val="0"/>
        <c:axPos val="t"/>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cs-CZ"/>
          </a:p>
        </c:txPr>
        <c:crossAx val="929604688"/>
        <c:crosses val="max"/>
        <c:auto val="1"/>
        <c:lblAlgn val="ctr"/>
        <c:lblOffset val="100"/>
        <c:noMultiLvlLbl val="0"/>
      </c:cat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cs-CZ"/>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35697212156513"/>
          <c:y val="0.16706692601073606"/>
          <c:w val="0.86372375493861009"/>
          <c:h val="0.73679587647926681"/>
        </c:manualLayout>
      </c:layout>
      <c:barChart>
        <c:barDir val="col"/>
        <c:grouping val="clustered"/>
        <c:varyColors val="0"/>
        <c:ser>
          <c:idx val="3"/>
          <c:order val="0"/>
          <c:tx>
            <c:v>GISTM Consequence Ratings</c:v>
          </c:tx>
          <c:spPr>
            <a:solidFill>
              <a:schemeClr val="accent4"/>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A3B7-4178-93B0-00E0D1A03BAD}"/>
              </c:ext>
            </c:extLst>
          </c:dPt>
          <c:dPt>
            <c:idx val="1"/>
            <c:invertIfNegative val="0"/>
            <c:bubble3D val="0"/>
            <c:spPr>
              <a:solidFill>
                <a:srgbClr val="00B0F0"/>
              </a:solidFill>
              <a:ln>
                <a:noFill/>
              </a:ln>
              <a:effectLst/>
            </c:spPr>
            <c:extLst>
              <c:ext xmlns:c16="http://schemas.microsoft.com/office/drawing/2014/chart" uri="{C3380CC4-5D6E-409C-BE32-E72D297353CC}">
                <c16:uniqueId val="{00000003-A3B7-4178-93B0-00E0D1A03BAD}"/>
              </c:ext>
            </c:extLst>
          </c:dPt>
          <c:dPt>
            <c:idx val="2"/>
            <c:invertIfNegative val="0"/>
            <c:bubble3D val="0"/>
            <c:spPr>
              <a:solidFill>
                <a:srgbClr val="FFC000"/>
              </a:solidFill>
              <a:ln>
                <a:noFill/>
              </a:ln>
              <a:effectLst/>
            </c:spPr>
            <c:extLst>
              <c:ext xmlns:c16="http://schemas.microsoft.com/office/drawing/2014/chart" uri="{C3380CC4-5D6E-409C-BE32-E72D297353CC}">
                <c16:uniqueId val="{00000005-A3B7-4178-93B0-00E0D1A03BAD}"/>
              </c:ext>
            </c:extLst>
          </c:dPt>
          <c:dPt>
            <c:idx val="3"/>
            <c:invertIfNegative val="0"/>
            <c:bubble3D val="0"/>
            <c:spPr>
              <a:solidFill>
                <a:srgbClr val="FF0000"/>
              </a:solidFill>
              <a:ln>
                <a:noFill/>
              </a:ln>
              <a:effectLst/>
            </c:spPr>
            <c:extLst>
              <c:ext xmlns:c16="http://schemas.microsoft.com/office/drawing/2014/chart" uri="{C3380CC4-5D6E-409C-BE32-E72D297353CC}">
                <c16:uniqueId val="{00000007-A3B7-4178-93B0-00E0D1A03BAD}"/>
              </c:ext>
            </c:extLst>
          </c:dPt>
          <c:dPt>
            <c:idx val="4"/>
            <c:invertIfNegative val="0"/>
            <c:bubble3D val="0"/>
            <c:spPr>
              <a:solidFill>
                <a:srgbClr val="7030A0"/>
              </a:solidFill>
              <a:ln>
                <a:noFill/>
              </a:ln>
              <a:effectLst/>
            </c:spPr>
            <c:extLst>
              <c:ext xmlns:c16="http://schemas.microsoft.com/office/drawing/2014/chart" uri="{C3380CC4-5D6E-409C-BE32-E72D297353CC}">
                <c16:uniqueId val="{00000009-A3B7-4178-93B0-00E0D1A03BAD}"/>
              </c:ext>
            </c:extLst>
          </c:dPt>
          <c:val>
            <c:numRef>
              <c:f>'GISTM Consequences'!#REF!</c:f>
              <c:numCache>
                <c:formatCode>General</c:formatCode>
                <c:ptCount val="1"/>
                <c:pt idx="0">
                  <c:v>1</c:v>
                </c:pt>
              </c:numCache>
            </c:numRef>
          </c:val>
          <c:extLst>
            <c:ext xmlns:c15="http://schemas.microsoft.com/office/drawing/2012/chart" uri="{02D57815-91ED-43cb-92C2-25804820EDAC}">
              <c15:filteredCategoryTitle>
                <c15:cat>
                  <c:strRef>
                    <c:extLst>
                      <c:ext uri="{02D57815-91ED-43cb-92C2-25804820EDAC}">
                        <c15:formulaRef>
                          <c15:sqref>'GISTM Consequences'!#REF!</c15:sqref>
                        </c15:formulaRef>
                      </c:ext>
                    </c:extLst>
                    <c:strCache>
                      <c:ptCount val="1"/>
                      <c:pt idx="0">
                        <c:v>#REF!</c:v>
                      </c:pt>
                    </c:strCache>
                  </c:strRef>
                </c15:cat>
              </c15:filteredCategoryTitle>
            </c:ext>
            <c:ext xmlns:c16="http://schemas.microsoft.com/office/drawing/2014/chart" uri="{C3380CC4-5D6E-409C-BE32-E72D297353CC}">
              <c16:uniqueId val="{0000000A-A3B7-4178-93B0-00E0D1A03BAD}"/>
            </c:ext>
          </c:extLst>
        </c:ser>
        <c:dLbls>
          <c:showLegendKey val="0"/>
          <c:showVal val="0"/>
          <c:showCatName val="0"/>
          <c:showSerName val="0"/>
          <c:showPercent val="0"/>
          <c:showBubbleSize val="0"/>
        </c:dLbls>
        <c:gapWidth val="0"/>
        <c:axId val="929605104"/>
        <c:axId val="929604688"/>
      </c:barChart>
      <c:scatterChart>
        <c:scatterStyle val="lineMarker"/>
        <c:varyColors val="0"/>
        <c:ser>
          <c:idx val="0"/>
          <c:order val="1"/>
          <c:tx>
            <c:strRef>
              <c:f>'GISTM Consequences'!#REF!</c:f>
              <c:strCache>
                <c:ptCount val="1"/>
                <c:pt idx="0">
                  <c:v>#REF!</c:v>
                </c:pt>
              </c:strCache>
            </c:strRef>
          </c:tx>
          <c:spPr>
            <a:ln w="25400" cap="rnd">
              <a:noFill/>
              <a:round/>
            </a:ln>
            <a:effectLst/>
          </c:spPr>
          <c:marker>
            <c:symbol val="circle"/>
            <c:size val="10"/>
            <c:spPr>
              <a:solidFill>
                <a:schemeClr val="accent1"/>
              </a:solidFill>
              <a:ln w="9525">
                <a:solidFill>
                  <a:schemeClr val="accent1"/>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B-A3B7-4178-93B0-00E0D1A03BAD}"/>
            </c:ext>
          </c:extLst>
        </c:ser>
        <c:ser>
          <c:idx val="1"/>
          <c:order val="2"/>
          <c:tx>
            <c:strRef>
              <c:f>'GISTM Consequences'!#REF!</c:f>
              <c:strCache>
                <c:ptCount val="1"/>
                <c:pt idx="0">
                  <c:v>#REF!</c:v>
                </c:pt>
              </c:strCache>
            </c:strRef>
          </c:tx>
          <c:spPr>
            <a:ln w="25400" cap="rnd">
              <a:noFill/>
              <a:round/>
            </a:ln>
            <a:effectLst/>
          </c:spPr>
          <c:marker>
            <c:symbol val="circle"/>
            <c:size val="10"/>
            <c:spPr>
              <a:solidFill>
                <a:schemeClr val="accent2"/>
              </a:solidFill>
              <a:ln w="9525">
                <a:solidFill>
                  <a:schemeClr val="accent2"/>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C-A3B7-4178-93B0-00E0D1A03BAD}"/>
            </c:ext>
          </c:extLst>
        </c:ser>
        <c:ser>
          <c:idx val="2"/>
          <c:order val="3"/>
          <c:tx>
            <c:strRef>
              <c:f>'GISTM Consequences'!#REF!</c:f>
              <c:strCache>
                <c:ptCount val="1"/>
                <c:pt idx="0">
                  <c:v>#REF!</c:v>
                </c:pt>
              </c:strCache>
            </c:strRef>
          </c:tx>
          <c:spPr>
            <a:ln w="25400" cap="rnd">
              <a:noFill/>
              <a:round/>
            </a:ln>
            <a:effectLst/>
          </c:spPr>
          <c:marker>
            <c:symbol val="circle"/>
            <c:size val="10"/>
            <c:spPr>
              <a:solidFill>
                <a:schemeClr val="accent3"/>
              </a:solidFill>
              <a:ln w="9525">
                <a:solidFill>
                  <a:schemeClr val="accent3"/>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D-A3B7-4178-93B0-00E0D1A03BAD}"/>
            </c:ext>
          </c:extLst>
        </c:ser>
        <c:ser>
          <c:idx val="4"/>
          <c:order val="4"/>
          <c:tx>
            <c:strRef>
              <c:f>'GISTM Consequences'!#REF!</c:f>
              <c:strCache>
                <c:ptCount val="1"/>
                <c:pt idx="0">
                  <c:v>#REF!</c:v>
                </c:pt>
              </c:strCache>
            </c:strRef>
          </c:tx>
          <c:spPr>
            <a:ln w="25400" cap="rnd">
              <a:noFill/>
              <a:round/>
            </a:ln>
            <a:effectLst/>
          </c:spPr>
          <c:marker>
            <c:symbol val="circle"/>
            <c:size val="10"/>
            <c:spPr>
              <a:solidFill>
                <a:schemeClr val="accent5"/>
              </a:solidFill>
              <a:ln w="9525">
                <a:solidFill>
                  <a:schemeClr val="accent5"/>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E-A3B7-4178-93B0-00E0D1A03BAD}"/>
            </c:ext>
          </c:extLst>
        </c:ser>
        <c:ser>
          <c:idx val="5"/>
          <c:order val="5"/>
          <c:tx>
            <c:strRef>
              <c:f>'GISTM Consequences'!#REF!</c:f>
              <c:strCache>
                <c:ptCount val="1"/>
                <c:pt idx="0">
                  <c:v>#REF!</c:v>
                </c:pt>
              </c:strCache>
            </c:strRef>
          </c:tx>
          <c:spPr>
            <a:ln w="25400" cap="rnd">
              <a:noFill/>
              <a:round/>
            </a:ln>
            <a:effectLst/>
          </c:spPr>
          <c:marker>
            <c:symbol val="circle"/>
            <c:size val="10"/>
            <c:spPr>
              <a:solidFill>
                <a:schemeClr val="accent6"/>
              </a:solidFill>
              <a:ln w="9525">
                <a:solidFill>
                  <a:schemeClr val="accent6"/>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F-A3B7-4178-93B0-00E0D1A03BAD}"/>
            </c:ext>
          </c:extLst>
        </c:ser>
        <c:ser>
          <c:idx val="6"/>
          <c:order val="6"/>
          <c:tx>
            <c:strRef>
              <c:f>'GISTM Consequences'!#REF!</c:f>
              <c:strCache>
                <c:ptCount val="1"/>
                <c:pt idx="0">
                  <c:v>#REF!</c:v>
                </c:pt>
              </c:strCache>
            </c:strRef>
          </c:tx>
          <c:spPr>
            <a:ln w="25400" cap="rnd">
              <a:noFill/>
              <a:round/>
            </a:ln>
            <a:effectLst/>
          </c:spPr>
          <c:marker>
            <c:symbol val="circle"/>
            <c:size val="10"/>
            <c:spPr>
              <a:solidFill>
                <a:schemeClr val="accent1">
                  <a:lumMod val="60000"/>
                </a:schemeClr>
              </a:solidFill>
              <a:ln w="9525">
                <a:solidFill>
                  <a:schemeClr val="accent1">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0-A3B7-4178-93B0-00E0D1A03BAD}"/>
            </c:ext>
          </c:extLst>
        </c:ser>
        <c:ser>
          <c:idx val="7"/>
          <c:order val="7"/>
          <c:tx>
            <c:strRef>
              <c:f>'GISTM Consequences'!#REF!</c:f>
              <c:strCache>
                <c:ptCount val="1"/>
                <c:pt idx="0">
                  <c:v>#REF!</c:v>
                </c:pt>
              </c:strCache>
            </c:strRef>
          </c:tx>
          <c:spPr>
            <a:ln w="25400" cap="rnd">
              <a:noFill/>
              <a:round/>
            </a:ln>
            <a:effectLst/>
          </c:spPr>
          <c:marker>
            <c:symbol val="circle"/>
            <c:size val="10"/>
            <c:spPr>
              <a:solidFill>
                <a:schemeClr val="accent2">
                  <a:lumMod val="60000"/>
                </a:schemeClr>
              </a:solidFill>
              <a:ln w="9525">
                <a:solidFill>
                  <a:schemeClr val="accent2">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1-A3B7-4178-93B0-00E0D1A03BAD}"/>
            </c:ext>
          </c:extLst>
        </c:ser>
        <c:ser>
          <c:idx val="8"/>
          <c:order val="8"/>
          <c:tx>
            <c:strRef>
              <c:f>'GISTM Consequences'!#REF!</c:f>
              <c:strCache>
                <c:ptCount val="1"/>
                <c:pt idx="0">
                  <c:v>#REF!</c:v>
                </c:pt>
              </c:strCache>
            </c:strRef>
          </c:tx>
          <c:spPr>
            <a:ln w="25400" cap="rnd">
              <a:noFill/>
              <a:round/>
            </a:ln>
            <a:effectLst/>
          </c:spPr>
          <c:marker>
            <c:symbol val="circle"/>
            <c:size val="10"/>
            <c:spPr>
              <a:solidFill>
                <a:schemeClr val="accent3">
                  <a:lumMod val="60000"/>
                </a:schemeClr>
              </a:solidFill>
              <a:ln w="9525">
                <a:solidFill>
                  <a:schemeClr val="accent3">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2-A3B7-4178-93B0-00E0D1A03BAD}"/>
            </c:ext>
          </c:extLst>
        </c:ser>
        <c:ser>
          <c:idx val="9"/>
          <c:order val="9"/>
          <c:tx>
            <c:strRef>
              <c:f>'GISTM Consequences'!#REF!</c:f>
              <c:strCache>
                <c:ptCount val="1"/>
                <c:pt idx="0">
                  <c:v>#REF!</c:v>
                </c:pt>
              </c:strCache>
            </c:strRef>
          </c:tx>
          <c:spPr>
            <a:ln w="25400" cap="rnd">
              <a:noFill/>
              <a:round/>
            </a:ln>
            <a:effectLst/>
          </c:spPr>
          <c:marker>
            <c:symbol val="circle"/>
            <c:size val="10"/>
            <c:spPr>
              <a:solidFill>
                <a:schemeClr val="accent4">
                  <a:lumMod val="60000"/>
                </a:schemeClr>
              </a:solidFill>
              <a:ln w="9525">
                <a:solidFill>
                  <a:schemeClr val="accent4">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3-A3B7-4178-93B0-00E0D1A03BAD}"/>
            </c:ext>
          </c:extLst>
        </c:ser>
        <c:ser>
          <c:idx val="10"/>
          <c:order val="10"/>
          <c:tx>
            <c:strRef>
              <c:f>'GISTM Consequences'!#REF!</c:f>
              <c:strCache>
                <c:ptCount val="1"/>
                <c:pt idx="0">
                  <c:v>#REF!</c:v>
                </c:pt>
              </c:strCache>
            </c:strRef>
          </c:tx>
          <c:spPr>
            <a:ln w="25400" cap="rnd">
              <a:noFill/>
              <a:round/>
            </a:ln>
            <a:effectLst/>
          </c:spPr>
          <c:marker>
            <c:symbol val="circle"/>
            <c:size val="10"/>
            <c:spPr>
              <a:solidFill>
                <a:schemeClr val="accent5">
                  <a:lumMod val="60000"/>
                </a:schemeClr>
              </a:solidFill>
              <a:ln w="9525">
                <a:solidFill>
                  <a:schemeClr val="accent5">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4-A3B7-4178-93B0-00E0D1A03BAD}"/>
            </c:ext>
          </c:extLst>
        </c:ser>
        <c:dLbls>
          <c:showLegendKey val="0"/>
          <c:showVal val="0"/>
          <c:showCatName val="0"/>
          <c:showSerName val="0"/>
          <c:showPercent val="0"/>
          <c:showBubbleSize val="0"/>
        </c:dLbls>
        <c:axId val="1459482096"/>
        <c:axId val="1459487504"/>
      </c:scatterChart>
      <c:valAx>
        <c:axId val="1459482096"/>
        <c:scaling>
          <c:orientation val="minMax"/>
          <c:max val="5"/>
        </c:scaling>
        <c:delete val="1"/>
        <c:axPos val="b"/>
        <c:majorGridlines>
          <c:spPr>
            <a:ln w="9525" cap="flat" cmpd="sng" algn="ctr">
              <a:solidFill>
                <a:schemeClr val="bg1">
                  <a:lumMod val="65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GISTM Consequence Category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cs-CZ"/>
            </a:p>
          </c:txPr>
        </c:title>
        <c:numFmt formatCode="General" sourceLinked="1"/>
        <c:majorTickMark val="none"/>
        <c:minorTickMark val="none"/>
        <c:tickLblPos val="nextTo"/>
        <c:crossAx val="1459487504"/>
        <c:crosses val="autoZero"/>
        <c:crossBetween val="midCat"/>
        <c:majorUnit val="1"/>
      </c:valAx>
      <c:valAx>
        <c:axId val="1459487504"/>
        <c:scaling>
          <c:logBase val="10"/>
          <c:orientation val="minMax"/>
          <c:max val="1.0000000000000002E-2"/>
          <c:min val="1.0000000000000005E-9"/>
        </c:scaling>
        <c:delete val="0"/>
        <c:axPos val="l"/>
        <c:majorGridlines>
          <c:spPr>
            <a:ln w="9525" cap="flat" cmpd="sng" algn="ctr">
              <a:solidFill>
                <a:schemeClr val="bg1">
                  <a:lumMod val="50000"/>
                </a:schemeClr>
              </a:solidFill>
              <a:round/>
            </a:ln>
            <a:effectLst/>
          </c:spPr>
        </c:majorGridlines>
        <c:minorGridlines>
          <c:spPr>
            <a:ln w="9525" cap="flat" cmpd="sng" algn="ctr">
              <a:solidFill>
                <a:schemeClr val="bg1">
                  <a:lumMod val="65000"/>
                </a:schemeClr>
              </a:solidFill>
              <a:round/>
            </a:ln>
            <a:effectLst/>
          </c:spPr>
        </c:min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PoF (AEP)</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cs-CZ"/>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cs-CZ"/>
          </a:p>
        </c:txPr>
        <c:crossAx val="1459482096"/>
        <c:crosses val="autoZero"/>
        <c:crossBetween val="midCat"/>
      </c:valAx>
      <c:valAx>
        <c:axId val="929604688"/>
        <c:scaling>
          <c:logBase val="10"/>
          <c:orientation val="minMax"/>
        </c:scaling>
        <c:delete val="1"/>
        <c:axPos val="l"/>
        <c:numFmt formatCode="General" sourceLinked="1"/>
        <c:majorTickMark val="out"/>
        <c:minorTickMark val="none"/>
        <c:tickLblPos val="nextTo"/>
        <c:crossAx val="929605104"/>
        <c:crossesAt val="5"/>
        <c:crossBetween val="between"/>
      </c:valAx>
      <c:catAx>
        <c:axId val="929605104"/>
        <c:scaling>
          <c:orientation val="minMax"/>
        </c:scaling>
        <c:delete val="0"/>
        <c:axPos val="t"/>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cs-CZ"/>
          </a:p>
        </c:txPr>
        <c:crossAx val="929604688"/>
        <c:crosses val="max"/>
        <c:auto val="1"/>
        <c:lblAlgn val="ctr"/>
        <c:lblOffset val="100"/>
        <c:noMultiLvlLbl val="0"/>
      </c:cat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cs-CZ"/>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35697212156513"/>
          <c:y val="0.16706692601073606"/>
          <c:w val="0.86372375493861009"/>
          <c:h val="0.73679587647926681"/>
        </c:manualLayout>
      </c:layout>
      <c:barChart>
        <c:barDir val="col"/>
        <c:grouping val="clustered"/>
        <c:varyColors val="0"/>
        <c:ser>
          <c:idx val="3"/>
          <c:order val="0"/>
          <c:tx>
            <c:v>GISTM Consequence Ratings</c:v>
          </c:tx>
          <c:spPr>
            <a:solidFill>
              <a:schemeClr val="accent4"/>
            </a:solid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0816-4C7B-B215-9118E595760A}"/>
              </c:ext>
            </c:extLst>
          </c:dPt>
          <c:dPt>
            <c:idx val="1"/>
            <c:invertIfNegative val="0"/>
            <c:bubble3D val="0"/>
            <c:spPr>
              <a:solidFill>
                <a:srgbClr val="00B0F0"/>
              </a:solidFill>
              <a:ln>
                <a:noFill/>
              </a:ln>
              <a:effectLst/>
            </c:spPr>
            <c:extLst>
              <c:ext xmlns:c16="http://schemas.microsoft.com/office/drawing/2014/chart" uri="{C3380CC4-5D6E-409C-BE32-E72D297353CC}">
                <c16:uniqueId val="{00000003-0816-4C7B-B215-9118E595760A}"/>
              </c:ext>
            </c:extLst>
          </c:dPt>
          <c:dPt>
            <c:idx val="2"/>
            <c:invertIfNegative val="0"/>
            <c:bubble3D val="0"/>
            <c:spPr>
              <a:solidFill>
                <a:srgbClr val="FFC000"/>
              </a:solidFill>
              <a:ln>
                <a:noFill/>
              </a:ln>
              <a:effectLst/>
            </c:spPr>
            <c:extLst>
              <c:ext xmlns:c16="http://schemas.microsoft.com/office/drawing/2014/chart" uri="{C3380CC4-5D6E-409C-BE32-E72D297353CC}">
                <c16:uniqueId val="{00000005-0816-4C7B-B215-9118E595760A}"/>
              </c:ext>
            </c:extLst>
          </c:dPt>
          <c:dPt>
            <c:idx val="3"/>
            <c:invertIfNegative val="0"/>
            <c:bubble3D val="0"/>
            <c:spPr>
              <a:solidFill>
                <a:srgbClr val="FF0000"/>
              </a:solidFill>
              <a:ln>
                <a:noFill/>
              </a:ln>
              <a:effectLst/>
            </c:spPr>
            <c:extLst>
              <c:ext xmlns:c16="http://schemas.microsoft.com/office/drawing/2014/chart" uri="{C3380CC4-5D6E-409C-BE32-E72D297353CC}">
                <c16:uniqueId val="{00000007-0816-4C7B-B215-9118E595760A}"/>
              </c:ext>
            </c:extLst>
          </c:dPt>
          <c:dPt>
            <c:idx val="4"/>
            <c:invertIfNegative val="0"/>
            <c:bubble3D val="0"/>
            <c:spPr>
              <a:solidFill>
                <a:srgbClr val="7030A0"/>
              </a:solidFill>
              <a:ln>
                <a:noFill/>
              </a:ln>
              <a:effectLst/>
            </c:spPr>
            <c:extLst>
              <c:ext xmlns:c16="http://schemas.microsoft.com/office/drawing/2014/chart" uri="{C3380CC4-5D6E-409C-BE32-E72D297353CC}">
                <c16:uniqueId val="{00000009-0816-4C7B-B215-9118E595760A}"/>
              </c:ext>
            </c:extLst>
          </c:dPt>
          <c:val>
            <c:numRef>
              <c:f>'GISTM Consequences'!#REF!</c:f>
              <c:numCache>
                <c:formatCode>General</c:formatCode>
                <c:ptCount val="1"/>
                <c:pt idx="0">
                  <c:v>1</c:v>
                </c:pt>
              </c:numCache>
            </c:numRef>
          </c:val>
          <c:extLst>
            <c:ext xmlns:c15="http://schemas.microsoft.com/office/drawing/2012/chart" uri="{02D57815-91ED-43cb-92C2-25804820EDAC}">
              <c15:filteredCategoryTitle>
                <c15:cat>
                  <c:strRef>
                    <c:extLst>
                      <c:ext uri="{02D57815-91ED-43cb-92C2-25804820EDAC}">
                        <c15:formulaRef>
                          <c15:sqref>'GISTM Consequences'!#REF!</c15:sqref>
                        </c15:formulaRef>
                      </c:ext>
                    </c:extLst>
                    <c:strCache>
                      <c:ptCount val="1"/>
                      <c:pt idx="0">
                        <c:v>#REF!</c:v>
                      </c:pt>
                    </c:strCache>
                  </c:strRef>
                </c15:cat>
              </c15:filteredCategoryTitle>
            </c:ext>
            <c:ext xmlns:c16="http://schemas.microsoft.com/office/drawing/2014/chart" uri="{C3380CC4-5D6E-409C-BE32-E72D297353CC}">
              <c16:uniqueId val="{0000000A-0816-4C7B-B215-9118E595760A}"/>
            </c:ext>
          </c:extLst>
        </c:ser>
        <c:dLbls>
          <c:showLegendKey val="0"/>
          <c:showVal val="0"/>
          <c:showCatName val="0"/>
          <c:showSerName val="0"/>
          <c:showPercent val="0"/>
          <c:showBubbleSize val="0"/>
        </c:dLbls>
        <c:gapWidth val="0"/>
        <c:axId val="929605104"/>
        <c:axId val="929604688"/>
      </c:barChart>
      <c:scatterChart>
        <c:scatterStyle val="lineMarker"/>
        <c:varyColors val="0"/>
        <c:ser>
          <c:idx val="0"/>
          <c:order val="1"/>
          <c:tx>
            <c:strRef>
              <c:f>'GISTM Consequences'!#REF!</c:f>
              <c:strCache>
                <c:ptCount val="1"/>
                <c:pt idx="0">
                  <c:v>#REF!</c:v>
                </c:pt>
              </c:strCache>
            </c:strRef>
          </c:tx>
          <c:spPr>
            <a:ln w="25400" cap="rnd">
              <a:noFill/>
              <a:round/>
            </a:ln>
            <a:effectLst/>
          </c:spPr>
          <c:marker>
            <c:symbol val="circle"/>
            <c:size val="10"/>
            <c:spPr>
              <a:solidFill>
                <a:schemeClr val="accent1"/>
              </a:solidFill>
              <a:ln w="9525">
                <a:solidFill>
                  <a:schemeClr val="accent1"/>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B-0816-4C7B-B215-9118E595760A}"/>
            </c:ext>
          </c:extLst>
        </c:ser>
        <c:ser>
          <c:idx val="1"/>
          <c:order val="2"/>
          <c:tx>
            <c:strRef>
              <c:f>'GISTM Consequences'!#REF!</c:f>
              <c:strCache>
                <c:ptCount val="1"/>
                <c:pt idx="0">
                  <c:v>#REF!</c:v>
                </c:pt>
              </c:strCache>
            </c:strRef>
          </c:tx>
          <c:spPr>
            <a:ln w="25400" cap="rnd">
              <a:noFill/>
              <a:round/>
            </a:ln>
            <a:effectLst/>
          </c:spPr>
          <c:marker>
            <c:symbol val="circle"/>
            <c:size val="10"/>
            <c:spPr>
              <a:solidFill>
                <a:schemeClr val="accent2"/>
              </a:solidFill>
              <a:ln w="9525">
                <a:solidFill>
                  <a:schemeClr val="accent2"/>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C-0816-4C7B-B215-9118E595760A}"/>
            </c:ext>
          </c:extLst>
        </c:ser>
        <c:ser>
          <c:idx val="2"/>
          <c:order val="3"/>
          <c:tx>
            <c:strRef>
              <c:f>'GISTM Consequences'!#REF!</c:f>
              <c:strCache>
                <c:ptCount val="1"/>
                <c:pt idx="0">
                  <c:v>#REF!</c:v>
                </c:pt>
              </c:strCache>
            </c:strRef>
          </c:tx>
          <c:spPr>
            <a:ln w="25400" cap="rnd">
              <a:noFill/>
              <a:round/>
            </a:ln>
            <a:effectLst/>
          </c:spPr>
          <c:marker>
            <c:symbol val="circle"/>
            <c:size val="10"/>
            <c:spPr>
              <a:solidFill>
                <a:schemeClr val="accent3"/>
              </a:solidFill>
              <a:ln w="9525">
                <a:solidFill>
                  <a:schemeClr val="accent3"/>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D-0816-4C7B-B215-9118E595760A}"/>
            </c:ext>
          </c:extLst>
        </c:ser>
        <c:ser>
          <c:idx val="4"/>
          <c:order val="4"/>
          <c:tx>
            <c:strRef>
              <c:f>'GISTM Consequences'!#REF!</c:f>
              <c:strCache>
                <c:ptCount val="1"/>
                <c:pt idx="0">
                  <c:v>#REF!</c:v>
                </c:pt>
              </c:strCache>
            </c:strRef>
          </c:tx>
          <c:spPr>
            <a:ln w="25400" cap="rnd">
              <a:noFill/>
              <a:round/>
            </a:ln>
            <a:effectLst/>
          </c:spPr>
          <c:marker>
            <c:symbol val="circle"/>
            <c:size val="10"/>
            <c:spPr>
              <a:solidFill>
                <a:schemeClr val="accent5"/>
              </a:solidFill>
              <a:ln w="9525">
                <a:solidFill>
                  <a:schemeClr val="accent5"/>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E-0816-4C7B-B215-9118E595760A}"/>
            </c:ext>
          </c:extLst>
        </c:ser>
        <c:ser>
          <c:idx val="5"/>
          <c:order val="5"/>
          <c:tx>
            <c:strRef>
              <c:f>'GISTM Consequences'!#REF!</c:f>
              <c:strCache>
                <c:ptCount val="1"/>
                <c:pt idx="0">
                  <c:v>#REF!</c:v>
                </c:pt>
              </c:strCache>
            </c:strRef>
          </c:tx>
          <c:spPr>
            <a:ln w="25400" cap="rnd">
              <a:noFill/>
              <a:round/>
            </a:ln>
            <a:effectLst/>
          </c:spPr>
          <c:marker>
            <c:symbol val="circle"/>
            <c:size val="10"/>
            <c:spPr>
              <a:solidFill>
                <a:schemeClr val="accent6"/>
              </a:solidFill>
              <a:ln w="9525">
                <a:solidFill>
                  <a:schemeClr val="accent6"/>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0F-0816-4C7B-B215-9118E595760A}"/>
            </c:ext>
          </c:extLst>
        </c:ser>
        <c:ser>
          <c:idx val="6"/>
          <c:order val="6"/>
          <c:tx>
            <c:strRef>
              <c:f>'GISTM Consequences'!#REF!</c:f>
              <c:strCache>
                <c:ptCount val="1"/>
                <c:pt idx="0">
                  <c:v>#REF!</c:v>
                </c:pt>
              </c:strCache>
            </c:strRef>
          </c:tx>
          <c:spPr>
            <a:ln w="25400" cap="rnd">
              <a:noFill/>
              <a:round/>
            </a:ln>
            <a:effectLst/>
          </c:spPr>
          <c:marker>
            <c:symbol val="circle"/>
            <c:size val="10"/>
            <c:spPr>
              <a:solidFill>
                <a:schemeClr val="accent1">
                  <a:lumMod val="60000"/>
                </a:schemeClr>
              </a:solidFill>
              <a:ln w="9525">
                <a:solidFill>
                  <a:schemeClr val="accent1">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0-0816-4C7B-B215-9118E595760A}"/>
            </c:ext>
          </c:extLst>
        </c:ser>
        <c:ser>
          <c:idx val="7"/>
          <c:order val="7"/>
          <c:tx>
            <c:strRef>
              <c:f>'GISTM Consequences'!#REF!</c:f>
              <c:strCache>
                <c:ptCount val="1"/>
                <c:pt idx="0">
                  <c:v>#REF!</c:v>
                </c:pt>
              </c:strCache>
            </c:strRef>
          </c:tx>
          <c:spPr>
            <a:ln w="25400" cap="rnd">
              <a:noFill/>
              <a:round/>
            </a:ln>
            <a:effectLst/>
          </c:spPr>
          <c:marker>
            <c:symbol val="circle"/>
            <c:size val="10"/>
            <c:spPr>
              <a:solidFill>
                <a:schemeClr val="accent2">
                  <a:lumMod val="60000"/>
                </a:schemeClr>
              </a:solidFill>
              <a:ln w="9525">
                <a:solidFill>
                  <a:schemeClr val="accent2">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1-0816-4C7B-B215-9118E595760A}"/>
            </c:ext>
          </c:extLst>
        </c:ser>
        <c:ser>
          <c:idx val="8"/>
          <c:order val="8"/>
          <c:tx>
            <c:strRef>
              <c:f>'GISTM Consequences'!#REF!</c:f>
              <c:strCache>
                <c:ptCount val="1"/>
                <c:pt idx="0">
                  <c:v>#REF!</c:v>
                </c:pt>
              </c:strCache>
            </c:strRef>
          </c:tx>
          <c:spPr>
            <a:ln w="25400" cap="rnd">
              <a:noFill/>
              <a:round/>
            </a:ln>
            <a:effectLst/>
          </c:spPr>
          <c:marker>
            <c:symbol val="circle"/>
            <c:size val="10"/>
            <c:spPr>
              <a:solidFill>
                <a:schemeClr val="accent3">
                  <a:lumMod val="60000"/>
                </a:schemeClr>
              </a:solidFill>
              <a:ln w="9525">
                <a:solidFill>
                  <a:schemeClr val="accent3">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2-0816-4C7B-B215-9118E595760A}"/>
            </c:ext>
          </c:extLst>
        </c:ser>
        <c:ser>
          <c:idx val="9"/>
          <c:order val="9"/>
          <c:tx>
            <c:strRef>
              <c:f>'GISTM Consequences'!#REF!</c:f>
              <c:strCache>
                <c:ptCount val="1"/>
                <c:pt idx="0">
                  <c:v>#REF!</c:v>
                </c:pt>
              </c:strCache>
            </c:strRef>
          </c:tx>
          <c:spPr>
            <a:ln w="25400" cap="rnd">
              <a:noFill/>
              <a:round/>
            </a:ln>
            <a:effectLst/>
          </c:spPr>
          <c:marker>
            <c:symbol val="circle"/>
            <c:size val="10"/>
            <c:spPr>
              <a:solidFill>
                <a:schemeClr val="accent4">
                  <a:lumMod val="60000"/>
                </a:schemeClr>
              </a:solidFill>
              <a:ln w="9525">
                <a:solidFill>
                  <a:schemeClr val="accent4">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3-0816-4C7B-B215-9118E595760A}"/>
            </c:ext>
          </c:extLst>
        </c:ser>
        <c:ser>
          <c:idx val="10"/>
          <c:order val="10"/>
          <c:tx>
            <c:strRef>
              <c:f>'GISTM Consequences'!#REF!</c:f>
              <c:strCache>
                <c:ptCount val="1"/>
                <c:pt idx="0">
                  <c:v>#REF!</c:v>
                </c:pt>
              </c:strCache>
            </c:strRef>
          </c:tx>
          <c:spPr>
            <a:ln w="25400" cap="rnd">
              <a:noFill/>
              <a:round/>
            </a:ln>
            <a:effectLst/>
          </c:spPr>
          <c:marker>
            <c:symbol val="circle"/>
            <c:size val="10"/>
            <c:spPr>
              <a:solidFill>
                <a:schemeClr val="accent5">
                  <a:lumMod val="60000"/>
                </a:schemeClr>
              </a:solidFill>
              <a:ln w="9525">
                <a:solidFill>
                  <a:schemeClr val="accent5">
                    <a:lumMod val="60000"/>
                  </a:schemeClr>
                </a:solidFill>
              </a:ln>
              <a:effectLst/>
            </c:spPr>
          </c:marker>
          <c:xVal>
            <c:strRef>
              <c:f>'GISTM Consequences'!#REF!</c:f>
              <c:strCache>
                <c:ptCount val="1"/>
                <c:pt idx="0">
                  <c:v>#REF!</c:v>
                </c:pt>
              </c:strCache>
            </c:strRef>
          </c:xVal>
          <c:yVal>
            <c:numRef>
              <c:f>'GISTM Consequences'!#REF!</c:f>
              <c:numCache>
                <c:formatCode>General</c:formatCode>
                <c:ptCount val="1"/>
                <c:pt idx="0">
                  <c:v>1</c:v>
                </c:pt>
              </c:numCache>
            </c:numRef>
          </c:yVal>
          <c:smooth val="0"/>
          <c:extLst>
            <c:ext xmlns:c16="http://schemas.microsoft.com/office/drawing/2014/chart" uri="{C3380CC4-5D6E-409C-BE32-E72D297353CC}">
              <c16:uniqueId val="{00000014-0816-4C7B-B215-9118E595760A}"/>
            </c:ext>
          </c:extLst>
        </c:ser>
        <c:dLbls>
          <c:showLegendKey val="0"/>
          <c:showVal val="0"/>
          <c:showCatName val="0"/>
          <c:showSerName val="0"/>
          <c:showPercent val="0"/>
          <c:showBubbleSize val="0"/>
        </c:dLbls>
        <c:axId val="1459482096"/>
        <c:axId val="1459487504"/>
      </c:scatterChart>
      <c:valAx>
        <c:axId val="1459482096"/>
        <c:scaling>
          <c:orientation val="minMax"/>
          <c:max val="5"/>
        </c:scaling>
        <c:delete val="1"/>
        <c:axPos val="b"/>
        <c:majorGridlines>
          <c:spPr>
            <a:ln w="9525" cap="flat" cmpd="sng" algn="ctr">
              <a:solidFill>
                <a:schemeClr val="bg1">
                  <a:lumMod val="65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GISTM Consequence Category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cs-CZ"/>
            </a:p>
          </c:txPr>
        </c:title>
        <c:numFmt formatCode="General" sourceLinked="1"/>
        <c:majorTickMark val="none"/>
        <c:minorTickMark val="none"/>
        <c:tickLblPos val="nextTo"/>
        <c:crossAx val="1459487504"/>
        <c:crosses val="autoZero"/>
        <c:crossBetween val="midCat"/>
        <c:majorUnit val="1"/>
      </c:valAx>
      <c:valAx>
        <c:axId val="1459487504"/>
        <c:scaling>
          <c:logBase val="10"/>
          <c:orientation val="minMax"/>
          <c:max val="1.0000000000000002E-2"/>
          <c:min val="1.0000000000000005E-9"/>
        </c:scaling>
        <c:delete val="0"/>
        <c:axPos val="l"/>
        <c:majorGridlines>
          <c:spPr>
            <a:ln w="9525" cap="flat" cmpd="sng" algn="ctr">
              <a:solidFill>
                <a:schemeClr val="bg1">
                  <a:lumMod val="50000"/>
                </a:schemeClr>
              </a:solidFill>
              <a:round/>
            </a:ln>
            <a:effectLst/>
          </c:spPr>
        </c:majorGridlines>
        <c:minorGridlines>
          <c:spPr>
            <a:ln w="9525" cap="flat" cmpd="sng" algn="ctr">
              <a:solidFill>
                <a:schemeClr val="bg1">
                  <a:lumMod val="65000"/>
                </a:schemeClr>
              </a:solidFill>
              <a:round/>
            </a:ln>
            <a:effectLst/>
          </c:spPr>
        </c:min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PoF (AEP)</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cs-CZ"/>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cs-CZ"/>
          </a:p>
        </c:txPr>
        <c:crossAx val="1459482096"/>
        <c:crosses val="autoZero"/>
        <c:crossBetween val="midCat"/>
      </c:valAx>
      <c:valAx>
        <c:axId val="929604688"/>
        <c:scaling>
          <c:logBase val="10"/>
          <c:orientation val="minMax"/>
        </c:scaling>
        <c:delete val="1"/>
        <c:axPos val="l"/>
        <c:numFmt formatCode="General" sourceLinked="1"/>
        <c:majorTickMark val="out"/>
        <c:minorTickMark val="none"/>
        <c:tickLblPos val="nextTo"/>
        <c:crossAx val="929605104"/>
        <c:crossesAt val="5"/>
        <c:crossBetween val="between"/>
      </c:valAx>
      <c:catAx>
        <c:axId val="929605104"/>
        <c:scaling>
          <c:orientation val="minMax"/>
        </c:scaling>
        <c:delete val="0"/>
        <c:axPos val="t"/>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cs-CZ"/>
          </a:p>
        </c:txPr>
        <c:crossAx val="929604688"/>
        <c:crosses val="max"/>
        <c:auto val="1"/>
        <c:lblAlgn val="ctr"/>
        <c:lblOffset val="100"/>
        <c:noMultiLvlLbl val="0"/>
      </c:cat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cs-CZ"/>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84677884948713"/>
          <c:y val="2.5637232969958741E-2"/>
          <c:w val="0.86308174526224524"/>
          <c:h val="0.84869609803883428"/>
        </c:manualLayout>
      </c:layout>
      <c:scatterChart>
        <c:scatterStyle val="lineMarker"/>
        <c:varyColors val="0"/>
        <c:ser>
          <c:idx val="0"/>
          <c:order val="0"/>
          <c:tx>
            <c:strRef>
              <c:f>'Slope stability'!$E$4</c:f>
              <c:strCache>
                <c:ptCount val="1"/>
                <c:pt idx="0">
                  <c:v>Category 1 Structure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'Slope stability'!$D$6:$D$24</c:f>
              <c:numCache>
                <c:formatCode>General</c:formatCode>
                <c:ptCount val="19"/>
                <c:pt idx="0">
                  <c:v>0.5</c:v>
                </c:pt>
                <c:pt idx="1">
                  <c:v>0.8</c:v>
                </c:pt>
                <c:pt idx="2">
                  <c:v>0.9</c:v>
                </c:pt>
                <c:pt idx="3">
                  <c:v>1</c:v>
                </c:pt>
                <c:pt idx="4">
                  <c:v>1.1000000000000001</c:v>
                </c:pt>
                <c:pt idx="5">
                  <c:v>1.2</c:v>
                </c:pt>
                <c:pt idx="6">
                  <c:v>1.3</c:v>
                </c:pt>
                <c:pt idx="7">
                  <c:v>1.4</c:v>
                </c:pt>
                <c:pt idx="8">
                  <c:v>1.5</c:v>
                </c:pt>
                <c:pt idx="9">
                  <c:v>1.6</c:v>
                </c:pt>
                <c:pt idx="10">
                  <c:v>1.7</c:v>
                </c:pt>
                <c:pt idx="11">
                  <c:v>1.8</c:v>
                </c:pt>
                <c:pt idx="12">
                  <c:v>1.9</c:v>
                </c:pt>
                <c:pt idx="13">
                  <c:v>2</c:v>
                </c:pt>
                <c:pt idx="14">
                  <c:v>2.1</c:v>
                </c:pt>
                <c:pt idx="15">
                  <c:v>2.2000000000000002</c:v>
                </c:pt>
                <c:pt idx="16">
                  <c:v>2.2999999999999998</c:v>
                </c:pt>
                <c:pt idx="17">
                  <c:v>2.4</c:v>
                </c:pt>
                <c:pt idx="18">
                  <c:v>2.5</c:v>
                </c:pt>
              </c:numCache>
            </c:numRef>
          </c:xVal>
          <c:yVal>
            <c:numRef>
              <c:f>'Slope stability'!$E$6:$E$24</c:f>
              <c:numCache>
                <c:formatCode>0.00E+00</c:formatCode>
                <c:ptCount val="19"/>
                <c:pt idx="0">
                  <c:v>0.99</c:v>
                </c:pt>
                <c:pt idx="1">
                  <c:v>0.3</c:v>
                </c:pt>
                <c:pt idx="2">
                  <c:v>0.1</c:v>
                </c:pt>
                <c:pt idx="3">
                  <c:v>2.3E-2</c:v>
                </c:pt>
                <c:pt idx="4">
                  <c:v>4.0000000000000001E-3</c:v>
                </c:pt>
                <c:pt idx="5">
                  <c:v>6.9999999999999999E-4</c:v>
                </c:pt>
                <c:pt idx="6">
                  <c:v>1E-4</c:v>
                </c:pt>
                <c:pt idx="7">
                  <c:v>1.0000000000000001E-5</c:v>
                </c:pt>
                <c:pt idx="8">
                  <c:v>9.9999999999999995E-7</c:v>
                </c:pt>
                <c:pt idx="9">
                  <c:v>1.9999999999999999E-7</c:v>
                </c:pt>
                <c:pt idx="10">
                  <c:v>8.2000000000000006E-8</c:v>
                </c:pt>
                <c:pt idx="11">
                  <c:v>4.0000000000000001E-8</c:v>
                </c:pt>
                <c:pt idx="12">
                  <c:v>2.7E-8</c:v>
                </c:pt>
                <c:pt idx="13">
                  <c:v>1.8225000000000003E-8</c:v>
                </c:pt>
                <c:pt idx="14">
                  <c:v>1.2301875000000003E-8</c:v>
                </c:pt>
                <c:pt idx="15">
                  <c:v>9.2264062500000023E-9</c:v>
                </c:pt>
                <c:pt idx="16">
                  <c:v>7.3811250000000018E-9</c:v>
                </c:pt>
                <c:pt idx="17">
                  <c:v>6.6430125000000018E-9</c:v>
                </c:pt>
                <c:pt idx="18">
                  <c:v>6.6430125000000018E-9</c:v>
                </c:pt>
              </c:numCache>
            </c:numRef>
          </c:yVal>
          <c:smooth val="0"/>
          <c:extLst>
            <c:ext xmlns:c16="http://schemas.microsoft.com/office/drawing/2014/chart" uri="{C3380CC4-5D6E-409C-BE32-E72D297353CC}">
              <c16:uniqueId val="{00000000-1E68-4F09-92B0-27CFDBA3FF25}"/>
            </c:ext>
          </c:extLst>
        </c:ser>
        <c:ser>
          <c:idx val="1"/>
          <c:order val="1"/>
          <c:tx>
            <c:strRef>
              <c:f>'Slope stability'!$F$4</c:f>
              <c:strCache>
                <c:ptCount val="1"/>
                <c:pt idx="0">
                  <c:v>Category 2 Structure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'Slope stability'!$D$6:$D$24</c:f>
              <c:numCache>
                <c:formatCode>General</c:formatCode>
                <c:ptCount val="19"/>
                <c:pt idx="0">
                  <c:v>0.5</c:v>
                </c:pt>
                <c:pt idx="1">
                  <c:v>0.8</c:v>
                </c:pt>
                <c:pt idx="2">
                  <c:v>0.9</c:v>
                </c:pt>
                <c:pt idx="3">
                  <c:v>1</c:v>
                </c:pt>
                <c:pt idx="4">
                  <c:v>1.1000000000000001</c:v>
                </c:pt>
                <c:pt idx="5">
                  <c:v>1.2</c:v>
                </c:pt>
                <c:pt idx="6">
                  <c:v>1.3</c:v>
                </c:pt>
                <c:pt idx="7">
                  <c:v>1.4</c:v>
                </c:pt>
                <c:pt idx="8">
                  <c:v>1.5</c:v>
                </c:pt>
                <c:pt idx="9">
                  <c:v>1.6</c:v>
                </c:pt>
                <c:pt idx="10">
                  <c:v>1.7</c:v>
                </c:pt>
                <c:pt idx="11">
                  <c:v>1.8</c:v>
                </c:pt>
                <c:pt idx="12">
                  <c:v>1.9</c:v>
                </c:pt>
                <c:pt idx="13">
                  <c:v>2</c:v>
                </c:pt>
                <c:pt idx="14">
                  <c:v>2.1</c:v>
                </c:pt>
                <c:pt idx="15">
                  <c:v>2.2000000000000002</c:v>
                </c:pt>
                <c:pt idx="16">
                  <c:v>2.2999999999999998</c:v>
                </c:pt>
                <c:pt idx="17">
                  <c:v>2.4</c:v>
                </c:pt>
                <c:pt idx="18">
                  <c:v>2.5</c:v>
                </c:pt>
              </c:numCache>
            </c:numRef>
          </c:xVal>
          <c:yVal>
            <c:numRef>
              <c:f>'Slope stability'!$F$6:$F$24</c:f>
              <c:numCache>
                <c:formatCode>0.00E+00</c:formatCode>
                <c:ptCount val="19"/>
                <c:pt idx="0">
                  <c:v>0.99</c:v>
                </c:pt>
                <c:pt idx="1">
                  <c:v>0.5</c:v>
                </c:pt>
                <c:pt idx="2">
                  <c:v>0.35</c:v>
                </c:pt>
                <c:pt idx="3">
                  <c:v>0.14000000000000001</c:v>
                </c:pt>
                <c:pt idx="4">
                  <c:v>0.04</c:v>
                </c:pt>
                <c:pt idx="5">
                  <c:v>1.2E-2</c:v>
                </c:pt>
                <c:pt idx="6">
                  <c:v>2.8E-3</c:v>
                </c:pt>
                <c:pt idx="7">
                  <c:v>5.0000000000000001E-4</c:v>
                </c:pt>
                <c:pt idx="8">
                  <c:v>1E-4</c:v>
                </c:pt>
                <c:pt idx="9">
                  <c:v>1.7E-5</c:v>
                </c:pt>
                <c:pt idx="10">
                  <c:v>4.1999999999999996E-6</c:v>
                </c:pt>
                <c:pt idx="11">
                  <c:v>1.3E-6</c:v>
                </c:pt>
                <c:pt idx="12">
                  <c:v>5.9999999999999997E-7</c:v>
                </c:pt>
                <c:pt idx="13">
                  <c:v>3.3999999999999997E-7</c:v>
                </c:pt>
                <c:pt idx="14">
                  <c:v>1.9266666666666664E-7</c:v>
                </c:pt>
                <c:pt idx="15">
                  <c:v>1.3486666666666664E-7</c:v>
                </c:pt>
                <c:pt idx="16">
                  <c:v>1.1059066666666665E-7</c:v>
                </c:pt>
                <c:pt idx="17">
                  <c:v>9.7103999999999981E-8</c:v>
                </c:pt>
                <c:pt idx="18">
                  <c:v>8.7103999999999997E-8</c:v>
                </c:pt>
              </c:numCache>
            </c:numRef>
          </c:yVal>
          <c:smooth val="0"/>
          <c:extLst>
            <c:ext xmlns:c16="http://schemas.microsoft.com/office/drawing/2014/chart" uri="{C3380CC4-5D6E-409C-BE32-E72D297353CC}">
              <c16:uniqueId val="{00000001-1E68-4F09-92B0-27CFDBA3FF25}"/>
            </c:ext>
          </c:extLst>
        </c:ser>
        <c:ser>
          <c:idx val="2"/>
          <c:order val="2"/>
          <c:tx>
            <c:strRef>
              <c:f>'Slope stability'!$G$4</c:f>
              <c:strCache>
                <c:ptCount val="1"/>
                <c:pt idx="0">
                  <c:v>Category 3 Structure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'Slope stability'!$D$6:$D$24</c:f>
              <c:numCache>
                <c:formatCode>General</c:formatCode>
                <c:ptCount val="19"/>
                <c:pt idx="0">
                  <c:v>0.5</c:v>
                </c:pt>
                <c:pt idx="1">
                  <c:v>0.8</c:v>
                </c:pt>
                <c:pt idx="2">
                  <c:v>0.9</c:v>
                </c:pt>
                <c:pt idx="3">
                  <c:v>1</c:v>
                </c:pt>
                <c:pt idx="4">
                  <c:v>1.1000000000000001</c:v>
                </c:pt>
                <c:pt idx="5">
                  <c:v>1.2</c:v>
                </c:pt>
                <c:pt idx="6">
                  <c:v>1.3</c:v>
                </c:pt>
                <c:pt idx="7">
                  <c:v>1.4</c:v>
                </c:pt>
                <c:pt idx="8">
                  <c:v>1.5</c:v>
                </c:pt>
                <c:pt idx="9">
                  <c:v>1.6</c:v>
                </c:pt>
                <c:pt idx="10">
                  <c:v>1.7</c:v>
                </c:pt>
                <c:pt idx="11">
                  <c:v>1.8</c:v>
                </c:pt>
                <c:pt idx="12">
                  <c:v>1.9</c:v>
                </c:pt>
                <c:pt idx="13">
                  <c:v>2</c:v>
                </c:pt>
                <c:pt idx="14">
                  <c:v>2.1</c:v>
                </c:pt>
                <c:pt idx="15">
                  <c:v>2.2000000000000002</c:v>
                </c:pt>
                <c:pt idx="16">
                  <c:v>2.2999999999999998</c:v>
                </c:pt>
                <c:pt idx="17">
                  <c:v>2.4</c:v>
                </c:pt>
                <c:pt idx="18">
                  <c:v>2.5</c:v>
                </c:pt>
              </c:numCache>
            </c:numRef>
          </c:xVal>
          <c:yVal>
            <c:numRef>
              <c:f>'Slope stability'!$G$6:$G$24</c:f>
              <c:numCache>
                <c:formatCode>0.00E+00</c:formatCode>
                <c:ptCount val="19"/>
                <c:pt idx="0">
                  <c:v>0.99</c:v>
                </c:pt>
                <c:pt idx="1">
                  <c:v>0.8</c:v>
                </c:pt>
                <c:pt idx="2">
                  <c:v>0.6</c:v>
                </c:pt>
                <c:pt idx="3">
                  <c:v>0.35</c:v>
                </c:pt>
                <c:pt idx="4">
                  <c:v>0.2</c:v>
                </c:pt>
                <c:pt idx="5">
                  <c:v>0.1</c:v>
                </c:pt>
                <c:pt idx="6">
                  <c:v>0.05</c:v>
                </c:pt>
                <c:pt idx="7">
                  <c:v>0.02</c:v>
                </c:pt>
                <c:pt idx="8">
                  <c:v>9.1000000000000004E-3</c:v>
                </c:pt>
                <c:pt idx="9">
                  <c:v>4.0000000000000001E-3</c:v>
                </c:pt>
                <c:pt idx="10">
                  <c:v>1.8E-3</c:v>
                </c:pt>
                <c:pt idx="11">
                  <c:v>8.1999999999999998E-4</c:v>
                </c:pt>
                <c:pt idx="12">
                  <c:v>4.2999999999999999E-4</c:v>
                </c:pt>
                <c:pt idx="13">
                  <c:v>2.5000000000000001E-4</c:v>
                </c:pt>
                <c:pt idx="14">
                  <c:v>1.7000000000000001E-4</c:v>
                </c:pt>
                <c:pt idx="15">
                  <c:v>1.2750000000000001E-4</c:v>
                </c:pt>
                <c:pt idx="16">
                  <c:v>9.5625000000000007E-5</c:v>
                </c:pt>
                <c:pt idx="17">
                  <c:v>8.6062500000000012E-5</c:v>
                </c:pt>
                <c:pt idx="18">
                  <c:v>8.1759375000000007E-5</c:v>
                </c:pt>
              </c:numCache>
            </c:numRef>
          </c:yVal>
          <c:smooth val="0"/>
          <c:extLst>
            <c:ext xmlns:c16="http://schemas.microsoft.com/office/drawing/2014/chart" uri="{C3380CC4-5D6E-409C-BE32-E72D297353CC}">
              <c16:uniqueId val="{00000002-1E68-4F09-92B0-27CFDBA3FF25}"/>
            </c:ext>
          </c:extLst>
        </c:ser>
        <c:ser>
          <c:idx val="3"/>
          <c:order val="3"/>
          <c:tx>
            <c:strRef>
              <c:f>'Slope stability'!$H$4</c:f>
              <c:strCache>
                <c:ptCount val="1"/>
                <c:pt idx="0">
                  <c:v>Category 4 Structure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'Slope stability'!$D$6:$D$24</c:f>
              <c:numCache>
                <c:formatCode>General</c:formatCode>
                <c:ptCount val="19"/>
                <c:pt idx="0">
                  <c:v>0.5</c:v>
                </c:pt>
                <c:pt idx="1">
                  <c:v>0.8</c:v>
                </c:pt>
                <c:pt idx="2">
                  <c:v>0.9</c:v>
                </c:pt>
                <c:pt idx="3">
                  <c:v>1</c:v>
                </c:pt>
                <c:pt idx="4">
                  <c:v>1.1000000000000001</c:v>
                </c:pt>
                <c:pt idx="5">
                  <c:v>1.2</c:v>
                </c:pt>
                <c:pt idx="6">
                  <c:v>1.3</c:v>
                </c:pt>
                <c:pt idx="7">
                  <c:v>1.4</c:v>
                </c:pt>
                <c:pt idx="8">
                  <c:v>1.5</c:v>
                </c:pt>
                <c:pt idx="9">
                  <c:v>1.6</c:v>
                </c:pt>
                <c:pt idx="10">
                  <c:v>1.7</c:v>
                </c:pt>
                <c:pt idx="11">
                  <c:v>1.8</c:v>
                </c:pt>
                <c:pt idx="12">
                  <c:v>1.9</c:v>
                </c:pt>
                <c:pt idx="13">
                  <c:v>2</c:v>
                </c:pt>
                <c:pt idx="14">
                  <c:v>2.1</c:v>
                </c:pt>
                <c:pt idx="15">
                  <c:v>2.2000000000000002</c:v>
                </c:pt>
                <c:pt idx="16">
                  <c:v>2.2999999999999998</c:v>
                </c:pt>
                <c:pt idx="17">
                  <c:v>2.4</c:v>
                </c:pt>
                <c:pt idx="18">
                  <c:v>2.5</c:v>
                </c:pt>
              </c:numCache>
            </c:numRef>
          </c:xVal>
          <c:yVal>
            <c:numRef>
              <c:f>'Slope stability'!$H$6:$H$24</c:f>
              <c:numCache>
                <c:formatCode>0.00E+00</c:formatCode>
                <c:ptCount val="19"/>
                <c:pt idx="0">
                  <c:v>0.99</c:v>
                </c:pt>
                <c:pt idx="1">
                  <c:v>0.9</c:v>
                </c:pt>
                <c:pt idx="2">
                  <c:v>0.85</c:v>
                </c:pt>
                <c:pt idx="3">
                  <c:v>0.83</c:v>
                </c:pt>
                <c:pt idx="4">
                  <c:v>0.72</c:v>
                </c:pt>
                <c:pt idx="5">
                  <c:v>0.48</c:v>
                </c:pt>
                <c:pt idx="6">
                  <c:v>0.32</c:v>
                </c:pt>
                <c:pt idx="7">
                  <c:v>0.18</c:v>
                </c:pt>
                <c:pt idx="8">
                  <c:v>0.105</c:v>
                </c:pt>
                <c:pt idx="9">
                  <c:v>5.5E-2</c:v>
                </c:pt>
                <c:pt idx="10">
                  <c:v>2.9000000000000001E-2</c:v>
                </c:pt>
                <c:pt idx="11">
                  <c:v>1.6E-2</c:v>
                </c:pt>
                <c:pt idx="12">
                  <c:v>1.0500000000000001E-2</c:v>
                </c:pt>
                <c:pt idx="13">
                  <c:v>7.4999999999999997E-3</c:v>
                </c:pt>
                <c:pt idx="14">
                  <c:v>5.3E-3</c:v>
                </c:pt>
                <c:pt idx="15">
                  <c:v>4.1999999999999997E-3</c:v>
                </c:pt>
                <c:pt idx="16">
                  <c:v>3.5699999999999998E-3</c:v>
                </c:pt>
                <c:pt idx="17">
                  <c:v>3.0344999999999999E-3</c:v>
                </c:pt>
                <c:pt idx="18">
                  <c:v>2.7310500000000001E-3</c:v>
                </c:pt>
              </c:numCache>
            </c:numRef>
          </c:yVal>
          <c:smooth val="0"/>
          <c:extLst>
            <c:ext xmlns:c16="http://schemas.microsoft.com/office/drawing/2014/chart" uri="{C3380CC4-5D6E-409C-BE32-E72D297353CC}">
              <c16:uniqueId val="{00000003-1E68-4F09-92B0-27CFDBA3FF25}"/>
            </c:ext>
          </c:extLst>
        </c:ser>
        <c:ser>
          <c:idx val="4"/>
          <c:order val="4"/>
          <c:tx>
            <c:v>HD4 Above Ground Main Emb. Category</c:v>
          </c:tx>
          <c:spPr>
            <a:ln w="38100" cap="rnd">
              <a:solidFill>
                <a:schemeClr val="accent5"/>
              </a:solidFill>
              <a:round/>
            </a:ln>
            <a:effectLst/>
          </c:spPr>
          <c:marker>
            <c:symbol val="circle"/>
            <c:size val="5"/>
            <c:spPr>
              <a:solidFill>
                <a:schemeClr val="accent5"/>
              </a:solidFill>
              <a:ln w="9525">
                <a:solidFill>
                  <a:schemeClr val="accent5"/>
                </a:solidFill>
              </a:ln>
              <a:effectLst/>
            </c:spPr>
          </c:marker>
          <c:xVal>
            <c:numRef>
              <c:f>'Slope stability'!$D$6:$D$24</c:f>
              <c:numCache>
                <c:formatCode>General</c:formatCode>
                <c:ptCount val="19"/>
                <c:pt idx="0">
                  <c:v>0.5</c:v>
                </c:pt>
                <c:pt idx="1">
                  <c:v>0.8</c:v>
                </c:pt>
                <c:pt idx="2">
                  <c:v>0.9</c:v>
                </c:pt>
                <c:pt idx="3">
                  <c:v>1</c:v>
                </c:pt>
                <c:pt idx="4">
                  <c:v>1.1000000000000001</c:v>
                </c:pt>
                <c:pt idx="5">
                  <c:v>1.2</c:v>
                </c:pt>
                <c:pt idx="6">
                  <c:v>1.3</c:v>
                </c:pt>
                <c:pt idx="7">
                  <c:v>1.4</c:v>
                </c:pt>
                <c:pt idx="8">
                  <c:v>1.5</c:v>
                </c:pt>
                <c:pt idx="9">
                  <c:v>1.6</c:v>
                </c:pt>
                <c:pt idx="10">
                  <c:v>1.7</c:v>
                </c:pt>
                <c:pt idx="11">
                  <c:v>1.8</c:v>
                </c:pt>
                <c:pt idx="12">
                  <c:v>1.9</c:v>
                </c:pt>
                <c:pt idx="13">
                  <c:v>2</c:v>
                </c:pt>
                <c:pt idx="14">
                  <c:v>2.1</c:v>
                </c:pt>
                <c:pt idx="15">
                  <c:v>2.2000000000000002</c:v>
                </c:pt>
                <c:pt idx="16">
                  <c:v>2.2999999999999998</c:v>
                </c:pt>
                <c:pt idx="17">
                  <c:v>2.4</c:v>
                </c:pt>
                <c:pt idx="18">
                  <c:v>2.5</c:v>
                </c:pt>
              </c:numCache>
            </c:numRef>
          </c:xVal>
          <c:yVal>
            <c:numRef>
              <c:f>'Slope stability'!$I$6:$I$24</c:f>
              <c:numCache>
                <c:formatCode>0.00E+00</c:formatCode>
                <c:ptCount val="19"/>
                <c:pt idx="0">
                  <c:v>0.99</c:v>
                </c:pt>
                <c:pt idx="1">
                  <c:v>0.60341763365451628</c:v>
                </c:pt>
                <c:pt idx="2">
                  <c:v>0.43421150529413233</c:v>
                </c:pt>
                <c:pt idx="3">
                  <c:v>0.2019779868270099</c:v>
                </c:pt>
                <c:pt idx="4">
                  <c:v>7.6146157548635129E-2</c:v>
                </c:pt>
                <c:pt idx="5">
                  <c:v>2.8022620647068036E-2</c:v>
                </c:pt>
                <c:pt idx="6">
                  <c:v>8.8691667572652101E-3</c:v>
                </c:pt>
                <c:pt idx="7">
                  <c:v>2.1867241478865543E-3</c:v>
                </c:pt>
                <c:pt idx="8">
                  <c:v>6.0759830958211634E-4</c:v>
                </c:pt>
                <c:pt idx="9">
                  <c:v>1.5104047729883711E-4</c:v>
                </c:pt>
                <c:pt idx="10">
                  <c:v>4.7430595384833955E-5</c:v>
                </c:pt>
                <c:pt idx="11">
                  <c:v>1.7135293687116636E-5</c:v>
                </c:pt>
                <c:pt idx="12">
                  <c:v>8.3229662290922817E-6</c:v>
                </c:pt>
                <c:pt idx="13">
                  <c:v>4.7650049232747541E-6</c:v>
                </c:pt>
                <c:pt idx="14">
                  <c:v>2.9044474202628535E-6</c:v>
                </c:pt>
                <c:pt idx="15">
                  <c:v>2.0900027046973148E-6</c:v>
                </c:pt>
                <c:pt idx="16">
                  <c:v>1.6537111893034629E-6</c:v>
                </c:pt>
                <c:pt idx="17">
                  <c:v>1.4664520099056266E-6</c:v>
                </c:pt>
                <c:pt idx="18">
                  <c:v>1.345977762172168E-6</c:v>
                </c:pt>
              </c:numCache>
            </c:numRef>
          </c:yVal>
          <c:smooth val="0"/>
          <c:extLst>
            <c:ext xmlns:c16="http://schemas.microsoft.com/office/drawing/2014/chart" uri="{C3380CC4-5D6E-409C-BE32-E72D297353CC}">
              <c16:uniqueId val="{00000001-51D2-4AEA-877A-B1C557926211}"/>
            </c:ext>
          </c:extLst>
        </c:ser>
        <c:dLbls>
          <c:showLegendKey val="0"/>
          <c:showVal val="0"/>
          <c:showCatName val="0"/>
          <c:showSerName val="0"/>
          <c:showPercent val="0"/>
          <c:showBubbleSize val="0"/>
        </c:dLbls>
        <c:axId val="476746616"/>
        <c:axId val="377260272"/>
      </c:scatterChart>
      <c:valAx>
        <c:axId val="476746616"/>
        <c:scaling>
          <c:orientation val="minMax"/>
          <c:max val="2.5"/>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AU" sz="1600" b="1"/>
                  <a:t>FoS</a:t>
                </a:r>
              </a:p>
            </c:rich>
          </c:tx>
          <c:layout>
            <c:manualLayout>
              <c:xMode val="edge"/>
              <c:yMode val="edge"/>
              <c:x val="0.47524343487729603"/>
              <c:y val="0.9369243321748558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cs-CZ"/>
            </a:p>
          </c:txPr>
        </c:title>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cs-CZ"/>
          </a:p>
        </c:txPr>
        <c:crossAx val="377260272"/>
        <c:crosses val="autoZero"/>
        <c:crossBetween val="midCat"/>
      </c:valAx>
      <c:valAx>
        <c:axId val="377260272"/>
        <c:scaling>
          <c:logBase val="10"/>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AU" sz="1600" b="1"/>
                  <a:t>Annual PoF</a:t>
                </a:r>
              </a:p>
            </c:rich>
          </c:tx>
          <c:layout>
            <c:manualLayout>
              <c:xMode val="edge"/>
              <c:yMode val="edge"/>
              <c:x val="1.3400878596716161E-2"/>
              <c:y val="0.36616318346532434"/>
            </c:manualLayout>
          </c:layout>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cs-CZ"/>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cs-CZ"/>
          </a:p>
        </c:txPr>
        <c:crossAx val="476746616"/>
        <c:crosses val="autoZero"/>
        <c:crossBetween val="midCat"/>
      </c:valAx>
      <c:spPr>
        <a:noFill/>
        <a:ln>
          <a:noFill/>
        </a:ln>
        <a:effectLst/>
      </c:spPr>
    </c:plotArea>
    <c:legend>
      <c:legendPos val="b"/>
      <c:legendEntry>
        <c:idx val="4"/>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cs-CZ"/>
          </a:p>
        </c:txPr>
      </c:legendEntry>
      <c:layout>
        <c:manualLayout>
          <c:xMode val="edge"/>
          <c:yMode val="edge"/>
          <c:x val="0.11775740337282821"/>
          <c:y val="3.0737519145342375E-2"/>
          <c:w val="0.38824955187852472"/>
          <c:h val="0.39825138288739481"/>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cs-CZ"/>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cs-CZ"/>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'Fdn piping'!$B$24:$B$27</c:f>
              <c:numCache>
                <c:formatCode>General</c:formatCode>
                <c:ptCount val="4"/>
                <c:pt idx="0">
                  <c:v>1</c:v>
                </c:pt>
                <c:pt idx="1">
                  <c:v>2</c:v>
                </c:pt>
                <c:pt idx="2">
                  <c:v>3</c:v>
                </c:pt>
                <c:pt idx="3">
                  <c:v>4</c:v>
                </c:pt>
              </c:numCache>
            </c:numRef>
          </c:xVal>
          <c:yVal>
            <c:numRef>
              <c:f>'Fdn piping'!$C$24:$C$27</c:f>
              <c:numCache>
                <c:formatCode>General</c:formatCode>
                <c:ptCount val="4"/>
                <c:pt idx="0">
                  <c:v>0.8</c:v>
                </c:pt>
                <c:pt idx="1">
                  <c:v>1</c:v>
                </c:pt>
                <c:pt idx="2">
                  <c:v>1.2</c:v>
                </c:pt>
                <c:pt idx="3">
                  <c:v>1.2</c:v>
                </c:pt>
              </c:numCache>
            </c:numRef>
          </c:yVal>
          <c:smooth val="0"/>
          <c:extLst>
            <c:ext xmlns:c16="http://schemas.microsoft.com/office/drawing/2014/chart" uri="{C3380CC4-5D6E-409C-BE32-E72D297353CC}">
              <c16:uniqueId val="{00000000-09C3-41E7-A5FA-0DECD1176B24}"/>
            </c:ext>
          </c:extLst>
        </c:ser>
        <c:dLbls>
          <c:showLegendKey val="0"/>
          <c:showVal val="0"/>
          <c:showCatName val="0"/>
          <c:showSerName val="0"/>
          <c:showPercent val="0"/>
          <c:showBubbleSize val="0"/>
        </c:dLbls>
        <c:axId val="1732473103"/>
        <c:axId val="1732471439"/>
      </c:scatterChart>
      <c:valAx>
        <c:axId val="17324731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1732471439"/>
        <c:crosses val="autoZero"/>
        <c:crossBetween val="midCat"/>
      </c:valAx>
      <c:valAx>
        <c:axId val="1732471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1732473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cs-CZ"/>
        </a:p>
      </c:txPr>
    </c:title>
    <c:autoTitleDeleted val="0"/>
    <c:plotArea>
      <c:layout/>
      <c:scatterChart>
        <c:scatterStyle val="lineMarker"/>
        <c:varyColors val="0"/>
        <c:ser>
          <c:idx val="0"/>
          <c:order val="0"/>
          <c:tx>
            <c:strRef>
              <c:f>'Emb-Fdn piping'!$B$82</c:f>
              <c:strCache>
                <c:ptCount val="1"/>
                <c:pt idx="0">
                  <c:v>1</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trendlineLbl>
          </c:trendline>
          <c:xVal>
            <c:numRef>
              <c:f>'Emb-Fdn piping'!$C$81:$E$81</c:f>
              <c:numCache>
                <c:formatCode>General</c:formatCode>
                <c:ptCount val="3"/>
                <c:pt idx="0">
                  <c:v>1</c:v>
                </c:pt>
                <c:pt idx="2">
                  <c:v>4</c:v>
                </c:pt>
              </c:numCache>
            </c:numRef>
          </c:xVal>
          <c:yVal>
            <c:numRef>
              <c:f>'Emb-Fdn piping'!$C$82:$E$82</c:f>
              <c:numCache>
                <c:formatCode>General</c:formatCode>
                <c:ptCount val="3"/>
                <c:pt idx="0">
                  <c:v>0.3</c:v>
                </c:pt>
                <c:pt idx="2">
                  <c:v>0.5</c:v>
                </c:pt>
              </c:numCache>
            </c:numRef>
          </c:yVal>
          <c:smooth val="0"/>
          <c:extLst>
            <c:ext xmlns:c16="http://schemas.microsoft.com/office/drawing/2014/chart" uri="{C3380CC4-5D6E-409C-BE32-E72D297353CC}">
              <c16:uniqueId val="{00000000-3C01-4A6A-BF2E-B7D72580F09F}"/>
            </c:ext>
          </c:extLst>
        </c:ser>
        <c:ser>
          <c:idx val="1"/>
          <c:order val="1"/>
          <c:tx>
            <c:strRef>
              <c:f>'Emb-Fdn piping'!$B$83</c:f>
              <c:strCache>
                <c:ptCount val="1"/>
                <c:pt idx="0">
                  <c:v>4</c:v>
                </c:pt>
              </c:strCache>
            </c:strRef>
          </c:tx>
          <c:spPr>
            <a:ln w="28575" cap="rnd">
              <a:noFill/>
              <a:round/>
            </a:ln>
            <a:effectLst/>
          </c:spPr>
          <c:marker>
            <c:symbol val="circle"/>
            <c:size val="5"/>
            <c:spPr>
              <a:solidFill>
                <a:schemeClr val="accent2"/>
              </a:solidFill>
              <a:ln w="9525">
                <a:solidFill>
                  <a:schemeClr val="accent2"/>
                </a:solidFill>
              </a:ln>
              <a:effectLst/>
            </c:spPr>
          </c:marker>
          <c:xVal>
            <c:numRef>
              <c:f>'Emb-Fdn piping'!$C$81:$E$81</c:f>
              <c:numCache>
                <c:formatCode>General</c:formatCode>
                <c:ptCount val="3"/>
                <c:pt idx="0">
                  <c:v>1</c:v>
                </c:pt>
                <c:pt idx="2">
                  <c:v>4</c:v>
                </c:pt>
              </c:numCache>
            </c:numRef>
          </c:xVal>
          <c:yVal>
            <c:numRef>
              <c:f>'Emb-Fdn piping'!$C$83:$E$83</c:f>
              <c:numCache>
                <c:formatCode>General</c:formatCode>
                <c:ptCount val="3"/>
                <c:pt idx="0">
                  <c:v>1</c:v>
                </c:pt>
                <c:pt idx="2">
                  <c:v>5</c:v>
                </c:pt>
              </c:numCache>
            </c:numRef>
          </c:yVal>
          <c:smooth val="0"/>
          <c:extLst>
            <c:ext xmlns:c16="http://schemas.microsoft.com/office/drawing/2014/chart" uri="{C3380CC4-5D6E-409C-BE32-E72D297353CC}">
              <c16:uniqueId val="{00000001-3C01-4A6A-BF2E-B7D72580F09F}"/>
            </c:ext>
          </c:extLst>
        </c:ser>
        <c:dLbls>
          <c:showLegendKey val="0"/>
          <c:showVal val="0"/>
          <c:showCatName val="0"/>
          <c:showSerName val="0"/>
          <c:showPercent val="0"/>
          <c:showBubbleSize val="0"/>
        </c:dLbls>
        <c:axId val="1234278015"/>
        <c:axId val="1234266783"/>
      </c:scatterChart>
      <c:valAx>
        <c:axId val="123427801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1234266783"/>
        <c:crosses val="autoZero"/>
        <c:crossBetween val="midCat"/>
      </c:valAx>
      <c:valAx>
        <c:axId val="1234266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1234278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cs-CZ"/>
        </a:p>
      </c:txPr>
    </c:title>
    <c:autoTitleDeleted val="0"/>
    <c:plotArea>
      <c:layout/>
      <c:scatterChart>
        <c:scatterStyle val="lineMarker"/>
        <c:varyColors val="0"/>
        <c:ser>
          <c:idx val="0"/>
          <c:order val="0"/>
          <c:tx>
            <c:v>Conduits</c:v>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trendlineLbl>
          </c:trendline>
          <c:xVal>
            <c:numRef>
              <c:f>'Embankment piping'!$B$33:$B$37</c:f>
              <c:numCache>
                <c:formatCode>General</c:formatCode>
                <c:ptCount val="5"/>
                <c:pt idx="0">
                  <c:v>0</c:v>
                </c:pt>
                <c:pt idx="1">
                  <c:v>1</c:v>
                </c:pt>
                <c:pt idx="2">
                  <c:v>2</c:v>
                </c:pt>
                <c:pt idx="3">
                  <c:v>3</c:v>
                </c:pt>
                <c:pt idx="4">
                  <c:v>4</c:v>
                </c:pt>
              </c:numCache>
            </c:numRef>
          </c:xVal>
          <c:yVal>
            <c:numRef>
              <c:f>'Embankment piping'!$C$33:$C$37</c:f>
              <c:numCache>
                <c:formatCode>General</c:formatCode>
                <c:ptCount val="5"/>
                <c:pt idx="0">
                  <c:v>0.5</c:v>
                </c:pt>
                <c:pt idx="1">
                  <c:v>0.8</c:v>
                </c:pt>
                <c:pt idx="2">
                  <c:v>1.6</c:v>
                </c:pt>
                <c:pt idx="3">
                  <c:v>3</c:v>
                </c:pt>
                <c:pt idx="4">
                  <c:v>5</c:v>
                </c:pt>
              </c:numCache>
            </c:numRef>
          </c:yVal>
          <c:smooth val="0"/>
          <c:extLst>
            <c:ext xmlns:c16="http://schemas.microsoft.com/office/drawing/2014/chart" uri="{C3380CC4-5D6E-409C-BE32-E72D297353CC}">
              <c16:uniqueId val="{00000001-A445-431D-9E25-597BC69AA624}"/>
            </c:ext>
          </c:extLst>
        </c:ser>
        <c:dLbls>
          <c:showLegendKey val="0"/>
          <c:showVal val="0"/>
          <c:showCatName val="0"/>
          <c:showSerName val="0"/>
          <c:showPercent val="0"/>
          <c:showBubbleSize val="0"/>
        </c:dLbls>
        <c:axId val="376445712"/>
        <c:axId val="376439472"/>
      </c:scatterChart>
      <c:valAx>
        <c:axId val="376445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76439472"/>
        <c:crosses val="autoZero"/>
        <c:crossBetween val="midCat"/>
      </c:valAx>
      <c:valAx>
        <c:axId val="376439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764457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cs-CZ"/>
        </a:p>
      </c:txPr>
    </c:title>
    <c:autoTitleDeleted val="0"/>
    <c:plotArea>
      <c:layout/>
      <c:scatterChart>
        <c:scatterStyle val="lineMarker"/>
        <c:varyColors val="0"/>
        <c:ser>
          <c:idx val="0"/>
          <c:order val="0"/>
          <c:tx>
            <c:strRef>
              <c:f>'Embankment piping'!$A$38:$A$41</c:f>
              <c:strCache>
                <c:ptCount val="4"/>
                <c:pt idx="0">
                  <c:v>Foundation Slopes Treatment WE(ft)</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trendlineLbl>
          </c:trendline>
          <c:xVal>
            <c:numRef>
              <c:f>'Embankment piping'!$B$38:$B$41</c:f>
              <c:numCache>
                <c:formatCode>General</c:formatCode>
                <c:ptCount val="4"/>
                <c:pt idx="0">
                  <c:v>1</c:v>
                </c:pt>
                <c:pt idx="1">
                  <c:v>2</c:v>
                </c:pt>
                <c:pt idx="2">
                  <c:v>3</c:v>
                </c:pt>
                <c:pt idx="3">
                  <c:v>4</c:v>
                </c:pt>
              </c:numCache>
            </c:numRef>
          </c:xVal>
          <c:yVal>
            <c:numRef>
              <c:f>'Embankment piping'!$C$38:$C$41</c:f>
              <c:numCache>
                <c:formatCode>General</c:formatCode>
                <c:ptCount val="4"/>
                <c:pt idx="0">
                  <c:v>0.9</c:v>
                </c:pt>
                <c:pt idx="1">
                  <c:v>1</c:v>
                </c:pt>
                <c:pt idx="2">
                  <c:v>1.35</c:v>
                </c:pt>
                <c:pt idx="3">
                  <c:v>2</c:v>
                </c:pt>
              </c:numCache>
            </c:numRef>
          </c:yVal>
          <c:smooth val="0"/>
          <c:extLst>
            <c:ext xmlns:c16="http://schemas.microsoft.com/office/drawing/2014/chart" uri="{C3380CC4-5D6E-409C-BE32-E72D297353CC}">
              <c16:uniqueId val="{00000001-6841-41D1-8BAB-1FCF976C0A47}"/>
            </c:ext>
          </c:extLst>
        </c:ser>
        <c:dLbls>
          <c:showLegendKey val="0"/>
          <c:showVal val="0"/>
          <c:showCatName val="0"/>
          <c:showSerName val="0"/>
          <c:showPercent val="0"/>
          <c:showBubbleSize val="0"/>
        </c:dLbls>
        <c:axId val="376445712"/>
        <c:axId val="376439472"/>
      </c:scatterChart>
      <c:valAx>
        <c:axId val="376445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76439472"/>
        <c:crosses val="autoZero"/>
        <c:crossBetween val="midCat"/>
      </c:valAx>
      <c:valAx>
        <c:axId val="376439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764457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cs-CZ"/>
        </a:p>
      </c:txPr>
    </c:title>
    <c:autoTitleDeleted val="0"/>
    <c:plotArea>
      <c:layout/>
      <c:scatterChart>
        <c:scatterStyle val="lineMarker"/>
        <c:varyColors val="0"/>
        <c:ser>
          <c:idx val="0"/>
          <c:order val="0"/>
          <c:tx>
            <c:strRef>
              <c:f>'Embankment piping'!$A$22:$A$25</c:f>
              <c:strCache>
                <c:ptCount val="4"/>
                <c:pt idx="0">
                  <c:v>Embankment Filter WE (filt)</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trendlineLbl>
          </c:trendline>
          <c:xVal>
            <c:numRef>
              <c:f>'Embankment piping'!$B$22:$B$25</c:f>
              <c:numCache>
                <c:formatCode>0.00</c:formatCode>
                <c:ptCount val="4"/>
                <c:pt idx="0">
                  <c:v>1</c:v>
                </c:pt>
                <c:pt idx="1">
                  <c:v>2</c:v>
                </c:pt>
                <c:pt idx="2">
                  <c:v>3</c:v>
                </c:pt>
                <c:pt idx="3">
                  <c:v>4</c:v>
                </c:pt>
              </c:numCache>
            </c:numRef>
          </c:xVal>
          <c:yVal>
            <c:numRef>
              <c:f>'Embankment piping'!$C$22:$C$25</c:f>
              <c:numCache>
                <c:formatCode>0.0</c:formatCode>
                <c:ptCount val="4"/>
                <c:pt idx="0" formatCode="0.00">
                  <c:v>0.02</c:v>
                </c:pt>
                <c:pt idx="1">
                  <c:v>0.2</c:v>
                </c:pt>
                <c:pt idx="2">
                  <c:v>0.85</c:v>
                </c:pt>
                <c:pt idx="3">
                  <c:v>2</c:v>
                </c:pt>
              </c:numCache>
            </c:numRef>
          </c:yVal>
          <c:smooth val="0"/>
          <c:extLst>
            <c:ext xmlns:c16="http://schemas.microsoft.com/office/drawing/2014/chart" uri="{C3380CC4-5D6E-409C-BE32-E72D297353CC}">
              <c16:uniqueId val="{00000001-C10C-4D9D-A073-F8D0AA30CAF3}"/>
            </c:ext>
          </c:extLst>
        </c:ser>
        <c:dLbls>
          <c:showLegendKey val="0"/>
          <c:showVal val="0"/>
          <c:showCatName val="0"/>
          <c:showSerName val="0"/>
          <c:showPercent val="0"/>
          <c:showBubbleSize val="0"/>
        </c:dLbls>
        <c:axId val="376445712"/>
        <c:axId val="376439472"/>
      </c:scatterChart>
      <c:valAx>
        <c:axId val="37644571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76439472"/>
        <c:crosses val="autoZero"/>
        <c:crossBetween val="midCat"/>
      </c:valAx>
      <c:valAx>
        <c:axId val="376439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764457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cs-CZ"/>
        </a:p>
      </c:txPr>
    </c:title>
    <c:autoTitleDeleted val="0"/>
    <c:plotArea>
      <c:layout/>
      <c:scatterChart>
        <c:scatterStyle val="lineMarker"/>
        <c:varyColors val="0"/>
        <c:ser>
          <c:idx val="0"/>
          <c:order val="0"/>
          <c:tx>
            <c:strRef>
              <c:f>'Embankment piping'!$A$28:$A$31</c:f>
              <c:strCache>
                <c:ptCount val="4"/>
                <c:pt idx="0">
                  <c:v>Compaction WE(cc)</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trendlineLbl>
          </c:trendline>
          <c:xVal>
            <c:numRef>
              <c:f>'Embankment piping'!$B$28:$B$31</c:f>
              <c:numCache>
                <c:formatCode>0.00</c:formatCode>
                <c:ptCount val="4"/>
                <c:pt idx="0">
                  <c:v>1</c:v>
                </c:pt>
                <c:pt idx="1">
                  <c:v>2</c:v>
                </c:pt>
                <c:pt idx="2" formatCode="General">
                  <c:v>3</c:v>
                </c:pt>
                <c:pt idx="3" formatCode="General">
                  <c:v>4</c:v>
                </c:pt>
              </c:numCache>
            </c:numRef>
          </c:xVal>
          <c:yVal>
            <c:numRef>
              <c:f>'Embankment piping'!$C$28:$C$31</c:f>
              <c:numCache>
                <c:formatCode>0.00</c:formatCode>
                <c:ptCount val="4"/>
                <c:pt idx="0">
                  <c:v>0.5</c:v>
                </c:pt>
                <c:pt idx="1">
                  <c:v>1</c:v>
                </c:pt>
                <c:pt idx="2" formatCode="General">
                  <c:v>2.5</c:v>
                </c:pt>
                <c:pt idx="3" formatCode="General">
                  <c:v>5</c:v>
                </c:pt>
              </c:numCache>
            </c:numRef>
          </c:yVal>
          <c:smooth val="0"/>
          <c:extLst>
            <c:ext xmlns:c16="http://schemas.microsoft.com/office/drawing/2014/chart" uri="{C3380CC4-5D6E-409C-BE32-E72D297353CC}">
              <c16:uniqueId val="{00000001-A859-4455-A01E-EA6C6A4A3FD1}"/>
            </c:ext>
          </c:extLst>
        </c:ser>
        <c:dLbls>
          <c:showLegendKey val="0"/>
          <c:showVal val="0"/>
          <c:showCatName val="0"/>
          <c:showSerName val="0"/>
          <c:showPercent val="0"/>
          <c:showBubbleSize val="0"/>
        </c:dLbls>
        <c:axId val="376445712"/>
        <c:axId val="376439472"/>
      </c:scatterChart>
      <c:valAx>
        <c:axId val="37644571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76439472"/>
        <c:crosses val="autoZero"/>
        <c:crossBetween val="midCat"/>
      </c:valAx>
      <c:valAx>
        <c:axId val="376439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764457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cs-CZ"/>
        </a:p>
      </c:txPr>
    </c:title>
    <c:autoTitleDeleted val="0"/>
    <c:plotArea>
      <c:layout/>
      <c:scatterChart>
        <c:scatterStyle val="lineMarker"/>
        <c:varyColors val="0"/>
        <c:ser>
          <c:idx val="0"/>
          <c:order val="0"/>
          <c:tx>
            <c:strRef>
              <c:f>'Embankment piping'!$A$42:$A$45</c:f>
              <c:strCache>
                <c:ptCount val="4"/>
                <c:pt idx="0">
                  <c:v>Observations of Seepage WE(obs)</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trendlineLbl>
          </c:trendline>
          <c:xVal>
            <c:numRef>
              <c:f>'Embankment piping'!$B$42:$B$45</c:f>
              <c:numCache>
                <c:formatCode>General</c:formatCode>
                <c:ptCount val="4"/>
                <c:pt idx="0">
                  <c:v>1</c:v>
                </c:pt>
                <c:pt idx="1">
                  <c:v>2</c:v>
                </c:pt>
                <c:pt idx="2">
                  <c:v>3</c:v>
                </c:pt>
                <c:pt idx="3">
                  <c:v>4</c:v>
                </c:pt>
              </c:numCache>
            </c:numRef>
          </c:xVal>
          <c:yVal>
            <c:numRef>
              <c:f>'Embankment piping'!$C$42:$C$45</c:f>
              <c:numCache>
                <c:formatCode>General</c:formatCode>
                <c:ptCount val="4"/>
                <c:pt idx="0">
                  <c:v>0.5</c:v>
                </c:pt>
                <c:pt idx="1">
                  <c:v>1.2</c:v>
                </c:pt>
                <c:pt idx="2">
                  <c:v>4.4000000000000004</c:v>
                </c:pt>
                <c:pt idx="3">
                  <c:v>10</c:v>
                </c:pt>
              </c:numCache>
            </c:numRef>
          </c:yVal>
          <c:smooth val="0"/>
          <c:extLst>
            <c:ext xmlns:c16="http://schemas.microsoft.com/office/drawing/2014/chart" uri="{C3380CC4-5D6E-409C-BE32-E72D297353CC}">
              <c16:uniqueId val="{00000001-A477-4527-901A-3690F13D9ACE}"/>
            </c:ext>
          </c:extLst>
        </c:ser>
        <c:dLbls>
          <c:showLegendKey val="0"/>
          <c:showVal val="0"/>
          <c:showCatName val="0"/>
          <c:showSerName val="0"/>
          <c:showPercent val="0"/>
          <c:showBubbleSize val="0"/>
        </c:dLbls>
        <c:axId val="376445712"/>
        <c:axId val="376439472"/>
      </c:scatterChart>
      <c:valAx>
        <c:axId val="376445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76439472"/>
        <c:crosses val="autoZero"/>
        <c:crossBetween val="midCat"/>
      </c:valAx>
      <c:valAx>
        <c:axId val="376439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764457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cs-CZ"/>
        </a:p>
      </c:txPr>
    </c:title>
    <c:autoTitleDeleted val="0"/>
    <c:plotArea>
      <c:layout/>
      <c:scatterChart>
        <c:scatterStyle val="lineMarker"/>
        <c:varyColors val="0"/>
        <c:ser>
          <c:idx val="0"/>
          <c:order val="0"/>
          <c:tx>
            <c:strRef>
              <c:f>'Embankment piping'!$A$46:$A$49</c:f>
              <c:strCache>
                <c:ptCount val="4"/>
                <c:pt idx="0">
                  <c:v>Monitoring and Surveillance WE(mon)</c:v>
                </c:pt>
              </c:strCache>
            </c:strRef>
          </c:tx>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poly"/>
            <c:order val="2"/>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trendlineLbl>
          </c:trendline>
          <c:xVal>
            <c:numRef>
              <c:f>'Embankment piping'!$B$46:$B$49</c:f>
              <c:numCache>
                <c:formatCode>General</c:formatCode>
                <c:ptCount val="4"/>
                <c:pt idx="0">
                  <c:v>1</c:v>
                </c:pt>
                <c:pt idx="1">
                  <c:v>2</c:v>
                </c:pt>
                <c:pt idx="2">
                  <c:v>3</c:v>
                </c:pt>
                <c:pt idx="3">
                  <c:v>4</c:v>
                </c:pt>
              </c:numCache>
            </c:numRef>
          </c:xVal>
          <c:yVal>
            <c:numRef>
              <c:f>'Embankment piping'!$C$46:$C$49</c:f>
              <c:numCache>
                <c:formatCode>General</c:formatCode>
                <c:ptCount val="4"/>
                <c:pt idx="0">
                  <c:v>0.5</c:v>
                </c:pt>
                <c:pt idx="1">
                  <c:v>0.8</c:v>
                </c:pt>
                <c:pt idx="2">
                  <c:v>1.3</c:v>
                </c:pt>
                <c:pt idx="3">
                  <c:v>2</c:v>
                </c:pt>
              </c:numCache>
            </c:numRef>
          </c:yVal>
          <c:smooth val="0"/>
          <c:extLst>
            <c:ext xmlns:c16="http://schemas.microsoft.com/office/drawing/2014/chart" uri="{C3380CC4-5D6E-409C-BE32-E72D297353CC}">
              <c16:uniqueId val="{00000001-44FE-4264-9ADD-C845C11F2D66}"/>
            </c:ext>
          </c:extLst>
        </c:ser>
        <c:dLbls>
          <c:showLegendKey val="0"/>
          <c:showVal val="0"/>
          <c:showCatName val="0"/>
          <c:showSerName val="0"/>
          <c:showPercent val="0"/>
          <c:showBubbleSize val="0"/>
        </c:dLbls>
        <c:axId val="376445712"/>
        <c:axId val="376439472"/>
      </c:scatterChart>
      <c:valAx>
        <c:axId val="376445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76439472"/>
        <c:crosses val="autoZero"/>
        <c:crossBetween val="midCat"/>
      </c:valAx>
      <c:valAx>
        <c:axId val="376439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764457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31866949692732"/>
          <c:y val="9.6765451639916428E-2"/>
          <c:w val="0.84810148268389585"/>
          <c:h val="0.796018647289637"/>
        </c:manualLayout>
      </c:layout>
      <c:scatterChart>
        <c:scatterStyle val="lineMarker"/>
        <c:varyColors val="0"/>
        <c:ser>
          <c:idx val="1"/>
          <c:order val="0"/>
          <c:tx>
            <c:v>ANCOLD Tolerability Line</c:v>
          </c:tx>
          <c:spPr>
            <a:ln w="28575" cap="rnd">
              <a:solidFill>
                <a:schemeClr val="tx1"/>
              </a:solidFill>
              <a:prstDash val="dash"/>
              <a:round/>
            </a:ln>
            <a:effectLst/>
          </c:spPr>
          <c:marker>
            <c:symbol val="circle"/>
            <c:size val="5"/>
            <c:spPr>
              <a:noFill/>
              <a:ln w="28575">
                <a:solidFill>
                  <a:schemeClr val="tx1"/>
                </a:solidFill>
              </a:ln>
              <a:effectLst/>
            </c:spPr>
          </c:marker>
          <c:xVal>
            <c:numLit>
              <c:formatCode>General</c:formatCode>
              <c:ptCount val="3"/>
              <c:pt idx="0">
                <c:v>1</c:v>
              </c:pt>
              <c:pt idx="1">
                <c:v>100</c:v>
              </c:pt>
              <c:pt idx="2">
                <c:v>1000</c:v>
              </c:pt>
            </c:numLit>
          </c:xVal>
          <c:yVal>
            <c:numLit>
              <c:formatCode>General</c:formatCode>
              <c:ptCount val="3"/>
              <c:pt idx="0">
                <c:v>1E-3</c:v>
              </c:pt>
              <c:pt idx="1">
                <c:v>9.9999999999999907E-6</c:v>
              </c:pt>
              <c:pt idx="2">
                <c:v>9.9999999999999907E-6</c:v>
              </c:pt>
            </c:numLit>
          </c:yVal>
          <c:smooth val="0"/>
          <c:extLst>
            <c:ext xmlns:c16="http://schemas.microsoft.com/office/drawing/2014/chart" uri="{C3380CC4-5D6E-409C-BE32-E72D297353CC}">
              <c16:uniqueId val="{0000000A-09AE-47FF-9DF1-D778DB925BD9}"/>
            </c:ext>
          </c:extLst>
        </c:ser>
        <c:ser>
          <c:idx val="0"/>
          <c:order val="1"/>
          <c:tx>
            <c:strRef>
              <c:f>Outputs!$C$2</c:f>
              <c:strCache>
                <c:ptCount val="1"/>
                <c:pt idx="0">
                  <c:v>AG WFSF - Main Embankment without filter</c:v>
                </c:pt>
              </c:strCache>
            </c:strRef>
          </c:tx>
          <c:spPr>
            <a:ln w="19050" cap="rnd">
              <a:solidFill>
                <a:schemeClr val="accent1"/>
              </a:solidFill>
              <a:round/>
            </a:ln>
            <a:effectLst/>
          </c:spPr>
          <c:marker>
            <c:symbol val="circle"/>
            <c:size val="21"/>
            <c:spPr>
              <a:solidFill>
                <a:schemeClr val="accent1"/>
              </a:solidFill>
              <a:ln w="9525">
                <a:solidFill>
                  <a:schemeClr val="accent1"/>
                </a:solidFill>
              </a:ln>
              <a:effectLst/>
            </c:spPr>
          </c:marker>
          <c:xVal>
            <c:numRef>
              <c:f>Outputs!$C$13</c:f>
            </c:numRef>
          </c:xVal>
          <c:yVal>
            <c:numRef>
              <c:f>Outputs!$C$9</c:f>
            </c:numRef>
          </c:yVal>
          <c:smooth val="0"/>
          <c:extLst>
            <c:ext xmlns:c16="http://schemas.microsoft.com/office/drawing/2014/chart" uri="{C3380CC4-5D6E-409C-BE32-E72D297353CC}">
              <c16:uniqueId val="{00000000-1CA5-4547-8B5F-72604CB71E7F}"/>
            </c:ext>
          </c:extLst>
        </c:ser>
        <c:ser>
          <c:idx val="3"/>
          <c:order val="2"/>
          <c:tx>
            <c:strRef>
              <c:f>Outputs!$E$2</c:f>
              <c:strCache>
                <c:ptCount val="1"/>
                <c:pt idx="0">
                  <c:v>WFSF - Eastern Embankment</c:v>
                </c:pt>
              </c:strCache>
            </c:strRef>
          </c:tx>
          <c:spPr>
            <a:ln w="19050" cap="rnd">
              <a:solidFill>
                <a:schemeClr val="accent4"/>
              </a:solidFill>
              <a:round/>
            </a:ln>
            <a:effectLst/>
          </c:spPr>
          <c:marker>
            <c:symbol val="diamond"/>
            <c:size val="24"/>
            <c:spPr>
              <a:solidFill>
                <a:schemeClr val="accent4"/>
              </a:solidFill>
              <a:ln w="9525">
                <a:solidFill>
                  <a:schemeClr val="accent4"/>
                </a:solidFill>
              </a:ln>
              <a:effectLst/>
            </c:spPr>
          </c:marker>
          <c:xVal>
            <c:numRef>
              <c:f>Outputs!$E$13</c:f>
            </c:numRef>
          </c:xVal>
          <c:yVal>
            <c:numRef>
              <c:f>Outputs!$E$9</c:f>
            </c:numRef>
          </c:yVal>
          <c:smooth val="0"/>
          <c:extLst>
            <c:ext xmlns:c16="http://schemas.microsoft.com/office/drawing/2014/chart" uri="{C3380CC4-5D6E-409C-BE32-E72D297353CC}">
              <c16:uniqueId val="{00000003-1CA5-4547-8B5F-72604CB71E7F}"/>
            </c:ext>
          </c:extLst>
        </c:ser>
        <c:dLbls>
          <c:showLegendKey val="0"/>
          <c:showVal val="0"/>
          <c:showCatName val="0"/>
          <c:showSerName val="0"/>
          <c:showPercent val="0"/>
          <c:showBubbleSize val="0"/>
        </c:dLbls>
        <c:axId val="588720464"/>
        <c:axId val="588723792"/>
      </c:scatterChart>
      <c:valAx>
        <c:axId val="588720464"/>
        <c:scaling>
          <c:logBase val="10"/>
          <c:orientation val="minMax"/>
          <c:max val="1000"/>
          <c:min val="1.0000000000000002E-2"/>
        </c:scaling>
        <c:delete val="0"/>
        <c:axPos val="b"/>
        <c:majorGridlines>
          <c:spPr>
            <a:ln w="9525" cap="flat" cmpd="sng" algn="ctr">
              <a:solidFill>
                <a:schemeClr val="bg1">
                  <a:lumMod val="50000"/>
                </a:schemeClr>
              </a:solidFill>
              <a:round/>
            </a:ln>
            <a:effectLst/>
          </c:spPr>
        </c:majorGridlines>
        <c:minorGridlines>
          <c:spPr>
            <a:ln w="0" cap="flat" cmpd="sng" algn="ctr">
              <a:solidFill>
                <a:schemeClr val="bg1">
                  <a:lumMod val="85000"/>
                </a:schemeClr>
              </a:solidFill>
              <a:prstDash val="sysDot"/>
              <a:round/>
            </a:ln>
            <a:effectLst/>
          </c:spPr>
        </c:min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sz="1800" b="1"/>
                  <a:t>PLL </a:t>
                </a:r>
              </a:p>
            </c:rich>
          </c:tx>
          <c:layout>
            <c:manualLayout>
              <c:xMode val="edge"/>
              <c:yMode val="edge"/>
              <c:x val="0.49104542463404727"/>
              <c:y val="0.93960327279249778"/>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cs-CZ"/>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cs-CZ"/>
          </a:p>
        </c:txPr>
        <c:crossAx val="588723792"/>
        <c:crossesAt val="1.0000000000000006E-10"/>
        <c:crossBetween val="midCat"/>
      </c:valAx>
      <c:valAx>
        <c:axId val="588723792"/>
        <c:scaling>
          <c:logBase val="10"/>
          <c:orientation val="minMax"/>
          <c:max val="1.0000000000000002E-2"/>
          <c:min val="1.0000000000000005E-8"/>
        </c:scaling>
        <c:delete val="0"/>
        <c:axPos val="l"/>
        <c:majorGridlines>
          <c:spPr>
            <a:ln w="9525" cap="flat" cmpd="sng" algn="ctr">
              <a:solidFill>
                <a:schemeClr val="bg1">
                  <a:lumMod val="50000"/>
                </a:schemeClr>
              </a:solidFill>
              <a:round/>
            </a:ln>
            <a:effectLst/>
          </c:spPr>
        </c:majorGridlines>
        <c:minorGridlines>
          <c:spPr>
            <a:ln w="9525" cap="flat" cmpd="sng" algn="ctr">
              <a:solidFill>
                <a:schemeClr val="bg1">
                  <a:lumMod val="65000"/>
                </a:schemeClr>
              </a:solidFill>
              <a:round/>
            </a:ln>
            <a:effectLst/>
          </c:spPr>
        </c:minorGridlines>
        <c:title>
          <c:tx>
            <c:rich>
              <a:bodyPr rot="-54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US" sz="1800" b="1">
                    <a:solidFill>
                      <a:sysClr val="windowText" lastClr="000000"/>
                    </a:solidFill>
                  </a:rPr>
                  <a:t>PoF (AEP)</a:t>
                </a:r>
              </a:p>
            </c:rich>
          </c:tx>
          <c:overlay val="0"/>
          <c:spPr>
            <a:noFill/>
            <a:ln>
              <a:noFill/>
            </a:ln>
            <a:effectLst/>
          </c:spPr>
          <c:txPr>
            <a:bodyPr rot="-54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cs-CZ"/>
            </a:p>
          </c:txPr>
        </c:title>
        <c:numFmt formatCode="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cs-CZ"/>
          </a:p>
        </c:txPr>
        <c:crossAx val="588720464"/>
        <c:crossesAt val="1.0000000000000002E-2"/>
        <c:crossBetween val="midCat"/>
      </c:valAx>
      <c:spPr>
        <a:noFill/>
        <a:ln w="25400">
          <a:noFill/>
        </a:ln>
        <a:effectLst/>
      </c:spPr>
    </c:plotArea>
    <c:legend>
      <c:legendPos val="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cs-CZ"/>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100844481075014"/>
          <c:y val="0.13851930859240205"/>
          <c:w val="0.47798311037849978"/>
          <c:h val="0.79574687734380656"/>
        </c:manualLayout>
      </c:layout>
      <c:radarChart>
        <c:radarStyle val="marker"/>
        <c:varyColors val="0"/>
        <c:ser>
          <c:idx val="2"/>
          <c:order val="0"/>
          <c:tx>
            <c:strRef>
              <c:f>Outputs!$C$2</c:f>
              <c:strCache>
                <c:ptCount val="1"/>
                <c:pt idx="0">
                  <c:v>AG WFSF - Main Embankment without filter</c:v>
                </c:pt>
              </c:strCache>
            </c:strRef>
          </c:tx>
          <c:spPr>
            <a:ln w="28575" cap="rnd">
              <a:solidFill>
                <a:schemeClr val="tx2"/>
              </a:solidFill>
              <a:prstDash val="sysDot"/>
              <a:round/>
            </a:ln>
            <a:effectLst>
              <a:outerShdw blurRad="50800" dist="38100" dir="2700000" algn="tl" rotWithShape="0">
                <a:prstClr val="black">
                  <a:alpha val="40000"/>
                </a:prstClr>
              </a:outerShdw>
            </a:effectLst>
          </c:spPr>
          <c:cat>
            <c:strRef>
              <c:f>Outputs!$B$3:$B$8</c:f>
              <c:strCache>
                <c:ptCount val="6"/>
                <c:pt idx="0">
                  <c:v>Piping emb&amp;fnd</c:v>
                </c:pt>
                <c:pt idx="1">
                  <c:v>Piping embankment</c:v>
                </c:pt>
                <c:pt idx="2">
                  <c:v>Piping foundation</c:v>
                </c:pt>
                <c:pt idx="3">
                  <c:v>Overtopping</c:v>
                </c:pt>
                <c:pt idx="4">
                  <c:v>Static slope instability </c:v>
                </c:pt>
                <c:pt idx="5">
                  <c:v>Post-Seismic sl. stability</c:v>
                </c:pt>
              </c:strCache>
            </c:strRef>
          </c:cat>
          <c:val>
            <c:numRef>
              <c:f>Outputs!$C$3:$C$8</c:f>
            </c:numRef>
          </c:val>
          <c:extLst>
            <c:ext xmlns:c16="http://schemas.microsoft.com/office/drawing/2014/chart" uri="{C3380CC4-5D6E-409C-BE32-E72D297353CC}">
              <c16:uniqueId val="{00000009-3979-49FD-907F-3500226C0CF4}"/>
            </c:ext>
          </c:extLst>
        </c:ser>
        <c:ser>
          <c:idx val="3"/>
          <c:order val="1"/>
          <c:tx>
            <c:strRef>
              <c:f>Outputs!$D$2</c:f>
              <c:strCache>
                <c:ptCount val="1"/>
                <c:pt idx="0">
                  <c:v>AG WFSF - Main Embankment with filter</c:v>
                </c:pt>
              </c:strCache>
            </c:strRef>
          </c:tx>
          <c:spPr>
            <a:ln w="28575" cap="rnd">
              <a:solidFill>
                <a:schemeClr val="accent1"/>
              </a:solidFill>
              <a:prstDash val="sysDot"/>
              <a:round/>
            </a:ln>
            <a:effectLst>
              <a:outerShdw blurRad="50800" dist="38100" dir="2700000" algn="tl" rotWithShape="0">
                <a:prstClr val="black">
                  <a:alpha val="40000"/>
                </a:prstClr>
              </a:outerShdw>
            </a:effectLst>
          </c:spPr>
          <c:cat>
            <c:strRef>
              <c:f>Outputs!$B$3:$B$8</c:f>
              <c:strCache>
                <c:ptCount val="6"/>
                <c:pt idx="0">
                  <c:v>Piping emb&amp;fnd</c:v>
                </c:pt>
                <c:pt idx="1">
                  <c:v>Piping embankment</c:v>
                </c:pt>
                <c:pt idx="2">
                  <c:v>Piping foundation</c:v>
                </c:pt>
                <c:pt idx="3">
                  <c:v>Overtopping</c:v>
                </c:pt>
                <c:pt idx="4">
                  <c:v>Static slope instability </c:v>
                </c:pt>
                <c:pt idx="5">
                  <c:v>Post-Seismic sl. stability</c:v>
                </c:pt>
              </c:strCache>
            </c:strRef>
          </c:cat>
          <c:val>
            <c:numRef>
              <c:f>Outputs!$D$3:$D$8</c:f>
            </c:numRef>
          </c:val>
          <c:extLst>
            <c:ext xmlns:c16="http://schemas.microsoft.com/office/drawing/2014/chart" uri="{C3380CC4-5D6E-409C-BE32-E72D297353CC}">
              <c16:uniqueId val="{0000000A-3979-49FD-907F-3500226C0CF4}"/>
            </c:ext>
          </c:extLst>
        </c:ser>
        <c:ser>
          <c:idx val="0"/>
          <c:order val="2"/>
          <c:tx>
            <c:strRef>
              <c:f>Outputs!$E$2</c:f>
              <c:strCache>
                <c:ptCount val="1"/>
                <c:pt idx="0">
                  <c:v>WFSF - Eastern Embankment</c:v>
                </c:pt>
              </c:strCache>
            </c:strRef>
          </c:tx>
          <c:spPr>
            <a:ln w="28575" cap="rnd">
              <a:solidFill>
                <a:schemeClr val="accent2">
                  <a:lumMod val="75000"/>
                </a:schemeClr>
              </a:solidFill>
              <a:prstDash val="sysDot"/>
              <a:round/>
            </a:ln>
            <a:effectLst>
              <a:outerShdw blurRad="50800" dist="38100" dir="2700000" algn="tl" rotWithShape="0">
                <a:prstClr val="black">
                  <a:alpha val="40000"/>
                </a:prstClr>
              </a:outerShdw>
            </a:effectLst>
          </c:spPr>
          <c:marker>
            <c:symbol val="circle"/>
            <c:size val="10"/>
            <c:spPr>
              <a:noFill/>
              <a:ln w="22225">
                <a:solidFill>
                  <a:srgbClr val="7030A0"/>
                </a:solidFill>
              </a:ln>
              <a:effectLst>
                <a:outerShdw blurRad="50800" dist="38100" dir="2700000" algn="tl" rotWithShape="0">
                  <a:prstClr val="black">
                    <a:alpha val="40000"/>
                  </a:prstClr>
                </a:outerShdw>
              </a:effectLst>
            </c:spPr>
          </c:marker>
          <c:cat>
            <c:strRef>
              <c:f>Outputs!$B$3:$B$8</c:f>
              <c:strCache>
                <c:ptCount val="6"/>
                <c:pt idx="0">
                  <c:v>Piping emb&amp;fnd</c:v>
                </c:pt>
                <c:pt idx="1">
                  <c:v>Piping embankment</c:v>
                </c:pt>
                <c:pt idx="2">
                  <c:v>Piping foundation</c:v>
                </c:pt>
                <c:pt idx="3">
                  <c:v>Overtopping</c:v>
                </c:pt>
                <c:pt idx="4">
                  <c:v>Static slope instability </c:v>
                </c:pt>
                <c:pt idx="5">
                  <c:v>Post-Seismic sl. stability</c:v>
                </c:pt>
              </c:strCache>
            </c:strRef>
          </c:cat>
          <c:val>
            <c:numRef>
              <c:f>Outputs!$E$3:$E$8</c:f>
            </c:numRef>
          </c:val>
          <c:extLst>
            <c:ext xmlns:c16="http://schemas.microsoft.com/office/drawing/2014/chart" uri="{C3380CC4-5D6E-409C-BE32-E72D297353CC}">
              <c16:uniqueId val="{00000008-3979-49FD-907F-3500226C0CF4}"/>
            </c:ext>
          </c:extLst>
        </c:ser>
        <c:dLbls>
          <c:showLegendKey val="0"/>
          <c:showVal val="0"/>
          <c:showCatName val="0"/>
          <c:showSerName val="0"/>
          <c:showPercent val="0"/>
          <c:showBubbleSize val="0"/>
        </c:dLbls>
        <c:axId val="447819200"/>
        <c:axId val="447817536"/>
      </c:radarChart>
      <c:catAx>
        <c:axId val="44781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t" anchorCtr="0"/>
          <a:lstStyle/>
          <a:p>
            <a:pPr>
              <a:defRPr sz="1800" b="1" i="0" u="none" strike="noStrike" kern="1200" baseline="0">
                <a:solidFill>
                  <a:schemeClr val="tx1">
                    <a:lumMod val="65000"/>
                    <a:lumOff val="35000"/>
                  </a:schemeClr>
                </a:solidFill>
                <a:latin typeface="+mn-lt"/>
                <a:ea typeface="+mn-ea"/>
                <a:cs typeface="+mn-cs"/>
              </a:defRPr>
            </a:pPr>
            <a:endParaRPr lang="cs-CZ"/>
          </a:p>
        </c:txPr>
        <c:crossAx val="447817536"/>
        <c:crosses val="autoZero"/>
        <c:auto val="1"/>
        <c:lblAlgn val="ctr"/>
        <c:lblOffset val="100"/>
        <c:noMultiLvlLbl val="0"/>
      </c:catAx>
      <c:valAx>
        <c:axId val="447817536"/>
        <c:scaling>
          <c:logBase val="10"/>
          <c:orientation val="minMax"/>
          <c:max val="1.0000000000000002E-2"/>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E+00" sourceLinked="0"/>
        <c:majorTickMark val="none"/>
        <c:minorTickMark val="none"/>
        <c:tickLblPos val="high"/>
        <c:spPr>
          <a:noFill/>
          <a:ln>
            <a:noFill/>
          </a:ln>
          <a:effectLst/>
        </c:spPr>
        <c:txPr>
          <a:bodyPr rot="-1920000" spcFirstLastPara="1" vertOverflow="ellipsis" wrap="square" anchor="t" anchorCtr="0"/>
          <a:lstStyle/>
          <a:p>
            <a:pPr>
              <a:defRPr sz="1400" b="1" i="0" u="none" strike="noStrike" kern="1200" baseline="0">
                <a:solidFill>
                  <a:schemeClr val="tx1">
                    <a:lumMod val="65000"/>
                    <a:lumOff val="35000"/>
                  </a:schemeClr>
                </a:solidFill>
                <a:latin typeface="+mn-lt"/>
                <a:ea typeface="+mn-ea"/>
                <a:cs typeface="+mn-cs"/>
              </a:defRPr>
            </a:pPr>
            <a:endParaRPr lang="cs-CZ"/>
          </a:p>
        </c:txPr>
        <c:crossAx val="447819200"/>
        <c:crosses val="autoZero"/>
        <c:crossBetween val="between"/>
      </c:valAx>
    </c:plotArea>
    <c:legend>
      <c:legendPos val="r"/>
      <c:layout>
        <c:manualLayout>
          <c:xMode val="edge"/>
          <c:yMode val="edge"/>
          <c:x val="8.6395807886223922E-3"/>
          <c:y val="1.1255404808859832E-2"/>
          <c:w val="0.40743307235107845"/>
          <c:h val="0.22243201986620859"/>
        </c:manualLayout>
      </c:layout>
      <c:overlay val="0"/>
      <c:txPr>
        <a:bodyPr/>
        <a:lstStyle/>
        <a:p>
          <a:pPr>
            <a:defRPr sz="1600" b="1"/>
          </a:pPr>
          <a:endParaRPr lang="cs-CZ"/>
        </a:p>
      </c:txPr>
    </c:legend>
    <c:plotVisOnly val="1"/>
    <c:dispBlanksAs val="gap"/>
    <c:showDLblsOverMax val="0"/>
    <c:extLst/>
  </c:chart>
  <c:txPr>
    <a:bodyPr/>
    <a:lstStyle/>
    <a:p>
      <a:pPr>
        <a:defRPr/>
      </a:pPr>
      <a:endParaRPr lang="cs-CZ"/>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cs-CZ"/>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100844481075014"/>
          <c:y val="0.13851930859240205"/>
          <c:w val="0.47798311037849978"/>
          <c:h val="0.79574687734380656"/>
        </c:manualLayout>
      </c:layout>
      <c:radarChart>
        <c:radarStyle val="marker"/>
        <c:varyColors val="0"/>
        <c:ser>
          <c:idx val="0"/>
          <c:order val="0"/>
          <c:spPr>
            <a:ln w="28575" cap="rnd">
              <a:solidFill>
                <a:schemeClr val="accent2">
                  <a:lumMod val="75000"/>
                </a:schemeClr>
              </a:solidFill>
              <a:prstDash val="sysDot"/>
              <a:round/>
            </a:ln>
            <a:effectLst>
              <a:outerShdw blurRad="50800" dist="38100" dir="2700000" algn="tl" rotWithShape="0">
                <a:prstClr val="black">
                  <a:alpha val="40000"/>
                </a:prstClr>
              </a:outerShdw>
            </a:effectLst>
          </c:spPr>
          <c:marker>
            <c:symbol val="circle"/>
            <c:size val="10"/>
            <c:spPr>
              <a:noFill/>
              <a:ln w="22225">
                <a:solidFill>
                  <a:srgbClr val="7030A0"/>
                </a:solidFill>
              </a:ln>
              <a:effectLst>
                <a:outerShdw blurRad="50800" dist="38100" dir="2700000" algn="tl" rotWithShape="0">
                  <a:prstClr val="black">
                    <a:alpha val="40000"/>
                  </a:prstClr>
                </a:outerShdw>
              </a:effectLst>
            </c:spPr>
          </c:marker>
          <c:cat>
            <c:strRef>
              <c:f>Outputs!$C$2:$F$2</c:f>
              <c:strCache>
                <c:ptCount val="1"/>
                <c:pt idx="0">
                  <c:v>Kalgan3/4 pillar </c:v>
                </c:pt>
              </c:strCache>
            </c:strRef>
          </c:cat>
          <c:val>
            <c:numRef>
              <c:f>Outputs!$C$9:$F$9</c:f>
              <c:numCache>
                <c:formatCode>0.0E+00</c:formatCode>
                <c:ptCount val="1"/>
                <c:pt idx="0">
                  <c:v>0</c:v>
                </c:pt>
              </c:numCache>
            </c:numRef>
          </c:val>
          <c:extLst>
            <c:ext xmlns:c16="http://schemas.microsoft.com/office/drawing/2014/chart" uri="{C3380CC4-5D6E-409C-BE32-E72D297353CC}">
              <c16:uniqueId val="{00000002-A9D6-4EF8-8653-48E8DC7E9F5A}"/>
            </c:ext>
          </c:extLst>
        </c:ser>
        <c:dLbls>
          <c:showLegendKey val="0"/>
          <c:showVal val="0"/>
          <c:showCatName val="0"/>
          <c:showSerName val="0"/>
          <c:showPercent val="0"/>
          <c:showBubbleSize val="0"/>
        </c:dLbls>
        <c:axId val="447819200"/>
        <c:axId val="447817536"/>
      </c:radarChart>
      <c:catAx>
        <c:axId val="44781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t" anchorCtr="0"/>
          <a:lstStyle/>
          <a:p>
            <a:pPr>
              <a:defRPr sz="1800" b="1" i="0" u="none" strike="noStrike" kern="1200" baseline="0">
                <a:solidFill>
                  <a:schemeClr val="tx1">
                    <a:lumMod val="65000"/>
                    <a:lumOff val="35000"/>
                  </a:schemeClr>
                </a:solidFill>
                <a:latin typeface="+mn-lt"/>
                <a:ea typeface="+mn-ea"/>
                <a:cs typeface="+mn-cs"/>
              </a:defRPr>
            </a:pPr>
            <a:endParaRPr lang="cs-CZ"/>
          </a:p>
        </c:txPr>
        <c:crossAx val="447817536"/>
        <c:crosses val="autoZero"/>
        <c:auto val="1"/>
        <c:lblAlgn val="ctr"/>
        <c:lblOffset val="100"/>
        <c:noMultiLvlLbl val="0"/>
      </c:catAx>
      <c:valAx>
        <c:axId val="447817536"/>
        <c:scaling>
          <c:logBase val="10"/>
          <c:orientation val="minMax"/>
          <c:max val="1.0000000000000002E-2"/>
          <c:min val="1.0000000000000005E-8"/>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E+00" sourceLinked="0"/>
        <c:majorTickMark val="none"/>
        <c:minorTickMark val="none"/>
        <c:tickLblPos val="high"/>
        <c:spPr>
          <a:noFill/>
          <a:ln>
            <a:noFill/>
          </a:ln>
          <a:effectLst/>
        </c:spPr>
        <c:txPr>
          <a:bodyPr rot="-1920000" spcFirstLastPara="1" vertOverflow="ellipsis" wrap="square" anchor="t" anchorCtr="0"/>
          <a:lstStyle/>
          <a:p>
            <a:pPr>
              <a:defRPr sz="1400" b="1" i="0" u="none" strike="noStrike" kern="1200" baseline="0">
                <a:solidFill>
                  <a:schemeClr val="tx1">
                    <a:lumMod val="65000"/>
                    <a:lumOff val="35000"/>
                  </a:schemeClr>
                </a:solidFill>
                <a:latin typeface="+mn-lt"/>
                <a:ea typeface="+mn-ea"/>
                <a:cs typeface="+mn-cs"/>
              </a:defRPr>
            </a:pPr>
            <a:endParaRPr lang="cs-CZ"/>
          </a:p>
        </c:txPr>
        <c:crossAx val="447819200"/>
        <c:crosses val="autoZero"/>
        <c:crossBetween val="between"/>
      </c:valAx>
    </c:plotArea>
    <c:plotVisOnly val="1"/>
    <c:dispBlanksAs val="gap"/>
    <c:showDLblsOverMax val="0"/>
    <c:extLst/>
  </c:chart>
  <c:txPr>
    <a:bodyPr/>
    <a:lstStyle/>
    <a:p>
      <a:pPr>
        <a:defRPr/>
      </a:pPr>
      <a:endParaRPr lang="cs-CZ"/>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1</xdr:col>
      <xdr:colOff>57150</xdr:colOff>
      <xdr:row>3</xdr:row>
      <xdr:rowOff>76200</xdr:rowOff>
    </xdr:from>
    <xdr:to>
      <xdr:col>19</xdr:col>
      <xdr:colOff>572071</xdr:colOff>
      <xdr:row>49</xdr:row>
      <xdr:rowOff>177246</xdr:rowOff>
    </xdr:to>
    <xdr:graphicFrame macro="">
      <xdr:nvGraphicFramePr>
        <xdr:cNvPr id="2" name="Chart 1">
          <a:extLst>
            <a:ext uri="{FF2B5EF4-FFF2-40B4-BE49-F238E27FC236}">
              <a16:creationId xmlns:a16="http://schemas.microsoft.com/office/drawing/2014/main" id="{22BDB539-EBC4-4921-9AD2-0571F3EE6F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66675</xdr:colOff>
      <xdr:row>54</xdr:row>
      <xdr:rowOff>66675</xdr:rowOff>
    </xdr:from>
    <xdr:to>
      <xdr:col>17</xdr:col>
      <xdr:colOff>554353</xdr:colOff>
      <xdr:row>99</xdr:row>
      <xdr:rowOff>121920</xdr:rowOff>
    </xdr:to>
    <xdr:graphicFrame macro="">
      <xdr:nvGraphicFramePr>
        <xdr:cNvPr id="3" name="Chart 2">
          <a:extLst>
            <a:ext uri="{FF2B5EF4-FFF2-40B4-BE49-F238E27FC236}">
              <a16:creationId xmlns:a16="http://schemas.microsoft.com/office/drawing/2014/main" id="{F05647C7-E6EF-4438-8AD3-092DD43074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57150</xdr:colOff>
      <xdr:row>105</xdr:row>
      <xdr:rowOff>133350</xdr:rowOff>
    </xdr:from>
    <xdr:to>
      <xdr:col>18</xdr:col>
      <xdr:colOff>580147</xdr:colOff>
      <xdr:row>147</xdr:row>
      <xdr:rowOff>20417</xdr:rowOff>
    </xdr:to>
    <xdr:graphicFrame macro="">
      <xdr:nvGraphicFramePr>
        <xdr:cNvPr id="4" name="Chart 3">
          <a:extLst>
            <a:ext uri="{FF2B5EF4-FFF2-40B4-BE49-F238E27FC236}">
              <a16:creationId xmlns:a16="http://schemas.microsoft.com/office/drawing/2014/main" id="{BBF9EFB0-8490-4CE5-9028-ACE8ACB6CE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76200</xdr:colOff>
      <xdr:row>151</xdr:row>
      <xdr:rowOff>57150</xdr:rowOff>
    </xdr:from>
    <xdr:to>
      <xdr:col>20</xdr:col>
      <xdr:colOff>19861</xdr:colOff>
      <xdr:row>200</xdr:row>
      <xdr:rowOff>74977</xdr:rowOff>
    </xdr:to>
    <xdr:graphicFrame macro="">
      <xdr:nvGraphicFramePr>
        <xdr:cNvPr id="5" name="Chart 4">
          <a:extLst>
            <a:ext uri="{FF2B5EF4-FFF2-40B4-BE49-F238E27FC236}">
              <a16:creationId xmlns:a16="http://schemas.microsoft.com/office/drawing/2014/main" id="{F794634C-2D53-4708-9861-4CEA6E1842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205</xdr:row>
      <xdr:rowOff>95250</xdr:rowOff>
    </xdr:from>
    <xdr:to>
      <xdr:col>20</xdr:col>
      <xdr:colOff>3311</xdr:colOff>
      <xdr:row>254</xdr:row>
      <xdr:rowOff>113078</xdr:rowOff>
    </xdr:to>
    <xdr:graphicFrame macro="">
      <xdr:nvGraphicFramePr>
        <xdr:cNvPr id="6" name="Chart 5">
          <a:extLst>
            <a:ext uri="{FF2B5EF4-FFF2-40B4-BE49-F238E27FC236}">
              <a16:creationId xmlns:a16="http://schemas.microsoft.com/office/drawing/2014/main" id="{06144636-B997-4F8A-9D23-B777F4BA46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570034</xdr:colOff>
      <xdr:row>3</xdr:row>
      <xdr:rowOff>2906</xdr:rowOff>
    </xdr:from>
    <xdr:to>
      <xdr:col>27</xdr:col>
      <xdr:colOff>73478</xdr:colOff>
      <xdr:row>31</xdr:row>
      <xdr:rowOff>118012</xdr:rowOff>
    </xdr:to>
    <xdr:graphicFrame macro="">
      <xdr:nvGraphicFramePr>
        <xdr:cNvPr id="2" name="Chart 1">
          <a:extLst>
            <a:ext uri="{FF2B5EF4-FFF2-40B4-BE49-F238E27FC236}">
              <a16:creationId xmlns:a16="http://schemas.microsoft.com/office/drawing/2014/main" id="{AD4C3AA5-7C93-41F2-80AD-5C8E8C891B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191513</xdr:colOff>
      <xdr:row>18</xdr:row>
      <xdr:rowOff>178745</xdr:rowOff>
    </xdr:from>
    <xdr:to>
      <xdr:col>16</xdr:col>
      <xdr:colOff>1764151</xdr:colOff>
      <xdr:row>31</xdr:row>
      <xdr:rowOff>196174</xdr:rowOff>
    </xdr:to>
    <xdr:graphicFrame macro="">
      <xdr:nvGraphicFramePr>
        <xdr:cNvPr id="2" name="Chart 1">
          <a:extLst>
            <a:ext uri="{FF2B5EF4-FFF2-40B4-BE49-F238E27FC236}">
              <a16:creationId xmlns:a16="http://schemas.microsoft.com/office/drawing/2014/main" id="{67FCE3E2-4334-4684-BCEB-5D34CADB3D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80041</xdr:colOff>
      <xdr:row>90</xdr:row>
      <xdr:rowOff>45145</xdr:rowOff>
    </xdr:from>
    <xdr:to>
      <xdr:col>9</xdr:col>
      <xdr:colOff>421021</xdr:colOff>
      <xdr:row>114</xdr:row>
      <xdr:rowOff>120064</xdr:rowOff>
    </xdr:to>
    <xdr:graphicFrame macro="">
      <xdr:nvGraphicFramePr>
        <xdr:cNvPr id="2" name="Chart 1">
          <a:extLst>
            <a:ext uri="{FF2B5EF4-FFF2-40B4-BE49-F238E27FC236}">
              <a16:creationId xmlns:a16="http://schemas.microsoft.com/office/drawing/2014/main" id="{E306A3EE-0349-40CD-BCC0-330F150338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627533</xdr:colOff>
      <xdr:row>34</xdr:row>
      <xdr:rowOff>56029</xdr:rowOff>
    </xdr:from>
    <xdr:to>
      <xdr:col>8</xdr:col>
      <xdr:colOff>1187823</xdr:colOff>
      <xdr:row>48</xdr:row>
      <xdr:rowOff>89649</xdr:rowOff>
    </xdr:to>
    <xdr:graphicFrame macro="">
      <xdr:nvGraphicFramePr>
        <xdr:cNvPr id="7" name="Chart 6">
          <a:extLst>
            <a:ext uri="{FF2B5EF4-FFF2-40B4-BE49-F238E27FC236}">
              <a16:creationId xmlns:a16="http://schemas.microsoft.com/office/drawing/2014/main" id="{1946EF3E-9525-49DC-A1F4-A473A723F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1311088</xdr:colOff>
      <xdr:row>34</xdr:row>
      <xdr:rowOff>0</xdr:rowOff>
    </xdr:from>
    <xdr:to>
      <xdr:col>14</xdr:col>
      <xdr:colOff>448235</xdr:colOff>
      <xdr:row>48</xdr:row>
      <xdr:rowOff>179294</xdr:rowOff>
    </xdr:to>
    <xdr:graphicFrame macro="">
      <xdr:nvGraphicFramePr>
        <xdr:cNvPr id="8" name="Chart 7">
          <a:extLst>
            <a:ext uri="{FF2B5EF4-FFF2-40B4-BE49-F238E27FC236}">
              <a16:creationId xmlns:a16="http://schemas.microsoft.com/office/drawing/2014/main" id="{EA419B08-BE4B-43E8-9947-A8B4676A4B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1434353</xdr:colOff>
      <xdr:row>18</xdr:row>
      <xdr:rowOff>100853</xdr:rowOff>
    </xdr:from>
    <xdr:to>
      <xdr:col>9</xdr:col>
      <xdr:colOff>235323</xdr:colOff>
      <xdr:row>34</xdr:row>
      <xdr:rowOff>1</xdr:rowOff>
    </xdr:to>
    <xdr:graphicFrame macro="">
      <xdr:nvGraphicFramePr>
        <xdr:cNvPr id="9" name="Chart 8">
          <a:extLst>
            <a:ext uri="{FF2B5EF4-FFF2-40B4-BE49-F238E27FC236}">
              <a16:creationId xmlns:a16="http://schemas.microsoft.com/office/drawing/2014/main" id="{8C7A8786-89C0-4415-9E30-A928F24C42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549088</xdr:colOff>
      <xdr:row>18</xdr:row>
      <xdr:rowOff>67236</xdr:rowOff>
    </xdr:from>
    <xdr:to>
      <xdr:col>14</xdr:col>
      <xdr:colOff>963706</xdr:colOff>
      <xdr:row>32</xdr:row>
      <xdr:rowOff>145678</xdr:rowOff>
    </xdr:to>
    <xdr:graphicFrame macro="">
      <xdr:nvGraphicFramePr>
        <xdr:cNvPr id="10" name="Chart 9">
          <a:extLst>
            <a:ext uri="{FF2B5EF4-FFF2-40B4-BE49-F238E27FC236}">
              <a16:creationId xmlns:a16="http://schemas.microsoft.com/office/drawing/2014/main" id="{58B6C8B3-CC31-4575-9E1A-6495114513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997324</xdr:colOff>
      <xdr:row>19</xdr:row>
      <xdr:rowOff>11207</xdr:rowOff>
    </xdr:from>
    <xdr:to>
      <xdr:col>19</xdr:col>
      <xdr:colOff>100854</xdr:colOff>
      <xdr:row>32</xdr:row>
      <xdr:rowOff>179295</xdr:rowOff>
    </xdr:to>
    <xdr:graphicFrame macro="">
      <xdr:nvGraphicFramePr>
        <xdr:cNvPr id="11" name="Chart 10">
          <a:extLst>
            <a:ext uri="{FF2B5EF4-FFF2-40B4-BE49-F238E27FC236}">
              <a16:creationId xmlns:a16="http://schemas.microsoft.com/office/drawing/2014/main" id="{03475358-360C-4955-8A46-6FED727084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179294</xdr:colOff>
      <xdr:row>35</xdr:row>
      <xdr:rowOff>78442</xdr:rowOff>
    </xdr:from>
    <xdr:to>
      <xdr:col>19</xdr:col>
      <xdr:colOff>381000</xdr:colOff>
      <xdr:row>50</xdr:row>
      <xdr:rowOff>56030</xdr:rowOff>
    </xdr:to>
    <xdr:graphicFrame macro="">
      <xdr:nvGraphicFramePr>
        <xdr:cNvPr id="12" name="Chart 11">
          <a:extLst>
            <a:ext uri="{FF2B5EF4-FFF2-40B4-BE49-F238E27FC236}">
              <a16:creationId xmlns:a16="http://schemas.microsoft.com/office/drawing/2014/main" id="{E3089159-AEAD-4DAE-BD8B-18C14DA0FD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819150</xdr:colOff>
      <xdr:row>109</xdr:row>
      <xdr:rowOff>85725</xdr:rowOff>
    </xdr:from>
    <xdr:to>
      <xdr:col>11</xdr:col>
      <xdr:colOff>523875</xdr:colOff>
      <xdr:row>150</xdr:row>
      <xdr:rowOff>123825</xdr:rowOff>
    </xdr:to>
    <xdr:graphicFrame macro="">
      <xdr:nvGraphicFramePr>
        <xdr:cNvPr id="15" name="Chart 15">
          <a:extLst>
            <a:ext uri="{FF2B5EF4-FFF2-40B4-BE49-F238E27FC236}">
              <a16:creationId xmlns:a16="http://schemas.microsoft.com/office/drawing/2014/main" id="{7FB57A83-7C97-44F5-A738-061EC411A6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562970</xdr:colOff>
      <xdr:row>59</xdr:row>
      <xdr:rowOff>61123</xdr:rowOff>
    </xdr:from>
    <xdr:to>
      <xdr:col>5</xdr:col>
      <xdr:colOff>999584</xdr:colOff>
      <xdr:row>105</xdr:row>
      <xdr:rowOff>162220</xdr:rowOff>
    </xdr:to>
    <xdr:graphicFrame macro="">
      <xdr:nvGraphicFramePr>
        <xdr:cNvPr id="21" name="Chart 13">
          <a:extLst>
            <a:ext uri="{FF2B5EF4-FFF2-40B4-BE49-F238E27FC236}">
              <a16:creationId xmlns:a16="http://schemas.microsoft.com/office/drawing/2014/main" id="{C02D4D5A-310E-4084-9FB7-3184985C6D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564840</xdr:colOff>
      <xdr:row>24</xdr:row>
      <xdr:rowOff>199159</xdr:rowOff>
    </xdr:from>
    <xdr:to>
      <xdr:col>24</xdr:col>
      <xdr:colOff>541182</xdr:colOff>
      <xdr:row>36</xdr:row>
      <xdr:rowOff>162524</xdr:rowOff>
    </xdr:to>
    <xdr:pic>
      <xdr:nvPicPr>
        <xdr:cNvPr id="61" name="Picture 1">
          <a:extLst>
            <a:ext uri="{FF2B5EF4-FFF2-40B4-BE49-F238E27FC236}">
              <a16:creationId xmlns:a16="http://schemas.microsoft.com/office/drawing/2014/main" id="{48FE994A-D712-469F-94EF-E14A7469186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376340" y="6191250"/>
          <a:ext cx="8791297" cy="245718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0</xdr:colOff>
      <xdr:row>60</xdr:row>
      <xdr:rowOff>0</xdr:rowOff>
    </xdr:from>
    <xdr:to>
      <xdr:col>28</xdr:col>
      <xdr:colOff>505887</xdr:colOff>
      <xdr:row>109</xdr:row>
      <xdr:rowOff>86591</xdr:rowOff>
    </xdr:to>
    <xdr:graphicFrame macro="">
      <xdr:nvGraphicFramePr>
        <xdr:cNvPr id="63" name="Chart 13">
          <a:extLst>
            <a:ext uri="{FF2B5EF4-FFF2-40B4-BE49-F238E27FC236}">
              <a16:creationId xmlns:a16="http://schemas.microsoft.com/office/drawing/2014/main" id="{B0079DAA-6717-413F-8919-2716EA2707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en Cook" id="{996E3DC0-9E47-45BA-BEE2-6976EF59C483}" userId="Ben Cook" providerId="None"/>
  <person displayName="Jiri Herza" id="{B55C9176-9877-4E2B-B14C-13EA46DE6B92}" userId="Jiri Herza" providerId="None"/>
  <person displayName="James Thorp" id="{AAA5D36F-8EE3-485A-87D7-E6A26526929D}" userId="S::james.thorp@hatsconsult.com::6e4f1aa4-c5eb-4c95-9a31-a597ace88c5c"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rik Herza" refreshedDate="44647.354713425928" createdVersion="7" refreshedVersion="7" minRefreshableVersion="3" recordCount="492" xr:uid="{07254D86-9E1D-4855-943C-A44F39633F5B}">
  <cacheSource type="worksheet">
    <worksheetSource ref="B1:F489" sheet="Calculation"/>
  </cacheSource>
  <cacheFields count="6">
    <cacheField name="ID_Chapter" numFmtId="0">
      <sharedItems containsString="0" containsBlank="1" containsNumber="1" containsInteger="1" minValue="1" maxValue="15"/>
    </cacheField>
    <cacheField name="Chapter" numFmtId="0">
      <sharedItems count="17">
        <s v="General information"/>
        <s v="Facility details"/>
        <s v="Construction"/>
        <s v="Studies &amp; Design"/>
        <s v="Facility consequences"/>
        <s v="Risk profile and mitigation"/>
        <s v="Operation"/>
        <s v="Governance"/>
        <s v="Management"/>
        <s v="Monitoring program and reporting"/>
        <s v="Environmental requirements"/>
        <s v="Emergency Planning &amp; Recovery"/>
        <s v="Lessons learned and implementation"/>
        <s v="HSE"/>
        <s v="RT Risk Scheme Consequences of Failure"/>
        <s v="GISTM Consequences"/>
        <s v="Design Basis" u="1"/>
      </sharedItems>
    </cacheField>
    <cacheField name="ID_SubChapter" numFmtId="0">
      <sharedItems containsString="0" containsBlank="1" containsNumber="1" containsInteger="1" minValue="1" maxValue="94"/>
    </cacheField>
    <cacheField name="SubChapter" numFmtId="0">
      <sharedItems count="120">
        <s v="Name"/>
        <s v="Location"/>
        <s v="Site Characteristics"/>
        <s v="Hazard/Consequence Category"/>
        <s v="Consequences of failure"/>
        <s v="Operation details"/>
        <s v="Facility details"/>
        <s v="Facility Embankment Details"/>
        <s v="Quality assurance, control and documentation"/>
        <s v="Underdrainage system"/>
        <s v="Conduits"/>
        <s v="Appurtenant structures"/>
        <s v="Facility expansion details"/>
        <s v="Remedial works details"/>
        <s v="Tailings Deposition"/>
        <s v="Water Management"/>
        <s v="Flood management structures"/>
        <s v="Freeboard and Spillway Details"/>
        <s v="Design Basis Document"/>
        <s v="Consequence/hazard assessment"/>
        <s v="Climate and hydrology studies"/>
        <s v="Geological studies"/>
        <s v="Geotechnical studies"/>
        <s v="Seismic study"/>
        <s v="Hydrogeological study"/>
        <s v="Tailings Characterisation"/>
        <s v="Site constraints"/>
        <s v="Tailings Management Studies"/>
        <s v="Potential Failure Mode Assessment"/>
        <s v="Dam break study"/>
        <s v="Consequence assessment"/>
        <s v="Facility arrangement design"/>
        <s v="Stability assessment - Stability analyses scenarios"/>
        <s v="Stability assessment - Loading conditions"/>
        <s v="Material parameters"/>
        <s v="Stability assessment - Phreatic conditions"/>
        <s v="Stability assessment - Results"/>
        <s v="Deformation assessment"/>
        <s v="Internal embankment filters - design"/>
        <s v="Conduits - design"/>
        <s v="Design reviews"/>
        <s v="Construction Supervision"/>
        <s v="Water balance"/>
        <s v="Storage Modelling"/>
        <s v="Spillway design"/>
        <s v="Flood management structures - design"/>
        <s v="Underdrainage structures - design"/>
        <s v="Construction specifications"/>
        <s v="Liner - design"/>
        <s v="Tailings/water delivery works - design"/>
        <s v="Water return works - design"/>
        <s v="Appurtenant structures - design"/>
        <s v="Design reports"/>
        <s v="Risk assessment"/>
        <s v="Facility concept design"/>
        <s v="Closure Plan"/>
        <s v="Facility risk and mitigation actions"/>
        <s v="Operation and Maintenance Actions"/>
        <s v="Management and governance"/>
        <s v="Responsible Personnel"/>
        <s v="Accountable Executive communication"/>
        <s v="Engineer of Record"/>
        <s v="Facility Management Plan"/>
        <s v="Facility data book/sheet"/>
        <s v="Management of Change"/>
        <s v="Tailings management system"/>
        <s v="Audits and reviews"/>
        <s v="Closure and Post-Closure Planning"/>
        <s v="Training and learning"/>
        <s v="Operation and Maintenance Manual"/>
        <s v="Deposition Plan"/>
        <s v="Operational Performance"/>
        <s v="Monitoring instrumentation - Overview"/>
        <s v="Foundation pore pressure data"/>
        <s v="Storage monitoring"/>
        <s v="Embankment pore pressure data"/>
        <s v="Surface movement data"/>
        <s v="Internal movement data"/>
        <s v="Seepage data"/>
        <s v="Monitoring instrumentation - Saturated zones"/>
        <s v="Incidents and Events"/>
        <s v="Monitoring program and reporting"/>
        <s v="Licence and operating conditions"/>
        <s v="Environmental quality monitoring"/>
        <s v="Dam Safety Emergency Plan/Emergency Response Plan"/>
        <s v="Failure recovery"/>
        <s v="Personnel experience"/>
        <s v="Cross-functional collaboration"/>
        <s v="Lessons learned"/>
        <s v="Facility access"/>
        <s v="Facility deep water hazard"/>
        <s v="Human rights documentation and processes"/>
        <s v="Reporting and whistleblower protection"/>
        <s v="Public disclosure"/>
        <s v="Flood Day Failure - Free cash flow (USD)"/>
        <s v="Flood Day Failure - Health and Safety"/>
        <s v="Flood Day Failure - Licence to Operate / Stakeholders"/>
        <s v="Flood Day Failure - Financial Markets"/>
        <s v="Flood Day Failure - Communities and Social Performance"/>
        <s v="Flood Day Failure - People"/>
        <s v="Flood Day Failure - Environment"/>
        <s v="Flood Day Failure - Business Integrity"/>
        <s v="Flood Day Failure - Legal &amp; Regulatory Compliance"/>
        <s v="Sunny Day Failure - Free cash flow (USD)"/>
        <s v="Sunny Day Failure - Health and Safety"/>
        <s v="Sunny Day Failure - Licence to Operate / Stakeholders"/>
        <s v="Sunny Day Failure - Financial Markets"/>
        <s v="Sunny Day Failure - Communities and Social Performance"/>
        <s v="Sunny Day Failure - People"/>
        <s v="Sunny Day Failure - Environment"/>
        <s v="Sunny Day Failure - Business Integrity"/>
        <s v="Sunny Day Failure - Legal &amp; Regulatory Compliance"/>
        <s v="Flood Day Failure - Potential Population at Risk (PAR)"/>
        <s v="Flood Day Failure - Potential Loss of Life (PLL)"/>
        <s v="Flood Day Failure - Health, Social and Cultural"/>
        <s v="Flood Day Failure - Infrastructure and Economics"/>
        <s v="Sunny Day Failure - Potential Population at Risk (PAR)"/>
        <s v="Sunny Day Failure - Potential Loss of Life (PLL)"/>
        <s v="Sunny Day Failure - Health, Social and Cultural"/>
        <s v="Sunny Day Failure - Infrastructure and Economics"/>
      </sharedItems>
    </cacheField>
    <cacheField name=" Original ID" numFmtId="0">
      <sharedItems containsSemiMixedTypes="0" containsString="0" containsNumber="1" containsInteger="1" minValue="1" maxValue="497" count="492">
        <n v="1"/>
        <n v="2"/>
        <n v="3"/>
        <n v="4"/>
        <n v="5"/>
        <n v="6"/>
        <n v="7"/>
        <n v="8"/>
        <n v="9"/>
        <n v="10"/>
        <n v="11"/>
        <n v="12"/>
        <n v="13"/>
        <n v="463"/>
        <n v="14"/>
        <n v="464"/>
        <n v="15"/>
        <n v="16"/>
        <n v="17"/>
        <n v="18"/>
        <n v="19"/>
        <n v="20"/>
        <n v="21"/>
        <n v="22"/>
        <n v="23"/>
        <n v="24"/>
        <n v="25"/>
        <n v="26"/>
        <n v="27"/>
        <n v="28"/>
        <n v="29"/>
        <n v="30"/>
        <n v="31"/>
        <n v="32"/>
        <n v="33"/>
        <n v="34"/>
        <n v="35"/>
        <n v="36"/>
        <n v="459"/>
        <n v="37"/>
        <n v="38"/>
        <n v="39"/>
        <n v="40"/>
        <n v="41"/>
        <n v="42"/>
        <n v="43"/>
        <n v="44"/>
        <n v="45"/>
        <n v="46"/>
        <n v="47"/>
        <n v="48"/>
        <n v="49"/>
        <n v="50"/>
        <n v="51"/>
        <n v="52"/>
        <n v="53"/>
        <n v="54"/>
        <n v="55"/>
        <n v="56"/>
        <n v="57"/>
        <n v="58"/>
        <n v="59"/>
        <n v="60"/>
        <n v="61"/>
        <n v="62"/>
        <n v="63"/>
        <n v="64"/>
        <n v="65"/>
        <n v="66"/>
        <n v="67"/>
        <n v="68"/>
        <n v="460"/>
        <n v="69"/>
        <n v="70"/>
        <n v="71"/>
        <n v="72"/>
        <n v="73"/>
        <n v="74"/>
        <n v="75"/>
        <n v="76"/>
        <n v="77"/>
        <n v="78"/>
        <n v="79"/>
        <n v="80"/>
        <n v="81"/>
        <n v="82"/>
        <n v="83"/>
        <n v="84"/>
        <n v="86"/>
        <n v="87"/>
        <n v="88"/>
        <n v="89"/>
        <n v="462"/>
        <n v="90"/>
        <n v="91"/>
        <n v="92"/>
        <n v="93"/>
        <n v="94"/>
        <n v="95"/>
        <n v="96"/>
        <n v="97"/>
        <n v="98"/>
        <n v="99"/>
        <n v="100"/>
        <n v="101"/>
        <n v="102"/>
        <n v="103"/>
        <n v="104"/>
        <n v="105"/>
        <n v="106"/>
        <n v="461"/>
        <n v="107"/>
        <n v="108"/>
        <n v="109"/>
        <n v="110"/>
        <n v="111"/>
        <n v="112"/>
        <n v="113"/>
        <n v="114"/>
        <n v="115"/>
        <n v="116"/>
        <n v="117"/>
        <n v="118"/>
        <n v="119"/>
        <n v="120"/>
        <n v="121"/>
        <n v="122"/>
        <n v="123"/>
        <n v="469"/>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37"/>
        <n v="244"/>
        <n v="270"/>
        <n v="202"/>
        <n v="203"/>
        <n v="204"/>
        <n v="205"/>
        <n v="206"/>
        <n v="207"/>
        <n v="208"/>
        <n v="209"/>
        <n v="210"/>
        <n v="211"/>
        <n v="212"/>
        <n v="213"/>
        <n v="214"/>
        <n v="215"/>
        <n v="216"/>
        <n v="217"/>
        <n v="218"/>
        <n v="219"/>
        <n v="220"/>
        <n v="221"/>
        <n v="222"/>
        <n v="223"/>
        <n v="224"/>
        <n v="225"/>
        <n v="226"/>
        <n v="227"/>
        <n v="228"/>
        <n v="229"/>
        <n v="230"/>
        <n v="231"/>
        <n v="232"/>
        <n v="233"/>
        <n v="234"/>
        <n v="235"/>
        <n v="236"/>
        <n v="271"/>
        <n v="238"/>
        <n v="239"/>
        <n v="240"/>
        <n v="241"/>
        <n v="242"/>
        <n v="243"/>
        <n v="272"/>
        <n v="245"/>
        <n v="246"/>
        <n v="247"/>
        <n v="248"/>
        <n v="249"/>
        <n v="250"/>
        <n v="251"/>
        <n v="252"/>
        <n v="253"/>
        <n v="254"/>
        <n v="255"/>
        <n v="256"/>
        <n v="257"/>
        <n v="258"/>
        <n v="259"/>
        <n v="260"/>
        <n v="261"/>
        <n v="262"/>
        <n v="263"/>
        <n v="264"/>
        <n v="265"/>
        <n v="266"/>
        <n v="267"/>
        <n v="268"/>
        <n v="269"/>
        <n v="273"/>
        <n v="274"/>
        <n v="275"/>
        <n v="358"/>
        <n v="359"/>
        <n v="360"/>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458"/>
        <n v="328"/>
        <n v="329"/>
        <n v="330"/>
        <n v="331"/>
        <n v="332"/>
        <n v="327"/>
        <n v="333"/>
        <n v="334"/>
        <n v="335"/>
        <n v="336"/>
        <n v="337"/>
        <n v="338"/>
        <n v="339"/>
        <n v="340"/>
        <n v="341"/>
        <n v="342"/>
        <n v="347"/>
        <n v="348"/>
        <n v="349"/>
        <n v="350"/>
        <n v="351"/>
        <n v="352"/>
        <n v="353"/>
        <n v="354"/>
        <n v="355"/>
        <n v="343"/>
        <n v="344"/>
        <n v="345"/>
        <n v="346"/>
        <n v="356"/>
        <n v="357"/>
        <n v="361"/>
        <n v="364"/>
        <n v="365"/>
        <n v="366"/>
        <n v="362"/>
        <n v="363"/>
        <n v="367"/>
        <n v="368"/>
        <n v="369"/>
        <n v="370"/>
        <n v="372"/>
        <n v="373"/>
        <n v="374"/>
        <n v="371"/>
        <n v="375"/>
        <n v="376"/>
        <n v="377"/>
        <n v="378"/>
        <n v="379"/>
        <n v="380"/>
        <n v="381"/>
        <n v="382"/>
        <n v="383"/>
        <n v="384"/>
        <n v="385"/>
        <n v="386"/>
        <n v="387"/>
        <n v="388"/>
        <n v="389"/>
        <n v="390"/>
        <n v="391"/>
        <n v="455"/>
        <n v="456"/>
        <n v="457"/>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70"/>
        <n v="471"/>
        <n v="472"/>
        <n v="473"/>
        <n v="474"/>
        <n v="475"/>
        <n v="476"/>
        <n v="477"/>
        <n v="478"/>
        <n v="479"/>
        <n v="480"/>
        <n v="481"/>
        <n v="482"/>
        <n v="483"/>
        <n v="484"/>
        <n v="485"/>
        <n v="486"/>
        <n v="487"/>
        <n v="488"/>
        <n v="489"/>
        <n v="490"/>
        <n v="491"/>
        <n v="492"/>
        <n v="493"/>
        <n v="494"/>
        <n v="495"/>
        <n v="496"/>
        <n v="497"/>
      </sharedItems>
    </cacheField>
    <cacheField name="Characteristic" numFmtId="0">
      <sharedItems containsBlank="1"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2">
  <r>
    <n v="1"/>
    <x v="0"/>
    <n v="1"/>
    <x v="0"/>
    <x v="0"/>
    <s v="Name of Facility"/>
  </r>
  <r>
    <n v="1"/>
    <x v="0"/>
    <n v="2"/>
    <x v="1"/>
    <x v="1"/>
    <s v="Country"/>
  </r>
  <r>
    <n v="1"/>
    <x v="0"/>
    <n v="2"/>
    <x v="1"/>
    <x v="2"/>
    <s v="City"/>
  </r>
  <r>
    <n v="1"/>
    <x v="0"/>
    <n v="2"/>
    <x v="1"/>
    <x v="3"/>
    <s v="Site/Operation"/>
  </r>
  <r>
    <n v="1"/>
    <x v="0"/>
    <n v="3"/>
    <x v="2"/>
    <x v="4"/>
    <s v="Seismic Hazard Zone"/>
  </r>
  <r>
    <n v="1"/>
    <x v="0"/>
    <n v="3"/>
    <x v="2"/>
    <x v="5"/>
    <s v="Climate"/>
  </r>
  <r>
    <n v="1"/>
    <x v="0"/>
    <n v="3"/>
    <x v="2"/>
    <x v="6"/>
    <s v="Rainfall Intensity Zone"/>
  </r>
  <r>
    <n v="1"/>
    <x v="0"/>
    <n v="4"/>
    <x v="3"/>
    <x v="7"/>
    <s v="ICOLD Rating"/>
  </r>
  <r>
    <n v="1"/>
    <x v="0"/>
    <n v="4"/>
    <x v="3"/>
    <x v="8"/>
    <s v="DMIRS Hazard Rating"/>
  </r>
  <r>
    <n v="1"/>
    <x v="0"/>
    <n v="4"/>
    <x v="3"/>
    <x v="9"/>
    <s v="DMIRS TSF Category"/>
  </r>
  <r>
    <n v="1"/>
    <x v="0"/>
    <n v="4"/>
    <x v="3"/>
    <x v="10"/>
    <s v="ANCOLD Consequence Category"/>
  </r>
  <r>
    <n v="1"/>
    <x v="0"/>
    <n v="4"/>
    <x v="3"/>
    <x v="11"/>
    <s v="Company framework Consequence Category"/>
  </r>
  <r>
    <n v="1"/>
    <x v="0"/>
    <n v="5"/>
    <x v="4"/>
    <x v="12"/>
    <s v="Population at Risk (Flood Failure)"/>
  </r>
  <r>
    <n v="1"/>
    <x v="0"/>
    <n v="5"/>
    <x v="4"/>
    <x v="13"/>
    <s v="Incremental Potential Loss of Life (Flood Failure)"/>
  </r>
  <r>
    <n v="1"/>
    <x v="0"/>
    <n v="5"/>
    <x v="4"/>
    <x v="14"/>
    <s v="Population at Risk (Sunny Day Failure)"/>
  </r>
  <r>
    <n v="1"/>
    <x v="0"/>
    <n v="5"/>
    <x v="4"/>
    <x v="15"/>
    <s v="Incremental Potential Loss of Life (Sunny Day Failure)"/>
  </r>
  <r>
    <n v="1"/>
    <x v="0"/>
    <n v="5"/>
    <x v="4"/>
    <x v="16"/>
    <s v="Potential Downstream Damage Level"/>
  </r>
  <r>
    <n v="1"/>
    <x v="0"/>
    <n v="6"/>
    <x v="5"/>
    <x v="17"/>
    <s v="Year of Original Construction"/>
  </r>
  <r>
    <n v="1"/>
    <x v="0"/>
    <n v="6"/>
    <x v="5"/>
    <x v="18"/>
    <s v="Was the facility raised in the last five years? "/>
  </r>
  <r>
    <n v="1"/>
    <x v="0"/>
    <n v="6"/>
    <x v="5"/>
    <x v="19"/>
    <s v="Date deposition completed (mm/yy)"/>
  </r>
  <r>
    <n v="1"/>
    <x v="0"/>
    <n v="6"/>
    <x v="5"/>
    <x v="20"/>
    <s v="Year Decommissioned"/>
  </r>
  <r>
    <n v="1"/>
    <x v="0"/>
    <n v="6"/>
    <x v="5"/>
    <x v="21"/>
    <s v="Year rehabilitated"/>
  </r>
  <r>
    <n v="1"/>
    <x v="0"/>
    <n v="6"/>
    <x v="5"/>
    <x v="22"/>
    <s v="Number of Years Active"/>
  </r>
  <r>
    <n v="1"/>
    <x v="0"/>
    <n v="6"/>
    <x v="5"/>
    <x v="23"/>
    <s v="Change in Designer throughout life of facility?"/>
  </r>
  <r>
    <n v="1"/>
    <x v="0"/>
    <n v="6"/>
    <x v="5"/>
    <x v="24"/>
    <s v="Impoundment volume (present) (m3)"/>
  </r>
  <r>
    <n v="1"/>
    <x v="0"/>
    <n v="6"/>
    <x v="5"/>
    <x v="25"/>
    <s v="Storage Capacity (present) (Mm3)"/>
  </r>
  <r>
    <n v="1"/>
    <x v="0"/>
    <n v="6"/>
    <x v="5"/>
    <x v="26"/>
    <s v="Mass of solids stored (present) (tonnes)"/>
  </r>
  <r>
    <n v="1"/>
    <x v="0"/>
    <n v="6"/>
    <x v="5"/>
    <x v="27"/>
    <s v="Expected maximum mass of solids stored (tonnes)"/>
  </r>
  <r>
    <n v="1"/>
    <x v="0"/>
    <n v="6"/>
    <x v="5"/>
    <x v="28"/>
    <s v="Average Tailings Rate of Rise (m/year)"/>
  </r>
  <r>
    <n v="1"/>
    <x v="0"/>
    <n v="6"/>
    <x v="5"/>
    <x v="29"/>
    <s v="Tailings deposition rate (tonnes/year)"/>
  </r>
  <r>
    <n v="1"/>
    <x v="0"/>
    <n v="6"/>
    <x v="5"/>
    <x v="30"/>
    <s v="Stored material"/>
  </r>
  <r>
    <n v="1"/>
    <x v="0"/>
    <n v="6"/>
    <x v="5"/>
    <x v="31"/>
    <s v="Purpose of storage"/>
  </r>
  <r>
    <n v="1"/>
    <x v="0"/>
    <n v="6"/>
    <x v="5"/>
    <x v="32"/>
    <s v="Ore process"/>
  </r>
  <r>
    <n v="1"/>
    <x v="0"/>
    <n v="6"/>
    <x v="5"/>
    <x v="33"/>
    <s v="Facility supernatant water TDS (mg/l)"/>
  </r>
  <r>
    <n v="1"/>
    <x v="0"/>
    <n v="6"/>
    <x v="5"/>
    <x v="34"/>
    <s v="Facility supernatant water pH"/>
  </r>
  <r>
    <n v="1"/>
    <x v="0"/>
    <n v="6"/>
    <x v="5"/>
    <x v="35"/>
    <s v="Deposited slurry solids content (% by weight)"/>
  </r>
  <r>
    <n v="1"/>
    <x v="0"/>
    <n v="6"/>
    <x v="5"/>
    <x v="36"/>
    <s v="Deposited slurry density (t/m3)"/>
  </r>
  <r>
    <n v="1"/>
    <x v="0"/>
    <n v="6"/>
    <x v="5"/>
    <x v="37"/>
    <s v="Potentially hazardous substances in deposited slurry"/>
  </r>
  <r>
    <n v="1"/>
    <x v="0"/>
    <n v="6"/>
    <x v="5"/>
    <x v="38"/>
    <s v="Weak Acid Dissociable (WAD) cyanide content of deposited slurry (mg/l)"/>
  </r>
  <r>
    <n v="1"/>
    <x v="0"/>
    <n v="6"/>
    <x v="5"/>
    <x v="39"/>
    <s v="Total cyanide (CN) content of deposited slurry (mg/l)"/>
  </r>
  <r>
    <n v="1"/>
    <x v="0"/>
    <n v="6"/>
    <x v="5"/>
    <x v="40"/>
    <s v="Any other National pollution inventory (NPI) substances in the TSF? "/>
  </r>
  <r>
    <n v="1"/>
    <x v="0"/>
    <n v="6"/>
    <x v="5"/>
    <x v="41"/>
    <s v="Other National pollution inventory (NPI) substances in the TSF"/>
  </r>
  <r>
    <n v="1"/>
    <x v="0"/>
    <n v="7"/>
    <x v="6"/>
    <x v="42"/>
    <s v="Number of confining embankments"/>
  </r>
  <r>
    <n v="1"/>
    <x v="0"/>
    <n v="7"/>
    <x v="6"/>
    <x v="43"/>
    <s v="Number of expansions"/>
  </r>
  <r>
    <n v="1"/>
    <x v="0"/>
    <n v="7"/>
    <x v="6"/>
    <x v="44"/>
    <s v="Number of remedial works projects"/>
  </r>
  <r>
    <n v="1"/>
    <x v="0"/>
    <n v="7"/>
    <x v="6"/>
    <x v="45"/>
    <s v="Facility centre co-ordinates (GDA 94)"/>
  </r>
  <r>
    <n v="1"/>
    <x v="0"/>
    <n v="7"/>
    <x v="6"/>
    <x v="46"/>
    <s v="Facility status"/>
  </r>
  <r>
    <n v="1"/>
    <x v="0"/>
    <n v="7"/>
    <x v="6"/>
    <x v="47"/>
    <s v="Number of cells"/>
  </r>
  <r>
    <n v="1"/>
    <x v="0"/>
    <n v="7"/>
    <x v="6"/>
    <x v="48"/>
    <s v="Facility catchment area (m2)"/>
  </r>
  <r>
    <n v="1"/>
    <x v="0"/>
    <n v="7"/>
    <x v="6"/>
    <x v="49"/>
    <s v="Facility nearest water course"/>
  </r>
  <r>
    <n v="1"/>
    <x v="0"/>
    <n v="7"/>
    <x v="6"/>
    <x v="50"/>
    <s v="Does the facility include a liner?"/>
  </r>
  <r>
    <n v="1"/>
    <x v="0"/>
    <n v="7"/>
    <x v="6"/>
    <x v="51"/>
    <s v="Type of seal or liner in facility"/>
  </r>
  <r>
    <n v="1"/>
    <x v="0"/>
    <n v="7"/>
    <x v="6"/>
    <x v="52"/>
    <s v="Depth to original groundwater level (m)"/>
  </r>
  <r>
    <n v="1"/>
    <x v="0"/>
    <n v="7"/>
    <x v="6"/>
    <x v="53"/>
    <s v="Depth to current groundwater level (m)"/>
  </r>
  <r>
    <n v="1"/>
    <x v="0"/>
    <n v="7"/>
    <x v="6"/>
    <x v="54"/>
    <s v="Original groundwater TDS (mg/l)"/>
  </r>
  <r>
    <n v="1"/>
    <x v="0"/>
    <n v="7"/>
    <x v="6"/>
    <x v="55"/>
    <s v="Original groundwater pH"/>
  </r>
  <r>
    <n v="1"/>
    <x v="0"/>
    <n v="7"/>
    <x v="6"/>
    <x v="56"/>
    <s v="Above ground facility - starter bund construction materials (main construction material)"/>
  </r>
  <r>
    <n v="1"/>
    <x v="0"/>
    <n v="7"/>
    <x v="6"/>
    <x v="57"/>
    <s v="Above ground facility - wall construction materials (main construction material)"/>
  </r>
  <r>
    <n v="1"/>
    <x v="0"/>
    <n v="7"/>
    <x v="6"/>
    <x v="58"/>
    <s v="In-pit facility - initial pit depth (maximum) (m)"/>
  </r>
  <r>
    <n v="1"/>
    <x v="0"/>
    <n v="7"/>
    <x v="6"/>
    <x v="59"/>
    <s v="In-pit facility - area of pit base (m2)"/>
  </r>
  <r>
    <n v="1"/>
    <x v="0"/>
    <n v="7"/>
    <x v="6"/>
    <x v="60"/>
    <s v="Embankment crest length (present) (m)"/>
  </r>
  <r>
    <n v="1"/>
    <x v="0"/>
    <n v="7"/>
    <x v="6"/>
    <x v="61"/>
    <s v="Expected maximum embankment crest length (m)"/>
  </r>
  <r>
    <n v="1"/>
    <x v="0"/>
    <n v="7"/>
    <x v="6"/>
    <x v="62"/>
    <s v="Facility impoundment area (present) (m2)"/>
  </r>
  <r>
    <n v="1"/>
    <x v="0"/>
    <n v="7"/>
    <x v="6"/>
    <x v="63"/>
    <s v="Expected maximum facility impoundment area (m2)"/>
  </r>
  <r>
    <n v="1"/>
    <x v="0"/>
    <n v="7"/>
    <x v="6"/>
    <x v="64"/>
    <s v="Depth of tailings level build-up (present) (m)"/>
  </r>
  <r>
    <n v="1"/>
    <x v="0"/>
    <n v="7"/>
    <x v="6"/>
    <x v="65"/>
    <s v="Expected maximum depth of tailings level build-up (m)"/>
  </r>
  <r>
    <n v="2"/>
    <x v="1"/>
    <n v="8"/>
    <x v="7"/>
    <x v="66"/>
    <s v="Name of Embankment"/>
  </r>
  <r>
    <n v="2"/>
    <x v="1"/>
    <n v="8"/>
    <x v="7"/>
    <x v="67"/>
    <s v="Facility Arrangement"/>
  </r>
  <r>
    <n v="2"/>
    <x v="1"/>
    <n v="8"/>
    <x v="7"/>
    <x v="68"/>
    <s v="Embankment Type"/>
  </r>
  <r>
    <n v="2"/>
    <x v="1"/>
    <n v="8"/>
    <x v="7"/>
    <x v="69"/>
    <s v="Number of Raises"/>
  </r>
  <r>
    <n v="2"/>
    <x v="1"/>
    <n v="8"/>
    <x v="7"/>
    <x v="70"/>
    <s v="Raise Method"/>
  </r>
  <r>
    <n v="2"/>
    <x v="1"/>
    <n v="8"/>
    <x v="7"/>
    <x v="71"/>
    <s v="Who constructed the embankment/raise?"/>
  </r>
  <r>
    <n v="2"/>
    <x v="1"/>
    <n v="8"/>
    <x v="7"/>
    <x v="72"/>
    <s v="Maximum dam height above ground level (m)"/>
  </r>
  <r>
    <n v="2"/>
    <x v="1"/>
    <n v="8"/>
    <x v="7"/>
    <x v="73"/>
    <s v="Expected maximum dam height above ground level (m)"/>
  </r>
  <r>
    <n v="2"/>
    <x v="1"/>
    <n v="8"/>
    <x v="7"/>
    <x v="74"/>
    <s v="Dam Crest Width (m)"/>
  </r>
  <r>
    <n v="2"/>
    <x v="1"/>
    <n v="8"/>
    <x v="7"/>
    <x v="75"/>
    <s v="Depth of Foundation Cutoff (m)"/>
  </r>
  <r>
    <n v="2"/>
    <x v="1"/>
    <n v="8"/>
    <x v="7"/>
    <x v="76"/>
    <s v="Average upstream slope (1v to ??H)"/>
  </r>
  <r>
    <n v="2"/>
    <x v="1"/>
    <n v="8"/>
    <x v="7"/>
    <x v="77"/>
    <s v="Average downstream slope (1v to ??H)"/>
  </r>
  <r>
    <n v="2"/>
    <x v="1"/>
    <n v="8"/>
    <x v="7"/>
    <x v="78"/>
    <s v="Based on the latest assessment, what is the slope stability FoS considering drained shear strength of materials along a slip suface, movement of which would result in release of tailings. "/>
  </r>
  <r>
    <n v="2"/>
    <x v="1"/>
    <n v="8"/>
    <x v="7"/>
    <x v="79"/>
    <s v="Based on the latest assessment, what is the slope stability FoS considering undrained shear strength of materials along a slip suface, movement of which would result in release of tailings. "/>
  </r>
  <r>
    <n v="2"/>
    <x v="1"/>
    <n v="8"/>
    <x v="7"/>
    <x v="80"/>
    <s v="Based on the latest assessment, what is the slope stability FoS considering post-seismic shear strength of materials along a slip suface, movement of which would result in release of tailings. "/>
  </r>
  <r>
    <n v="2"/>
    <x v="1"/>
    <n v="8"/>
    <x v="7"/>
    <x v="81"/>
    <s v="Chimney Filter present?"/>
  </r>
  <r>
    <n v="2"/>
    <x v="1"/>
    <n v="8"/>
    <x v="7"/>
    <x v="82"/>
    <s v="Blanket Filter present?"/>
  </r>
  <r>
    <n v="2"/>
    <x v="1"/>
    <n v="8"/>
    <x v="7"/>
    <x v="83"/>
    <s v="Core Geology Origin WE(cgo)"/>
  </r>
  <r>
    <n v="2"/>
    <x v="1"/>
    <n v="8"/>
    <x v="7"/>
    <x v="84"/>
    <s v="Core Soil Type WE (cst)"/>
  </r>
  <r>
    <n v="2"/>
    <x v="1"/>
    <n v="8"/>
    <x v="7"/>
    <x v="85"/>
    <s v="Type of foundation material below cutoff (if constructed) or below the low permeability zone of the embankment (if cutoff is not constructed)"/>
  </r>
  <r>
    <n v="2"/>
    <x v="1"/>
    <n v="8"/>
    <x v="7"/>
    <x v="86"/>
    <s v="Geology of foundations below cutoff (if constructed) or below the low permeability zone of the embankment (if cutoff is not constructed)"/>
  </r>
  <r>
    <n v="2"/>
    <x v="1"/>
    <n v="8"/>
    <x v="7"/>
    <x v="87"/>
    <s v="Foundation cutoff type"/>
  </r>
  <r>
    <n v="2"/>
    <x v="1"/>
    <n v="8"/>
    <x v="7"/>
    <x v="88"/>
    <s v="Foundation cutoff trench geometry"/>
  </r>
  <r>
    <n v="7"/>
    <x v="2"/>
    <m/>
    <x v="8"/>
    <x v="89"/>
    <s v="Is there a documented evidence that the foundation slopes were treated with the objective to remove vertical faces, overhangs and irregularities by cutting and/or filling? "/>
  </r>
  <r>
    <n v="2"/>
    <x v="1"/>
    <n v="8"/>
    <x v="7"/>
    <x v="90"/>
    <s v="Conditions and treatment of the foundation interface within the cutoff trench or beneath the low permeability zone."/>
  </r>
  <r>
    <n v="2"/>
    <x v="1"/>
    <n v="8"/>
    <x v="7"/>
    <x v="91"/>
    <s v="Foundation Grouting"/>
  </r>
  <r>
    <n v="2"/>
    <x v="1"/>
    <n v="8"/>
    <x v="7"/>
    <x v="92"/>
    <s v="What is the Operating Basis Earthquake used in design? (Input return period) 1 in"/>
  </r>
  <r>
    <n v="2"/>
    <x v="1"/>
    <n v="8"/>
    <x v="7"/>
    <x v="93"/>
    <s v="What is the Safety Evaluation Earthquake used in design? (Input return period) 1 in"/>
  </r>
  <r>
    <n v="2"/>
    <x v="1"/>
    <n v="9"/>
    <x v="9"/>
    <x v="94"/>
    <s v="Geology of foundations through below downstream shoulder of the dam.  "/>
  </r>
  <r>
    <n v="5"/>
    <x v="3"/>
    <n v="10"/>
    <x v="10"/>
    <x v="95"/>
    <s v="Is there documented evidence that the design of the conduit through the embankment has been designed using defensible methods, including the provision and design of appropriate filters, to achieve the objective of limiting the likelihood of structural failure and internal erosion due to the conduit?"/>
  </r>
  <r>
    <n v="2"/>
    <x v="1"/>
    <n v="10"/>
    <x v="10"/>
    <x v="96"/>
    <s v="Number of conduits"/>
  </r>
  <r>
    <n v="2"/>
    <x v="1"/>
    <n v="10"/>
    <x v="10"/>
    <x v="97"/>
    <m/>
  </r>
  <r>
    <n v="2"/>
    <x v="1"/>
    <n v="11"/>
    <x v="11"/>
    <x v="98"/>
    <s v="Does the facility feature appurtenant structures that requires design calculations (e.g. decant towers, outlet conduits, etc.)"/>
  </r>
  <r>
    <n v="2"/>
    <x v="1"/>
    <n v="12"/>
    <x v="12"/>
    <x v="99"/>
    <s v="Year of construction"/>
  </r>
  <r>
    <n v="2"/>
    <x v="1"/>
    <n v="12"/>
    <x v="12"/>
    <x v="100"/>
    <s v="Number of confining embankments constructed/expanded"/>
  </r>
  <r>
    <n v="2"/>
    <x v="1"/>
    <n v="12"/>
    <x v="12"/>
    <x v="101"/>
    <s v="Expansion construction arrangement"/>
  </r>
  <r>
    <n v="2"/>
    <x v="1"/>
    <n v="12"/>
    <x v="12"/>
    <x v="102"/>
    <s v="Expansion construction method"/>
  </r>
  <r>
    <n v="2"/>
    <x v="1"/>
    <n v="12"/>
    <x v="12"/>
    <x v="103"/>
    <s v="Volume of storage provided by expansion"/>
  </r>
  <r>
    <n v="2"/>
    <x v="1"/>
    <n v="13"/>
    <x v="13"/>
    <x v="104"/>
    <s v="Year of construction"/>
  </r>
  <r>
    <n v="2"/>
    <x v="1"/>
    <n v="13"/>
    <x v="13"/>
    <x v="105"/>
    <s v="Purpose of remedial works"/>
  </r>
  <r>
    <n v="2"/>
    <x v="1"/>
    <n v="13"/>
    <x v="13"/>
    <x v="106"/>
    <s v="Scope of remedial works"/>
  </r>
  <r>
    <n v="2"/>
    <x v="1"/>
    <n v="13"/>
    <x v="13"/>
    <x v="107"/>
    <s v="Changes to operation of facility"/>
  </r>
  <r>
    <n v="2"/>
    <x v="1"/>
    <n v="14"/>
    <x v="14"/>
    <x v="108"/>
    <s v="Stored material delivery method"/>
  </r>
  <r>
    <n v="2"/>
    <x v="1"/>
    <n v="14"/>
    <x v="14"/>
    <x v="109"/>
    <s v="Deposition Arrangement"/>
  </r>
  <r>
    <n v="2"/>
    <x v="1"/>
    <n v="15"/>
    <x v="15"/>
    <x v="110"/>
    <s v="Is the embankment designed to retain water?"/>
  </r>
  <r>
    <n v="2"/>
    <x v="1"/>
    <n v="15"/>
    <x v="15"/>
    <x v="111"/>
    <s v="Decant works included?"/>
  </r>
  <r>
    <n v="2"/>
    <x v="1"/>
    <n v="15"/>
    <x v="15"/>
    <x v="112"/>
    <s v="Decant Arrangement"/>
  </r>
  <r>
    <n v="2"/>
    <x v="1"/>
    <n v="15"/>
    <x v="15"/>
    <x v="113"/>
    <s v="Water return works details"/>
  </r>
  <r>
    <n v="2"/>
    <x v="1"/>
    <n v="15"/>
    <x v="15"/>
    <x v="114"/>
    <s v="Outlet works included?"/>
  </r>
  <r>
    <n v="2"/>
    <x v="1"/>
    <n v="15"/>
    <x v="15"/>
    <x v="115"/>
    <s v="Outlet works arrangement"/>
  </r>
  <r>
    <n v="2"/>
    <x v="1"/>
    <n v="15"/>
    <x v="15"/>
    <x v="116"/>
    <s v="Emergency outlet works included?"/>
  </r>
  <r>
    <n v="2"/>
    <x v="1"/>
    <n v="15"/>
    <x v="15"/>
    <x v="117"/>
    <s v="Emergency outlet works arrangement"/>
  </r>
  <r>
    <n v="2"/>
    <x v="1"/>
    <n v="15"/>
    <x v="15"/>
    <x v="118"/>
    <s v="What is the vertical distance between the dam crest and the maximum measured or modelled  phreatic line at the upstream face? "/>
  </r>
  <r>
    <n v="2"/>
    <x v="1"/>
    <n v="16"/>
    <x v="16"/>
    <x v="119"/>
    <s v="Are there other flood management structures for the facility?"/>
  </r>
  <r>
    <n v="2"/>
    <x v="1"/>
    <n v="17"/>
    <x v="17"/>
    <x v="120"/>
    <s v="Beach Freeboard Allowance"/>
  </r>
  <r>
    <n v="2"/>
    <x v="1"/>
    <n v="17"/>
    <x v="17"/>
    <x v="121"/>
    <s v="Operational Freeboard Allowance"/>
  </r>
  <r>
    <n v="2"/>
    <x v="1"/>
    <n v="17"/>
    <x v="17"/>
    <x v="122"/>
    <s v="Spillway Present?"/>
  </r>
  <r>
    <n v="2"/>
    <x v="1"/>
    <n v="17"/>
    <x v="17"/>
    <x v="123"/>
    <s v="Location of spillway"/>
  </r>
  <r>
    <n v="2"/>
    <x v="1"/>
    <n v="17"/>
    <x v="17"/>
    <x v="124"/>
    <s v="Type of spillway crest"/>
  </r>
  <r>
    <n v="2"/>
    <x v="1"/>
    <n v="17"/>
    <x v="17"/>
    <x v="125"/>
    <s v="Type of spillway chute"/>
  </r>
  <r>
    <n v="2"/>
    <x v="1"/>
    <n v="17"/>
    <x v="17"/>
    <x v="126"/>
    <s v="Type of energy dissipating structure"/>
  </r>
  <r>
    <n v="2"/>
    <x v="1"/>
    <n v="17"/>
    <x v="17"/>
    <x v="127"/>
    <s v="Design Flood event (Insert Return Period)"/>
  </r>
  <r>
    <n v="2"/>
    <x v="1"/>
    <n v="17"/>
    <x v="17"/>
    <x v="128"/>
    <s v="Spillway Capacity (m3/s)"/>
  </r>
  <r>
    <n v="5"/>
    <x v="3"/>
    <n v="18"/>
    <x v="18"/>
    <x v="129"/>
    <s v="A Design Basis Report is available which achieves the objective of stating and detailing all current design assumptions and criteria and operating and site assumptions and constraints, with evidence, to an appropriate level for all life cycle stages of the facility, as required by relevant standards and guidelines.  "/>
  </r>
  <r>
    <n v="5"/>
    <x v="3"/>
    <n v="18"/>
    <x v="18"/>
    <x v="130"/>
    <s v="Is there documented evidence that the Design Basis Document has been reviewed periodically as required by relevant standards and guidelines and updated as a result of material changes to the facility, to achieve the objective of having all content in the Design Basis document reflecting the current knowledge base and context of the facility and operations?"/>
  </r>
  <r>
    <n v="4"/>
    <x v="4"/>
    <n v="19"/>
    <x v="19"/>
    <x v="131"/>
    <s v="Have all required consequence/hazard categories for the facility been documented, with evidence provided to prove that objective that the consequence/hazard categories were based on an assessment of consequences for relevant failure scenarios and that the relevant consequence/hazard category frameworks were adhered to. "/>
  </r>
  <r>
    <n v="4"/>
    <x v="4"/>
    <n v="19"/>
    <x v="19"/>
    <x v="132"/>
    <s v="Is there documented evidence that the consequence/hazard categories have been reviewed at the frequency required by relevant Standards and Guidelines, to achieve the objective of the consequence/hazard categories reflecting the most current and accurate estimate of potential consequences of failure and context of the facility?"/>
  </r>
  <r>
    <n v="4"/>
    <x v="4"/>
    <n v="19"/>
    <x v="19"/>
    <x v="133"/>
    <s v="Is there documented evidence that the Accountable Executive has accepted the consequence/hazard categories, to achieve the objective that the consequence/hazard category informs the requirements and criteria of the design, operation and management of the facility?"/>
  </r>
  <r>
    <n v="5"/>
    <x v="3"/>
    <n v="20"/>
    <x v="20"/>
    <x v="134"/>
    <s v="Was a site-specific climate and hydrology study available?"/>
  </r>
  <r>
    <n v="5"/>
    <x v="3"/>
    <n v="20"/>
    <x v="20"/>
    <x v="135"/>
    <s v="Is there documented evidence that the climate data referenced in the study is representative of the latest available and most appropriate climate data, to achieve the objective that the rainfall and climate inputs into the design of the facility are as current and reflect actual conditions as much as practicable?"/>
  </r>
  <r>
    <n v="5"/>
    <x v="3"/>
    <n v="20"/>
    <x v="20"/>
    <x v="136"/>
    <s v="Is there documented evidence of how the rare and extreme intensity-frequency-duration values were derived, to achieve the objective of demonstrating that defensible methods were used?"/>
  </r>
  <r>
    <n v="5"/>
    <x v="3"/>
    <n v="20"/>
    <x v="20"/>
    <x v="137"/>
    <s v="Are the results of the flood study presented clearly, to achieve the objective of the results being appropriate and useable for design (e.g. intensity-duration-frequency curves, inflow hydrograph, etc.)?"/>
  </r>
  <r>
    <n v="5"/>
    <x v="3"/>
    <n v="21"/>
    <x v="21"/>
    <x v="138"/>
    <s v="Is a geological study of the site available?"/>
  </r>
  <r>
    <n v="5"/>
    <x v="3"/>
    <n v="21"/>
    <x v="21"/>
    <x v="139"/>
    <s v="Is there documented evidence of previous geological review and investigation scopes which were appropriate to achieve the objective of identifying the geological setting and pertinent geological features which could impact the performance of the facility, considering the complexity of the site and facility and commensurate with the potential consequences of failure."/>
  </r>
  <r>
    <n v="5"/>
    <x v="3"/>
    <n v="21"/>
    <x v="21"/>
    <x v="140"/>
    <s v="Is a geological model is available, which achieves the objective of clearly and accurately presenting the geological setting, features and properties at the site, with the information presented being clearly linked and based on objective data and information obtained from the geological investigations completed. "/>
  </r>
  <r>
    <n v="5"/>
    <x v="3"/>
    <n v="21"/>
    <x v="21"/>
    <x v="141"/>
    <s v="Are identified key geological units, conditions and features presented and their importance/impact on the facility clearly stated and based on objective data, with the objective of providing recommendations and guidance for geotechnical investigations. "/>
  </r>
  <r>
    <n v="5"/>
    <x v="3"/>
    <n v="22"/>
    <x v="22"/>
    <x v="142"/>
    <s v="Is there documented evidence of previous geotechnical review and investigation scopes which were appropriate to achieve the objective of identifying the geotechnical setting and features of the site which could impact the performance of the facility, considering the complexity of the site and facility the potential consequences of failure?"/>
  </r>
  <r>
    <n v="5"/>
    <x v="3"/>
    <n v="22"/>
    <x v="22"/>
    <x v="143"/>
    <s v="Is there documented evidence of previous in situ and laboratory testing programs carried out with the aim of appropriately identifying the geotechnical properties of materials onsite (e.g. foundations, tailings, borrow materials), considering the complexity of the site, potential loading conditions, construction methods to be employed, material properties and potential consequences of failure?"/>
  </r>
  <r>
    <n v="5"/>
    <x v="3"/>
    <n v="22"/>
    <x v="22"/>
    <x v="144"/>
    <s v="Is there documented evidence that geotechnical models for the site were derived, with the objective of displaying geotechnical units and properties spatially in relation to the facility, with evidence that the information presented is clearly linked and based on objective data and information obtained from the geological investigations completed?"/>
  </r>
  <r>
    <n v="5"/>
    <x v="3"/>
    <n v="22"/>
    <x v="22"/>
    <x v="145"/>
    <s v="Is there documented evidence that geotechnical design models were derived from objective data and using defensible engineering practices, with the objective of displaying the model zones and parameters to be used in geotechnical analyses for various required loading conditions?"/>
  </r>
  <r>
    <n v="5"/>
    <x v="3"/>
    <n v="23"/>
    <x v="23"/>
    <x v="146"/>
    <s v="Is a site-specific seismic study available?"/>
  </r>
  <r>
    <n v="5"/>
    <x v="3"/>
    <n v="23"/>
    <x v="23"/>
    <x v="147"/>
    <s v="Is there documented evidence that objective data and current defensible methods were used to achieve the objective of deriving the site hazard assessment presented in the seismic study ? "/>
  </r>
  <r>
    <n v="5"/>
    <x v="3"/>
    <n v="23"/>
    <x v="23"/>
    <x v="148"/>
    <s v="Is there documented evidence that the results of the seismic study were presented clearly to achieve the objective of presenting seismic parameters that can be used appropriately in the design of the facility?"/>
  </r>
  <r>
    <n v="5"/>
    <x v="3"/>
    <n v="24"/>
    <x v="24"/>
    <x v="149"/>
    <s v="Is a hydrogeological study for the site and facility available?"/>
  </r>
  <r>
    <n v="5"/>
    <x v="3"/>
    <n v="24"/>
    <x v="24"/>
    <x v="150"/>
    <s v="Is there documented evidence that the source of water considered in the hydrogeological study was based on objective data, to achieve the objective of appropriately considering all sources of water in the hydrogeological study?"/>
  </r>
  <r>
    <n v="5"/>
    <x v="3"/>
    <n v="24"/>
    <x v="24"/>
    <x v="151"/>
    <s v="Is there documented evidence that the potential pathways for seepage considered in the hydrogeological study was based on objective data, to achieve the objective of appropriately considering all pathways of water in the hydrogeological study?"/>
  </r>
  <r>
    <n v="5"/>
    <x v="3"/>
    <n v="24"/>
    <x v="24"/>
    <x v="152"/>
    <s v="Is there documented evidence that the potential receptors of seepage considered in the hydrogeological study was based on objective data, to achieve the objective of appropriately considering all receptors in the hydrogeological study?"/>
  </r>
  <r>
    <n v="5"/>
    <x v="3"/>
    <n v="24"/>
    <x v="24"/>
    <x v="153"/>
    <s v="Is there documented evidence that the hydrogeological study model was carried out using defensible methods, to achieve the objective of identifying and presenting actions, constraints or considerations that should have been considered in the design, operation and closure actions for the facility?"/>
  </r>
  <r>
    <n v="5"/>
    <x v="3"/>
    <n v="25"/>
    <x v="25"/>
    <x v="154"/>
    <s v="Is there documented evidence that representative and expected rheological, chemical and geotechnical properties of the stored material have been characterised to achieve the objective of considering these properties in the design and operation of the facility?"/>
  </r>
  <r>
    <n v="5"/>
    <x v="3"/>
    <n v="25"/>
    <x v="25"/>
    <x v="155"/>
    <s v="Is there documented evidence that the characteristics of the stored material were considered and addressed in the design of the facility, to achieve the objective of producing a design that aligns with the requirements of relevant standards and guidelines?"/>
  </r>
  <r>
    <n v="5"/>
    <x v="3"/>
    <n v="25"/>
    <x v="25"/>
    <x v="156"/>
    <s v="Is there documented evidence that the tailings throughputs (including yield, particle size distribution and minerology) forecast for both the short term to life-of-mine have been estimated with evidence that this information is updated regularly, to achieve the objective of considering the throughputs in the planning and design of the facility?"/>
  </r>
  <r>
    <n v="5"/>
    <x v="3"/>
    <n v="26"/>
    <x v="26"/>
    <x v="157"/>
    <s v="Is there documented evidence that other relevant constraints (environmental, social, regulatory) on the facility been documented and regularly reviewed in a standalone document (such as a Facility Management Plan), to achieve the objective of these constraints being understood by all key personnel and stakeholders?"/>
  </r>
  <r>
    <n v="5"/>
    <x v="3"/>
    <n v="26"/>
    <x v="26"/>
    <x v="158"/>
    <s v="Is there documented evidence that the documented site constraints have been regularly reviewed for currency, to achieve the objective of the ensuring that the documented site constraints are as current and accurate as practicable?"/>
  </r>
  <r>
    <n v="5"/>
    <x v="3"/>
    <n v="27"/>
    <x v="27"/>
    <x v="159"/>
    <s v="Is there documented evidence that a multi-criteria options assessment has been correctly undertaken and documented to support each stage of the facility, to achieve the objective of determining the preferred future option for tailings storages, including sites, technologies and strategies? "/>
  </r>
  <r>
    <n v="5"/>
    <x v="3"/>
    <n v="27"/>
    <x v="27"/>
    <x v="160"/>
    <s v="Is there documented evidence that the multi-criteria option assessment considered the following to reduce the consequences and risks presented by the facility?:_x000a_-Societal risks presented by each option_x000a_-Minimisation of the volume of stored material that could be unexpectedly released?"/>
  </r>
  <r>
    <n v="5"/>
    <x v="3"/>
    <n v="27"/>
    <x v="27"/>
    <x v="161"/>
    <s v="Is there documented evidence that the preferred storage options for the facility as a result of multi-criteria assessments were advanced, with the objective of producing an appropriate design and implementing the preferred option, for both the facility and each stage of the facility?"/>
  </r>
  <r>
    <n v="5"/>
    <x v="3"/>
    <n v="28"/>
    <x v="28"/>
    <x v="162"/>
    <s v="Is there documented evidence that a Potential Failure Mode Assessment for the facility been undertaken?"/>
  </r>
  <r>
    <n v="5"/>
    <x v="3"/>
    <n v="28"/>
    <x v="28"/>
    <x v="163"/>
    <s v="Is there clear and detailed documented evidence that the Potential Failure Mode Assessment used objective data and current defensible methods to achieve the objective of identifying all potential failure modes for the facility?"/>
  </r>
  <r>
    <n v="5"/>
    <x v="3"/>
    <n v="28"/>
    <x v="28"/>
    <x v="164"/>
    <s v="Is there sufficient documented evidence to demonstrate that the Potential Failure Mode Assessment was undertaken using defensible methods that are commensurate with the complexity and potential consequences of the facility, to achieve the objective of understanding the progression of potential failure modes from hazard to failure?"/>
  </r>
  <r>
    <n v="5"/>
    <x v="3"/>
    <n v="28"/>
    <x v="28"/>
    <x v="165"/>
    <s v="Is there documented evidence that the outcomes of the Potential Failure Mode Assessment were appropriately detailed, to achieve the objective of allowing identified hazards and critical controls to be considered in the design of the facility or subsequent expansion and remedial works?"/>
  </r>
  <r>
    <n v="5"/>
    <x v="3"/>
    <n v="29"/>
    <x v="29"/>
    <x v="166"/>
    <s v="Is there documented evidence that a dam break assessment been undertaken for all required scenarios?"/>
  </r>
  <r>
    <n v="5"/>
    <x v="3"/>
    <n v="29"/>
    <x v="29"/>
    <x v="167"/>
    <s v="Is there documented evidence that the modelled scenarios considered potential failure modes specific to the facility, to achieve the objective of allowing identified potential failure modes to be considered in the estimation of the potential inundation area as a result of failure of the facility? "/>
  </r>
  <r>
    <n v="5"/>
    <x v="3"/>
    <n v="29"/>
    <x v="29"/>
    <x v="168"/>
    <s v="Is there sufficiently detailed documented evidence of the methodology used for the dam break analysis to achieve the objective of demonstrating that the utilised method was suitable and appropriate considering the potential consequences of the facility? (e.g. 1D or 2D analysis and software)"/>
  </r>
  <r>
    <n v="5"/>
    <x v="3"/>
    <n v="29"/>
    <x v="29"/>
    <x v="169"/>
    <s v="Is there documented evidence that the topographic data used in the dam break assessment was sufficiently accurate and current achieve the objective of allowing the impact of potential failure to be estimated and understood with confidence ?"/>
  </r>
  <r>
    <n v="5"/>
    <x v="3"/>
    <n v="29"/>
    <x v="29"/>
    <x v="170"/>
    <s v="Is there detailed documented evidence that the downstream topography model (e.g. extents, cross-section lengths and reach lengths, or mesh sizes) was appropriately produced to achieve the objective of allowing the impact of potential failure to be estimated with confidence? "/>
  </r>
  <r>
    <n v="5"/>
    <x v="3"/>
    <n v="29"/>
    <x v="29"/>
    <x v="171"/>
    <s v="Is there detailed documented evidence of the dam break parameters estimation methodology (e.g. breach dimensions and time-to-breach) for each scenario to achieve the objective of incorporating facility-specific failure modes, objective data and defensible methods into the dam break assessment?"/>
  </r>
  <r>
    <n v="5"/>
    <x v="3"/>
    <n v="29"/>
    <x v="29"/>
    <x v="172"/>
    <s v="Is there documented evidence that a dam break sensitivity assessment was appropriately assessed/discussed, to achieve the objective of assessing the sensitivity of the dam break results to variable input parameters and determining representative input parameters and inundation areas?"/>
  </r>
  <r>
    <n v="5"/>
    <x v="3"/>
    <n v="29"/>
    <x v="29"/>
    <x v="173"/>
    <s v="Is there documented evidence of that the Manning's number/s used in the assessment was/were selected based on objective observation of the downstream conditions and defensible reference material, to achieve the objective of appropriately accounting for the conditions of the inundation area in the inundation modelling?"/>
  </r>
  <r>
    <n v="5"/>
    <x v="3"/>
    <n v="29"/>
    <x v="29"/>
    <x v="174"/>
    <s v="Is there documented evidence that the potential for Non-Newtonian fluid behaviour of the outflow material was appropriately considered based on objective data and defensible methods, to achieve the objective of understanding if Non-Newtonian behaviour of the outflow material is possible given the potential conditions at failure?"/>
  </r>
  <r>
    <n v="5"/>
    <x v="3"/>
    <n v="29"/>
    <x v="29"/>
    <x v="175"/>
    <s v="If Non-Newtonian fluid behaviour was assessed in the dam break model, is there documented evidence that the Non-Newtonian fluid parameters used were based on objectively measured data, to achieve the objective of accurately accounting for the Non-Newtonian behaviour of the released material in dam break modelling?"/>
  </r>
  <r>
    <n v="5"/>
    <x v="3"/>
    <n v="29"/>
    <x v="29"/>
    <x v="176"/>
    <s v="Is there documented evidence that the time-step used in the assessment was  selected based on the characteristics of the model, to achieve the objective of producing inundation models that is not negatively impacted by coarse time-steps"/>
  </r>
  <r>
    <n v="5"/>
    <x v="3"/>
    <n v="29"/>
    <x v="29"/>
    <x v="177"/>
    <s v="Is there documented evidence that the upstream and downstream boundary conditions of the model geometry was based on onsite conditions and assigned correctly within the model, to achieve the objective of producing a model geometry that reflects onsite conditions. "/>
  </r>
  <r>
    <n v="5"/>
    <x v="3"/>
    <n v="29"/>
    <x v="29"/>
    <x v="178"/>
    <s v="Is there documented evidence describing the utilised dam break assessment methodology to demonstrate that the dam break assessments achieves the objective of being undertaken in alignment with current practice?"/>
  </r>
  <r>
    <n v="5"/>
    <x v="3"/>
    <n v="29"/>
    <x v="29"/>
    <x v="179"/>
    <s v="Is there documented evidence that a dam break assessment has been appropriately undertaken to reflect the preferred future arrangement of the facility, to achieve the objective of presenting the potential inundation area as a result of the preferred future storage arrangement failing?"/>
  </r>
  <r>
    <n v="5"/>
    <x v="3"/>
    <n v="30"/>
    <x v="30"/>
    <x v="180"/>
    <s v="Is there documented evidence describing the assessment of consequences of failure for the facility, demonstrating that the objective of estimating consequences of failure based on a standard or guidance framework was achieved?"/>
  </r>
  <r>
    <n v="5"/>
    <x v="3"/>
    <n v="30"/>
    <x v="30"/>
    <x v="181"/>
    <s v="Is there documented evidence that the objective of estimated societal consequences of failure being based on the results of modelled dam break scenarios and objective data regarding the impacted areas was achieved?"/>
  </r>
  <r>
    <n v="5"/>
    <x v="3"/>
    <n v="30"/>
    <x v="30"/>
    <x v="182"/>
    <s v="Is there documented evidence that the objective of societal consequences of failure (Population at Risk and Potential Loss of Life) being estimated for all required dam break scenarios was achieved?"/>
  </r>
  <r>
    <n v="5"/>
    <x v="3"/>
    <n v="30"/>
    <x v="30"/>
    <x v="183"/>
    <s v="Is there documented evidence that the objective of estimated environmental consequences of failure being based on the results of modelled dam break scenarios and objective data regarding the impacted areas was achieved?"/>
  </r>
  <r>
    <n v="5"/>
    <x v="3"/>
    <n v="30"/>
    <x v="30"/>
    <x v="184"/>
    <s v="Is there documented evidence that the objective of environmental consequences of failure being estimated for all required dam break scenarios was achieved?"/>
  </r>
  <r>
    <n v="5"/>
    <x v="3"/>
    <n v="30"/>
    <x v="30"/>
    <x v="185"/>
    <s v="Is there documented evidence that the objective of other estimated consequences of failure (e.g. business consequences, indirect and intangible consequences) being based on the results of modelled dam break scenarios and objective data regarding the impacted areas was achieved?"/>
  </r>
  <r>
    <n v="5"/>
    <x v="3"/>
    <n v="30"/>
    <x v="30"/>
    <x v="186"/>
    <s v="Have the consequences for the preferred future arrangement of the facility have been estimated, with documented evidence that the objective that the estimated consequences were estimated taking into account known uncertainties regarding the facility and downstream developments was achieved?"/>
  </r>
  <r>
    <n v="5"/>
    <x v="3"/>
    <n v="31"/>
    <x v="31"/>
    <x v="187"/>
    <s v="Is there documented evidence that a facility arrangement design has been produced which achieves the objective of linking the arrangement to identified site constraints presented?"/>
  </r>
  <r>
    <n v="5"/>
    <x v="3"/>
    <n v="31"/>
    <x v="31"/>
    <x v="188"/>
    <s v="Is there documented evidence that the presented facility arrangement clearly identifies and discusses relevant features of all pertinent details?"/>
  </r>
  <r>
    <n v="5"/>
    <x v="3"/>
    <n v="31"/>
    <x v="31"/>
    <x v="189"/>
    <s v="Is there documented evidence that the storage curve has been derived for the facility which achieves the objective of correctly displaying the relationship between elevation and storage volumes within the storage area?"/>
  </r>
  <r>
    <n v="5"/>
    <x v="3"/>
    <n v="31"/>
    <x v="31"/>
    <x v="190"/>
    <s v="Is there documented evidence that all roads associated with the facility have been designed with all required safety features and consideration to speed restrictions to achieve the objective of reducing vehicle related incidents as much as is reasonably practicable?"/>
  </r>
  <r>
    <n v="5"/>
    <x v="3"/>
    <n v="32"/>
    <x v="32"/>
    <x v="191"/>
    <s v="Is there documented evidence that stability analyses for drained conditions were undertaken at suitable locations, to achieve the objective of the drained stability analyses taking into account variability of cross-section, embankment material properties, foundation material properties and loading conditions?"/>
  </r>
  <r>
    <n v="5"/>
    <x v="3"/>
    <n v="32"/>
    <x v="32"/>
    <x v="192"/>
    <s v="Is there documented evidence that stability analyses for undrained conditions were undertaken at suitable locations, to achieve the objective of the undrained stability analyses taking into account variability of cross-section, embankment material properties, foundation material properties and loading conditions?"/>
  </r>
  <r>
    <n v="5"/>
    <x v="3"/>
    <n v="32"/>
    <x v="32"/>
    <x v="193"/>
    <s v="Is there documented evidence that stability analyses for post-seismic conditions were undertaken at suitable locations, to achieve the objective of the post-seismic stability analyses taking into account variability of cross-section, embankment material properties, foundation material properties and loading conditions?"/>
  </r>
  <r>
    <n v="5"/>
    <x v="3"/>
    <n v="33"/>
    <x v="33"/>
    <x v="194"/>
    <s v="Is there documented evidence that the stability of the facility has been assessed under suitable loading conditions (e.g. normal operating conditions, extreme loading conditions) based on the likely operating and extreme conditions and identified consequence category of the facility, to achieve the objective of the stability modelling reflecting various conditions the facility may be exposed to as required by relevant design standards and guidelines?"/>
  </r>
  <r>
    <n v="5"/>
    <x v="3"/>
    <n v="34"/>
    <x v="34"/>
    <x v="195"/>
    <s v="Is there documented evidence of the material parameters used in the stability modelling, to achieve the objective of verifying that adopted parameters were based on those shown in the geotechnical design models and appropriate for the loading conditions under consideration?"/>
  </r>
  <r>
    <n v="5"/>
    <x v="3"/>
    <n v="35"/>
    <x v="35"/>
    <x v="196"/>
    <s v="Is there documented evidence that modelled phreatic conditions for each scenario were based on objectively measured data or suitable assessment of pore pressure conditions for each scenario (e.g. seepage modelling, accounting for development of excess pore water pressures, etc.), to achieve the objective of accounting for pore pressures in the confining structures?"/>
  </r>
  <r>
    <n v="5"/>
    <x v="3"/>
    <n v="36"/>
    <x v="36"/>
    <x v="197"/>
    <s v="Are the stability assessments results documented in a form that clearly shows the boundary conditions, materials zoning, geometry and all parameters and loading conditions used? "/>
  </r>
  <r>
    <n v="5"/>
    <x v="3"/>
    <n v="36"/>
    <x v="36"/>
    <x v="198"/>
    <s v="Is there documented evidence that the stability analyses results for the drained scenarios meet the minimum required stability requirements, to achieve the objective of demonstrating that the stability of the facility under drained conditions meets the minimum requirements of relevant standards and guidelines?"/>
  </r>
  <r>
    <n v="5"/>
    <x v="3"/>
    <n v="36"/>
    <x v="36"/>
    <x v="199"/>
    <s v="Is there documented evidence that the stability analyses results for the undrained scenarios meet the minimum required stability requirements, to achieve the objective of demonstrating that the stability of the facility under undrained conditions meets the minimum requirements of relevant standards and guidelines?"/>
  </r>
  <r>
    <n v="5"/>
    <x v="3"/>
    <n v="36"/>
    <x v="36"/>
    <x v="200"/>
    <s v="Is there documented evidence that the stability analyses results for the post-seismic scenarios meet the minimum required stability requirements, to achieve the objective of demonstrating that the stability of the facility under post-seismic conditions meets the minimum requirements of relevant standards and guidelines?"/>
  </r>
  <r>
    <n v="5"/>
    <x v="3"/>
    <n v="37"/>
    <x v="37"/>
    <x v="201"/>
    <s v="Is there documented evidence that deformation assessments were undertaken for facility in line with current engineering practice, to achieve the objective of estimating deformations of the facility under relevant loading conditions?"/>
  </r>
  <r>
    <n v="5"/>
    <x v="3"/>
    <n v="37"/>
    <x v="37"/>
    <x v="202"/>
    <s v="Is there documented evidence of the material parameters used in the deformation modelling, to achieve the objective of verifying that adopted parameters were based on those shown in the geotechnical design models and based on objectively measured data and derived using defensible methods?"/>
  </r>
  <r>
    <n v="5"/>
    <x v="3"/>
    <n v="37"/>
    <x v="37"/>
    <x v="203"/>
    <s v="Are all results for completed deformation assessments presented clearly, to achieve the objective of identifying estimated deformations for relevant loading conditions, as well as identifying instability issues??"/>
  </r>
  <r>
    <n v="5"/>
    <x v="3"/>
    <n v="37"/>
    <x v="37"/>
    <x v="204"/>
    <s v="Is there documented evidence that that estimated deformations were deemed acceptable or intolerable for the facility, to achieve the objective of determining if deformations were required to be accounted for in the design and/or operations of the facility, as required?"/>
  </r>
  <r>
    <n v="5"/>
    <x v="3"/>
    <n v="38"/>
    <x v="38"/>
    <x v="205"/>
    <s v="Is there documented evidence that internal filter zone materials were designed using defensible filter design principles, to achieve the objective of reducing the likelihood of various filter failure modes occurring (e.g. suffusion, segregation, etc.)?"/>
  </r>
  <r>
    <n v="5"/>
    <x v="3"/>
    <n v="38"/>
    <x v="38"/>
    <x v="206"/>
    <s v="Is there documented evidence that the internal filters were designed considering the seepage rates through the confining structure, to achieve the objective of the filters having sufficient drainage capacity?"/>
  </r>
  <r>
    <n v="5"/>
    <x v="3"/>
    <n v="44"/>
    <x v="39"/>
    <x v="207"/>
    <s v="Is there documented evidence that the design of the conduit through the embankment has been designed using defensible methods, including the provision and design of appropriate filters, to achieve the objective of limiting the likelihood of structural failure and internal erosion due to the conduit?"/>
  </r>
  <r>
    <n v="5"/>
    <x v="3"/>
    <n v="50"/>
    <x v="40"/>
    <x v="208"/>
    <s v="Is there documented evidence that an independent review was completed for all design studies by appropriately qualified reviewers, to achieve the objective of producing defensible design studies and to meet the requirements of relevant standards and guidelines?"/>
  </r>
  <r>
    <n v="7"/>
    <x v="2"/>
    <n v="55"/>
    <x v="41"/>
    <x v="209"/>
    <s v="Is there documented evidence that there was appropriately qualified and experienced supervisors present during construction of all expansions, remedial works and closure works to achieve the objective of ensuring that construction activities adhere to the requirements of technical specification and meet the design intent?"/>
  </r>
  <r>
    <n v="5"/>
    <x v="3"/>
    <n v="39"/>
    <x v="42"/>
    <x v="210"/>
    <s v="Is there documented evidence that a balance for the facility is available, which achieves the objective of documenting the mass and water inflow and outflow volumes, as well as estimating future inflow and outflow volumes for planning purposes?"/>
  </r>
  <r>
    <n v="5"/>
    <x v="3"/>
    <n v="39"/>
    <x v="42"/>
    <x v="211"/>
    <s v="Is there documented evidence that an appropriate and defensible water balance methodology/assessment tool was utilised, to achieve the objective that the water balance model be appropriately detailed and sophisticated considering the context of the facility and wider-operations (e.g. Excel tool/GoldSim model)?"/>
  </r>
  <r>
    <n v="5"/>
    <x v="3"/>
    <n v="39"/>
    <x v="42"/>
    <x v="212"/>
    <s v="Is there documented evidence of the inputs used for the  water balance, to demonstrate that the objective that the inputs are based on objectively measured data and/or the most appropriate information is achieved?"/>
  </r>
  <r>
    <n v="5"/>
    <x v="3"/>
    <n v="39"/>
    <x v="42"/>
    <x v="213"/>
    <s v="Is there documented evidence that the assumptions made in the water balance align with site conditions and design assumptions/philosophy to achieve the objective that the water balance reflects actual conditions as much as practicable?"/>
  </r>
  <r>
    <n v="5"/>
    <x v="3"/>
    <n v="39"/>
    <x v="42"/>
    <x v="214"/>
    <s v="Is there documented evidence that the tailings and water throughputs utilised in the water balance were based on forecasted production throughputs, to achieve the objective of the water balance forecast being as accurate and reliable as practicable?"/>
  </r>
  <r>
    <n v="5"/>
    <x v="3"/>
    <n v="39"/>
    <x v="42"/>
    <x v="215"/>
    <s v="Is there documented evidence that all inflows and outflows into the water balance were correctly applied, to achieve the objective of the water balance being as accurate and reliable as practicable?"/>
  </r>
  <r>
    <n v="5"/>
    <x v="3"/>
    <n v="39"/>
    <x v="42"/>
    <x v="216"/>
    <s v="Is there documented evidence that the impacts of rare and extreme rainfall events were correctly and appropriately assessed in the water balance to achieve the objective of reliable forecasting of potential emergency situations?"/>
  </r>
  <r>
    <n v="5"/>
    <x v="3"/>
    <n v="39"/>
    <x v="42"/>
    <x v="217"/>
    <s v="Is there documented evidence that a sensitivity assessment of the inputs and assumptions on the results of the water balance were correctly and appropriately carried out to achieve the objective of understanding the operating limits that the facility may operate under?"/>
  </r>
  <r>
    <n v="5"/>
    <x v="3"/>
    <n v="39"/>
    <x v="42"/>
    <x v="218"/>
    <s v="Is there documented evidence that the results of the water balance were correctly considered to assign tailings and supernatant pond freeboards to achieve the objective of providing sufficient non-operational inflow capacity for rare and extreme rainfall events, as required by relevant regulations, standards and guidelines?"/>
  </r>
  <r>
    <n v="5"/>
    <x v="3"/>
    <n v="39"/>
    <x v="42"/>
    <x v="219"/>
    <s v="Is there documented evidence that the water balance was linked to, or considered the impact of wider site operations to achieve the objective of the water balance correctly reflecting the facility within the site-wide context? (e.g. minimum or maximum water return rates for operations)"/>
  </r>
  <r>
    <n v="5"/>
    <x v="3"/>
    <n v="40"/>
    <x v="43"/>
    <x v="220"/>
    <s v="Has a storage model been produced for the facility?"/>
  </r>
  <r>
    <n v="5"/>
    <x v="3"/>
    <n v="40"/>
    <x v="43"/>
    <x v="221"/>
    <s v="Is there documented evidence that an appropriate and defensible deposition modelling methodology/assessment tool was utilised, to achieve the objective of the deposition model being appropriately detailed and sophisticated for the context of the facility?"/>
  </r>
  <r>
    <n v="5"/>
    <x v="3"/>
    <n v="40"/>
    <x v="43"/>
    <x v="222"/>
    <s v="Is there documented evidence that appropriate survey data used in the deposition model to achieve the objective of the model being based on as-accurate as practicable conditions?"/>
  </r>
  <r>
    <n v="5"/>
    <x v="3"/>
    <n v="40"/>
    <x v="43"/>
    <x v="223"/>
    <s v="Is there documented evidence that an appropriate digital terrain model was developed for the model to achieve the objective of the model capturing onsite conditions as accurately as practicable?"/>
  </r>
  <r>
    <n v="5"/>
    <x v="3"/>
    <n v="40"/>
    <x v="43"/>
    <x v="224"/>
    <s v="Is there documented evidence that structures and deposition points were correctly to achieve the objective of the deposition model correctly incorporating actual/designed/planned features of the facility?"/>
  </r>
  <r>
    <n v="5"/>
    <x v="3"/>
    <n v="40"/>
    <x v="43"/>
    <x v="225"/>
    <s v="Is there documented evidence that the tailings and water throughputs utilised in the deposition model were based on forecasted production throughputs, to achieve the objective of the model being as accurate and reliable as practicable?"/>
  </r>
  <r>
    <n v="5"/>
    <x v="3"/>
    <n v="40"/>
    <x v="43"/>
    <x v="226"/>
    <s v="Is there documented evidence that the tailings density/densities utilised were based on objectively measured data and/or reasonings provided for adopted values to achieve the objective of the model being as accurate and reliable as practicable?"/>
  </r>
  <r>
    <n v="5"/>
    <x v="3"/>
    <n v="40"/>
    <x v="43"/>
    <x v="227"/>
    <s v="Is there documented evidence that appropriate deposition staging (e.g. deposition from specific spigots over time) was adopted in the model to achieve the objective that the model reflects how the facility will actually be operated?"/>
  </r>
  <r>
    <n v="5"/>
    <x v="3"/>
    <n v="40"/>
    <x v="43"/>
    <x v="228"/>
    <s v="Is there documented evidence that the time-steps/staging used in the model was appropriate to achieve the objective of the model being sufficiently granular to provide meaningful results?"/>
  </r>
  <r>
    <n v="5"/>
    <x v="3"/>
    <n v="40"/>
    <x v="43"/>
    <x v="229"/>
    <s v="Is there documented evidence that the results of the deposition model were used to inform the water return/water management for the facility?"/>
  </r>
  <r>
    <n v="5"/>
    <x v="3"/>
    <n v="40"/>
    <x v="43"/>
    <x v="230"/>
    <s v="Is there documented evidence that the results of the deposition model were used to inform the management of inflows from rare and extreme rainfall  events?"/>
  </r>
  <r>
    <n v="5"/>
    <x v="3"/>
    <n v="40"/>
    <x v="43"/>
    <x v="231"/>
    <s v="Is there documented evidence that the deposition model results were used to provide a statement on the storage volume/time that the facility can provide to achieve the objective that the storage provided by the facility is understood?"/>
  </r>
  <r>
    <n v="5"/>
    <x v="3"/>
    <n v="41"/>
    <x v="44"/>
    <x v="232"/>
    <s v="Is there documented evidence that that design loading conditions used the spillway design achieves the objective of aligning with the required flood handling capacity of the facility based on its consequence category?"/>
  </r>
  <r>
    <n v="5"/>
    <x v="3"/>
    <n v="41"/>
    <x v="44"/>
    <x v="233"/>
    <s v="Is there documented evidence that the flood inflow hydrographs used in the spillway calculations were based on a site-specific hydrology study and properly executed flood routing through the storage, to achieve the objective of properly estimating the inflow rates into the spillway structure?"/>
  </r>
  <r>
    <n v="5"/>
    <x v="3"/>
    <n v="41"/>
    <x v="44"/>
    <x v="234"/>
    <s v="Is there documented evidence that the spillway crest was designed using defensible hydraulic calculations and correctly defined flood conditions as inputs, to achieve the objective of sizing the spillway crest to have sufficient capacity to manage the required flow rates?"/>
  </r>
  <r>
    <n v="5"/>
    <x v="3"/>
    <n v="41"/>
    <x v="44"/>
    <x v="235"/>
    <s v="Is there documented evidence that the spillway channel was sized using defensible hydraulic calculations that correctly considered inflows from the crest as inputs into the calculations, to achieve the objective of sizing the spillway chute to have sufficient capacity to manage the required flow rates?"/>
  </r>
  <r>
    <n v="5"/>
    <x v="3"/>
    <n v="41"/>
    <x v="44"/>
    <x v="236"/>
    <s v="Is there documented evidence that the energy dissipator structure was sized using defensible hydraulic calculations that correctly defined inflows from the chute as inputs into the calculations, to achieve the objective of sizing the structure to have sufficient capacity and energy dissipating properties for the required flow rates?"/>
  </r>
  <r>
    <n v="5"/>
    <x v="3"/>
    <n v="41"/>
    <x v="44"/>
    <x v="237"/>
    <s v="Is there documented evidence that the effects of the downstream channel and backwater effects were correctly assessed using defensible hydraulic calculations, to achieve the objective of limiting the potential impact and back erosion during spillway flow events?"/>
  </r>
  <r>
    <n v="5"/>
    <x v="3"/>
    <n v="41"/>
    <x v="44"/>
    <x v="238"/>
    <s v="Is there documented evidence that the spillway was appropriately designed for structural stability and correctly assessed the various loading conditions that the spillway may experience, to achieve the objective of limiting the likelihood that the structural elements of the spillway will fail? "/>
  </r>
  <r>
    <n v="5"/>
    <x v="3"/>
    <n v="41"/>
    <x v="44"/>
    <x v="239"/>
    <s v="Is there documented evidence that rating curve for the spillway was appropriately calculated to achieve the objective of relating the water level over the spillway crest with the flow rate through the spillway?"/>
  </r>
  <r>
    <n v="5"/>
    <x v="3"/>
    <n v="42"/>
    <x v="45"/>
    <x v="240"/>
    <s v="For any flood management structures for the facility is there documented evidence of the design events that these structures were designed for, to achieve the objective of documenting the capacity of the  structures?"/>
  </r>
  <r>
    <n v="5"/>
    <x v="3"/>
    <n v="42"/>
    <x v="45"/>
    <x v="241"/>
    <s v="Is there documented evidence of the design methodology for the flood management structures, to achieve the objective of demonstrating that the structures were appropriately sized and designed using defensible hydraulic calculations?"/>
  </r>
  <r>
    <n v="5"/>
    <x v="3"/>
    <n v="43"/>
    <x v="46"/>
    <x v="242"/>
    <s v="Is there documented evidence that the capacity of the underdrainage system was based on an assessment of the seepage from the facility or from the required seepage removal/water return rate, to achieve the objective of demonstrating that the system was sized using defensible methods? "/>
  </r>
  <r>
    <n v="5"/>
    <x v="3"/>
    <n v="43"/>
    <x v="46"/>
    <x v="243"/>
    <s v="Is there documented evidence that the underdrainage was sized considering the hydraulic properties of the underdrainage materials, time-varying conditions and potential for blockages to demonstrate the  objective using defensible methods&gt;"/>
  </r>
  <r>
    <n v="5"/>
    <x v="3"/>
    <n v="43"/>
    <x v="46"/>
    <x v="244"/>
    <s v="Is there documented evidence that the structural integrity of the underdrainage system was assessed using defensible methods, expected loading conditions and required factors of safety, to achieve the objective of limiting the likelihood that the structural elements of the underdrainage system will fail? "/>
  </r>
  <r>
    <n v="7"/>
    <x v="2"/>
    <n v="56"/>
    <x v="47"/>
    <x v="245"/>
    <s v="Is there documented evidence that Technical Specifications were produced for construction of all expansions, remedial works and closure works to achieve the objective of providing requirements and direction to the construction team to meet the design intent?"/>
  </r>
  <r>
    <n v="5"/>
    <x v="3"/>
    <n v="45"/>
    <x v="48"/>
    <x v="246"/>
    <s v="Is there documented evidence that the liner properties were specified based on an assessment which considered the required/maximum seepage rates for the facility, to achieve the objective of specifying a fit-for-purpose liner?"/>
  </r>
  <r>
    <n v="5"/>
    <x v="3"/>
    <n v="45"/>
    <x v="48"/>
    <x v="247"/>
    <s v="Is there documented evidence that a structural assessment of the liner was undertaken using defensible methods and consideration to likely loading conditions and required factors of safety, to achieve the objective of limiting the likelihood of structural failure?"/>
  </r>
  <r>
    <n v="5"/>
    <x v="3"/>
    <n v="46"/>
    <x v="49"/>
    <x v="248"/>
    <s v="Is there documented evidence of the design of all mechanical elements (pipework and valves) for the delivery of water and tailings which demonstrates that the objective of the design being carried out using inputs representative of the operating conditions and defensible design methods was achieved?"/>
  </r>
  <r>
    <n v="5"/>
    <x v="3"/>
    <n v="47"/>
    <x v="50"/>
    <x v="249"/>
    <s v="Is there documented evidence of the design of all mechanical elements (pipework and valves) for the removal and return of water which demonstrates that the objective of the design being carried out using inputs representative of the operating conditions and defensible design methods was achieved?"/>
  </r>
  <r>
    <n v="5"/>
    <x v="3"/>
    <n v="48"/>
    <x v="51"/>
    <x v="250"/>
    <s v="Is there documented evidence of the design of all apparent structures (e.g. decant towers, outlet conduits) which demonstrates that the objective of the designs being carried out using inputs representative of the operating and extreme conditions and defensible design methods was achieved?"/>
  </r>
  <r>
    <n v="5"/>
    <x v="3"/>
    <n v="49"/>
    <x v="52"/>
    <x v="251"/>
    <s v="Are there design reports available for all design studies for the facility, to achieve the objective of documenting and providing evidence of all design activities?"/>
  </r>
  <r>
    <n v="7"/>
    <x v="2"/>
    <n v="57"/>
    <x v="8"/>
    <x v="252"/>
    <s v="Is there documented evidence that testing for verification of construction activities was carried out to achieve the objective of demonstrating that construction activities complied with the Technical Specifications?"/>
  </r>
  <r>
    <n v="5"/>
    <x v="3"/>
    <n v="51"/>
    <x v="53"/>
    <x v="253"/>
    <s v="Is there documented evidence that an appropriately detailed risk assessment was completed for the facility to achieve the objective of identifying and documenting the facilities risks within an appropriate framework?"/>
  </r>
  <r>
    <n v="5"/>
    <x v="3"/>
    <n v="51"/>
    <x v="53"/>
    <x v="254"/>
    <s v="Is there documented evidence that the facility risk assessment has been reviewed and revised at the required minimum frequency by an appropriately qualified and experienced reviewer/review team to achieve the objective of ensuring that the facility's risk profile reflects current conditions as much as is practicable?"/>
  </r>
  <r>
    <n v="5"/>
    <x v="3"/>
    <n v="51"/>
    <x v="53"/>
    <x v="255"/>
    <s v="Is there documented evidence that the risk assessment was informed by a Potential Failure Mode Assessment completed for the facility to achieve the objective of relating the facility's risks to the underlying hazards and potential modes of failure that are unique to the facility?"/>
  </r>
  <r>
    <n v="5"/>
    <x v="3"/>
    <n v="51"/>
    <x v="53"/>
    <x v="256"/>
    <s v="Is there documented evidence of the methods used to calculate the probabilities of failure for identified failure modes to demonstrate that the probabilities were estimated using  objectively measured data and appropriate and defensible methods?"/>
  </r>
  <r>
    <n v="5"/>
    <x v="3"/>
    <n v="51"/>
    <x v="53"/>
    <x v="257"/>
    <s v="Is there documented evidence that the stated consequences for the various failure modes were based on dam break studies and consequence assessments to achieve the objective of having the risk profile directly related to estimated consequences of failure?"/>
  </r>
  <r>
    <n v="5"/>
    <x v="3"/>
    <n v="51"/>
    <x v="53"/>
    <x v="258"/>
    <s v="Is there documented evidence that the risks (both societal and business) presented by the facility have been correctly presented to allow the risk profile of the facility to be clearly understood?"/>
  </r>
  <r>
    <n v="5"/>
    <x v="3"/>
    <n v="51"/>
    <x v="53"/>
    <x v="259"/>
    <s v="Is there documented evidence that the risks presented by the facilities were presented within an appropriate risk framework to achieve the objective of allowing the risk profile to be comparatively assessed against other portfolio risks and tolerable risk levels if required?"/>
  </r>
  <r>
    <n v="5"/>
    <x v="3"/>
    <n v="51"/>
    <x v="53"/>
    <x v="260"/>
    <s v="Is there documented evidence that the outcomes of the risk assessment were appropriately considered in the design of the facility, subsequent expansion and remedial works to achieve the objective of reducing the risk profile as-far-as-is-practicable throughout the life of the facility?"/>
  </r>
  <r>
    <n v="5"/>
    <x v="3"/>
    <n v="52"/>
    <x v="54"/>
    <x v="261"/>
    <s v="Is there documented evidence that the facility has been designed to meet the minimum requirements of an Extreme Consequence Category facility to achieve the objective of the objective of providing a design that is able to withstand extreme-level loadings ?  (See GISTM for Consequence Category framework)"/>
  </r>
  <r>
    <n v="5"/>
    <x v="3"/>
    <n v="52"/>
    <x v="54"/>
    <x v="262"/>
    <s v="If the facility has not been designed to the requirements of an Extreme Consequence Category facility, is there documented evidence of a feasible preliminary design to demonstrate that the facility can be upgraded to meet the design requirements for an Extreme Consequence Category facility to achieve the objectives of being able to reduce the risk profile of the facility if required and to adhere to the requirements of the GISTM?"/>
  </r>
  <r>
    <n v="5"/>
    <x v="3"/>
    <n v="53"/>
    <x v="55"/>
    <x v="263"/>
    <s v="Was a concept closure plan available which achieves the objective of detailing all required information that is required to effectively and safely achieve the closure requirements of the facility?"/>
  </r>
  <r>
    <n v="5"/>
    <x v="3"/>
    <n v="53"/>
    <x v="55"/>
    <x v="264"/>
    <s v="Is there documented evidence of a closure plan which includes staging of the facility from the current arrangement to closure which achieves the objective of clearly detailing how the facility should be developed over its life which can serve as a reference to future expansion projects?"/>
  </r>
  <r>
    <n v="5"/>
    <x v="3"/>
    <n v="53"/>
    <x v="55"/>
    <x v="265"/>
    <s v="Is there documented evidence that the closure plan is commensurate with the planned life-cycle of the facility as required by relevant standards and guidelines, including being supported by options assessments, structural design and required studies, which achieves the objective of facilitating progressive definition of the closure plan?"/>
  </r>
  <r>
    <n v="5"/>
    <x v="3"/>
    <n v="53"/>
    <x v="55"/>
    <x v="266"/>
    <s v="Is there documented evidence that the closure plan was reviewed by an independent third-party reviewer to achieve the objectives of producing a defensible closure plan studies and to meet the requirements of relevant standards and guidelines?"/>
  </r>
  <r>
    <n v="5"/>
    <x v="3"/>
    <n v="53"/>
    <x v="55"/>
    <x v="267"/>
    <e v="#N/A"/>
  </r>
  <r>
    <n v="5"/>
    <x v="3"/>
    <n v="53"/>
    <x v="55"/>
    <x v="268"/>
    <s v="Is there documentation detailing the roles and responsibilities of key personnel or positions who are involved in the closure process to achieve the objective of identifying and assigning accountabilities and responsibilities for all activities required for successful closure?"/>
  </r>
  <r>
    <n v="5"/>
    <x v="3"/>
    <n v="53"/>
    <x v="55"/>
    <x v="269"/>
    <s v="Is there documented evidence that the closure plan includes decommissioning and rehabilitation aspects for the facility to achieve the objective of the closure plan considering all pertinent aspects of closure?"/>
  </r>
  <r>
    <n v="5"/>
    <x v="3"/>
    <n v="53"/>
    <x v="55"/>
    <x v="270"/>
    <e v="#N/A"/>
  </r>
  <r>
    <n v="5"/>
    <x v="3"/>
    <n v="53"/>
    <x v="55"/>
    <x v="271"/>
    <s v="Is there documented evidence that the closure plan has been adequately reviewed and modified with material changes to the operational procedures of the facility or planned final design, to achieve the objective of the closure plan considering actual conditions as accurately as practicable?"/>
  </r>
  <r>
    <n v="5"/>
    <x v="3"/>
    <n v="53"/>
    <x v="55"/>
    <x v="272"/>
    <s v="Is there documented evidence that closure was considered in the design of the facility and documented in the Design Report to achieve the objective of each design stage appropriately including closure considerations and constraints at each stage of the facility's life?"/>
  </r>
  <r>
    <n v="6"/>
    <x v="5"/>
    <n v="54"/>
    <x v="56"/>
    <x v="273"/>
    <s v="Is there documented evidence that appropriate actions have been identified with plans for implementation to achieve a risk profile that meets the concept of ALARP to achieve the objective of reducing the risk profile of the facility as low as is reasonably practicable?"/>
  </r>
  <r>
    <n v="6"/>
    <x v="5"/>
    <n v="54"/>
    <x v="56"/>
    <x v="274"/>
    <s v="Is there documented evidence that the Accountable Executive has confirmed that the facility's risk profile satisfied the concept of ALARP and that all reasonable steps to reduce potential consequences were identified with plans for implementation, to achieve the objective of the owner accepting accountability for the risks presented by the facility and all plans to lower that risk?"/>
  </r>
  <r>
    <n v="6"/>
    <x v="5"/>
    <n v="54"/>
    <x v="56"/>
    <x v="275"/>
    <s v="Is there documented evidence that the results of all risk assessments and reviews were communicated to the Independent Technical Review Board or Senior Technical reviewer for review, to achieve the objectives of producing defensible risk assessments and risk mitigation actions and to meet the requirements of relevant standards and guidelines?"/>
  </r>
  <r>
    <n v="6"/>
    <x v="5"/>
    <n v="54"/>
    <x v="56"/>
    <x v="276"/>
    <s v="Is there documented evidence of a plan to address all identified unacceptable tailings facility risks with prioritisation of activities based on stated levels of urgency, to achieve the objective of demonstrating that a feasible and realistic risk mitigation plan is being enacted appropriately and within a reasonable timeframe? (Plans should include required scopes, resources and scheduling details)"/>
  </r>
  <r>
    <n v="6"/>
    <x v="5"/>
    <n v="54"/>
    <x v="56"/>
    <x v="277"/>
    <s v="Is there documented evidence that the plans to address all identified unacceptable risks are being actioned appropriately based on the stated urgencies and within the timeframes stipulated and agreed by all relevant stakeholders, to achieve the objective of reducing the risk profile of the facility within the parameters endorsed by the Accountable Executive?"/>
  </r>
  <r>
    <n v="7"/>
    <x v="2"/>
    <n v="57"/>
    <x v="8"/>
    <x v="278"/>
    <s v="Is there documented evidence that deviations from the Technical Specifications were identified and documented, to achieve the objective of documenting all pertinent construction activities and assessing and understanding the effect of any deviances to the risk profile of the facility?"/>
  </r>
  <r>
    <n v="7"/>
    <x v="2"/>
    <n v="57"/>
    <x v="8"/>
    <x v="279"/>
    <s v="Have the As-Constructed data from each construction project been collated and documented, to achieve the objective of adding to the facility knowledge base and adhering to the requirements of relevant standards and guidelines?"/>
  </r>
  <r>
    <n v="7"/>
    <x v="2"/>
    <n v="57"/>
    <x v="8"/>
    <x v="280"/>
    <s v="Have Construction Reports for each construction project been produced, to achieve the objective of adding to the facility knowledge base and adhering to the requirements of relevant standards and guidelines?"/>
  </r>
  <r>
    <n v="10"/>
    <x v="6"/>
    <n v="72"/>
    <x v="57"/>
    <x v="281"/>
    <s v="Is there documented evidence that regular inspections are being properly carried out at the required frequency to achieve the objective of identifying visual signs of maloperation or structural distress?"/>
  </r>
  <r>
    <n v="10"/>
    <x v="6"/>
    <n v="72"/>
    <x v="57"/>
    <x v="282"/>
    <s v="Is there documented evidence that annual inspections by qualified personnel are being appropriately and properly carried out, to achieve the objective of reviewing the performance, behaviour, management and operation of the facility?"/>
  </r>
  <r>
    <n v="10"/>
    <x v="6"/>
    <n v="72"/>
    <x v="57"/>
    <x v="283"/>
    <s v="Is there documented evidence that Comprehensive Reviews by qualified personnel are being appropriately and properly carried out, to achieve the objective of reviewing the performance, design intent, assumptions, inputs, design activities, estimated consequences of failure, management, governance and operation of the facility?"/>
  </r>
  <r>
    <n v="8"/>
    <x v="7"/>
    <n v="58"/>
    <x v="58"/>
    <x v="284"/>
    <s v="Is there documented evidence of the Board of Directors adopting and publishing a policy which achieves the  objective of stating a commitment to the safe management of storage facilities, emergency preparedness and response and to recovery after failure?"/>
  </r>
  <r>
    <n v="8"/>
    <x v="7"/>
    <n v="58"/>
    <x v="58"/>
    <x v="285"/>
    <s v="Is there documented evidence of a tailings governance framework being established to achieve the objective of effective management, oversight and accountability of storage facilities?"/>
  </r>
  <r>
    <n v="8"/>
    <x v="7"/>
    <n v="58"/>
    <x v="58"/>
    <x v="286"/>
    <s v="Is there documented evidence that an incentive program has been established for those fulfilling responsible personnel roles which achieves the objective of basing incentive payments or performance reviews (at least in part) on public safety and the integrity of the tailings facility? (refer to GISTM for further details)"/>
  </r>
  <r>
    <n v="8"/>
    <x v="7"/>
    <n v="58"/>
    <x v="58"/>
    <x v="287"/>
    <s v="Is there documented evidence that an Accountable Executive has been assigned to achieve the objective of appointing a person to be accountable for all facility management and governance activities and systems?"/>
  </r>
  <r>
    <n v="8"/>
    <x v="7"/>
    <n v="58"/>
    <x v="58"/>
    <x v="288"/>
    <s v="Is there documented evidence that the official appointment of the Accountable Executive included a description of the role and accountabilities to ensure that Accountable Executive is aware of their roles and responsibilities and to provide evidence that these  align with those in relevant standards and guidelines?"/>
  </r>
  <r>
    <n v="8"/>
    <x v="7"/>
    <n v="58"/>
    <x v="58"/>
    <x v="289"/>
    <s v="Is there documented evidence that the Accountable Executive has had scheduled communication with the Engineer of Record to achieve the objective of the Accountable Executive being informed of the  safety of the facility and other matters which they are accountable for?"/>
  </r>
  <r>
    <n v="8"/>
    <x v="7"/>
    <n v="59"/>
    <x v="59"/>
    <x v="290"/>
    <s v="Is there documented evidence that a suitably qualified Nominated Manager has been assigned for the facility to achieve the objective of appointing a person who is accountable for the facilities’ compliance with the D5 Standard?"/>
  </r>
  <r>
    <n v="8"/>
    <x v="7"/>
    <n v="59"/>
    <x v="59"/>
    <x v="291"/>
    <s v="Is there documented evidence that a suitably qualified Responsible Facility Engineer has been assigned for the facility to achieve the objective of appointing a person who is accountable for the integrity of the facility?"/>
  </r>
  <r>
    <n v="8"/>
    <x v="7"/>
    <n v="59"/>
    <x v="59"/>
    <x v="292"/>
    <s v="Was a list of responsible personnel (governance, management and operational personnel) available to achieve the objective of clearly documenting all people accountable, responsible or otherwise involved with responsible management of the facility?"/>
  </r>
  <r>
    <n v="8"/>
    <x v="7"/>
    <n v="59"/>
    <x v="59"/>
    <x v="293"/>
    <s v="Is there documented evidence that a suitable hierarchy of personnel has been developed and accepted to achieve the objective of detailing lines of reporting and chains of communication?"/>
  </r>
  <r>
    <n v="8"/>
    <x v="7"/>
    <n v="59"/>
    <x v="59"/>
    <x v="294"/>
    <s v="Is there documented evidence that the role descriptions, responsibilities and accountabilities for each responsible personnel role have been developed to achieve the objective of ensuring personnel are aware of their roles and responsibilities and to provide evidence that they align with those in relevant standards and guidelines?"/>
  </r>
  <r>
    <n v="8"/>
    <x v="7"/>
    <n v="59"/>
    <x v="59"/>
    <x v="295"/>
    <s v="Is there documented evidence that the activities for each responsible personnel role has been developed to achieve the objective of all personnel understanding what they must do to fulfil their responsibilities and accountabilities?"/>
  </r>
  <r>
    <n v="8"/>
    <x v="7"/>
    <n v="59"/>
    <x v="59"/>
    <x v="296"/>
    <s v="Does the documented list of responsible personnel achieve the objective of fulfilling the requirements of all relevant standards, guideline and regulatory requirements?"/>
  </r>
  <r>
    <n v="8"/>
    <x v="7"/>
    <n v="59"/>
    <x v="59"/>
    <x v="297"/>
    <s v="Is there documented evidence that suitably qualified and experienced members of an Independent Technical Review Board or Senior Independent Technical Reviewer was appointed for the facility with documented evidence of no conflicts of interest, to achieve the objective of appropriately establishing the ability to undertake independent reviews of all management, governance and design activities?"/>
  </r>
  <r>
    <n v="8"/>
    <x v="7"/>
    <n v="59"/>
    <x v="59"/>
    <x v="298"/>
    <s v="Is there documented evidence that the Independent Technical Review Board or Senior Independent Technical Reviewer reports directly to the Accountable Executive to achieve the objective of ensuring  suitable line of communication between the reviewers and the Accountable Executive as required by the GISTM?"/>
  </r>
  <r>
    <n v="8"/>
    <x v="7"/>
    <n v="59"/>
    <x v="59"/>
    <x v="299"/>
    <s v="Are the minimum required qualifications and experience for all responsible personnel documented to achieve the objective of setting minimum requirements that align with the requirements of relevant standards and guidelines?"/>
  </r>
  <r>
    <n v="8"/>
    <x v="7"/>
    <n v="59"/>
    <x v="59"/>
    <x v="300"/>
    <s v="Is there documented evidence that the personnel fulfilling the various Responsible Personnel roles meet the minimum qualification and experience requirements to achieve the objective of engaging appropriately qualified and experienced personnel to fulfil the responsible personnel roles?"/>
  </r>
  <r>
    <n v="8"/>
    <x v="7"/>
    <n v="60"/>
    <x v="60"/>
    <x v="301"/>
    <s v="Is there documented evidence that the Accountable Executive has had regular communication with the Board of Directors to achieve the objective of the Board being fully aware of the owner's compliance and other matters regarding relevant standards and guidelines?"/>
  </r>
  <r>
    <n v="8"/>
    <x v="7"/>
    <n v="61"/>
    <x v="61"/>
    <x v="302"/>
    <s v="Is there documented evidence that an appropriate Engineer of Record has been appointed for the facility (either in-house or external company with identified Senior Engineer) to achieve the objective of engaging a person with the necessary skills and experience that are commensurate with the potential consequences and complexities of the facility?"/>
  </r>
  <r>
    <n v="8"/>
    <x v="7"/>
    <n v="61"/>
    <x v="61"/>
    <x v="303"/>
    <s v="Is there documented evidence that an agreement has been produced which clearly describes the roles, responsibilities and accountabilities of the Engineer of Record to achieve the objective of making the Engineer of Record aware of the requirements of the role and to provide evidence that the role meets the requirements in the GISTM? "/>
  </r>
  <r>
    <n v="8"/>
    <x v="7"/>
    <n v="61"/>
    <x v="61"/>
    <x v="304"/>
    <s v="Is there documented evidence that an agreement has been produced which clearly describes the obligations of the Operator to the Engineer of Record to achieve the objective of the Operator formally stating they support the effective performance of the Engineer of Record?"/>
  </r>
  <r>
    <n v="8"/>
    <x v="7"/>
    <n v="61"/>
    <x v="61"/>
    <x v="305"/>
    <s v="Is there documented evidence that a program been implemented to manage the quality of all engineering work to achieve the objective that there is confirmation that both the implementation of the design and the design intent are met? "/>
  </r>
  <r>
    <n v="8"/>
    <x v="7"/>
    <n v="61"/>
    <x v="61"/>
    <x v="306"/>
    <s v="Is there documented evidence that a program has been implemented to manage the interactions between the Engineer of Record, the Responsible Facility Engineer and the Accountable Executive and their involvement in the tailings facility lifecycle achieve the objective that there is confirmation that both the implementation of designs and that the design intent are met?"/>
  </r>
  <r>
    <n v="8"/>
    <x v="7"/>
    <n v="61"/>
    <x v="61"/>
    <x v="307"/>
    <s v="Is there documented evidence that a process or procedure has been established to ensure that the selection of the Engineering of Record is decided by the Accountable Executive to achieve the objective that engagement of the Engineer of Record is done so by the person they are accountable to?"/>
  </r>
  <r>
    <n v="8"/>
    <x v="7"/>
    <n v="61"/>
    <x v="61"/>
    <x v="308"/>
    <s v="Is there documented evidence that the selection of the Engineer of Record was not decided by procurement personnel to achieve the objective that commercial pressures do not influence the engagement of the Engineer of Record?"/>
  </r>
  <r>
    <n v="8"/>
    <x v="7"/>
    <n v="61"/>
    <x v="61"/>
    <x v="309"/>
    <s v="Is there documented evidence that a succession plan been developed to facilitate the handover process of the Engineer of Record role to achieve the objective that the gap in knowledge is limited if handover of the role is required?"/>
  </r>
  <r>
    <n v="9"/>
    <x v="8"/>
    <n v="62"/>
    <x v="62"/>
    <x v="310"/>
    <s v="Is a Facility Management Plan available which achieves the objective of detailing all pertinent short-medium and long term considerations associated with managing the facility?"/>
  </r>
  <r>
    <n v="9"/>
    <x v="8"/>
    <n v="62"/>
    <x v="62"/>
    <x v="311"/>
    <s v="Is there documented evidence that the Facility Management Plan identified the risks, resources, schedules and capital allowances required for the life of the facility to achieve the objective of allowing appropriate planning for responsible management?"/>
  </r>
  <r>
    <n v="9"/>
    <x v="8"/>
    <n v="62"/>
    <x v="62"/>
    <x v="312"/>
    <s v="Is there documented evidence that the Facility Management Plan identified new and emerging technologies and approaches as opportunities to develop to achieve the objective of exploring opportunities to reduce the risks presented by the facility?"/>
  </r>
  <r>
    <n v="9"/>
    <x v="8"/>
    <n v="62"/>
    <x v="62"/>
    <x v="313"/>
    <s v="Is there documented evidence that the Facility Management Plan is being reviewed and updated as required, when material changes to the requirements of the facility occur, or at least annually to achieve the objective of incorporating all material changes to the facility's knowledge base?"/>
  </r>
  <r>
    <n v="9"/>
    <x v="8"/>
    <n v="62"/>
    <x v="62"/>
    <x v="314"/>
    <s v="Is there documented evidence that the D5 Tailings Management Plan meets the objective of containing all required content as required by the D5 Group Procedure?"/>
  </r>
  <r>
    <n v="9"/>
    <x v="8"/>
    <n v="63"/>
    <x v="63"/>
    <x v="315"/>
    <s v="Is a Facility data book available which achieves the objective of collating and detailing the basic information and all available drawings for the facility?"/>
  </r>
  <r>
    <n v="9"/>
    <x v="8"/>
    <n v="63"/>
    <x v="63"/>
    <x v="316"/>
    <e v="#N/A"/>
  </r>
  <r>
    <n v="9"/>
    <x v="8"/>
    <n v="64"/>
    <x v="64"/>
    <x v="317"/>
    <s v="Is there documented evidence of a Management of Change system with evidence that it is being updated to achieve the objective of the facility knowledge base reflecting current conditions as much as is practicable?"/>
  </r>
  <r>
    <n v="9"/>
    <x v="8"/>
    <n v="64"/>
    <x v="64"/>
    <x v="318"/>
    <s v="Is there documented evidence that the Management of Change system includes a statement of the risk introduced by all changes with approval from required personnel to achieve the objective of all material changes being appropriately recognised, assessed and accepted. "/>
  </r>
  <r>
    <n v="9"/>
    <x v="8"/>
    <n v="64"/>
    <x v="64"/>
    <x v="319"/>
    <s v="Is there evidence that Deviance Accountability Reports were produced by the Engineer of Record and approved by the Accountable Executive, which achieves the objective of providing an assessment of the cumulative impact of changes on the risk profile of the facility?"/>
  </r>
  <r>
    <n v="9"/>
    <x v="8"/>
    <n v="64"/>
    <x v="64"/>
    <x v="320"/>
    <s v="Is there documented evidence that the available Deviance Accountability Reports contains recommendations to achieve the objective of managing the facility's risks, including updates to the design, operation, management and surveillance of the facility?"/>
  </r>
  <r>
    <n v="9"/>
    <x v="8"/>
    <n v="65"/>
    <x v="65"/>
    <x v="321"/>
    <s v="Is there documented evidence that a performance based Tailings Management System been established, which achieves the objective of detailing the key components for management and design of the tailings facility? (See the GISTM for further details)"/>
  </r>
  <r>
    <n v="9"/>
    <x v="8"/>
    <n v="65"/>
    <x v="65"/>
    <x v="322"/>
    <s v="Is there documented evidence that the site's Environmental and Social Management System includes aspects and requirements related to tailings management to achieve the objective of management systems being in place for matters beyond facility safety?"/>
  </r>
  <r>
    <n v="9"/>
    <x v="8"/>
    <n v="65"/>
    <x v="65"/>
    <x v="323"/>
    <s v="Is there documented evidence that Tailings Management System has been reviewed at a minimum of every three years by a suitably qualified Senior Technical Reviewer, to achieve the objective of reviewing the system's effectiveness?"/>
  </r>
  <r>
    <n v="9"/>
    <x v="8"/>
    <n v="65"/>
    <x v="65"/>
    <x v="324"/>
    <s v="Is there documented evidence that the tailings related elements of a site's Environmental and Social Management System has been reviewed at a minimum of every three years by a suitably qualified Senior Technical Reviewer, to achieve the objective of reviewing the system's effectiveness?"/>
  </r>
  <r>
    <n v="9"/>
    <x v="8"/>
    <n v="65"/>
    <x v="65"/>
    <x v="325"/>
    <s v="Is there documented evidence that the findings of the management system reviews were reported to the Accountable Executive, Board of Directors and project affected people to achieve the objective of informing these stakeholders to the findings of the review and how it may impact them?"/>
  </r>
  <r>
    <n v="9"/>
    <x v="8"/>
    <n v="65"/>
    <x v="65"/>
    <x v="326"/>
    <s v="Is there documented evidence that internal audits were carried out to achieve the objective of verifying implementation of company procedures, guidelines and corporate governance requirements are consistent with tailings related management systems?"/>
  </r>
  <r>
    <n v="9"/>
    <x v="8"/>
    <n v="65"/>
    <x v="65"/>
    <x v="327"/>
    <s v="Is there documented evidence that actions were sufficiently defined to achieve the objective of allowing  deficiencies identified during internal audits of tailings related management systems to be addressed?"/>
  </r>
  <r>
    <n v="9"/>
    <x v="8"/>
    <n v="66"/>
    <x v="66"/>
    <x v="328"/>
    <s v="Is there documented evidence that the Engineer of Record or Senior Independent Technical Reviewer have completed reviews of the tailings facility's construction and performance to achieve the objective of confirming that the facility has been constructed or is being operated per the design intent and the risk profile of the facility has not materially changed?"/>
  </r>
  <r>
    <n v="9"/>
    <x v="8"/>
    <n v="66"/>
    <x v="66"/>
    <x v="329"/>
    <s v="Is there documented evidence that actions were sufficiently defined by the Engineer of Record or Senior Independent Technical Reviewer to achieve the objective of addressing deficiencies identified in the reviews of the tailings facility's construction and performance?"/>
  </r>
  <r>
    <n v="9"/>
    <x v="8"/>
    <n v="66"/>
    <x v="66"/>
    <x v="330"/>
    <s v="Is there documented evidence that independent Dam Safety Reviews were carried out for the facility at the frequencies required for the facility's consequence category to achieve the objective of meeting the requirements of relevant standards and guidelines?"/>
  </r>
  <r>
    <n v="9"/>
    <x v="8"/>
    <n v="66"/>
    <x v="66"/>
    <x v="331"/>
    <s v="Is there documented evidence that the independent Dam Safety Review achieved the objective of reviewing the technical, operational and governance aspects of the facility using the requirements of the GISTM?"/>
  </r>
  <r>
    <n v="9"/>
    <x v="8"/>
    <n v="66"/>
    <x v="66"/>
    <x v="332"/>
    <s v="Is there documented evidence that the selection process for reviewer/s undertaking independent Dam Safety Reviews achieved the objectives that the same reviewer/s did not undertake consecutive Dam Safety Reviews and that there was confirmation in writing of no conflicts of interest?"/>
  </r>
  <r>
    <n v="9"/>
    <x v="8"/>
    <n v="66"/>
    <x v="66"/>
    <x v="333"/>
    <s v="Is there documented evidence that the Independent Technical Review Board or Senior Independent Technical Reviewer has regularly reviewed and reported the status of the following to the Accountable Executive, to achieve the objective of providing regular reviews that the following have been undertaken using the principles of risk informed performance-based decision making: _x000a_-Planning_x000a_-Siting_x000a_-Design_x000a_-Construction_x000a_-Operation_x000a_-Water and mass balance _x000a_-Maintenance_x000a_-Monitoring_x000a_-Performance_x000a_-Risk management"/>
  </r>
  <r>
    <n v="9"/>
    <x v="8"/>
    <n v="66"/>
    <x v="66"/>
    <x v="334"/>
    <s v="Is there documented evidence that the frequency of the reviews required by the Independent Technical Review Board or Senior Independent Technical Reviewer for reporting to the Accountable Executive were defined and understood for each phase of the tailings facility lifecycle to achieve the objective that all reviews occur and are reported as required by relevant standards and guidelines?"/>
  </r>
  <r>
    <n v="9"/>
    <x v="8"/>
    <n v="66"/>
    <x v="66"/>
    <x v="335"/>
    <s v="Is there documented evidence that DMIRS operating audits have been conducted for the facility in line with regulatory requirements at least at the minimum frequency specified to achieve the objective of documenting ongoing compliance with regulations?"/>
  </r>
  <r>
    <n v="9"/>
    <x v="8"/>
    <n v="66"/>
    <x v="66"/>
    <x v="336"/>
    <s v="Is there documented evidence that the methods used to estimate closure and post-closure costs were appropriate considering the stage of the facility's life cycle to achieve the objective of the costs being as accurately understood as much as is practicable, given potential changes and unknowns with the future of the facility?"/>
  </r>
  <r>
    <n v="9"/>
    <x v="8"/>
    <n v="66"/>
    <x v="66"/>
    <x v="337"/>
    <s v="Is there documented evidence that the costs (including insurance) and resources that were estimated for the planned closure, early closure, reclamation and post-closure of the tailings facility and appurtenant structures were appropriately reviewed on an annual basis throughout the facility's life, to achieve the objective of the costs and resources being estimated using defensible methods?"/>
  </r>
  <r>
    <n v="9"/>
    <x v="8"/>
    <n v="66"/>
    <x v="66"/>
    <x v="338"/>
    <s v="Is there documented evidence that the closure and post-closure costs were publicly disclosed annually to achieve the objective of responsible management and transparency to relevant stakeholders? "/>
  </r>
  <r>
    <n v="9"/>
    <x v="8"/>
    <n v="66"/>
    <x v="66"/>
    <x v="339"/>
    <s v="Is there documented evidence that external parties have expressed interest in acquiring the operations in which the facility is located?"/>
  </r>
  <r>
    <n v="9"/>
    <x v="8"/>
    <n v="66"/>
    <x v="66"/>
    <x v="340"/>
    <s v="If yes, is there documented evidence that demonstrates efforts were made to achieve the objective of determining if the potential new owner was capable of maintaining the facility to the requirements stated in relevant standards and guidelines?"/>
  </r>
  <r>
    <n v="9"/>
    <x v="8"/>
    <n v="67"/>
    <x v="67"/>
    <x v="341"/>
    <s v="Is there documented evidence that costs (including insurance) and resources were estimated for the planned closure, early closure, reclamation and post-closure of the tailings facility and appurtenant structures to achieve the objective that these costs and required resources are understood by the owner?"/>
  </r>
  <r>
    <n v="9"/>
    <x v="8"/>
    <n v="68"/>
    <x v="68"/>
    <x v="342"/>
    <s v="Is there documented evidence that a process and sufficient resources are in place to achieve the objective of educating personnel on their role and responsibilities and how it relates to the risk level of the facility?"/>
  </r>
  <r>
    <n v="9"/>
    <x v="8"/>
    <n v="68"/>
    <x v="68"/>
    <x v="343"/>
    <s v="Is there documented evidence that a process and sufficient resources are in place to educate personnel to achieve the objective of all personnel being educated on the operating requirements of the facility and how it relates to the risk level of the facility?"/>
  </r>
  <r>
    <n v="9"/>
    <x v="8"/>
    <n v="68"/>
    <x v="68"/>
    <x v="344"/>
    <s v="Is there documented evidence that the education process includes certification which achieves the objective of certifying that personnel are adequately trained and educated based on a review of the personnel's understanding of their role and responsibilities and the operating requirements of the facility?"/>
  </r>
  <r>
    <n v="9"/>
    <x v="8"/>
    <n v="68"/>
    <x v="68"/>
    <x v="345"/>
    <s v="Is there documented evidence that the required training achieves the objective of being directly based on, and suitable for, the identified training and qualifications for responsible personnel?"/>
  </r>
  <r>
    <n v="9"/>
    <x v="8"/>
    <n v="68"/>
    <x v="68"/>
    <x v="346"/>
    <s v="Is there documented evidence, supported by verbal confirmation, that operation and management personnel achieve the objective of having a clear understanding of their roles and responsibilities and operating requirements of the facility?"/>
  </r>
  <r>
    <n v="9"/>
    <x v="8"/>
    <n v="68"/>
    <x v="68"/>
    <x v="347"/>
    <s v="Is there documented evidence that management and operations personnel have achieved the objective of completing the minimum training requirements?"/>
  </r>
  <r>
    <n v="10"/>
    <x v="6"/>
    <n v="69"/>
    <x v="69"/>
    <x v="348"/>
    <s v="Is an Operation and Maintenance Manual for the facility available, to achieve the objective of providing direction and guidance to management and operational personnel on how to manage and operate the facility in accordance with the design intent?"/>
  </r>
  <r>
    <n v="10"/>
    <x v="6"/>
    <n v="69"/>
    <x v="69"/>
    <x v="349"/>
    <s v="Does the Operation and Maintenance Manual include a statement which achieves the objective of clearly stating the required frequency of reviews and updates for the Manual ,with documented evidence that this frequency has been adhered to?"/>
  </r>
  <r>
    <n v="10"/>
    <x v="6"/>
    <n v="69"/>
    <x v="69"/>
    <x v="350"/>
    <s v="Does the Operation and Maintenance Manual achieve the objective of documenting the information about the facility that is required by relevant standards and guidelines?"/>
  </r>
  <r>
    <n v="10"/>
    <x v="6"/>
    <n v="69"/>
    <x v="69"/>
    <x v="351"/>
    <s v="Does the OMM contain information that achieves the objective of stating the operation and management personnel and roles that are required by relevant standards and guidelines?"/>
  </r>
  <r>
    <n v="10"/>
    <x v="6"/>
    <n v="69"/>
    <x v="69"/>
    <x v="352"/>
    <s v="Does the OMM contain all the operational procedures which achieves the objective of detailing how to operate the facility in alignment with the documented operational philosophy of the facility, relevant standards and guidelines?"/>
  </r>
  <r>
    <n v="10"/>
    <x v="6"/>
    <n v="69"/>
    <x v="69"/>
    <x v="353"/>
    <s v="Does the OMM contain all the maintenance actions and procedures which achieves the objectives of detailing how to maintain the facility in alignment with the documented operational philosophy of the facility, relevant standards and guidelines?"/>
  </r>
  <r>
    <n v="10"/>
    <x v="6"/>
    <n v="69"/>
    <x v="69"/>
    <x v="354"/>
    <s v="Did the OMM contain all the surveillance and monitoring actions and procedures which achieves the objective of detailing how to inspect and monitor the facility in alignment with the documented operational philosophy of the facility relevant standards and guidelines?"/>
  </r>
  <r>
    <n v="10"/>
    <x v="6"/>
    <n v="69"/>
    <x v="69"/>
    <x v="355"/>
    <s v="Does the OMM state the frequency of surveillance and monitoring actions, with the stated frequencies achieving the objective of meeting the minimum surveillance and monitoring frequencies required by relevant standards and guidelines?"/>
  </r>
  <r>
    <n v="10"/>
    <x v="6"/>
    <n v="69"/>
    <x v="69"/>
    <x v="356"/>
    <s v="Is a Trigger Action Response Plan available that achieves the objective of clearly stating triggers related to various visual and monitoring instrument indications and response actions in a tiered approach that would allow appropriate actions to be undertaken to mitigate the likelihood and/or consequence of failure if adhered to? _x000a_"/>
  </r>
  <r>
    <n v="10"/>
    <x v="6"/>
    <n v="69"/>
    <x v="69"/>
    <x v="357"/>
    <s v="Is there documented evidence that the triggers and trigger levels stated in the Trigger Action Response Plan achieve the objective of being based on identified failure modes and the results of appropriate analyses for the facility? (e.g. stability, seepage and deformation assessment)"/>
  </r>
  <r>
    <n v="10"/>
    <x v="6"/>
    <n v="69"/>
    <x v="69"/>
    <x v="358"/>
    <s v="Does the OMM contain sufficient discussion, information and instruction which achieves the objective of detailing actions required to be undertaken by operational staff in the event of emerging deleterious conditions, or failure scenarios (i.e. Emergency Action Plans)?"/>
  </r>
  <r>
    <n v="10"/>
    <x v="6"/>
    <n v="69"/>
    <x v="69"/>
    <x v="359"/>
    <s v="Is supporting information referenced in the OMM attached as appendices which achieve the objective of providing further detailed instructions or information? (e.g. pump instructions, VWP calibration certificates, etc.)"/>
  </r>
  <r>
    <n v="10"/>
    <x v="6"/>
    <n v="69"/>
    <x v="69"/>
    <x v="360"/>
    <e v="#N/A"/>
  </r>
  <r>
    <n v="10"/>
    <x v="6"/>
    <n v="70"/>
    <x v="70"/>
    <x v="361"/>
    <s v="Is there documented evidence of a deposition plan that is referred to by operations and management personnel which achieves the objective of providing guidance of the location and duration that tailings should be deposited from into the storage? "/>
  </r>
  <r>
    <n v="10"/>
    <x v="6"/>
    <n v="70"/>
    <x v="70"/>
    <x v="362"/>
    <s v="Is there documented evidence that the deposition plan was informed by the deposition modelling carried out as part of the design for the facility to achieve the objective of the operations of the facility adhering to the facility's design intent?"/>
  </r>
  <r>
    <n v="10"/>
    <x v="6"/>
    <n v="70"/>
    <x v="70"/>
    <x v="363"/>
    <s v="Is there documented evidence that the deposition plan has been reviewed at frequent intervals, to achieve the objective of ongoing operations matching the design intent of the facility while considering the actual tailings beach conditions, supernatant water volume and other pertinent factors?"/>
  </r>
  <r>
    <n v="10"/>
    <x v="6"/>
    <n v="70"/>
    <x v="70"/>
    <x v="364"/>
    <s v="Is there documented evidence that the deposition plan is the topic of two-way communications between the responsible tailings facility engineer and operations staff to achieve the objective of onsite operations matching what the deposition plan indicates should be occurring? (e.g. daily communication to tell operators how deposition should occur, with feedback from operators regarding if the plan is achieving the intent)"/>
  </r>
  <r>
    <n v="10"/>
    <x v="6"/>
    <n v="71"/>
    <x v="71"/>
    <x v="365"/>
    <s v="Is there documented evidence that the objective of operational performance measures in the OMM (e.g. key performance indicators) being met is being achieved?"/>
  </r>
  <r>
    <n v="10"/>
    <x v="6"/>
    <n v="71"/>
    <x v="71"/>
    <x v="366"/>
    <s v="Is there documented evidence that the objective of addressing required operation and maintenance actions within nominated time frames are being met?"/>
  </r>
  <r>
    <n v="10"/>
    <x v="6"/>
    <n v="72"/>
    <x v="57"/>
    <x v="367"/>
    <s v="Is there documented evidence that maintenance on the facility is being carried out when actions are identified in a timely manner to achieve the objective of addressing hazards to the integrity of the facility as soon as practicable?"/>
  </r>
  <r>
    <n v="10"/>
    <x v="6"/>
    <n v="73"/>
    <x v="72"/>
    <x v="368"/>
    <s v="Is there documented evidence that pore pressure measuring devices (standpipes, VWPs) have been installed in the confining structure, to achieve the objective of monitoring pore pressures within the embankment with sufficient accuracy and frequency considering the context of the facility?"/>
  </r>
  <r>
    <n v="10"/>
    <x v="6"/>
    <n v="73"/>
    <x v="72"/>
    <x v="369"/>
    <s v="Is there documented evidence that pore pressure measuring devices (standpipes, VWPs) have been installed in the foundations of the confining structure, to achieve the objective of monitoring pore pressures with within the foundation zones with sufficient accuracy and frequency considering the contact of the facility?"/>
  </r>
  <r>
    <n v="10"/>
    <x v="6"/>
    <n v="73"/>
    <x v="72"/>
    <x v="370"/>
    <s v="Is there documented evidence that the location and amount of piezometers within the confining structure is suitable, to achieve the objective of providing a clear indication of the pore pressures within various zones and locations in the embankment, considering cross-section variability of the facility?"/>
  </r>
  <r>
    <n v="10"/>
    <x v="6"/>
    <n v="73"/>
    <x v="72"/>
    <x v="371"/>
    <s v="Is there documented evidence that storage elevation instruments been installed for the facility, to achieve the objective of being able to monitor storage elevations with sufficient accuracy and frequency considering the context of the facility?"/>
  </r>
  <r>
    <n v="10"/>
    <x v="6"/>
    <n v="73"/>
    <x v="72"/>
    <x v="372"/>
    <s v="Is there documented evidence that a method to record rainfall at the facility is available, to achieve the objective of measuring representative rainfall with sufficient accuracy and frequency considering the context of the facility?"/>
  </r>
  <r>
    <n v="10"/>
    <x v="6"/>
    <n v="73"/>
    <x v="72"/>
    <x v="373"/>
    <s v="Is there documented evidence that the location and amount of piezometers in the foundation is suitable, to achieve the objective of providing a clear indication of the pore pressures within various zones and locations in the foundation of confining structures, considering cross-section variability of the facility?"/>
  </r>
  <r>
    <n v="10"/>
    <x v="6"/>
    <n v="73"/>
    <x v="72"/>
    <x v="374"/>
    <s v="Is there documented evidence that a suitable method has been employed to record surface movements of confining structures and the surrounding areas, to achieve the objective of monitoring and recording sufficiently accurate and frequent representative surface movements of the entire structure considering the context of the facility?"/>
  </r>
  <r>
    <n v="10"/>
    <x v="6"/>
    <n v="73"/>
    <x v="72"/>
    <x v="375"/>
    <s v="Is there documented evidence that a suitable method has been employed to record internal movements of confining structures, to achieve the objective of monitoring and recording sufficiently accurate and frequent representative internal movements of the entire structure considering the context of the facility?"/>
  </r>
  <r>
    <n v="10"/>
    <x v="6"/>
    <n v="73"/>
    <x v="72"/>
    <x v="376"/>
    <s v="Is there documented evidence that seepage monitoring points have been designed and arranged for the facility, to achieve the objective of capturing sufficiently accurate and frequent representative seepage considering the context of the facility?"/>
  </r>
  <r>
    <n v="10"/>
    <x v="6"/>
    <n v="75"/>
    <x v="73"/>
    <x v="377"/>
    <s v="Is there documented evidence that foundation pore pressure data was collected and reviewed appropriately and at the minimum required frequencies to achieve the objective of determining if the pore pressures are in line with the expected performance of the structure?"/>
  </r>
  <r>
    <n v="10"/>
    <x v="6"/>
    <n v="75"/>
    <x v="73"/>
    <x v="378"/>
    <s v="Does the foundation pore pressure data indicate high pressures, or trends which could indicate deleterious conditions?"/>
  </r>
  <r>
    <n v="10"/>
    <x v="6"/>
    <n v="75"/>
    <x v="73"/>
    <x v="379"/>
    <s v="Does the foundation piezometer pore pressure data indicate that pore pressures have exceeded set trigger levels since it was last reviewed?"/>
  </r>
  <r>
    <n v="10"/>
    <x v="6"/>
    <n v="74"/>
    <x v="74"/>
    <x v="380"/>
    <s v="Is there documented evidence and data indicating that storage freeboard elevations have been exceeded, since it was reviewed?"/>
  </r>
  <r>
    <n v="10"/>
    <x v="6"/>
    <n v="76"/>
    <x v="75"/>
    <x v="381"/>
    <s v="Is there documented evidence that embankment pore pressure data was collected and reviewed appropriately and at the minimum required frequencies to achieve the objective of determining if the pore pressures are in line with the expected performance of the structure?"/>
  </r>
  <r>
    <n v="10"/>
    <x v="6"/>
    <n v="76"/>
    <x v="75"/>
    <x v="382"/>
    <s v="Does the embankment pore pressure data indicate high pressures, or trends which could indicate deleterious conditions?"/>
  </r>
  <r>
    <n v="10"/>
    <x v="6"/>
    <n v="76"/>
    <x v="75"/>
    <x v="383"/>
    <s v="Does the embankment piezometer pore pressure data indicate that pore pressures have exceeded set trigger levels since it was last reviewed?"/>
  </r>
  <r>
    <n v="10"/>
    <x v="6"/>
    <n v="77"/>
    <x v="76"/>
    <x v="384"/>
    <s v="Is there documented evidence that surface movement data was collected and reviewed appropriately and at the minimum required frequencies to achieve the objective determining if the movements are in line with the expected performance of the structure?"/>
  </r>
  <r>
    <n v="10"/>
    <x v="6"/>
    <n v="77"/>
    <x v="76"/>
    <x v="385"/>
    <s v="Does the surface movement data record show surface deformations or deformation trends that could indicate deleterious conditions since it was last reviewed?"/>
  </r>
  <r>
    <n v="10"/>
    <x v="6"/>
    <n v="77"/>
    <x v="76"/>
    <x v="386"/>
    <s v="Does the surface movement data indicate that movements have exceeded set trigger levels since they were last reviewed?"/>
  </r>
  <r>
    <n v="10"/>
    <x v="6"/>
    <n v="78"/>
    <x v="77"/>
    <x v="387"/>
    <s v="Is there documented evidence that internal movement data was collected and reviewed appropriately and at the minimum required frequencies to achieve the objective determining if the movements are in line with the expected performance of the structure?"/>
  </r>
  <r>
    <n v="10"/>
    <x v="6"/>
    <n v="78"/>
    <x v="77"/>
    <x v="388"/>
    <s v="Does the internal movement data show internal deformations or trends that could indicate deleterious conditions since they were last reviewed?"/>
  </r>
  <r>
    <n v="10"/>
    <x v="6"/>
    <n v="78"/>
    <x v="77"/>
    <x v="389"/>
    <s v="Does the internal movement data indicate that movements have exceeded set trigger levels since it was last reviewed?"/>
  </r>
  <r>
    <n v="10"/>
    <x v="6"/>
    <n v="79"/>
    <x v="78"/>
    <x v="390"/>
    <s v="Is there documented evidence that seepage data was collected and reviewed appropriately and at the minimum required frequencies to achieve the objective determining if the seepage volumes and rates are in line with the expected performance of the structure?"/>
  </r>
  <r>
    <n v="10"/>
    <x v="6"/>
    <n v="79"/>
    <x v="78"/>
    <x v="391"/>
    <s v="Does the seepage data show seepage rates or seepage trends that could indicate deleterious conditions since they were last reviewed?"/>
  </r>
  <r>
    <n v="10"/>
    <x v="6"/>
    <n v="79"/>
    <x v="78"/>
    <x v="392"/>
    <s v="Does the seepage data indicate that seepage rates have exceeded set trigger levels since it was last reviewed?"/>
  </r>
  <r>
    <n v="10"/>
    <x v="6"/>
    <n v="80"/>
    <x v="79"/>
    <x v="393"/>
    <s v="Does collected data and observations indicate that zones which analyses and modelling indicated should be unsaturated are indeed saturated?"/>
  </r>
  <r>
    <n v="10"/>
    <x v="6"/>
    <n v="80"/>
    <x v="79"/>
    <x v="394"/>
    <s v="Does collected data and observations indicate that potentially liquefiable zones are saturated?"/>
  </r>
  <r>
    <n v="10"/>
    <x v="6"/>
    <n v="81"/>
    <x v="80"/>
    <x v="395"/>
    <s v="Is there documented evidence of any slips or large movements of the embankment noted in the past?"/>
  </r>
  <r>
    <n v="10"/>
    <x v="6"/>
    <n v="81"/>
    <x v="80"/>
    <x v="396"/>
    <s v="Is there documented evidence of seepage through the embankment?"/>
  </r>
  <r>
    <n v="10"/>
    <x v="6"/>
    <n v="81"/>
    <x v="80"/>
    <x v="397"/>
    <s v="Is there documented evidence of seepage through the foundation?"/>
  </r>
  <r>
    <n v="5"/>
    <x v="3"/>
    <n v="38"/>
    <x v="38"/>
    <x v="398"/>
    <s v="Is there documented evidence that piping failure modes were assessed using current engineering practice and the design was developed with the objective of reducing the likelihood of piping?"/>
  </r>
  <r>
    <n v="5"/>
    <x v="3"/>
    <n v="38"/>
    <x v="38"/>
    <x v="399"/>
    <m/>
  </r>
  <r>
    <n v="5"/>
    <x v="3"/>
    <n v="38"/>
    <x v="38"/>
    <x v="400"/>
    <m/>
  </r>
  <r>
    <n v="10"/>
    <x v="6"/>
    <n v="81"/>
    <x v="80"/>
    <x v="401"/>
    <s v="Is there documented evidence of the decant pond exceeding recommended size limits?"/>
  </r>
  <r>
    <n v="10"/>
    <x v="6"/>
    <n v="81"/>
    <x v="80"/>
    <x v="402"/>
    <s v="Is there documented evidence of a piping event in the past?"/>
  </r>
  <r>
    <n v="10"/>
    <x v="6"/>
    <n v="81"/>
    <x v="80"/>
    <x v="403"/>
    <s v="Is there documented evidence that the underdrainage has been functioning as intended?"/>
  </r>
  <r>
    <n v="11"/>
    <x v="9"/>
    <n v="82"/>
    <x v="81"/>
    <x v="404"/>
    <s v="Is there documented evidence that the Engineer of Record has been informed of monitoring and surveillance data reviews (specifically the status of triggers being exceeded) to achieve the objective of Engineer of Record being informed of the performance of the facility? "/>
  </r>
  <r>
    <n v="11"/>
    <x v="9"/>
    <n v="82"/>
    <x v="81"/>
    <x v="405"/>
    <s v="Is the documented evidence that in the instance of monitoring and surveillance triggers being exceeded the Engineer of Record has provided prompt action to achieve the objective of further identifying or mitigating the potential resulting increase in risk presented by the facility?"/>
  </r>
  <r>
    <n v="11"/>
    <x v="9"/>
    <n v="82"/>
    <x v="81"/>
    <x v="406"/>
    <s v="Is there documented evidence of recommended actions and responses being undertaken in the event of triggers being exceeded to achieve the objective of the reducing or eliminating the indicated increased risk of failure?"/>
  </r>
  <r>
    <n v="11"/>
    <x v="9"/>
    <n v="82"/>
    <x v="81"/>
    <x v="407"/>
    <s v="Is there documented evidence that a monitoring program report is produced at least annually to achieve the objective of documenting and detailing the instrumentation and monitoring program and results? "/>
  </r>
  <r>
    <n v="11"/>
    <x v="9"/>
    <n v="82"/>
    <x v="81"/>
    <x v="408"/>
    <s v="Is there documented evidence that the monitoring program reports were reviewed and approved by the Responsible Facility Engineer or Engineer of Record to achieve the objective of a suitably qualified and experienced person reviewing the performance of the facility?"/>
  </r>
  <r>
    <n v="12"/>
    <x v="10"/>
    <n v="83"/>
    <x v="82"/>
    <x v="409"/>
    <s v="Is the operation of the facility subject to licence and/or operating conditions?"/>
  </r>
  <r>
    <n v="12"/>
    <x v="10"/>
    <n v="83"/>
    <x v="82"/>
    <x v="410"/>
    <s v="Are relevant clauses/requirements in the licence and/or operating conditions available or documented in operating or management documents to achieve the objective of all pertinent operating requirements being clearly documented for operation and management personnel?"/>
  </r>
  <r>
    <n v="12"/>
    <x v="10"/>
    <n v="83"/>
    <x v="82"/>
    <x v="411"/>
    <s v="Is there documented evidence of operating procedures or requirements related to the facility's licencing and/or operating requirements to achieve the objective of demonstrating that the licence and/or operating conditions are being adhered to?"/>
  </r>
  <r>
    <n v="12"/>
    <x v="10"/>
    <n v="84"/>
    <x v="83"/>
    <x v="412"/>
    <s v="Is there documented evidence that environmental quality monitoring devices have been installed to achieve the objective of appropriately recording required environmental monitoring data related to the facility?"/>
  </r>
  <r>
    <n v="12"/>
    <x v="10"/>
    <n v="84"/>
    <x v="83"/>
    <x v="413"/>
    <s v="Is there documented evidence that the amount of environmental quality monitoring devices, their location and the data they capture achieves the objective of providing a clear indication of whether the facilities' operation is compliant with current permits, regulations and site licence conditions?"/>
  </r>
  <r>
    <n v="12"/>
    <x v="10"/>
    <n v="84"/>
    <x v="83"/>
    <x v="414"/>
    <s v="Is there documented evidence that environmental quality monitoring data was collected and reviewed appropriately and at the minimum required frequencies to achieve the objective determining if the environmental impacts of the facility are in line stipulated requirements?"/>
  </r>
  <r>
    <n v="12"/>
    <x v="10"/>
    <n v="84"/>
    <x v="83"/>
    <x v="415"/>
    <s v="Does the environmental monitoring data indicate that licence and operating condition environmental limits have been exceeded since it was last reviewed?"/>
  </r>
  <r>
    <n v="13"/>
    <x v="11"/>
    <n v="85"/>
    <x v="84"/>
    <x v="416"/>
    <s v="Is a Dam Safety Emergency Plan/ Emergency Response Plan document available which details the actions to be undertaken by the owner's management and responsible personnel and emergency services in the event of an emergency to achieve the objective of mitigating the consequences of failure? (e.g. evacuation actions, location of muster points, emergency coordination, etc.)"/>
  </r>
  <r>
    <n v="13"/>
    <x v="11"/>
    <n v="85"/>
    <x v="84"/>
    <x v="417"/>
    <s v="Does the Dam Safety Emergency Plan/ Emergency Response Plan include an up-to-date list of all relevant contacts of responsible personnel in the event of a dam safety emergency, as well as contacts for local emergency authorities and local and State governments as required by the escalation procedures which achieved the objective of providing a clear method and means to contact the relevant parties in an emergency?"/>
  </r>
  <r>
    <n v="13"/>
    <x v="11"/>
    <n v="85"/>
    <x v="84"/>
    <x v="418"/>
    <s v="Is there documented evidence that the content of the Dam Safety Emergency Plan/ Emergency Response Plan document was based on site and facility specific conditions, including potential failure modes and dam break assessments to achieve the objective of the indicated impacted areas being as accurate as practicable?"/>
  </r>
  <r>
    <n v="13"/>
    <x v="11"/>
    <n v="85"/>
    <x v="84"/>
    <x v="419"/>
    <s v="Is there documented evidence that the Dam Safety Emergency Plan/ Emergency Response Plan document was reviewed and revised for technical, operational and contextual currency at the required frequency or more frequently if required to achieve the objective of the document being as correct and accurate as practicable?"/>
  </r>
  <r>
    <n v="13"/>
    <x v="11"/>
    <n v="85"/>
    <x v="84"/>
    <x v="420"/>
    <s v="Is there documented evidence that relevant personnel and stakeholders were engaged during the production, review and updates of the Dam Safety Emergency Plan/ Emergency Response Plan to achieve the objective of the document being reflecting all pertinent aspects required for emergency planning and response?"/>
  </r>
  <r>
    <n v="13"/>
    <x v="11"/>
    <n v="85"/>
    <x v="84"/>
    <x v="421"/>
    <s v="Is there documented evidence that trials of the Dam Safety Emergency Plan/ Emergency Response Plan, including personnel's understanding and access to required plant and equipment, were undertaken at the required trial frequency to achieve the objective of ensuring all relevant parties are aware of the details in the plan and to identify if improvements to the plan can be made?"/>
  </r>
  <r>
    <n v="13"/>
    <x v="11"/>
    <n v="85"/>
    <x v="84"/>
    <x v="422"/>
    <s v="Is there content in the Dam Safety Emergency Plan/ Emergency Response Plan related to community-focussed emergency preparedness measures of project affected people, with documented evidence that downstream communities were engaged during production of the Dam Safety Emergency Plan/Emergency Response Plan to achieve the objective of affected populations being made aware of how the plan affects/incorporates them?"/>
  </r>
  <r>
    <n v="13"/>
    <x v="11"/>
    <n v="85"/>
    <x v="84"/>
    <x v="423"/>
    <s v="Is there documented evidence that public sector agencies, first responders, local authorities and institutions were engaged to achieve the objective of assessing the capability of the these third-parties to enact the required actions as detailed in the Dam Safety Emergency Plan/ Emergency Response Plan?"/>
  </r>
  <r>
    <n v="13"/>
    <x v="11"/>
    <n v="85"/>
    <x v="84"/>
    <x v="424"/>
    <s v="Is there documented evidence that any deficiencies of the organisation and other third-parties to enact the required actions in the Dam Safety Emergency Plan/ Emergency Response Plan were identified, with required scopes to address these deficiencies to achieve the objective of all parties being operationally ready?"/>
  </r>
  <r>
    <n v="13"/>
    <x v="11"/>
    <n v="85"/>
    <x v="84"/>
    <x v="425"/>
    <s v="Is there documented evidence that annual training and exercises are being carried out to achieve the objective of supporting a state of readiness in the event of an emergency?"/>
  </r>
  <r>
    <n v="13"/>
    <x v="11"/>
    <n v="85"/>
    <x v="84"/>
    <x v="426"/>
    <s v="Is there documented evidence that resources required in the event of an emergency have been secured or that there are plans to secure them to achieve the objective of supporting a state of readiness?"/>
  </r>
  <r>
    <n v="13"/>
    <x v="11"/>
    <n v="85"/>
    <x v="84"/>
    <x v="427"/>
    <s v="Is there documented evidence of emergency response simulations being carried out at the required frequency stated in the Dam Safety Emergency Plan/ Emergency Response Plan and at least every three years to achieve the objective of supporting a state of readiness?"/>
  </r>
  <r>
    <n v="13"/>
    <x v="11"/>
    <n v="85"/>
    <x v="84"/>
    <x v="428"/>
    <s v="Is there documented evidence that the resources required to provide immediate response to save lives, supply humanitarian aid and minimise environmental harm are understood, with a documented commitment to supply these resources in the event of an emergency to achieve the objective of supporting effective emergency recovery?"/>
  </r>
  <r>
    <n v="13"/>
    <x v="11"/>
    <n v="86"/>
    <x v="85"/>
    <x v="429"/>
    <s v="Is there documented evidence that public sector agencies and other organisations that would participate in medium and long-term social and environmental post-failure response strategies were meaningfully engaged to achieve the objective of informing these parties on the estimated potential consequences of failure?"/>
  </r>
  <r>
    <n v="13"/>
    <x v="11"/>
    <n v="86"/>
    <x v="85"/>
    <x v="430"/>
    <s v="As an outcome of as a result of engagement with public sector agencies and other organisations, is there documented evidence that the objective of detailing actions, plans and required resources required to assist medium and long-term social and environmental post-failure response strategies, including plans to develop and implement reconstruction, restoration and recovery plans was achieved?"/>
  </r>
  <r>
    <n v="13"/>
    <x v="11"/>
    <n v="86"/>
    <x v="85"/>
    <x v="431"/>
    <s v="As an outcome of as a result of engagement with public sector agencies and other organisations, is there documented evidence that a commitment was made to achieve the objectives of developing and implementing medium and long-term reconstruction, restoration and recovery plans and define of post-failure outcomes and thresholds in the event of a facility failure, as well as to include participation of affected people?"/>
  </r>
  <r>
    <n v="13"/>
    <x v="11"/>
    <n v="86"/>
    <x v="85"/>
    <x v="432"/>
    <s v="Is there documented evidence of plans that achieve the objective of assessing social, environmental and local economic impacts after people are safe and short-term survival needs are met in the event of facility failure?"/>
  </r>
  <r>
    <n v="13"/>
    <x v="11"/>
    <n v="86"/>
    <x v="85"/>
    <x v="433"/>
    <s v="Is there a documented evidence that the objective of appropriately identifying and understanding the resources required for potential monitoring and public reporting of post-failure outcomes in the event of a facility failure has been achieved?"/>
  </r>
  <r>
    <n v="14"/>
    <x v="12"/>
    <n v="87"/>
    <x v="86"/>
    <x v="434"/>
    <s v="Is there documented evidence that processes and mechanisms are place to document and incorporate personnel's experience-based knowledge into planning, design and operations for all phases of the facility's life cycle to achieve the objective of incorporating all pertinent information into the facility's knowledge base?"/>
  </r>
  <r>
    <n v="14"/>
    <x v="12"/>
    <n v="87"/>
    <x v="86"/>
    <x v="435"/>
    <s v="Is there documented evidence that personnel's experience-based knowledge was incorporated into planning, design and operation activities to achieve the objective of incorporating all pertinent information into the facility's knowledge base?"/>
  </r>
  <r>
    <n v="14"/>
    <x v="12"/>
    <n v="88"/>
    <x v="87"/>
    <x v="436"/>
    <s v="Is there documented evidence that mechanisms are in place to promote cross-functional collaboration within the organisation to achieve the objective of effective data and knowledge sharing, communication and implementation of management measures?"/>
  </r>
  <r>
    <n v="14"/>
    <x v="12"/>
    <n v="88"/>
    <x v="87"/>
    <x v="437"/>
    <s v="Is there documented evidence that mechanisms are in place to report internal and relevant external incidents and associated investigations and learnings to achieve the objective of effective incorporating all lessons-learned information into the facility's knowledge base?"/>
  </r>
  <r>
    <n v="14"/>
    <x v="12"/>
    <n v="89"/>
    <x v="88"/>
    <x v="438"/>
    <s v="Is there documented evidence that mechanisms are in place to implement learnings from incidents to achieve the objective of incorporating all lessons-learned into the facility's knowledge base?"/>
  </r>
  <r>
    <n v="14"/>
    <x v="12"/>
    <n v="89"/>
    <x v="88"/>
    <x v="439"/>
    <s v="Is there documented evidence that mechanisms in place to recognise, reward and protect personnel who report problems or identify opportunities to achieve the objective of encouraging personnel to assist with improvements tailings facility management?"/>
  </r>
  <r>
    <n v="14"/>
    <x v="12"/>
    <n v="89"/>
    <x v="88"/>
    <x v="440"/>
    <s v="Is there documented evidence that mechanisms and resources in place to investigate reported problems or identified opportunities to achieve the objective of understand root causes of incidents or problems to improve tailings facility management?"/>
  </r>
  <r>
    <n v="14"/>
    <x v="12"/>
    <n v="89"/>
    <x v="88"/>
    <x v="441"/>
    <s v="Is there documented evidence that mechanisms and resources are in place to implement and communicate outcomes from investigations into reported problems or identified opportunities to achieve the objective of incorporating lessons-learned into tailings facility management improvements?"/>
  </r>
  <r>
    <n v="15"/>
    <x v="13"/>
    <n v="90"/>
    <x v="89"/>
    <x v="442"/>
    <s v="Is there documented evidence, supported by verbal confirmation, of implemented procedures which achieve the objective of securing the facility site against access from unauthorised people?"/>
  </r>
  <r>
    <n v="15"/>
    <x v="13"/>
    <n v="90"/>
    <x v="89"/>
    <x v="443"/>
    <s v="Are all physical mechanisms for securing the site against unauthorised personnel, as specified within documented procedures, present on the site?"/>
  </r>
  <r>
    <n v="15"/>
    <x v="13"/>
    <n v="91"/>
    <x v="90"/>
    <x v="444"/>
    <s v="Is there documented evidence that adequate life saving equipment has been provided at locations along the facility where there is deep water, including maintenance plans for this equipment, to achieve the objective of limiting the likelihood of personnel drowning at the facility?"/>
  </r>
  <r>
    <n v="15"/>
    <x v="13"/>
    <n v="91"/>
    <x v="90"/>
    <x v="445"/>
    <s v="Are all life saving equipment that are stated to be present in available documentation for deep water hazards present at the facility with evidence that they are being maintained appropriately and in-line with the maintenance plan to achieve the objective of limiting the likelihood of personnel drowning at the facility?"/>
  </r>
  <r>
    <n v="15"/>
    <x v="13"/>
    <n v="92"/>
    <x v="91"/>
    <x v="446"/>
    <s v="Is there documented evidence of due diligence studies that achieve the objective of identifying the potential impact on human rights as a result of the storage facility been appropriately and adequately carried out?"/>
  </r>
  <r>
    <n v="15"/>
    <x v="13"/>
    <n v="92"/>
    <x v="91"/>
    <x v="447"/>
    <s v="Is there documented evidence that actions have been identified that achieve the objective of mitigating the likelihood or consequence of potential impacts to human rights as a result of the storage facility, along with a plan for implementation?"/>
  </r>
  <r>
    <n v="15"/>
    <x v="13"/>
    <n v="92"/>
    <x v="91"/>
    <x v="448"/>
    <s v="For the new storage facilities, is there documented evidence that the objective of obtaining and maintaining Free Prior and Informed Consent has been achieved?"/>
  </r>
  <r>
    <n v="15"/>
    <x v="13"/>
    <n v="92"/>
    <x v="91"/>
    <x v="449"/>
    <s v="Is there documented evidence that the objective of engaging project-affected people meaningfully and appropriately throughout the tailings facility lifecycle has been achieved?"/>
  </r>
  <r>
    <n v="15"/>
    <x v="13"/>
    <n v="92"/>
    <x v="91"/>
    <x v="450"/>
    <s v="Is there documented evidence that the objective of considering the outcomes from the engagement of project affected people in the design, management and operation of the storage facility has been achieved?"/>
  </r>
  <r>
    <n v="15"/>
    <x v="13"/>
    <n v="92"/>
    <x v="91"/>
    <x v="451"/>
    <s v="Is there documented evidence that a process has been established which achieves the objective of appropriately disseminate relevant information to project affected people as part of engagement processes?"/>
  </r>
  <r>
    <n v="15"/>
    <x v="13"/>
    <n v="92"/>
    <x v="91"/>
    <x v="452"/>
    <s v="Is there documented evidence that a grievance mechanism has been established that appropriately achieves the following objectives:_x000a_-Records complaints and grievances from project affected people?_x000a_-Addresses complaints and grievances?_x000a_-Allows the provision of remedies?"/>
  </r>
  <r>
    <n v="15"/>
    <x v="13"/>
    <n v="92"/>
    <x v="91"/>
    <x v="453"/>
    <s v="Is there documented evidence that the owner has achieved the objective of conforming with international standards for involuntary resettlement?"/>
  </r>
  <r>
    <n v="15"/>
    <x v="13"/>
    <n v="93"/>
    <x v="92"/>
    <x v="454"/>
    <s v="Is there documented evidence that the Accountable Executive has established a formal, confidential and written process which achieves the objective of receiving concerns from personnel regarding facility safety, operating, regulatory compliance, public and environment safety concerns?"/>
  </r>
  <r>
    <n v="15"/>
    <x v="13"/>
    <n v="93"/>
    <x v="92"/>
    <x v="455"/>
    <s v="Is there documented evidence that the Accountable Executive has established a formal process which achieves the objective of investigating reported concerns regarding facility safety, operating, regulatory compliance, public and environment safety concerns?"/>
  </r>
  <r>
    <n v="15"/>
    <x v="13"/>
    <n v="93"/>
    <x v="92"/>
    <x v="456"/>
    <s v="Is there documented evidence that the Accountable Executive has established a formal process which achieves the objective of addressing the outcomes and findings from investigations into reported facility safety, operating, regulatory compliance, public and environment safety concerns?"/>
  </r>
  <r>
    <n v="15"/>
    <x v="13"/>
    <n v="93"/>
    <x v="92"/>
    <x v="457"/>
    <s v="Is there documented evidence that a formal commitment has been produced which achieves the objective of stating that the organisation would not discharge, discriminate against, or otherwise retaliate in any way against a whistleblower who, in good faith, has reported possible permit violations or other matters relating to regulatory  compliance, public safety, tailings facility integrity or the environment."/>
  </r>
  <r>
    <n v="15"/>
    <x v="13"/>
    <n v="94"/>
    <x v="93"/>
    <x v="458"/>
    <s v="Is there documented evidence that process has been implemented which achieves the objective of publicly disclosing up-to-date information regarding the facility and facility safety information to the public?"/>
  </r>
  <r>
    <n v="15"/>
    <x v="13"/>
    <n v="94"/>
    <x v="93"/>
    <x v="459"/>
    <s v="Is there documented evidence that the objective of publicly disclosing required up-to-date documents relating to facility management, governance, organisation-wide policies, standards and approaches to the design, construction, monitoring and closure of tailings facilities has been achieved?"/>
  </r>
  <r>
    <n v="15"/>
    <x v="13"/>
    <n v="94"/>
    <x v="93"/>
    <x v="460"/>
    <s v="Is there documented evidence that the objective of disclosing the following up-to-date information to the public in alignment with United Nations Guiding Principles has been achieved?:_x000a_-Facility details_x000a_-Reviews and review findings_x000a_-Estimated consequences_x000a_-Estimated impacts_x000a_-Risks_x000a_-Summarised Emergency Action Plan _x000a_-The Owner's financial capacity to cover closure and post-closure costs _x000a__x000a_Refer to the GISTM for full list of required information for disclosure"/>
  </r>
  <r>
    <n v="15"/>
    <x v="13"/>
    <n v="94"/>
    <x v="93"/>
    <x v="461"/>
    <s v="Is there documented evidence that a formal process is established which achieves the objective of allowing requests to be received from interested and affected stakeholders for additional information that is material to public safety and integrity of a facility?"/>
  </r>
  <r>
    <n v="15"/>
    <x v="13"/>
    <n v="94"/>
    <x v="93"/>
    <x v="462"/>
    <s v="Is there documented evidence that a formal process has been established which achieves the objective of actioning and responding to requests from interested and affected stakeholders for additional information that is material to public safety and integrity of a facility?"/>
  </r>
  <r>
    <n v="15"/>
    <x v="13"/>
    <n v="94"/>
    <x v="93"/>
    <x v="463"/>
    <s v="Is there documented evidence of a formal and stated commitment to cooperate in credible global transparency initiatives to achieve the objective of creating standardised, independent, industry-wide and publicly accessible databases, inventories or other information repositories about the safety and  integrity of tailings facilities available in any corporate policies?"/>
  </r>
  <r>
    <m/>
    <x v="14"/>
    <m/>
    <x v="94"/>
    <x v="464"/>
    <m/>
  </r>
  <r>
    <m/>
    <x v="14"/>
    <m/>
    <x v="95"/>
    <x v="465"/>
    <m/>
  </r>
  <r>
    <m/>
    <x v="14"/>
    <m/>
    <x v="96"/>
    <x v="466"/>
    <m/>
  </r>
  <r>
    <m/>
    <x v="14"/>
    <m/>
    <x v="97"/>
    <x v="467"/>
    <m/>
  </r>
  <r>
    <m/>
    <x v="14"/>
    <m/>
    <x v="98"/>
    <x v="468"/>
    <m/>
  </r>
  <r>
    <m/>
    <x v="14"/>
    <m/>
    <x v="99"/>
    <x v="469"/>
    <m/>
  </r>
  <r>
    <m/>
    <x v="14"/>
    <m/>
    <x v="100"/>
    <x v="470"/>
    <m/>
  </r>
  <r>
    <m/>
    <x v="14"/>
    <m/>
    <x v="101"/>
    <x v="471"/>
    <m/>
  </r>
  <r>
    <m/>
    <x v="14"/>
    <m/>
    <x v="102"/>
    <x v="472"/>
    <m/>
  </r>
  <r>
    <m/>
    <x v="14"/>
    <m/>
    <x v="103"/>
    <x v="473"/>
    <m/>
  </r>
  <r>
    <m/>
    <x v="14"/>
    <m/>
    <x v="104"/>
    <x v="474"/>
    <m/>
  </r>
  <r>
    <m/>
    <x v="14"/>
    <m/>
    <x v="105"/>
    <x v="475"/>
    <m/>
  </r>
  <r>
    <m/>
    <x v="14"/>
    <m/>
    <x v="106"/>
    <x v="476"/>
    <m/>
  </r>
  <r>
    <m/>
    <x v="14"/>
    <m/>
    <x v="107"/>
    <x v="477"/>
    <m/>
  </r>
  <r>
    <m/>
    <x v="14"/>
    <m/>
    <x v="108"/>
    <x v="478"/>
    <m/>
  </r>
  <r>
    <m/>
    <x v="14"/>
    <m/>
    <x v="109"/>
    <x v="479"/>
    <m/>
  </r>
  <r>
    <m/>
    <x v="14"/>
    <m/>
    <x v="110"/>
    <x v="480"/>
    <m/>
  </r>
  <r>
    <m/>
    <x v="14"/>
    <m/>
    <x v="111"/>
    <x v="481"/>
    <m/>
  </r>
  <r>
    <m/>
    <x v="15"/>
    <m/>
    <x v="112"/>
    <x v="482"/>
    <m/>
  </r>
  <r>
    <m/>
    <x v="15"/>
    <m/>
    <x v="113"/>
    <x v="483"/>
    <m/>
  </r>
  <r>
    <m/>
    <x v="15"/>
    <m/>
    <x v="100"/>
    <x v="484"/>
    <m/>
  </r>
  <r>
    <m/>
    <x v="15"/>
    <m/>
    <x v="114"/>
    <x v="485"/>
    <m/>
  </r>
  <r>
    <m/>
    <x v="15"/>
    <m/>
    <x v="115"/>
    <x v="486"/>
    <m/>
  </r>
  <r>
    <m/>
    <x v="15"/>
    <m/>
    <x v="116"/>
    <x v="487"/>
    <m/>
  </r>
  <r>
    <m/>
    <x v="15"/>
    <m/>
    <x v="117"/>
    <x v="488"/>
    <m/>
  </r>
  <r>
    <m/>
    <x v="15"/>
    <m/>
    <x v="109"/>
    <x v="489"/>
    <m/>
  </r>
  <r>
    <m/>
    <x v="15"/>
    <m/>
    <x v="118"/>
    <x v="490"/>
    <m/>
  </r>
  <r>
    <m/>
    <x v="15"/>
    <m/>
    <x v="119"/>
    <x v="49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47950B-A785-4902-BCD2-E95B2D24079D}"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C143" firstHeaderRow="0" firstDataRow="1" firstDataCol="1"/>
  <pivotFields count="6">
    <pivotField dataField="1" showAll="0"/>
    <pivotField axis="axisRow" showAll="0">
      <items count="18">
        <item x="2"/>
        <item m="1" x="16"/>
        <item x="11"/>
        <item x="10"/>
        <item x="4"/>
        <item x="1"/>
        <item x="0"/>
        <item x="15"/>
        <item x="7"/>
        <item x="13"/>
        <item x="12"/>
        <item x="8"/>
        <item x="9"/>
        <item x="6"/>
        <item x="5"/>
        <item x="14"/>
        <item x="3"/>
        <item t="default"/>
      </items>
    </pivotField>
    <pivotField dataField="1" showAll="0"/>
    <pivotField axis="axisRow" showAll="0">
      <items count="121">
        <item x="60"/>
        <item x="11"/>
        <item x="51"/>
        <item x="66"/>
        <item x="20"/>
        <item x="67"/>
        <item x="55"/>
        <item x="10"/>
        <item x="39"/>
        <item x="30"/>
        <item x="19"/>
        <item x="4"/>
        <item x="47"/>
        <item x="41"/>
        <item x="87"/>
        <item x="29"/>
        <item x="84"/>
        <item x="37"/>
        <item x="70"/>
        <item x="18"/>
        <item x="52"/>
        <item x="40"/>
        <item x="75"/>
        <item x="61"/>
        <item x="83"/>
        <item x="89"/>
        <item x="31"/>
        <item x="54"/>
        <item x="63"/>
        <item x="90"/>
        <item x="6"/>
        <item x="7"/>
        <item x="12"/>
        <item x="62"/>
        <item x="56"/>
        <item x="85"/>
        <item x="101"/>
        <item x="98"/>
        <item x="100"/>
        <item x="97"/>
        <item x="94"/>
        <item x="95"/>
        <item x="114"/>
        <item x="115"/>
        <item x="102"/>
        <item x="96"/>
        <item x="99"/>
        <item x="113"/>
        <item x="112"/>
        <item x="16"/>
        <item x="45"/>
        <item x="73"/>
        <item x="17"/>
        <item x="21"/>
        <item x="22"/>
        <item x="3"/>
        <item x="91"/>
        <item x="24"/>
        <item x="80"/>
        <item x="38"/>
        <item x="77"/>
        <item x="88"/>
        <item x="82"/>
        <item x="48"/>
        <item x="1"/>
        <item x="58"/>
        <item x="64"/>
        <item x="34"/>
        <item x="72"/>
        <item x="79"/>
        <item x="81"/>
        <item x="0"/>
        <item x="57"/>
        <item x="69"/>
        <item x="5"/>
        <item x="71"/>
        <item x="86"/>
        <item x="28"/>
        <item x="93"/>
        <item x="8"/>
        <item x="13"/>
        <item x="92"/>
        <item x="59"/>
        <item x="53"/>
        <item x="78"/>
        <item x="23"/>
        <item x="2"/>
        <item x="26"/>
        <item x="44"/>
        <item x="33"/>
        <item x="35"/>
        <item x="36"/>
        <item x="32"/>
        <item x="43"/>
        <item x="74"/>
        <item x="110"/>
        <item x="107"/>
        <item x="109"/>
        <item x="106"/>
        <item x="103"/>
        <item x="104"/>
        <item x="118"/>
        <item x="119"/>
        <item x="111"/>
        <item x="105"/>
        <item x="108"/>
        <item x="117"/>
        <item x="116"/>
        <item x="76"/>
        <item x="25"/>
        <item x="14"/>
        <item x="27"/>
        <item x="65"/>
        <item x="49"/>
        <item x="68"/>
        <item x="46"/>
        <item x="9"/>
        <item x="42"/>
        <item x="15"/>
        <item x="50"/>
        <item t="default"/>
      </items>
    </pivotField>
    <pivotField showAll="0">
      <items count="493">
        <item x="0"/>
        <item x="1"/>
        <item x="2"/>
        <item x="3"/>
        <item x="4"/>
        <item x="5"/>
        <item x="6"/>
        <item x="7"/>
        <item x="8"/>
        <item x="9"/>
        <item x="10"/>
        <item x="11"/>
        <item x="12"/>
        <item x="14"/>
        <item x="16"/>
        <item x="17"/>
        <item x="18"/>
        <item x="19"/>
        <item x="20"/>
        <item x="21"/>
        <item x="22"/>
        <item x="23"/>
        <item x="24"/>
        <item x="25"/>
        <item x="26"/>
        <item x="27"/>
        <item x="28"/>
        <item x="29"/>
        <item x="30"/>
        <item x="31"/>
        <item x="32"/>
        <item x="33"/>
        <item x="34"/>
        <item x="35"/>
        <item x="36"/>
        <item x="37"/>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2"/>
        <item x="73"/>
        <item x="74"/>
        <item x="75"/>
        <item x="76"/>
        <item x="77"/>
        <item x="78"/>
        <item x="79"/>
        <item x="80"/>
        <item x="81"/>
        <item x="82"/>
        <item x="83"/>
        <item x="84"/>
        <item x="85"/>
        <item x="86"/>
        <item x="87"/>
        <item x="88"/>
        <item x="89"/>
        <item x="90"/>
        <item x="91"/>
        <item x="93"/>
        <item x="94"/>
        <item x="95"/>
        <item x="96"/>
        <item x="97"/>
        <item x="98"/>
        <item x="99"/>
        <item x="100"/>
        <item x="101"/>
        <item x="102"/>
        <item x="103"/>
        <item x="104"/>
        <item x="105"/>
        <item x="106"/>
        <item x="107"/>
        <item x="108"/>
        <item x="109"/>
        <item x="111"/>
        <item x="112"/>
        <item x="113"/>
        <item x="114"/>
        <item x="115"/>
        <item x="116"/>
        <item x="117"/>
        <item x="118"/>
        <item x="119"/>
        <item x="120"/>
        <item x="121"/>
        <item x="122"/>
        <item x="123"/>
        <item x="124"/>
        <item x="125"/>
        <item x="126"/>
        <item x="127"/>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07"/>
        <item x="246"/>
        <item x="247"/>
        <item x="248"/>
        <item x="249"/>
        <item x="250"/>
        <item x="251"/>
        <item x="208"/>
        <item x="253"/>
        <item x="254"/>
        <item x="255"/>
        <item x="256"/>
        <item x="257"/>
        <item x="258"/>
        <item x="259"/>
        <item x="260"/>
        <item x="261"/>
        <item x="262"/>
        <item x="263"/>
        <item x="264"/>
        <item x="265"/>
        <item x="266"/>
        <item x="267"/>
        <item x="268"/>
        <item x="269"/>
        <item x="270"/>
        <item x="271"/>
        <item x="272"/>
        <item x="273"/>
        <item x="274"/>
        <item x="275"/>
        <item x="276"/>
        <item x="277"/>
        <item x="209"/>
        <item x="245"/>
        <item x="252"/>
        <item x="278"/>
        <item x="279"/>
        <item x="280"/>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41"/>
        <item x="336"/>
        <item x="337"/>
        <item x="338"/>
        <item x="339"/>
        <item x="340"/>
        <item x="342"/>
        <item x="343"/>
        <item x="344"/>
        <item x="345"/>
        <item x="346"/>
        <item x="347"/>
        <item x="348"/>
        <item x="349"/>
        <item x="350"/>
        <item x="351"/>
        <item x="361"/>
        <item x="362"/>
        <item x="363"/>
        <item x="364"/>
        <item x="352"/>
        <item x="353"/>
        <item x="354"/>
        <item x="355"/>
        <item x="356"/>
        <item x="357"/>
        <item x="358"/>
        <item x="359"/>
        <item x="360"/>
        <item x="365"/>
        <item x="366"/>
        <item x="281"/>
        <item x="282"/>
        <item x="283"/>
        <item x="367"/>
        <item x="371"/>
        <item x="372"/>
        <item x="368"/>
        <item x="369"/>
        <item x="370"/>
        <item x="373"/>
        <item x="374"/>
        <item x="375"/>
        <item x="376"/>
        <item x="380"/>
        <item x="377"/>
        <item x="378"/>
        <item x="379"/>
        <item x="381"/>
        <item x="382"/>
        <item x="383"/>
        <item x="384"/>
        <item x="385"/>
        <item x="386"/>
        <item x="387"/>
        <item x="388"/>
        <item x="389"/>
        <item x="390"/>
        <item x="391"/>
        <item x="392"/>
        <item x="393"/>
        <item x="394"/>
        <item x="395"/>
        <item x="396"/>
        <item x="397"/>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398"/>
        <item x="399"/>
        <item x="400"/>
        <item x="335"/>
        <item x="38"/>
        <item x="71"/>
        <item x="110"/>
        <item x="92"/>
        <item x="13"/>
        <item x="15"/>
        <item x="128"/>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t="default"/>
      </items>
    </pivotField>
    <pivotField showAll="0"/>
  </pivotFields>
  <rowFields count="2">
    <field x="1"/>
    <field x="3"/>
  </rowFields>
  <rowItems count="140">
    <i>
      <x/>
    </i>
    <i r="1">
      <x v="12"/>
    </i>
    <i r="1">
      <x v="13"/>
    </i>
    <i r="1">
      <x v="79"/>
    </i>
    <i>
      <x v="2"/>
    </i>
    <i r="1">
      <x v="16"/>
    </i>
    <i r="1">
      <x v="35"/>
    </i>
    <i>
      <x v="3"/>
    </i>
    <i r="1">
      <x v="24"/>
    </i>
    <i r="1">
      <x v="62"/>
    </i>
    <i>
      <x v="4"/>
    </i>
    <i r="1">
      <x v="10"/>
    </i>
    <i>
      <x v="5"/>
    </i>
    <i r="1">
      <x v="1"/>
    </i>
    <i r="1">
      <x v="7"/>
    </i>
    <i r="1">
      <x v="31"/>
    </i>
    <i r="1">
      <x v="32"/>
    </i>
    <i r="1">
      <x v="49"/>
    </i>
    <i r="1">
      <x v="52"/>
    </i>
    <i r="1">
      <x v="80"/>
    </i>
    <i r="1">
      <x v="110"/>
    </i>
    <i r="1">
      <x v="116"/>
    </i>
    <i r="1">
      <x v="118"/>
    </i>
    <i>
      <x v="6"/>
    </i>
    <i r="1">
      <x v="11"/>
    </i>
    <i r="1">
      <x v="30"/>
    </i>
    <i r="1">
      <x v="55"/>
    </i>
    <i r="1">
      <x v="64"/>
    </i>
    <i r="1">
      <x v="71"/>
    </i>
    <i r="1">
      <x v="74"/>
    </i>
    <i r="1">
      <x v="86"/>
    </i>
    <i>
      <x v="7"/>
    </i>
    <i r="1">
      <x v="38"/>
    </i>
    <i r="1">
      <x v="42"/>
    </i>
    <i r="1">
      <x v="43"/>
    </i>
    <i r="1">
      <x v="47"/>
    </i>
    <i r="1">
      <x v="48"/>
    </i>
    <i r="1">
      <x v="97"/>
    </i>
    <i r="1">
      <x v="101"/>
    </i>
    <i r="1">
      <x v="102"/>
    </i>
    <i r="1">
      <x v="106"/>
    </i>
    <i r="1">
      <x v="107"/>
    </i>
    <i>
      <x v="8"/>
    </i>
    <i r="1">
      <x/>
    </i>
    <i r="1">
      <x v="23"/>
    </i>
    <i r="1">
      <x v="65"/>
    </i>
    <i r="1">
      <x v="82"/>
    </i>
    <i>
      <x v="9"/>
    </i>
    <i r="1">
      <x v="25"/>
    </i>
    <i r="1">
      <x v="29"/>
    </i>
    <i r="1">
      <x v="56"/>
    </i>
    <i r="1">
      <x v="78"/>
    </i>
    <i r="1">
      <x v="81"/>
    </i>
    <i>
      <x v="10"/>
    </i>
    <i r="1">
      <x v="14"/>
    </i>
    <i r="1">
      <x v="61"/>
    </i>
    <i r="1">
      <x v="76"/>
    </i>
    <i>
      <x v="11"/>
    </i>
    <i r="1">
      <x v="3"/>
    </i>
    <i r="1">
      <x v="5"/>
    </i>
    <i r="1">
      <x v="28"/>
    </i>
    <i r="1">
      <x v="33"/>
    </i>
    <i r="1">
      <x v="66"/>
    </i>
    <i r="1">
      <x v="112"/>
    </i>
    <i r="1">
      <x v="114"/>
    </i>
    <i>
      <x v="12"/>
    </i>
    <i r="1">
      <x v="70"/>
    </i>
    <i>
      <x v="13"/>
    </i>
    <i r="1">
      <x v="18"/>
    </i>
    <i r="1">
      <x v="22"/>
    </i>
    <i r="1">
      <x v="51"/>
    </i>
    <i r="1">
      <x v="58"/>
    </i>
    <i r="1">
      <x v="60"/>
    </i>
    <i r="1">
      <x v="68"/>
    </i>
    <i r="1">
      <x v="69"/>
    </i>
    <i r="1">
      <x v="72"/>
    </i>
    <i r="1">
      <x v="73"/>
    </i>
    <i r="1">
      <x v="75"/>
    </i>
    <i r="1">
      <x v="84"/>
    </i>
    <i r="1">
      <x v="94"/>
    </i>
    <i r="1">
      <x v="108"/>
    </i>
    <i>
      <x v="14"/>
    </i>
    <i r="1">
      <x v="34"/>
    </i>
    <i>
      <x v="15"/>
    </i>
    <i r="1">
      <x v="36"/>
    </i>
    <i r="1">
      <x v="37"/>
    </i>
    <i r="1">
      <x v="38"/>
    </i>
    <i r="1">
      <x v="39"/>
    </i>
    <i r="1">
      <x v="40"/>
    </i>
    <i r="1">
      <x v="41"/>
    </i>
    <i r="1">
      <x v="44"/>
    </i>
    <i r="1">
      <x v="45"/>
    </i>
    <i r="1">
      <x v="46"/>
    </i>
    <i r="1">
      <x v="95"/>
    </i>
    <i r="1">
      <x v="96"/>
    </i>
    <i r="1">
      <x v="97"/>
    </i>
    <i r="1">
      <x v="98"/>
    </i>
    <i r="1">
      <x v="99"/>
    </i>
    <i r="1">
      <x v="100"/>
    </i>
    <i r="1">
      <x v="103"/>
    </i>
    <i r="1">
      <x v="104"/>
    </i>
    <i r="1">
      <x v="105"/>
    </i>
    <i>
      <x v="16"/>
    </i>
    <i r="1">
      <x v="2"/>
    </i>
    <i r="1">
      <x v="4"/>
    </i>
    <i r="1">
      <x v="6"/>
    </i>
    <i r="1">
      <x v="7"/>
    </i>
    <i r="1">
      <x v="8"/>
    </i>
    <i r="1">
      <x v="9"/>
    </i>
    <i r="1">
      <x v="15"/>
    </i>
    <i r="1">
      <x v="17"/>
    </i>
    <i r="1">
      <x v="19"/>
    </i>
    <i r="1">
      <x v="20"/>
    </i>
    <i r="1">
      <x v="21"/>
    </i>
    <i r="1">
      <x v="26"/>
    </i>
    <i r="1">
      <x v="27"/>
    </i>
    <i r="1">
      <x v="50"/>
    </i>
    <i r="1">
      <x v="53"/>
    </i>
    <i r="1">
      <x v="54"/>
    </i>
    <i r="1">
      <x v="57"/>
    </i>
    <i r="1">
      <x v="59"/>
    </i>
    <i r="1">
      <x v="63"/>
    </i>
    <i r="1">
      <x v="67"/>
    </i>
    <i r="1">
      <x v="77"/>
    </i>
    <i r="1">
      <x v="83"/>
    </i>
    <i r="1">
      <x v="85"/>
    </i>
    <i r="1">
      <x v="87"/>
    </i>
    <i r="1">
      <x v="88"/>
    </i>
    <i r="1">
      <x v="89"/>
    </i>
    <i r="1">
      <x v="90"/>
    </i>
    <i r="1">
      <x v="91"/>
    </i>
    <i r="1">
      <x v="92"/>
    </i>
    <i r="1">
      <x v="93"/>
    </i>
    <i r="1">
      <x v="109"/>
    </i>
    <i r="1">
      <x v="111"/>
    </i>
    <i r="1">
      <x v="113"/>
    </i>
    <i r="1">
      <x v="115"/>
    </i>
    <i r="1">
      <x v="117"/>
    </i>
    <i r="1">
      <x v="119"/>
    </i>
    <i t="grand">
      <x/>
    </i>
  </rowItems>
  <colFields count="1">
    <field x="-2"/>
  </colFields>
  <colItems count="2">
    <i>
      <x/>
    </i>
    <i i="1">
      <x v="1"/>
    </i>
  </colItems>
  <dataFields count="2">
    <dataField name="Min of ID_Chapter" fld="0" subtotal="min" baseField="1" baseItem="0"/>
    <dataField name="Min of ID_SubChapter" fld="2" subtotal="min"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Motiv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F39" dT="2022-01-27T02:36:24.90" personId="{996E3DC0-9E47-45BA-BEE2-6976EF59C483}" id="{5B36345D-6DA5-4A2D-AEED-54E4DC41640D}">
    <text>Change to "Achieved averagae in situ tailings density (t/m3)"</text>
  </threadedComment>
  <threadedComment ref="F394" dT="2021-08-26T17:12:48.84" personId="{996E3DC0-9E47-45BA-BEE2-6976EF59C483}" id="{9D4ACEBB-0044-4ED5-8294-7C1B1A2746A8}">
    <text>Revise to potentially liquefiable materials saturated in structural zones of the dam?</text>
  </threadedComment>
</ThreadedComments>
</file>

<file path=xl/threadedComments/threadedComment2.xml><?xml version="1.0" encoding="utf-8"?>
<ThreadedComments xmlns="http://schemas.microsoft.com/office/spreadsheetml/2018/threadedcomments" xmlns:x="http://schemas.openxmlformats.org/spreadsheetml/2006/main">
  <threadedComment ref="I181" dT="2022-03-21T01:04:12.56" personId="{B55C9176-9877-4E2B-B14C-13EA46DE6B92}" id="{3AFE65DD-F95A-4072-9613-44DA53FF4671}">
    <text>For foundation piping</text>
  </threadedComment>
  <threadedComment ref="J181" dT="2021-04-01T00:42:45.46" personId="{996E3DC0-9E47-45BA-BEE2-6976EF59C483}" id="{8279CB4B-DB66-484A-AA52-D5D50C50127F}">
    <text>Embankment into or at Foundation Piping descriptors</text>
  </threadedComment>
  <threadedComment ref="J181" dT="2022-03-11T07:25:48.90" personId="{B55C9176-9877-4E2B-B14C-13EA46DE6B92}" id="{B6F6ED67-FF67-408A-9283-A6E6D9FDFA7A}" parentId="{8279CB4B-DB66-484A-AA52-D5D50C50127F}">
    <text>for rmb-fdn piping, multiplied by prevailing fdn type (soil - 0.5, rock - 1.5)</text>
  </threadedComment>
  <threadedComment ref="J227" dT="2021-04-01T02:41:40.27" personId="{996E3DC0-9E47-45BA-BEE2-6976EF59C483}" id="{07C26088-1360-405C-BF33-72E2A2231FA0}">
    <text>Error from dragged over database - had this as 1.</text>
  </threadedComment>
  <threadedComment ref="J241" dT="2021-04-01T00:42:45.46" personId="{996E3DC0-9E47-45BA-BEE2-6976EF59C483}" id="{F4B8955D-920C-4BB7-B929-0B8F1275161B}">
    <text>Embankment into or at Foundation Piping descriptors</text>
  </threadedComment>
  <threadedComment ref="J241" dT="2022-03-11T07:25:48.90" personId="{B55C9176-9877-4E2B-B14C-13EA46DE6B92}" id="{222F39DC-86E4-4937-8C67-5854F7C193B6}" parentId="{F4B8955D-920C-4BB7-B929-0B8F1275161B}">
    <text>multiplied by prevailing fdn type (soil - 0.5, rosk - 1.5)</text>
  </threadedComment>
  <threadedComment ref="G343" dT="2021-01-04T23:22:43.96" personId="{AAA5D36F-8EE3-485A-87D7-E6A26526929D}" id="{4BD44A9D-38A4-4EA5-8804-D6133C923C53}">
    <text>or Excavated through HW, EW or soil, away from embankment?</text>
  </threadedComment>
  <threadedComment ref="F463" dT="2021-01-06T11:58:08.13" personId="{AAA5D36F-8EE3-485A-87D7-E6A26526929D}" id="{7F01C61E-7FA6-4BDA-A788-7A91F857BD3B}">
    <text>Could add the specific requirements 1) update every 5 years and 2) capture uncertainties due to climate change</text>
  </threadedComment>
  <threadedComment ref="F463" dT="2021-01-08T10:18:56.64" personId="{AAA5D36F-8EE3-485A-87D7-E6A26526929D}" id="{7DD069F2-FBA0-4073-816D-461EA5E36EFE}" parentId="{7F01C61E-7FA6-4BDA-A788-7A91F857BD3B}">
    <text>Discussed and agreed to keep general and short</text>
  </threadedComment>
  <threadedComment ref="F467" dT="2021-01-06T11:58:08.13" personId="{AAA5D36F-8EE3-485A-87D7-E6A26526929D}" id="{DE50CD2F-FB7C-4DB3-9550-BCBA09EC35E2}">
    <text>Could add the specific requirements 1) update every 5 years and 2) capture uncertainties due to climate change</text>
  </threadedComment>
  <threadedComment ref="F467" dT="2021-01-08T10:18:56.64" personId="{AAA5D36F-8EE3-485A-87D7-E6A26526929D}" id="{51AA5F13-C137-49ED-AAC1-792CC711A332}" parentId="{DE50CD2F-FB7C-4DB3-9550-BCBA09EC35E2}">
    <text>Discussed and agreed to keep general and short</text>
  </threadedComment>
  <threadedComment ref="F647" dT="2021-01-06T10:54:13.56" personId="{AAA5D36F-8EE3-485A-87D7-E6A26526929D}" id="{8DECD7D1-02FF-465A-8666-3DE1736A43DE}">
    <text>Either here, or under Monitoring Instrumentation - Overview we should include the question "have realistic surface deformation trigger limits been determined based on deformation modelling..."</text>
  </threadedComment>
  <threadedComment ref="F869" dT="2021-01-08T10:46:08.69" personId="{AAA5D36F-8EE3-485A-87D7-E6A26526929D}" id="{6B7FDD0A-E0C5-4D4E-ACF3-0C12798FDFF7}">
    <text>Consider including a preceding separate characteristic asking "Has the facility been designed as Extreme CC? ".</text>
  </threadedComment>
  <threadedComment ref="F869" dT="2021-01-08T10:46:37.85" personId="{AAA5D36F-8EE3-485A-87D7-E6A26526929D}" id="{E8B45346-57BA-46DB-ABC8-92D1E3E0EA23}" parentId="{6B7FDD0A-E0C5-4D4E-ACF3-0C12798FDFF7}">
    <text>Will need the ability to answer N/A to this as it stands</text>
  </threadedComment>
  <threadedComment ref="F1267" dT="2021-01-06T11:22:37.48" personId="{AAA5D36F-8EE3-485A-87D7-E6A26526929D}" id="{93E4FAE4-FC72-476C-8A65-9B5D63A7D389}">
    <text>Are we only presenting preventative controls or also mitigating controls? Inspections could be both e.g. preventative - detect cracks or piping initiation with sufficient time to take action to prevent failure, or, mitigating - as was the case at Cadia Mine, sufficient time to move the construction crew away from the toe (thus reducing consequence)</text>
  </threadedComment>
  <threadedComment ref="F1268" dT="2021-01-06T11:22:37.48" personId="{AAA5D36F-8EE3-485A-87D7-E6A26526929D}" id="{3943A79F-99FF-485C-94FF-BB8ACEAD5D89}">
    <text>Are we only presenting preventative controls or also mitigating controls? Inspections could be both e.g. preventative - detect cracks or piping initiation with sufficient time to take action to prevent failure, or, mitigating - as was the case at Cadia Mine, sufficient time to move the construction crew away from the toe (thus reducing consequence)</text>
  </threadedComment>
  <threadedComment ref="F1269" dT="2021-01-06T11:22:37.48" personId="{AAA5D36F-8EE3-485A-87D7-E6A26526929D}" id="{986E1B56-A776-42B0-AB12-F58546CD1A41}">
    <text>Are we only presenting preventative controls or also mitigating controls? Inspections could be both e.g. preventative - detect cracks or piping initiation with sufficient time to take action to prevent failure, or, mitigating - as was the case at Cadia Mine, sufficient time to move the construction crew away from the toe (thus reducing consequence)</text>
  </threadedComment>
  <threadedComment ref="F1270" dT="2021-01-06T11:22:37.48" personId="{AAA5D36F-8EE3-485A-87D7-E6A26526929D}" id="{DE84D613-B853-45FC-AD00-F86D4782AF4B}">
    <text>Are we only presenting preventative controls or also mitigating controls? Inspections could be both e.g. preventative - detect cracks or piping initiation with sufficient time to take action to prevent failure, or, mitigating - as was the case at Cadia Mine, sufficient time to move the construction crew away from the toe (thus reducing consequence)</text>
  </threadedComment>
  <threadedComment ref="F1341" dT="2021-01-06T10:51:56.85" personId="{AAA5D36F-8EE3-485A-87D7-E6A26526929D}" id="{E9299DD2-F33E-4E72-95F5-6FFAF752D20C}">
    <text>Can be a critical control for slope failure  - as it "detects event escalation"</text>
  </threadedComment>
  <threadedComment ref="F1342" dT="2021-01-06T10:51:56.85" personId="{AAA5D36F-8EE3-485A-87D7-E6A26526929D}" id="{ED78367E-5FBA-48E2-850D-585052DB3DF0}">
    <text>Can be a critical control for slope failure  - as it "detects event escalation"</text>
  </threadedComment>
  <threadedComment ref="F1343" dT="2021-01-06T10:51:56.85" personId="{AAA5D36F-8EE3-485A-87D7-E6A26526929D}" id="{CDD5DFBF-FA1B-4EA4-85E8-E4199E6F39AA}">
    <text>Can be a critical control for slope failure  - as it "detects event escalation"</text>
  </threadedComment>
  <threadedComment ref="F1344" dT="2021-01-06T10:51:56.85" personId="{AAA5D36F-8EE3-485A-87D7-E6A26526929D}" id="{451A6861-DEEC-4CCE-B7FB-0B378B5C7E64}">
    <text>Can be a critical control for slope failure  - as it "detects event escalation"</text>
  </threadedComment>
  <threadedComment ref="F1347" dT="2021-01-06T10:51:56.85" personId="{AAA5D36F-8EE3-485A-87D7-E6A26526929D}" id="{4662F98C-1BB7-4DF2-8482-0D0F640B2498}">
    <text>Can be a critical control for slope failure  - as it "detects event escalation"</text>
  </threadedComment>
  <threadedComment ref="F1633" dT="2022-01-10T05:36:45.02" personId="{996E3DC0-9E47-45BA-BEE2-6976EF59C483}" id="{6324015D-C732-459F-AF21-17A7B03484B4}">
    <text>Added in this characteristic</text>
  </threadedComment>
</ThreadedComments>
</file>

<file path=xl/threadedComments/threadedComment3.xml><?xml version="1.0" encoding="utf-8"?>
<ThreadedComments xmlns="http://schemas.microsoft.com/office/spreadsheetml/2018/threadedcomments" xmlns:x="http://schemas.openxmlformats.org/spreadsheetml/2006/main">
  <threadedComment ref="A42" dT="2021-04-01T03:08:15.55" personId="{996E3DC0-9E47-45BA-BEE2-6976EF59C483}" id="{1037E86E-9520-49B4-99B4-BB90CD68135E}">
    <text>Core compaction factor removed from Emb-Fdn piping failure as no correlation indicated above.</text>
  </threadedComment>
</ThreadedComments>
</file>

<file path=xl/threadedComments/threadedComment4.xml><?xml version="1.0" encoding="utf-8"?>
<ThreadedComments xmlns="http://schemas.microsoft.com/office/spreadsheetml/2018/threadedcomments" xmlns:x="http://schemas.openxmlformats.org/spreadsheetml/2006/main">
  <threadedComment ref="I6" dT="2021-01-06T10:55:59.77" personId="{AAA5D36F-8EE3-485A-87D7-E6A26526929D}" id="{A6FB8FC0-932A-4601-A819-B16E4AF3CF54}">
    <text>Include an additional "Continuation/progression" node regarding detection of unusual movements?</text>
  </threadedComment>
  <threadedComment ref="I123" dT="2021-01-06T11:00:35.23" personId="{AAA5D36F-8EE3-485A-87D7-E6A26526929D}" id="{E457E9D3-9756-4AF2-A496-D7FF3526E7B7}">
    <text>We assume failure if the crest is overtopped? Could include an additional node regarding energy of flow vs. embankment erosion resistance but may not be standard practice to do so.</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 Id="rId4"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752E7-1C30-43E8-94C1-C18EB05E95AE}">
  <sheetPr codeName="Sheet1">
    <tabColor rgb="FFFF99CC"/>
  </sheetPr>
  <dimension ref="B3:B205"/>
  <sheetViews>
    <sheetView topLeftCell="A184" workbookViewId="0">
      <selection activeCell="U210" sqref="U210"/>
    </sheetView>
  </sheetViews>
  <sheetFormatPr baseColWidth="10" defaultColWidth="8.83203125" defaultRowHeight="15" x14ac:dyDescent="0.2"/>
  <sheetData>
    <row r="3" spans="2:2" x14ac:dyDescent="0.2">
      <c r="B3" t="s">
        <v>0</v>
      </c>
    </row>
    <row r="54" spans="2:2" x14ac:dyDescent="0.2">
      <c r="B54" t="s">
        <v>1</v>
      </c>
    </row>
    <row r="105" spans="2:2" x14ac:dyDescent="0.2">
      <c r="B105" t="s">
        <v>2</v>
      </c>
    </row>
    <row r="151" spans="2:2" x14ac:dyDescent="0.2">
      <c r="B151" t="s">
        <v>3</v>
      </c>
    </row>
    <row r="205" spans="2:2" x14ac:dyDescent="0.2">
      <c r="B205" t="s">
        <v>4</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0DD90-7065-42F5-B04A-3EBB4912AC32}">
  <dimension ref="A2:O143"/>
  <sheetViews>
    <sheetView topLeftCell="A40" zoomScale="85" zoomScaleNormal="85" workbookViewId="0">
      <selection activeCell="K73" sqref="K73"/>
    </sheetView>
  </sheetViews>
  <sheetFormatPr baseColWidth="10" defaultColWidth="8.83203125" defaultRowHeight="15" x14ac:dyDescent="0.2"/>
  <cols>
    <col min="1" max="1" width="56.5" bestFit="1" customWidth="1"/>
    <col min="2" max="2" width="17.5" bestFit="1" customWidth="1"/>
    <col min="3" max="3" width="20.6640625" bestFit="1" customWidth="1"/>
    <col min="4" max="4" width="17.5" bestFit="1" customWidth="1"/>
    <col min="5" max="5" width="37.5" bestFit="1" customWidth="1"/>
    <col min="14" max="14" width="36.33203125" customWidth="1"/>
  </cols>
  <sheetData>
    <row r="2" spans="1:12" x14ac:dyDescent="0.2">
      <c r="I2" t="s">
        <v>1310</v>
      </c>
      <c r="J2" t="s">
        <v>1311</v>
      </c>
      <c r="K2" t="s">
        <v>897</v>
      </c>
      <c r="L2" t="s">
        <v>1281</v>
      </c>
    </row>
    <row r="3" spans="1:12" x14ac:dyDescent="0.2">
      <c r="A3" s="393" t="s">
        <v>1276</v>
      </c>
      <c r="B3" t="s">
        <v>1278</v>
      </c>
      <c r="C3" t="s">
        <v>1279</v>
      </c>
      <c r="I3">
        <v>1</v>
      </c>
      <c r="J3">
        <v>1</v>
      </c>
      <c r="K3">
        <v>1</v>
      </c>
      <c r="L3">
        <v>1</v>
      </c>
    </row>
    <row r="4" spans="1:12" x14ac:dyDescent="0.2">
      <c r="A4" s="394" t="s">
        <v>412</v>
      </c>
      <c r="B4" s="392">
        <v>7</v>
      </c>
      <c r="C4" s="392">
        <v>55</v>
      </c>
      <c r="I4">
        <v>2</v>
      </c>
      <c r="J4">
        <v>2</v>
      </c>
      <c r="K4">
        <v>2</v>
      </c>
      <c r="L4">
        <v>1</v>
      </c>
    </row>
    <row r="5" spans="1:12" x14ac:dyDescent="0.2">
      <c r="A5" s="395" t="s">
        <v>414</v>
      </c>
      <c r="B5" s="392">
        <v>7</v>
      </c>
      <c r="C5" s="392">
        <v>56</v>
      </c>
      <c r="I5">
        <v>3</v>
      </c>
      <c r="J5">
        <v>3</v>
      </c>
      <c r="K5">
        <v>3</v>
      </c>
      <c r="L5">
        <v>1</v>
      </c>
    </row>
    <row r="6" spans="1:12" x14ac:dyDescent="0.2">
      <c r="A6" s="395" t="s">
        <v>413</v>
      </c>
      <c r="B6" s="392">
        <v>7</v>
      </c>
      <c r="C6" s="392">
        <v>55</v>
      </c>
      <c r="I6">
        <v>4</v>
      </c>
      <c r="J6">
        <v>4</v>
      </c>
      <c r="K6">
        <v>4</v>
      </c>
      <c r="L6">
        <v>1</v>
      </c>
    </row>
    <row r="7" spans="1:12" x14ac:dyDescent="0.2">
      <c r="A7" s="395" t="s">
        <v>416</v>
      </c>
      <c r="B7" s="392">
        <v>7</v>
      </c>
      <c r="C7" s="392">
        <v>57</v>
      </c>
      <c r="I7">
        <v>64</v>
      </c>
      <c r="J7">
        <v>11</v>
      </c>
      <c r="K7">
        <v>11</v>
      </c>
      <c r="L7">
        <v>1</v>
      </c>
    </row>
    <row r="8" spans="1:12" x14ac:dyDescent="0.2">
      <c r="A8" s="394" t="s">
        <v>561</v>
      </c>
      <c r="B8" s="392">
        <v>13</v>
      </c>
      <c r="C8" s="392">
        <v>85</v>
      </c>
      <c r="I8">
        <v>11</v>
      </c>
      <c r="J8">
        <v>13</v>
      </c>
      <c r="K8">
        <v>13</v>
      </c>
      <c r="L8">
        <v>1</v>
      </c>
    </row>
    <row r="9" spans="1:12" x14ac:dyDescent="0.2">
      <c r="A9" s="395" t="s">
        <v>562</v>
      </c>
      <c r="B9" s="392">
        <v>13</v>
      </c>
      <c r="C9" s="392">
        <v>85</v>
      </c>
      <c r="I9">
        <v>13</v>
      </c>
      <c r="J9">
        <v>463</v>
      </c>
      <c r="K9">
        <v>14</v>
      </c>
      <c r="L9">
        <v>1</v>
      </c>
    </row>
    <row r="10" spans="1:12" x14ac:dyDescent="0.2">
      <c r="A10" s="395" t="s">
        <v>576</v>
      </c>
      <c r="B10" s="392">
        <v>13</v>
      </c>
      <c r="C10" s="392">
        <v>86</v>
      </c>
      <c r="I10">
        <v>14</v>
      </c>
      <c r="J10">
        <v>14</v>
      </c>
      <c r="K10">
        <v>17</v>
      </c>
      <c r="L10">
        <v>1</v>
      </c>
    </row>
    <row r="11" spans="1:12" x14ac:dyDescent="0.2">
      <c r="A11" s="394" t="s">
        <v>551</v>
      </c>
      <c r="B11" s="392">
        <v>12</v>
      </c>
      <c r="C11" s="392">
        <v>83</v>
      </c>
      <c r="I11">
        <v>463</v>
      </c>
      <c r="J11">
        <v>464</v>
      </c>
      <c r="K11">
        <v>64</v>
      </c>
      <c r="L11">
        <v>1</v>
      </c>
    </row>
    <row r="12" spans="1:12" x14ac:dyDescent="0.2">
      <c r="A12" s="395" t="s">
        <v>556</v>
      </c>
      <c r="B12" s="392">
        <v>12</v>
      </c>
      <c r="C12" s="392">
        <v>84</v>
      </c>
      <c r="I12">
        <v>464</v>
      </c>
      <c r="J12">
        <v>17</v>
      </c>
      <c r="K12">
        <v>66</v>
      </c>
      <c r="L12">
        <v>1</v>
      </c>
    </row>
    <row r="13" spans="1:12" x14ac:dyDescent="0.2">
      <c r="A13" s="395" t="s">
        <v>552</v>
      </c>
      <c r="B13" s="392">
        <v>12</v>
      </c>
      <c r="C13" s="392">
        <v>83</v>
      </c>
      <c r="I13">
        <v>17</v>
      </c>
      <c r="J13">
        <v>64</v>
      </c>
      <c r="K13">
        <v>68</v>
      </c>
      <c r="L13">
        <v>1</v>
      </c>
    </row>
    <row r="14" spans="1:12" x14ac:dyDescent="0.2">
      <c r="A14" s="394" t="s">
        <v>248</v>
      </c>
      <c r="B14" s="392">
        <v>4</v>
      </c>
      <c r="C14" s="392">
        <v>19</v>
      </c>
      <c r="I14">
        <v>66</v>
      </c>
      <c r="J14">
        <v>66</v>
      </c>
      <c r="K14">
        <v>69</v>
      </c>
      <c r="L14">
        <v>1</v>
      </c>
    </row>
    <row r="15" spans="1:12" x14ac:dyDescent="0.2">
      <c r="A15" s="395" t="s">
        <v>249</v>
      </c>
      <c r="B15" s="392">
        <v>4</v>
      </c>
      <c r="C15" s="392">
        <v>19</v>
      </c>
      <c r="I15">
        <v>68</v>
      </c>
      <c r="J15">
        <v>68</v>
      </c>
      <c r="K15">
        <v>75</v>
      </c>
      <c r="L15">
        <v>1</v>
      </c>
    </row>
    <row r="16" spans="1:12" x14ac:dyDescent="0.2">
      <c r="A16" s="394" t="s">
        <v>174</v>
      </c>
      <c r="B16" s="392">
        <v>2</v>
      </c>
      <c r="C16" s="392">
        <v>8</v>
      </c>
      <c r="I16">
        <v>69</v>
      </c>
      <c r="J16">
        <v>69</v>
      </c>
      <c r="K16">
        <v>76</v>
      </c>
      <c r="L16">
        <v>1</v>
      </c>
    </row>
    <row r="17" spans="1:15" x14ac:dyDescent="0.2">
      <c r="A17" s="395" t="s">
        <v>209</v>
      </c>
      <c r="B17" s="392">
        <v>2</v>
      </c>
      <c r="C17" s="392">
        <v>11</v>
      </c>
      <c r="I17">
        <v>75</v>
      </c>
      <c r="J17">
        <v>75</v>
      </c>
      <c r="K17">
        <v>77</v>
      </c>
      <c r="L17">
        <v>1</v>
      </c>
      <c r="N17" t="s">
        <v>1276</v>
      </c>
      <c r="O17" t="s">
        <v>1278</v>
      </c>
    </row>
    <row r="18" spans="1:15" x14ac:dyDescent="0.2">
      <c r="A18" s="395" t="s">
        <v>207</v>
      </c>
      <c r="B18" s="392">
        <v>2</v>
      </c>
      <c r="C18" s="392">
        <v>10</v>
      </c>
      <c r="I18">
        <v>76</v>
      </c>
      <c r="J18">
        <v>76</v>
      </c>
      <c r="K18">
        <v>78</v>
      </c>
      <c r="L18">
        <v>1</v>
      </c>
      <c r="N18" s="357" t="s">
        <v>131</v>
      </c>
      <c r="O18">
        <v>1</v>
      </c>
    </row>
    <row r="19" spans="1:15" x14ac:dyDescent="0.2">
      <c r="A19" s="395" t="s">
        <v>191</v>
      </c>
      <c r="B19" s="392">
        <v>2</v>
      </c>
      <c r="C19" s="392">
        <v>8</v>
      </c>
      <c r="I19">
        <v>77</v>
      </c>
      <c r="J19">
        <v>77</v>
      </c>
      <c r="K19">
        <v>79</v>
      </c>
      <c r="L19">
        <v>1</v>
      </c>
      <c r="N19" s="357" t="s">
        <v>174</v>
      </c>
      <c r="O19">
        <v>2</v>
      </c>
    </row>
    <row r="20" spans="1:15" x14ac:dyDescent="0.2">
      <c r="A20" s="395" t="s">
        <v>211</v>
      </c>
      <c r="B20" s="392">
        <v>2</v>
      </c>
      <c r="C20" s="392">
        <v>12</v>
      </c>
      <c r="I20">
        <v>78</v>
      </c>
      <c r="J20">
        <v>78</v>
      </c>
      <c r="K20">
        <v>80</v>
      </c>
      <c r="L20">
        <v>1</v>
      </c>
      <c r="N20" s="357" t="s">
        <v>248</v>
      </c>
      <c r="O20">
        <v>3</v>
      </c>
    </row>
    <row r="21" spans="1:15" x14ac:dyDescent="0.2">
      <c r="A21" s="395" t="s">
        <v>230</v>
      </c>
      <c r="B21" s="392">
        <v>2</v>
      </c>
      <c r="C21" s="392">
        <v>16</v>
      </c>
      <c r="I21">
        <v>79</v>
      </c>
      <c r="J21">
        <v>79</v>
      </c>
      <c r="K21">
        <v>81</v>
      </c>
      <c r="L21">
        <v>1</v>
      </c>
      <c r="N21" s="357" t="s">
        <v>253</v>
      </c>
      <c r="O21">
        <v>4</v>
      </c>
    </row>
    <row r="22" spans="1:15" x14ac:dyDescent="0.2">
      <c r="A22" s="395" t="s">
        <v>232</v>
      </c>
      <c r="B22" s="392">
        <v>2</v>
      </c>
      <c r="C22" s="392">
        <v>17</v>
      </c>
      <c r="I22">
        <v>80</v>
      </c>
      <c r="J22">
        <v>80</v>
      </c>
      <c r="K22">
        <v>82</v>
      </c>
      <c r="L22">
        <v>1</v>
      </c>
      <c r="N22" s="357" t="s">
        <v>412</v>
      </c>
      <c r="O22">
        <v>5</v>
      </c>
    </row>
    <row r="23" spans="1:15" x14ac:dyDescent="0.2">
      <c r="A23" s="395" t="s">
        <v>217</v>
      </c>
      <c r="B23" s="392">
        <v>2</v>
      </c>
      <c r="C23" s="392">
        <v>13</v>
      </c>
      <c r="I23">
        <v>81</v>
      </c>
      <c r="J23">
        <v>81</v>
      </c>
      <c r="K23">
        <v>83</v>
      </c>
      <c r="L23">
        <v>1</v>
      </c>
      <c r="N23" s="357" t="s">
        <v>492</v>
      </c>
      <c r="O23">
        <v>6</v>
      </c>
    </row>
    <row r="24" spans="1:15" x14ac:dyDescent="0.2">
      <c r="A24" s="395" t="s">
        <v>221</v>
      </c>
      <c r="B24" s="392">
        <v>2</v>
      </c>
      <c r="C24" s="392">
        <v>14</v>
      </c>
      <c r="I24">
        <v>82</v>
      </c>
      <c r="J24">
        <v>82</v>
      </c>
      <c r="K24">
        <v>84</v>
      </c>
      <c r="L24">
        <v>1</v>
      </c>
      <c r="N24" s="357" t="s">
        <v>547</v>
      </c>
      <c r="O24">
        <v>7</v>
      </c>
    </row>
    <row r="25" spans="1:15" x14ac:dyDescent="0.2">
      <c r="A25" s="395" t="s">
        <v>206</v>
      </c>
      <c r="B25" s="392">
        <v>2</v>
      </c>
      <c r="C25" s="392">
        <v>9</v>
      </c>
      <c r="I25">
        <v>83</v>
      </c>
      <c r="J25">
        <v>83</v>
      </c>
      <c r="K25">
        <v>86</v>
      </c>
      <c r="L25">
        <v>1</v>
      </c>
      <c r="N25" t="s">
        <v>450</v>
      </c>
      <c r="O25">
        <v>8</v>
      </c>
    </row>
    <row r="26" spans="1:15" x14ac:dyDescent="0.2">
      <c r="A26" s="395" t="s">
        <v>224</v>
      </c>
      <c r="B26" s="392">
        <v>2</v>
      </c>
      <c r="C26" s="392">
        <v>15</v>
      </c>
      <c r="I26">
        <v>84</v>
      </c>
      <c r="J26">
        <v>84</v>
      </c>
      <c r="K26">
        <v>87</v>
      </c>
      <c r="L26">
        <v>1</v>
      </c>
      <c r="N26" t="s">
        <v>421</v>
      </c>
      <c r="O26">
        <v>9</v>
      </c>
    </row>
    <row r="27" spans="1:15" x14ac:dyDescent="0.2">
      <c r="A27" s="394" t="s">
        <v>131</v>
      </c>
      <c r="B27" s="392">
        <v>1</v>
      </c>
      <c r="C27" s="392">
        <v>1</v>
      </c>
      <c r="I27">
        <v>86</v>
      </c>
      <c r="J27">
        <v>86</v>
      </c>
      <c r="K27">
        <v>88</v>
      </c>
      <c r="L27">
        <v>1</v>
      </c>
      <c r="N27" t="s">
        <v>561</v>
      </c>
      <c r="O27">
        <v>10</v>
      </c>
    </row>
    <row r="28" spans="1:15" x14ac:dyDescent="0.2">
      <c r="A28" s="395" t="s">
        <v>147</v>
      </c>
      <c r="B28" s="392">
        <v>1</v>
      </c>
      <c r="C28" s="392">
        <v>5</v>
      </c>
      <c r="I28">
        <v>87</v>
      </c>
      <c r="J28">
        <v>87</v>
      </c>
      <c r="K28">
        <v>89</v>
      </c>
      <c r="L28">
        <v>1</v>
      </c>
      <c r="N28" t="s">
        <v>594</v>
      </c>
      <c r="O28">
        <v>11</v>
      </c>
    </row>
    <row r="29" spans="1:15" x14ac:dyDescent="0.2">
      <c r="A29" s="395" t="s">
        <v>174</v>
      </c>
      <c r="B29" s="392">
        <v>1</v>
      </c>
      <c r="C29" s="392">
        <v>7</v>
      </c>
      <c r="I29">
        <v>88</v>
      </c>
      <c r="J29">
        <v>88</v>
      </c>
      <c r="K29">
        <v>90</v>
      </c>
      <c r="L29">
        <v>1</v>
      </c>
      <c r="N29" t="s">
        <v>551</v>
      </c>
      <c r="O29">
        <v>12</v>
      </c>
    </row>
    <row r="30" spans="1:15" x14ac:dyDescent="0.2">
      <c r="A30" s="395" t="s">
        <v>141</v>
      </c>
      <c r="B30" s="392">
        <v>1</v>
      </c>
      <c r="C30" s="392">
        <v>4</v>
      </c>
      <c r="I30">
        <v>89</v>
      </c>
      <c r="J30">
        <v>89</v>
      </c>
      <c r="K30">
        <v>91</v>
      </c>
      <c r="L30">
        <v>1</v>
      </c>
      <c r="N30" t="s">
        <v>582</v>
      </c>
      <c r="O30">
        <v>13</v>
      </c>
    </row>
    <row r="31" spans="1:15" x14ac:dyDescent="0.2">
      <c r="A31" s="395" t="s">
        <v>133</v>
      </c>
      <c r="B31" s="392">
        <v>1</v>
      </c>
      <c r="C31" s="392">
        <v>2</v>
      </c>
      <c r="I31">
        <v>90</v>
      </c>
      <c r="J31">
        <v>90</v>
      </c>
      <c r="K31">
        <v>92</v>
      </c>
      <c r="L31">
        <v>1</v>
      </c>
    </row>
    <row r="32" spans="1:15" x14ac:dyDescent="0.2">
      <c r="A32" s="395" t="s">
        <v>12</v>
      </c>
      <c r="B32" s="392">
        <v>1</v>
      </c>
      <c r="C32" s="392">
        <v>1</v>
      </c>
      <c r="I32">
        <v>91</v>
      </c>
      <c r="J32">
        <v>91</v>
      </c>
      <c r="K32">
        <v>114</v>
      </c>
      <c r="L32">
        <v>1</v>
      </c>
    </row>
    <row r="33" spans="1:12" x14ac:dyDescent="0.2">
      <c r="A33" s="395" t="s">
        <v>153</v>
      </c>
      <c r="B33" s="392">
        <v>1</v>
      </c>
      <c r="C33" s="392">
        <v>6</v>
      </c>
      <c r="I33">
        <v>92</v>
      </c>
      <c r="J33">
        <v>92</v>
      </c>
      <c r="K33">
        <v>123</v>
      </c>
      <c r="L33">
        <v>1</v>
      </c>
    </row>
    <row r="34" spans="1:12" x14ac:dyDescent="0.2">
      <c r="A34" s="395" t="s">
        <v>137</v>
      </c>
      <c r="B34" s="392">
        <v>1</v>
      </c>
      <c r="C34" s="392">
        <v>3</v>
      </c>
      <c r="I34">
        <v>114</v>
      </c>
      <c r="J34">
        <v>114</v>
      </c>
      <c r="K34">
        <v>134</v>
      </c>
      <c r="L34">
        <v>1</v>
      </c>
    </row>
    <row r="35" spans="1:12" x14ac:dyDescent="0.2">
      <c r="A35" s="394" t="s">
        <v>641</v>
      </c>
      <c r="B35" s="392"/>
      <c r="C35" s="392"/>
      <c r="I35">
        <v>123</v>
      </c>
      <c r="J35">
        <v>123</v>
      </c>
      <c r="K35">
        <v>135</v>
      </c>
      <c r="L35">
        <v>1</v>
      </c>
    </row>
    <row r="36" spans="1:12" x14ac:dyDescent="0.2">
      <c r="A36" s="395" t="s">
        <v>629</v>
      </c>
      <c r="B36" s="392"/>
      <c r="C36" s="392"/>
      <c r="I36">
        <v>134</v>
      </c>
      <c r="J36">
        <v>134</v>
      </c>
      <c r="K36">
        <v>136</v>
      </c>
      <c r="L36">
        <v>1</v>
      </c>
    </row>
    <row r="37" spans="1:12" x14ac:dyDescent="0.2">
      <c r="A37" s="395" t="s">
        <v>644</v>
      </c>
      <c r="B37" s="392"/>
      <c r="C37" s="392"/>
      <c r="I37">
        <v>135</v>
      </c>
      <c r="J37">
        <v>135</v>
      </c>
      <c r="K37">
        <v>137</v>
      </c>
      <c r="L37">
        <v>1</v>
      </c>
    </row>
    <row r="38" spans="1:12" x14ac:dyDescent="0.2">
      <c r="A38" s="395" t="s">
        <v>645</v>
      </c>
      <c r="B38" s="392"/>
      <c r="C38" s="392"/>
      <c r="I38">
        <v>136</v>
      </c>
      <c r="J38">
        <v>136</v>
      </c>
      <c r="K38">
        <v>138</v>
      </c>
      <c r="L38">
        <v>1</v>
      </c>
    </row>
    <row r="39" spans="1:12" x14ac:dyDescent="0.2">
      <c r="A39" s="395" t="s">
        <v>643</v>
      </c>
      <c r="B39" s="392"/>
      <c r="C39" s="392"/>
      <c r="I39">
        <v>137</v>
      </c>
      <c r="J39">
        <v>137</v>
      </c>
      <c r="K39">
        <v>139</v>
      </c>
      <c r="L39">
        <v>1</v>
      </c>
    </row>
    <row r="40" spans="1:12" x14ac:dyDescent="0.2">
      <c r="A40" s="395" t="s">
        <v>642</v>
      </c>
      <c r="B40" s="392"/>
      <c r="C40" s="392"/>
      <c r="I40">
        <v>138</v>
      </c>
      <c r="J40">
        <v>138</v>
      </c>
      <c r="K40">
        <v>140</v>
      </c>
      <c r="L40">
        <v>1</v>
      </c>
    </row>
    <row r="41" spans="1:12" x14ac:dyDescent="0.2">
      <c r="A41" s="395" t="s">
        <v>638</v>
      </c>
      <c r="B41" s="392"/>
      <c r="C41" s="392"/>
      <c r="I41">
        <v>139</v>
      </c>
      <c r="J41">
        <v>139</v>
      </c>
      <c r="K41">
        <v>142</v>
      </c>
      <c r="L41">
        <v>1</v>
      </c>
    </row>
    <row r="42" spans="1:12" x14ac:dyDescent="0.2">
      <c r="A42" s="395" t="s">
        <v>648</v>
      </c>
      <c r="B42" s="392"/>
      <c r="C42" s="392"/>
      <c r="I42">
        <v>140</v>
      </c>
      <c r="J42">
        <v>140</v>
      </c>
      <c r="K42">
        <v>143</v>
      </c>
      <c r="L42">
        <v>1</v>
      </c>
    </row>
    <row r="43" spans="1:12" x14ac:dyDescent="0.2">
      <c r="A43" s="395" t="s">
        <v>649</v>
      </c>
      <c r="B43" s="392"/>
      <c r="C43" s="392"/>
      <c r="I43">
        <v>142</v>
      </c>
      <c r="J43">
        <v>142</v>
      </c>
      <c r="K43">
        <v>158</v>
      </c>
      <c r="L43">
        <v>1</v>
      </c>
    </row>
    <row r="44" spans="1:12" x14ac:dyDescent="0.2">
      <c r="A44" s="395" t="s">
        <v>647</v>
      </c>
      <c r="B44" s="392"/>
      <c r="C44" s="392"/>
      <c r="I44">
        <v>143</v>
      </c>
      <c r="J44">
        <v>143</v>
      </c>
      <c r="K44">
        <v>159</v>
      </c>
      <c r="L44">
        <v>1</v>
      </c>
    </row>
    <row r="45" spans="1:12" x14ac:dyDescent="0.2">
      <c r="A45" s="395" t="s">
        <v>646</v>
      </c>
      <c r="B45" s="392"/>
      <c r="C45" s="392"/>
      <c r="I45">
        <v>158</v>
      </c>
      <c r="J45">
        <v>158</v>
      </c>
      <c r="K45">
        <v>160</v>
      </c>
      <c r="L45">
        <v>1</v>
      </c>
    </row>
    <row r="46" spans="1:12" x14ac:dyDescent="0.2">
      <c r="A46" s="394" t="s">
        <v>421</v>
      </c>
      <c r="B46" s="392">
        <v>8</v>
      </c>
      <c r="C46" s="392">
        <v>58</v>
      </c>
      <c r="I46">
        <v>159</v>
      </c>
      <c r="J46">
        <v>159</v>
      </c>
      <c r="K46">
        <v>186</v>
      </c>
      <c r="L46">
        <v>1</v>
      </c>
    </row>
    <row r="47" spans="1:12" x14ac:dyDescent="0.2">
      <c r="A47" s="395" t="s">
        <v>441</v>
      </c>
      <c r="B47" s="392">
        <v>8</v>
      </c>
      <c r="C47" s="392">
        <v>60</v>
      </c>
      <c r="I47">
        <v>160</v>
      </c>
      <c r="J47">
        <v>160</v>
      </c>
      <c r="K47">
        <v>187</v>
      </c>
      <c r="L47">
        <v>1</v>
      </c>
    </row>
    <row r="48" spans="1:12" x14ac:dyDescent="0.2">
      <c r="A48" s="395" t="s">
        <v>443</v>
      </c>
      <c r="B48" s="392">
        <v>8</v>
      </c>
      <c r="C48" s="392">
        <v>61</v>
      </c>
      <c r="I48">
        <v>186</v>
      </c>
      <c r="J48">
        <v>186</v>
      </c>
      <c r="K48">
        <v>188</v>
      </c>
      <c r="L48">
        <v>1</v>
      </c>
    </row>
    <row r="49" spans="1:12" x14ac:dyDescent="0.2">
      <c r="A49" s="395" t="s">
        <v>422</v>
      </c>
      <c r="B49" s="392">
        <v>8</v>
      </c>
      <c r="C49" s="392">
        <v>58</v>
      </c>
      <c r="I49">
        <v>187</v>
      </c>
      <c r="J49">
        <v>187</v>
      </c>
      <c r="K49">
        <v>189</v>
      </c>
      <c r="L49">
        <v>1</v>
      </c>
    </row>
    <row r="50" spans="1:12" x14ac:dyDescent="0.2">
      <c r="A50" s="395" t="s">
        <v>429</v>
      </c>
      <c r="B50" s="392">
        <v>8</v>
      </c>
      <c r="C50" s="392">
        <v>59</v>
      </c>
      <c r="I50">
        <v>188</v>
      </c>
      <c r="J50">
        <v>188</v>
      </c>
      <c r="K50">
        <v>190</v>
      </c>
      <c r="L50">
        <v>1</v>
      </c>
    </row>
    <row r="51" spans="1:12" x14ac:dyDescent="0.2">
      <c r="A51" s="394" t="s">
        <v>594</v>
      </c>
      <c r="B51" s="392">
        <v>15</v>
      </c>
      <c r="C51" s="392">
        <v>90</v>
      </c>
      <c r="I51">
        <v>189</v>
      </c>
      <c r="J51">
        <v>189</v>
      </c>
      <c r="K51">
        <v>191</v>
      </c>
      <c r="L51">
        <v>1</v>
      </c>
    </row>
    <row r="52" spans="1:12" x14ac:dyDescent="0.2">
      <c r="A52" s="395" t="s">
        <v>595</v>
      </c>
      <c r="B52" s="392">
        <v>15</v>
      </c>
      <c r="C52" s="392">
        <v>90</v>
      </c>
      <c r="I52">
        <v>190</v>
      </c>
      <c r="J52">
        <v>190</v>
      </c>
      <c r="K52">
        <v>192</v>
      </c>
      <c r="L52">
        <v>1</v>
      </c>
    </row>
    <row r="53" spans="1:12" x14ac:dyDescent="0.2">
      <c r="A53" s="395" t="s">
        <v>598</v>
      </c>
      <c r="B53" s="392">
        <v>15</v>
      </c>
      <c r="C53" s="392">
        <v>91</v>
      </c>
      <c r="I53">
        <v>191</v>
      </c>
      <c r="J53">
        <v>191</v>
      </c>
      <c r="K53">
        <v>244</v>
      </c>
      <c r="L53">
        <v>1</v>
      </c>
    </row>
    <row r="54" spans="1:12" x14ac:dyDescent="0.2">
      <c r="A54" s="395" t="s">
        <v>601</v>
      </c>
      <c r="B54" s="392">
        <v>15</v>
      </c>
      <c r="C54" s="392">
        <v>92</v>
      </c>
      <c r="I54">
        <v>192</v>
      </c>
      <c r="J54">
        <v>192</v>
      </c>
      <c r="K54">
        <v>270</v>
      </c>
      <c r="L54">
        <v>1</v>
      </c>
    </row>
    <row r="55" spans="1:12" x14ac:dyDescent="0.2">
      <c r="A55" s="395" t="s">
        <v>615</v>
      </c>
      <c r="B55" s="392">
        <v>15</v>
      </c>
      <c r="C55" s="392">
        <v>94</v>
      </c>
      <c r="I55">
        <v>244</v>
      </c>
      <c r="J55">
        <v>244</v>
      </c>
      <c r="K55">
        <v>271</v>
      </c>
      <c r="L55">
        <v>1</v>
      </c>
    </row>
    <row r="56" spans="1:12" x14ac:dyDescent="0.2">
      <c r="A56" s="395" t="s">
        <v>610</v>
      </c>
      <c r="B56" s="392">
        <v>15</v>
      </c>
      <c r="C56" s="392">
        <v>93</v>
      </c>
      <c r="I56">
        <v>270</v>
      </c>
      <c r="J56">
        <v>270</v>
      </c>
      <c r="K56">
        <v>272</v>
      </c>
      <c r="L56">
        <v>1</v>
      </c>
    </row>
    <row r="57" spans="1:12" x14ac:dyDescent="0.2">
      <c r="A57" s="394" t="s">
        <v>582</v>
      </c>
      <c r="B57" s="392">
        <v>14</v>
      </c>
      <c r="C57" s="392">
        <v>87</v>
      </c>
      <c r="I57">
        <v>271</v>
      </c>
      <c r="J57">
        <v>271</v>
      </c>
      <c r="K57">
        <v>273</v>
      </c>
      <c r="L57">
        <v>1</v>
      </c>
    </row>
    <row r="58" spans="1:12" x14ac:dyDescent="0.2">
      <c r="A58" s="395" t="s">
        <v>586</v>
      </c>
      <c r="B58" s="392">
        <v>14</v>
      </c>
      <c r="C58" s="392">
        <v>88</v>
      </c>
      <c r="I58">
        <v>272</v>
      </c>
      <c r="J58">
        <v>272</v>
      </c>
      <c r="K58">
        <v>274</v>
      </c>
      <c r="L58">
        <v>1</v>
      </c>
    </row>
    <row r="59" spans="1:12" x14ac:dyDescent="0.2">
      <c r="A59" s="395" t="s">
        <v>589</v>
      </c>
      <c r="B59" s="392">
        <v>14</v>
      </c>
      <c r="C59" s="392">
        <v>89</v>
      </c>
      <c r="I59">
        <v>273</v>
      </c>
      <c r="J59">
        <v>273</v>
      </c>
      <c r="K59">
        <v>275</v>
      </c>
      <c r="L59">
        <v>1</v>
      </c>
    </row>
    <row r="60" spans="1:12" x14ac:dyDescent="0.2">
      <c r="A60" s="395" t="s">
        <v>583</v>
      </c>
      <c r="B60" s="392">
        <v>14</v>
      </c>
      <c r="C60" s="392">
        <v>87</v>
      </c>
      <c r="I60">
        <v>274</v>
      </c>
      <c r="J60">
        <v>274</v>
      </c>
      <c r="K60">
        <v>358</v>
      </c>
      <c r="L60">
        <v>1</v>
      </c>
    </row>
    <row r="61" spans="1:12" x14ac:dyDescent="0.2">
      <c r="A61" s="394" t="s">
        <v>450</v>
      </c>
      <c r="B61" s="392">
        <v>9</v>
      </c>
      <c r="C61" s="392">
        <v>62</v>
      </c>
      <c r="I61">
        <v>275</v>
      </c>
      <c r="J61">
        <v>275</v>
      </c>
      <c r="K61">
        <v>359</v>
      </c>
      <c r="L61">
        <v>1</v>
      </c>
    </row>
    <row r="62" spans="1:12" x14ac:dyDescent="0.2">
      <c r="A62" s="395" t="s">
        <v>470</v>
      </c>
      <c r="B62" s="392">
        <v>9</v>
      </c>
      <c r="C62" s="392">
        <v>66</v>
      </c>
      <c r="I62">
        <v>358</v>
      </c>
      <c r="J62">
        <v>358</v>
      </c>
      <c r="K62">
        <v>360</v>
      </c>
      <c r="L62">
        <v>1</v>
      </c>
    </row>
    <row r="63" spans="1:12" x14ac:dyDescent="0.2">
      <c r="A63" s="395" t="s">
        <v>483</v>
      </c>
      <c r="B63" s="392">
        <v>9</v>
      </c>
      <c r="C63" s="392">
        <v>67</v>
      </c>
      <c r="I63">
        <v>359</v>
      </c>
      <c r="J63">
        <v>359</v>
      </c>
      <c r="K63">
        <v>361</v>
      </c>
      <c r="L63">
        <v>1</v>
      </c>
    </row>
    <row r="64" spans="1:12" x14ac:dyDescent="0.2">
      <c r="A64" s="395" t="s">
        <v>456</v>
      </c>
      <c r="B64" s="392">
        <v>9</v>
      </c>
      <c r="C64" s="392">
        <v>63</v>
      </c>
      <c r="I64">
        <v>360</v>
      </c>
      <c r="J64">
        <v>360</v>
      </c>
      <c r="K64">
        <v>364</v>
      </c>
      <c r="L64">
        <v>1</v>
      </c>
    </row>
    <row r="65" spans="1:12" x14ac:dyDescent="0.2">
      <c r="A65" s="395" t="s">
        <v>451</v>
      </c>
      <c r="B65" s="392">
        <v>9</v>
      </c>
      <c r="C65" s="392">
        <v>62</v>
      </c>
      <c r="I65">
        <v>361</v>
      </c>
      <c r="J65">
        <v>361</v>
      </c>
      <c r="K65">
        <v>365</v>
      </c>
      <c r="L65">
        <v>1</v>
      </c>
    </row>
    <row r="66" spans="1:12" x14ac:dyDescent="0.2">
      <c r="A66" s="395" t="s">
        <v>459</v>
      </c>
      <c r="B66" s="392">
        <v>9</v>
      </c>
      <c r="C66" s="392">
        <v>64</v>
      </c>
      <c r="I66">
        <v>364</v>
      </c>
      <c r="J66">
        <v>364</v>
      </c>
      <c r="K66">
        <v>366</v>
      </c>
      <c r="L66">
        <v>1</v>
      </c>
    </row>
    <row r="67" spans="1:12" x14ac:dyDescent="0.2">
      <c r="A67" s="395" t="s">
        <v>462</v>
      </c>
      <c r="B67" s="392">
        <v>9</v>
      </c>
      <c r="C67" s="392">
        <v>65</v>
      </c>
      <c r="I67">
        <v>365</v>
      </c>
      <c r="J67">
        <v>365</v>
      </c>
      <c r="K67">
        <v>367</v>
      </c>
      <c r="L67">
        <v>1</v>
      </c>
    </row>
    <row r="68" spans="1:12" x14ac:dyDescent="0.2">
      <c r="A68" s="395" t="s">
        <v>485</v>
      </c>
      <c r="B68" s="392">
        <v>9</v>
      </c>
      <c r="C68" s="392">
        <v>68</v>
      </c>
      <c r="I68">
        <v>366</v>
      </c>
      <c r="J68">
        <v>366</v>
      </c>
      <c r="K68">
        <v>368</v>
      </c>
      <c r="L68">
        <v>1</v>
      </c>
    </row>
    <row r="69" spans="1:12" x14ac:dyDescent="0.2">
      <c r="A69" s="394" t="s">
        <v>547</v>
      </c>
      <c r="B69" s="392">
        <v>11</v>
      </c>
      <c r="C69" s="392">
        <v>82</v>
      </c>
      <c r="I69">
        <v>367</v>
      </c>
      <c r="J69">
        <v>367</v>
      </c>
      <c r="K69">
        <v>369</v>
      </c>
      <c r="L69">
        <v>1</v>
      </c>
    </row>
    <row r="70" spans="1:12" x14ac:dyDescent="0.2">
      <c r="A70" s="395" t="s">
        <v>547</v>
      </c>
      <c r="B70" s="392">
        <v>11</v>
      </c>
      <c r="C70" s="392">
        <v>82</v>
      </c>
      <c r="I70">
        <v>368</v>
      </c>
      <c r="J70">
        <v>368</v>
      </c>
      <c r="K70">
        <v>370</v>
      </c>
      <c r="L70">
        <v>1</v>
      </c>
    </row>
    <row r="71" spans="1:12" x14ac:dyDescent="0.2">
      <c r="A71" s="394" t="s">
        <v>492</v>
      </c>
      <c r="B71" s="392">
        <v>10</v>
      </c>
      <c r="C71" s="392">
        <v>69</v>
      </c>
      <c r="I71">
        <v>369</v>
      </c>
      <c r="J71">
        <v>369</v>
      </c>
      <c r="K71">
        <v>372</v>
      </c>
      <c r="L71">
        <v>1</v>
      </c>
    </row>
    <row r="72" spans="1:12" x14ac:dyDescent="0.2">
      <c r="A72" s="395" t="s">
        <v>506</v>
      </c>
      <c r="B72" s="392">
        <v>10</v>
      </c>
      <c r="C72" s="392">
        <v>70</v>
      </c>
      <c r="I72">
        <v>370</v>
      </c>
      <c r="J72">
        <v>370</v>
      </c>
      <c r="K72">
        <v>373</v>
      </c>
      <c r="L72">
        <v>1</v>
      </c>
    </row>
    <row r="73" spans="1:12" x14ac:dyDescent="0.2">
      <c r="A73" s="395" t="s">
        <v>529</v>
      </c>
      <c r="B73" s="392">
        <v>10</v>
      </c>
      <c r="C73" s="392">
        <v>76</v>
      </c>
      <c r="I73">
        <v>372</v>
      </c>
      <c r="J73">
        <v>372</v>
      </c>
      <c r="K73">
        <v>374</v>
      </c>
      <c r="L73">
        <v>1</v>
      </c>
    </row>
    <row r="74" spans="1:12" x14ac:dyDescent="0.2">
      <c r="A74" s="395" t="s">
        <v>525</v>
      </c>
      <c r="B74" s="392">
        <v>10</v>
      </c>
      <c r="C74" s="392">
        <v>75</v>
      </c>
      <c r="I74">
        <v>373</v>
      </c>
      <c r="J74">
        <v>373</v>
      </c>
      <c r="K74">
        <v>375</v>
      </c>
      <c r="L74">
        <v>1</v>
      </c>
    </row>
    <row r="75" spans="1:12" x14ac:dyDescent="0.2">
      <c r="A75" s="395" t="s">
        <v>541</v>
      </c>
      <c r="B75" s="392">
        <v>10</v>
      </c>
      <c r="C75" s="392">
        <v>81</v>
      </c>
      <c r="I75">
        <v>374</v>
      </c>
      <c r="J75">
        <v>374</v>
      </c>
      <c r="K75">
        <v>376</v>
      </c>
      <c r="L75">
        <v>1</v>
      </c>
    </row>
    <row r="76" spans="1:12" x14ac:dyDescent="0.2">
      <c r="A76" s="395" t="s">
        <v>534</v>
      </c>
      <c r="B76" s="392">
        <v>10</v>
      </c>
      <c r="C76" s="392">
        <v>78</v>
      </c>
      <c r="I76">
        <v>375</v>
      </c>
      <c r="J76">
        <v>375</v>
      </c>
      <c r="K76">
        <v>377</v>
      </c>
      <c r="L76">
        <v>1</v>
      </c>
    </row>
    <row r="77" spans="1:12" x14ac:dyDescent="0.2">
      <c r="A77" s="395" t="s">
        <v>518</v>
      </c>
      <c r="B77" s="392">
        <v>10</v>
      </c>
      <c r="C77" s="392">
        <v>73</v>
      </c>
      <c r="I77">
        <v>376</v>
      </c>
      <c r="J77">
        <v>376</v>
      </c>
      <c r="K77">
        <v>378</v>
      </c>
      <c r="L77">
        <v>1</v>
      </c>
    </row>
    <row r="78" spans="1:12" x14ac:dyDescent="0.2">
      <c r="A78" s="395" t="s">
        <v>540</v>
      </c>
      <c r="B78" s="392">
        <v>10</v>
      </c>
      <c r="C78" s="392">
        <v>80</v>
      </c>
      <c r="I78">
        <v>377</v>
      </c>
      <c r="J78">
        <v>377</v>
      </c>
      <c r="K78">
        <v>379</v>
      </c>
      <c r="L78">
        <v>1</v>
      </c>
    </row>
    <row r="79" spans="1:12" x14ac:dyDescent="0.2">
      <c r="A79" s="395" t="s">
        <v>513</v>
      </c>
      <c r="B79" s="392">
        <v>10</v>
      </c>
      <c r="C79" s="392">
        <v>72</v>
      </c>
      <c r="I79">
        <v>378</v>
      </c>
      <c r="J79">
        <v>378</v>
      </c>
      <c r="K79">
        <v>381</v>
      </c>
      <c r="L79">
        <v>1</v>
      </c>
    </row>
    <row r="80" spans="1:12" x14ac:dyDescent="0.2">
      <c r="A80" s="395" t="s">
        <v>493</v>
      </c>
      <c r="B80" s="392">
        <v>10</v>
      </c>
      <c r="C80" s="392">
        <v>69</v>
      </c>
      <c r="I80">
        <v>379</v>
      </c>
      <c r="J80">
        <v>379</v>
      </c>
      <c r="K80">
        <v>382</v>
      </c>
      <c r="L80">
        <v>1</v>
      </c>
    </row>
    <row r="81" spans="1:12" x14ac:dyDescent="0.2">
      <c r="A81" s="395" t="s">
        <v>510</v>
      </c>
      <c r="B81" s="392">
        <v>10</v>
      </c>
      <c r="C81" s="392">
        <v>71</v>
      </c>
      <c r="I81">
        <v>381</v>
      </c>
      <c r="J81">
        <v>381</v>
      </c>
      <c r="K81">
        <v>383</v>
      </c>
      <c r="L81">
        <v>1</v>
      </c>
    </row>
    <row r="82" spans="1:12" x14ac:dyDescent="0.2">
      <c r="A82" s="395" t="s">
        <v>537</v>
      </c>
      <c r="B82" s="392">
        <v>10</v>
      </c>
      <c r="C82" s="392">
        <v>79</v>
      </c>
      <c r="I82">
        <v>382</v>
      </c>
      <c r="J82">
        <v>382</v>
      </c>
      <c r="K82">
        <v>384</v>
      </c>
      <c r="L82">
        <v>1</v>
      </c>
    </row>
    <row r="83" spans="1:12" x14ac:dyDescent="0.2">
      <c r="A83" s="395" t="s">
        <v>523</v>
      </c>
      <c r="B83" s="392">
        <v>10</v>
      </c>
      <c r="C83" s="392">
        <v>74</v>
      </c>
      <c r="I83">
        <v>383</v>
      </c>
      <c r="J83">
        <v>383</v>
      </c>
      <c r="K83">
        <v>385</v>
      </c>
      <c r="L83">
        <v>1</v>
      </c>
    </row>
    <row r="84" spans="1:12" x14ac:dyDescent="0.2">
      <c r="A84" s="395" t="s">
        <v>533</v>
      </c>
      <c r="B84" s="392">
        <v>10</v>
      </c>
      <c r="C84" s="392">
        <v>77</v>
      </c>
      <c r="I84">
        <v>384</v>
      </c>
      <c r="J84">
        <v>384</v>
      </c>
      <c r="K84">
        <v>386</v>
      </c>
      <c r="L84">
        <v>1</v>
      </c>
    </row>
    <row r="85" spans="1:12" x14ac:dyDescent="0.2">
      <c r="A85" s="394" t="s">
        <v>405</v>
      </c>
      <c r="B85" s="392">
        <v>6</v>
      </c>
      <c r="C85" s="392">
        <v>54</v>
      </c>
      <c r="I85">
        <v>385</v>
      </c>
      <c r="J85">
        <v>385</v>
      </c>
      <c r="K85">
        <v>387</v>
      </c>
      <c r="L85">
        <v>1</v>
      </c>
    </row>
    <row r="86" spans="1:12" x14ac:dyDescent="0.2">
      <c r="A86" s="395" t="s">
        <v>406</v>
      </c>
      <c r="B86" s="392">
        <v>6</v>
      </c>
      <c r="C86" s="392">
        <v>54</v>
      </c>
      <c r="I86">
        <v>386</v>
      </c>
      <c r="J86">
        <v>386</v>
      </c>
      <c r="K86">
        <v>388</v>
      </c>
      <c r="L86">
        <v>1</v>
      </c>
    </row>
    <row r="87" spans="1:12" x14ac:dyDescent="0.2">
      <c r="A87" s="394" t="s">
        <v>622</v>
      </c>
      <c r="B87" s="392"/>
      <c r="C87" s="392"/>
      <c r="I87">
        <v>387</v>
      </c>
      <c r="J87">
        <v>387</v>
      </c>
      <c r="K87">
        <v>389</v>
      </c>
      <c r="L87">
        <v>1</v>
      </c>
    </row>
    <row r="88" spans="1:12" x14ac:dyDescent="0.2">
      <c r="A88" s="395" t="s">
        <v>630</v>
      </c>
      <c r="B88" s="392"/>
      <c r="C88" s="392"/>
      <c r="I88">
        <v>388</v>
      </c>
      <c r="J88">
        <v>388</v>
      </c>
      <c r="K88">
        <v>390</v>
      </c>
      <c r="L88">
        <v>1</v>
      </c>
    </row>
    <row r="89" spans="1:12" x14ac:dyDescent="0.2">
      <c r="A89" s="395" t="s">
        <v>627</v>
      </c>
      <c r="B89" s="392"/>
      <c r="C89" s="392"/>
      <c r="I89">
        <v>389</v>
      </c>
      <c r="J89">
        <v>389</v>
      </c>
      <c r="K89">
        <v>391</v>
      </c>
      <c r="L89">
        <v>1</v>
      </c>
    </row>
    <row r="90" spans="1:12" x14ac:dyDescent="0.2">
      <c r="A90" s="395" t="s">
        <v>629</v>
      </c>
      <c r="B90" s="392"/>
      <c r="C90" s="392"/>
      <c r="I90">
        <v>390</v>
      </c>
      <c r="J90">
        <v>390</v>
      </c>
      <c r="K90">
        <v>455</v>
      </c>
      <c r="L90">
        <v>1</v>
      </c>
    </row>
    <row r="91" spans="1:12" x14ac:dyDescent="0.2">
      <c r="A91" s="395" t="s">
        <v>626</v>
      </c>
      <c r="B91" s="392"/>
      <c r="C91" s="392"/>
      <c r="I91">
        <v>391</v>
      </c>
      <c r="J91">
        <v>391</v>
      </c>
      <c r="K91">
        <v>463</v>
      </c>
      <c r="L91">
        <v>1</v>
      </c>
    </row>
    <row r="92" spans="1:12" x14ac:dyDescent="0.2">
      <c r="A92" s="395" t="s">
        <v>623</v>
      </c>
      <c r="B92" s="392"/>
      <c r="C92" s="392"/>
      <c r="I92">
        <v>455</v>
      </c>
      <c r="J92">
        <v>455</v>
      </c>
      <c r="K92">
        <v>464</v>
      </c>
      <c r="L92">
        <v>1</v>
      </c>
    </row>
    <row r="93" spans="1:12" x14ac:dyDescent="0.2">
      <c r="A93" s="395" t="s">
        <v>624</v>
      </c>
      <c r="B93" s="392"/>
      <c r="C93" s="392"/>
    </row>
    <row r="94" spans="1:12" x14ac:dyDescent="0.2">
      <c r="A94" s="395" t="s">
        <v>631</v>
      </c>
      <c r="B94" s="392"/>
      <c r="C94" s="392"/>
    </row>
    <row r="95" spans="1:12" x14ac:dyDescent="0.2">
      <c r="A95" s="395" t="s">
        <v>625</v>
      </c>
      <c r="B95" s="392"/>
      <c r="C95" s="392"/>
    </row>
    <row r="96" spans="1:12" x14ac:dyDescent="0.2">
      <c r="A96" s="395" t="s">
        <v>628</v>
      </c>
      <c r="B96" s="392"/>
      <c r="C96" s="392"/>
    </row>
    <row r="97" spans="1:3" x14ac:dyDescent="0.2">
      <c r="A97" s="395" t="s">
        <v>639</v>
      </c>
      <c r="B97" s="392"/>
      <c r="C97" s="392"/>
    </row>
    <row r="98" spans="1:3" x14ac:dyDescent="0.2">
      <c r="A98" s="395" t="s">
        <v>636</v>
      </c>
      <c r="B98" s="392"/>
      <c r="C98" s="392"/>
    </row>
    <row r="99" spans="1:3" x14ac:dyDescent="0.2">
      <c r="A99" s="395" t="s">
        <v>638</v>
      </c>
      <c r="B99" s="392"/>
      <c r="C99" s="392"/>
    </row>
    <row r="100" spans="1:3" x14ac:dyDescent="0.2">
      <c r="A100" s="395" t="s">
        <v>635</v>
      </c>
      <c r="B100" s="392"/>
      <c r="C100" s="392"/>
    </row>
    <row r="101" spans="1:3" x14ac:dyDescent="0.2">
      <c r="A101" s="395" t="s">
        <v>632</v>
      </c>
      <c r="B101" s="392"/>
      <c r="C101" s="392"/>
    </row>
    <row r="102" spans="1:3" x14ac:dyDescent="0.2">
      <c r="A102" s="395" t="s">
        <v>633</v>
      </c>
      <c r="B102" s="392"/>
      <c r="C102" s="392"/>
    </row>
    <row r="103" spans="1:3" x14ac:dyDescent="0.2">
      <c r="A103" s="395" t="s">
        <v>640</v>
      </c>
      <c r="B103" s="392"/>
      <c r="C103" s="392"/>
    </row>
    <row r="104" spans="1:3" x14ac:dyDescent="0.2">
      <c r="A104" s="395" t="s">
        <v>634</v>
      </c>
      <c r="B104" s="392"/>
      <c r="C104" s="392"/>
    </row>
    <row r="105" spans="1:3" x14ac:dyDescent="0.2">
      <c r="A105" s="395" t="s">
        <v>637</v>
      </c>
      <c r="B105" s="392"/>
      <c r="C105" s="392"/>
    </row>
    <row r="106" spans="1:3" x14ac:dyDescent="0.2">
      <c r="A106" s="394" t="s">
        <v>253</v>
      </c>
      <c r="B106" s="392">
        <v>5</v>
      </c>
      <c r="C106" s="392">
        <v>10</v>
      </c>
    </row>
    <row r="107" spans="1:3" x14ac:dyDescent="0.2">
      <c r="A107" s="395" t="s">
        <v>377</v>
      </c>
      <c r="B107" s="392">
        <v>5</v>
      </c>
      <c r="C107" s="392">
        <v>48</v>
      </c>
    </row>
    <row r="108" spans="1:3" x14ac:dyDescent="0.2">
      <c r="A108" s="395" t="s">
        <v>254</v>
      </c>
      <c r="B108" s="392">
        <v>5</v>
      </c>
      <c r="C108" s="392">
        <v>20</v>
      </c>
    </row>
    <row r="109" spans="1:3" x14ac:dyDescent="0.2">
      <c r="A109" s="395" t="s">
        <v>394</v>
      </c>
      <c r="B109" s="392">
        <v>5</v>
      </c>
      <c r="C109" s="392">
        <v>53</v>
      </c>
    </row>
    <row r="110" spans="1:3" x14ac:dyDescent="0.2">
      <c r="A110" s="395" t="s">
        <v>207</v>
      </c>
      <c r="B110" s="392">
        <v>5</v>
      </c>
      <c r="C110" s="392">
        <v>10</v>
      </c>
    </row>
    <row r="111" spans="1:3" x14ac:dyDescent="0.2">
      <c r="A111" s="395" t="s">
        <v>368</v>
      </c>
      <c r="B111" s="392">
        <v>5</v>
      </c>
      <c r="C111" s="392">
        <v>44</v>
      </c>
    </row>
    <row r="112" spans="1:3" x14ac:dyDescent="0.2">
      <c r="A112" s="395" t="s">
        <v>297</v>
      </c>
      <c r="B112" s="392">
        <v>5</v>
      </c>
      <c r="C112" s="392">
        <v>30</v>
      </c>
    </row>
    <row r="113" spans="1:3" x14ac:dyDescent="0.2">
      <c r="A113" s="395" t="s">
        <v>285</v>
      </c>
      <c r="B113" s="392">
        <v>5</v>
      </c>
      <c r="C113" s="392">
        <v>29</v>
      </c>
    </row>
    <row r="114" spans="1:3" x14ac:dyDescent="0.2">
      <c r="A114" s="395" t="s">
        <v>323</v>
      </c>
      <c r="B114" s="392">
        <v>5</v>
      </c>
      <c r="C114" s="392">
        <v>37</v>
      </c>
    </row>
    <row r="115" spans="1:3" x14ac:dyDescent="0.2">
      <c r="A115" s="395" t="s">
        <v>244</v>
      </c>
      <c r="B115" s="392">
        <v>5</v>
      </c>
      <c r="C115" s="392">
        <v>18</v>
      </c>
    </row>
    <row r="116" spans="1:3" x14ac:dyDescent="0.2">
      <c r="A116" s="395" t="s">
        <v>379</v>
      </c>
      <c r="B116" s="392">
        <v>5</v>
      </c>
      <c r="C116" s="392">
        <v>49</v>
      </c>
    </row>
    <row r="117" spans="1:3" x14ac:dyDescent="0.2">
      <c r="A117" s="395" t="s">
        <v>381</v>
      </c>
      <c r="B117" s="392">
        <v>5</v>
      </c>
      <c r="C117" s="392">
        <v>50</v>
      </c>
    </row>
    <row r="118" spans="1:3" x14ac:dyDescent="0.2">
      <c r="A118" s="395" t="s">
        <v>305</v>
      </c>
      <c r="B118" s="392">
        <v>5</v>
      </c>
      <c r="C118" s="392">
        <v>31</v>
      </c>
    </row>
    <row r="119" spans="1:3" x14ac:dyDescent="0.2">
      <c r="A119" s="395" t="s">
        <v>391</v>
      </c>
      <c r="B119" s="392">
        <v>5</v>
      </c>
      <c r="C119" s="392">
        <v>52</v>
      </c>
    </row>
    <row r="120" spans="1:3" x14ac:dyDescent="0.2">
      <c r="A120" s="395" t="s">
        <v>363</v>
      </c>
      <c r="B120" s="392">
        <v>5</v>
      </c>
      <c r="C120" s="392">
        <v>42</v>
      </c>
    </row>
    <row r="121" spans="1:3" x14ac:dyDescent="0.2">
      <c r="A121" s="395" t="s">
        <v>259</v>
      </c>
      <c r="B121" s="392">
        <v>5</v>
      </c>
      <c r="C121" s="392">
        <v>21</v>
      </c>
    </row>
    <row r="122" spans="1:3" x14ac:dyDescent="0.2">
      <c r="A122" s="395" t="s">
        <v>262</v>
      </c>
      <c r="B122" s="392">
        <v>5</v>
      </c>
      <c r="C122" s="392">
        <v>22</v>
      </c>
    </row>
    <row r="123" spans="1:3" x14ac:dyDescent="0.2">
      <c r="A123" s="395" t="s">
        <v>266</v>
      </c>
      <c r="B123" s="392">
        <v>5</v>
      </c>
      <c r="C123" s="392">
        <v>24</v>
      </c>
    </row>
    <row r="124" spans="1:3" x14ac:dyDescent="0.2">
      <c r="A124" s="395" t="s">
        <v>328</v>
      </c>
      <c r="B124" s="392">
        <v>5</v>
      </c>
      <c r="C124" s="392">
        <v>38</v>
      </c>
    </row>
    <row r="125" spans="1:3" x14ac:dyDescent="0.2">
      <c r="A125" s="395" t="s">
        <v>370</v>
      </c>
      <c r="B125" s="392">
        <v>5</v>
      </c>
      <c r="C125" s="392">
        <v>45</v>
      </c>
    </row>
    <row r="126" spans="1:3" x14ac:dyDescent="0.2">
      <c r="A126" s="395" t="s">
        <v>316</v>
      </c>
      <c r="B126" s="392">
        <v>5</v>
      </c>
      <c r="C126" s="392">
        <v>34</v>
      </c>
    </row>
    <row r="127" spans="1:3" x14ac:dyDescent="0.2">
      <c r="A127" s="395" t="s">
        <v>282</v>
      </c>
      <c r="B127" s="392">
        <v>5</v>
      </c>
      <c r="C127" s="392">
        <v>28</v>
      </c>
    </row>
    <row r="128" spans="1:3" x14ac:dyDescent="0.2">
      <c r="A128" s="395" t="s">
        <v>382</v>
      </c>
      <c r="B128" s="392">
        <v>5</v>
      </c>
      <c r="C128" s="392">
        <v>51</v>
      </c>
    </row>
    <row r="129" spans="1:3" x14ac:dyDescent="0.2">
      <c r="A129" s="395" t="s">
        <v>264</v>
      </c>
      <c r="B129" s="392">
        <v>5</v>
      </c>
      <c r="C129" s="392">
        <v>23</v>
      </c>
    </row>
    <row r="130" spans="1:3" x14ac:dyDescent="0.2">
      <c r="A130" s="395" t="s">
        <v>276</v>
      </c>
      <c r="B130" s="392">
        <v>5</v>
      </c>
      <c r="C130" s="392">
        <v>26</v>
      </c>
    </row>
    <row r="131" spans="1:3" x14ac:dyDescent="0.2">
      <c r="A131" s="395" t="s">
        <v>355</v>
      </c>
      <c r="B131" s="392">
        <v>5</v>
      </c>
      <c r="C131" s="392">
        <v>41</v>
      </c>
    </row>
    <row r="132" spans="1:3" x14ac:dyDescent="0.2">
      <c r="A132" s="395" t="s">
        <v>314</v>
      </c>
      <c r="B132" s="392">
        <v>5</v>
      </c>
      <c r="C132" s="392">
        <v>33</v>
      </c>
    </row>
    <row r="133" spans="1:3" x14ac:dyDescent="0.2">
      <c r="A133" s="395" t="s">
        <v>317</v>
      </c>
      <c r="B133" s="392">
        <v>5</v>
      </c>
      <c r="C133" s="392">
        <v>35</v>
      </c>
    </row>
    <row r="134" spans="1:3" x14ac:dyDescent="0.2">
      <c r="A134" s="395" t="s">
        <v>319</v>
      </c>
      <c r="B134" s="392">
        <v>5</v>
      </c>
      <c r="C134" s="392">
        <v>36</v>
      </c>
    </row>
    <row r="135" spans="1:3" x14ac:dyDescent="0.2">
      <c r="A135" s="395" t="s">
        <v>310</v>
      </c>
      <c r="B135" s="392">
        <v>5</v>
      </c>
      <c r="C135" s="392">
        <v>32</v>
      </c>
    </row>
    <row r="136" spans="1:3" x14ac:dyDescent="0.2">
      <c r="A136" s="395" t="s">
        <v>342</v>
      </c>
      <c r="B136" s="392">
        <v>5</v>
      </c>
      <c r="C136" s="392">
        <v>40</v>
      </c>
    </row>
    <row r="137" spans="1:3" x14ac:dyDescent="0.2">
      <c r="A137" s="395" t="s">
        <v>272</v>
      </c>
      <c r="B137" s="392">
        <v>5</v>
      </c>
      <c r="C137" s="392">
        <v>25</v>
      </c>
    </row>
    <row r="138" spans="1:3" x14ac:dyDescent="0.2">
      <c r="A138" s="395" t="s">
        <v>279</v>
      </c>
      <c r="B138" s="392">
        <v>5</v>
      </c>
      <c r="C138" s="392">
        <v>27</v>
      </c>
    </row>
    <row r="139" spans="1:3" x14ac:dyDescent="0.2">
      <c r="A139" s="395" t="s">
        <v>373</v>
      </c>
      <c r="B139" s="392">
        <v>5</v>
      </c>
      <c r="C139" s="392">
        <v>46</v>
      </c>
    </row>
    <row r="140" spans="1:3" x14ac:dyDescent="0.2">
      <c r="A140" s="395" t="s">
        <v>366</v>
      </c>
      <c r="B140" s="392">
        <v>5</v>
      </c>
      <c r="C140" s="392">
        <v>43</v>
      </c>
    </row>
    <row r="141" spans="1:3" x14ac:dyDescent="0.2">
      <c r="A141" s="395" t="s">
        <v>331</v>
      </c>
      <c r="B141" s="392">
        <v>5</v>
      </c>
      <c r="C141" s="392">
        <v>39</v>
      </c>
    </row>
    <row r="142" spans="1:3" x14ac:dyDescent="0.2">
      <c r="A142" s="395" t="s">
        <v>375</v>
      </c>
      <c r="B142" s="392">
        <v>5</v>
      </c>
      <c r="C142" s="392">
        <v>47</v>
      </c>
    </row>
    <row r="143" spans="1:3" x14ac:dyDescent="0.2">
      <c r="A143" s="394" t="s">
        <v>1277</v>
      </c>
      <c r="B143" s="392">
        <v>1</v>
      </c>
      <c r="C143" s="392">
        <v>1</v>
      </c>
    </row>
  </sheetData>
  <autoFilter ref="N17:O30" xr:uid="{C900DD90-7065-42F5-B04A-3EBB4912AC32}">
    <sortState xmlns:xlrd2="http://schemas.microsoft.com/office/spreadsheetml/2017/richdata2" ref="N18:O30">
      <sortCondition ref="O17:O30"/>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FE94C-B2FA-487C-AB7D-91BF15256597}">
  <sheetPr codeName="Sheet35" filterMode="1">
    <tabColor rgb="FFFF0000"/>
  </sheetPr>
  <dimension ref="A1:ED568"/>
  <sheetViews>
    <sheetView zoomScale="85" zoomScaleNormal="85" workbookViewId="0">
      <pane xSplit="6" ySplit="1" topLeftCell="G209" activePane="bottomRight" state="frozen"/>
      <selection pane="topRight" activeCell="H318" sqref="H318"/>
      <selection pane="bottomLeft" activeCell="H318" sqref="H318"/>
      <selection pane="bottomRight" activeCell="F2" sqref="F2:F461"/>
    </sheetView>
  </sheetViews>
  <sheetFormatPr baseColWidth="10" defaultColWidth="8.5" defaultRowHeight="15" x14ac:dyDescent="0.2"/>
  <cols>
    <col min="1" max="1" width="17" customWidth="1"/>
    <col min="2" max="2" width="22.5" customWidth="1"/>
    <col min="3" max="3" width="29" customWidth="1"/>
    <col min="4" max="4" width="15.6640625" bestFit="1" customWidth="1"/>
    <col min="5" max="5" width="19" bestFit="1" customWidth="1"/>
    <col min="6" max="6" width="67.5" customWidth="1"/>
    <col min="7" max="7" width="41.5" style="58" customWidth="1"/>
    <col min="8" max="8" width="82.5" customWidth="1"/>
    <col min="9" max="9" width="21.1640625" customWidth="1"/>
    <col min="10" max="10" width="26.5" style="58" bestFit="1" customWidth="1"/>
    <col min="11" max="11" width="22.5" customWidth="1"/>
    <col min="12" max="40" width="19.5" customWidth="1"/>
    <col min="41" max="41" width="26.5" customWidth="1"/>
    <col min="42" max="42" width="27.5" customWidth="1"/>
    <col min="43" max="43" width="22.83203125" customWidth="1"/>
    <col min="44" max="44" width="16.5" customWidth="1"/>
    <col min="45" max="55" width="19.5" customWidth="1"/>
    <col min="56" max="56" width="12.5" customWidth="1"/>
    <col min="57" max="73" width="19.5" customWidth="1"/>
    <col min="74" max="74" width="15.5" customWidth="1"/>
    <col min="75" max="77" width="19.5" customWidth="1"/>
    <col min="78" max="78" width="18.5" customWidth="1"/>
    <col min="79" max="79" width="37.5" customWidth="1"/>
    <col min="80" max="80" width="23.5" customWidth="1"/>
    <col min="81" max="81" width="15.5" customWidth="1"/>
    <col min="82" max="83" width="20.5" customWidth="1"/>
    <col min="84" max="84" width="14" customWidth="1"/>
    <col min="85" max="85" width="17.5" customWidth="1"/>
    <col min="86" max="94" width="20.5" customWidth="1"/>
    <col min="95" max="101" width="27.5" customWidth="1"/>
    <col min="102" max="106" width="49" customWidth="1"/>
    <col min="107" max="107" width="25.5" customWidth="1"/>
    <col min="108" max="108" width="43.5" customWidth="1"/>
    <col min="109" max="110" width="49" customWidth="1"/>
    <col min="111" max="111" width="23.5" customWidth="1"/>
    <col min="112" max="113" width="28.5" customWidth="1"/>
    <col min="114" max="114" width="22.5" customWidth="1"/>
    <col min="115" max="116" width="28.5" customWidth="1"/>
    <col min="117" max="117" width="25.5" customWidth="1"/>
    <col min="118" max="118" width="27.5" customWidth="1"/>
    <col min="119" max="121" width="28.5" customWidth="1"/>
    <col min="122" max="131" width="28.5" style="58" customWidth="1"/>
  </cols>
  <sheetData>
    <row r="1" spans="1:131" ht="145" thickBot="1" x14ac:dyDescent="0.25">
      <c r="A1" s="252" t="s">
        <v>1275</v>
      </c>
      <c r="B1" s="251" t="s">
        <v>14</v>
      </c>
      <c r="C1" s="251" t="s">
        <v>16</v>
      </c>
      <c r="D1" s="251" t="s">
        <v>13</v>
      </c>
      <c r="E1" s="251" t="s">
        <v>15</v>
      </c>
      <c r="F1" s="251" t="s">
        <v>17</v>
      </c>
      <c r="G1" s="253" t="s">
        <v>18</v>
      </c>
      <c r="H1" s="254"/>
      <c r="I1" s="254" t="s">
        <v>1271</v>
      </c>
      <c r="J1" s="254" t="s">
        <v>19</v>
      </c>
      <c r="K1" s="254" t="s">
        <v>1250</v>
      </c>
      <c r="L1" s="255" t="s">
        <v>20</v>
      </c>
      <c r="M1" s="255" t="s">
        <v>21</v>
      </c>
      <c r="N1" s="255" t="s">
        <v>22</v>
      </c>
      <c r="O1" s="255" t="s">
        <v>23</v>
      </c>
      <c r="P1" s="255" t="s">
        <v>24</v>
      </c>
      <c r="Q1" s="255" t="s">
        <v>25</v>
      </c>
      <c r="R1" s="255" t="s">
        <v>26</v>
      </c>
      <c r="S1" s="256" t="s">
        <v>27</v>
      </c>
      <c r="T1" s="256" t="s">
        <v>28</v>
      </c>
      <c r="U1" s="256" t="s">
        <v>29</v>
      </c>
      <c r="V1" s="256" t="s">
        <v>30</v>
      </c>
      <c r="W1" s="256" t="s">
        <v>31</v>
      </c>
      <c r="X1" s="256" t="s">
        <v>32</v>
      </c>
      <c r="Y1" s="256" t="s">
        <v>33</v>
      </c>
      <c r="Z1" s="257" t="s">
        <v>34</v>
      </c>
      <c r="AA1" s="257" t="s">
        <v>35</v>
      </c>
      <c r="AB1" s="257" t="s">
        <v>36</v>
      </c>
      <c r="AC1" s="257" t="s">
        <v>37</v>
      </c>
      <c r="AD1" s="257" t="s">
        <v>38</v>
      </c>
      <c r="AE1" s="257" t="s">
        <v>39</v>
      </c>
      <c r="AF1" s="257" t="s">
        <v>40</v>
      </c>
      <c r="AG1" s="258" t="s">
        <v>41</v>
      </c>
      <c r="AH1" s="259" t="s">
        <v>42</v>
      </c>
      <c r="AI1" s="260" t="s">
        <v>43</v>
      </c>
      <c r="AJ1" s="260" t="s">
        <v>44</v>
      </c>
      <c r="AK1" s="260" t="s">
        <v>45</v>
      </c>
      <c r="AL1" s="260" t="s">
        <v>46</v>
      </c>
      <c r="AM1" s="260" t="s">
        <v>47</v>
      </c>
      <c r="AN1" s="260" t="s">
        <v>1199</v>
      </c>
      <c r="AO1" s="260" t="s">
        <v>48</v>
      </c>
      <c r="AP1" s="260" t="s">
        <v>49</v>
      </c>
      <c r="AQ1" s="260" t="s">
        <v>1205</v>
      </c>
      <c r="AR1" s="261" t="s">
        <v>52</v>
      </c>
      <c r="AS1" s="262" t="s">
        <v>53</v>
      </c>
      <c r="AT1" s="327" t="s">
        <v>1226</v>
      </c>
      <c r="AU1" s="327" t="s">
        <v>1227</v>
      </c>
      <c r="AV1" s="327" t="s">
        <v>1265</v>
      </c>
      <c r="AW1" s="262" t="s">
        <v>1266</v>
      </c>
      <c r="AX1" s="262" t="s">
        <v>54</v>
      </c>
      <c r="AY1" s="262" t="s">
        <v>55</v>
      </c>
      <c r="AZ1" s="262" t="s">
        <v>56</v>
      </c>
      <c r="BA1" s="262" t="s">
        <v>57</v>
      </c>
      <c r="BB1" s="263" t="s">
        <v>58</v>
      </c>
      <c r="BC1" s="262" t="s">
        <v>1228</v>
      </c>
      <c r="BD1" s="263" t="s">
        <v>60</v>
      </c>
      <c r="BE1" s="264" t="s">
        <v>61</v>
      </c>
      <c r="BF1" s="264" t="s">
        <v>1233</v>
      </c>
      <c r="BG1" s="264" t="s">
        <v>1234</v>
      </c>
      <c r="BH1" s="264" t="s">
        <v>1245</v>
      </c>
      <c r="BI1" s="264" t="s">
        <v>64</v>
      </c>
      <c r="BJ1" s="264" t="s">
        <v>65</v>
      </c>
      <c r="BK1" s="264" t="s">
        <v>66</v>
      </c>
      <c r="BL1" s="264" t="s">
        <v>1246</v>
      </c>
      <c r="BM1" s="264" t="s">
        <v>68</v>
      </c>
      <c r="BN1" s="264" t="s">
        <v>69</v>
      </c>
      <c r="BO1" s="265" t="s">
        <v>1248</v>
      </c>
      <c r="BP1" s="265" t="s">
        <v>1249</v>
      </c>
      <c r="BQ1" s="264" t="s">
        <v>1247</v>
      </c>
      <c r="BR1" s="265" t="s">
        <v>70</v>
      </c>
      <c r="BS1" s="266" t="s">
        <v>71</v>
      </c>
      <c r="BT1" s="266" t="s">
        <v>72</v>
      </c>
      <c r="BU1" s="266" t="s">
        <v>73</v>
      </c>
      <c r="BV1" s="266" t="s">
        <v>74</v>
      </c>
      <c r="BW1" s="266" t="s">
        <v>75</v>
      </c>
      <c r="BX1" s="266" t="s">
        <v>76</v>
      </c>
      <c r="BY1" s="266" t="s">
        <v>77</v>
      </c>
      <c r="BZ1" s="266" t="s">
        <v>78</v>
      </c>
      <c r="CA1" s="267" t="s">
        <v>79</v>
      </c>
      <c r="CB1" s="267" t="s">
        <v>80</v>
      </c>
      <c r="CC1" s="268" t="s">
        <v>81</v>
      </c>
      <c r="CD1" s="268" t="s">
        <v>82</v>
      </c>
      <c r="CE1" s="268" t="s">
        <v>83</v>
      </c>
      <c r="CF1" s="268" t="s">
        <v>84</v>
      </c>
      <c r="CG1" s="269" t="s">
        <v>85</v>
      </c>
      <c r="CH1" s="269" t="s">
        <v>86</v>
      </c>
      <c r="CI1" s="269" t="s">
        <v>87</v>
      </c>
      <c r="CJ1" s="270" t="s">
        <v>88</v>
      </c>
      <c r="CK1" s="270" t="s">
        <v>89</v>
      </c>
      <c r="CL1" s="269" t="s">
        <v>90</v>
      </c>
      <c r="CM1" s="269" t="s">
        <v>91</v>
      </c>
      <c r="CN1" s="269" t="s">
        <v>92</v>
      </c>
      <c r="CO1" s="269" t="s">
        <v>93</v>
      </c>
      <c r="CP1" s="269" t="s">
        <v>94</v>
      </c>
      <c r="CQ1" s="271" t="s">
        <v>95</v>
      </c>
      <c r="CR1" s="271" t="s">
        <v>96</v>
      </c>
      <c r="CS1" s="272" t="s">
        <v>97</v>
      </c>
      <c r="CT1" s="272" t="s">
        <v>98</v>
      </c>
      <c r="CU1" s="272" t="s">
        <v>99</v>
      </c>
      <c r="CV1" s="272" t="s">
        <v>100</v>
      </c>
      <c r="CW1" s="273" t="s">
        <v>101</v>
      </c>
      <c r="CX1" s="273" t="s">
        <v>102</v>
      </c>
      <c r="CY1" s="273" t="s">
        <v>103</v>
      </c>
      <c r="CZ1" s="273" t="s">
        <v>104</v>
      </c>
      <c r="DA1" s="273" t="s">
        <v>105</v>
      </c>
      <c r="DB1" s="273" t="s">
        <v>106</v>
      </c>
      <c r="DC1" s="274" t="s">
        <v>107</v>
      </c>
      <c r="DD1" s="274" t="s">
        <v>108</v>
      </c>
      <c r="DE1" s="274" t="s">
        <v>109</v>
      </c>
      <c r="DF1" s="274" t="s">
        <v>110</v>
      </c>
      <c r="DG1" s="274" t="s">
        <v>111</v>
      </c>
      <c r="DH1" s="275" t="s">
        <v>112</v>
      </c>
      <c r="DI1" s="275" t="s">
        <v>113</v>
      </c>
      <c r="DJ1" s="275" t="s">
        <v>114</v>
      </c>
      <c r="DK1" s="275" t="s">
        <v>115</v>
      </c>
      <c r="DL1" s="275" t="s">
        <v>116</v>
      </c>
      <c r="DM1" s="276" t="s">
        <v>117</v>
      </c>
      <c r="DN1" s="276" t="s">
        <v>118</v>
      </c>
      <c r="DO1" s="276" t="s">
        <v>119</v>
      </c>
      <c r="DP1" s="276" t="s">
        <v>120</v>
      </c>
      <c r="DR1" s="58" t="s">
        <v>121</v>
      </c>
      <c r="DS1" s="227" t="s">
        <v>122</v>
      </c>
      <c r="DT1" s="227" t="s">
        <v>123</v>
      </c>
      <c r="DU1" s="227" t="s">
        <v>124</v>
      </c>
      <c r="DV1" s="227" t="s">
        <v>125</v>
      </c>
      <c r="DW1" s="227" t="s">
        <v>126</v>
      </c>
      <c r="DX1" s="227" t="s">
        <v>127</v>
      </c>
      <c r="DY1" s="227" t="s">
        <v>128</v>
      </c>
      <c r="DZ1" s="227" t="s">
        <v>129</v>
      </c>
      <c r="EA1" s="227" t="s">
        <v>130</v>
      </c>
    </row>
    <row r="2" spans="1:131" ht="16" x14ac:dyDescent="0.2">
      <c r="A2" s="294">
        <v>1</v>
      </c>
      <c r="B2" s="278" t="s">
        <v>131</v>
      </c>
      <c r="C2" s="280" t="s">
        <v>12</v>
      </c>
      <c r="D2" s="277">
        <v>1</v>
      </c>
      <c r="E2" s="279">
        <v>1</v>
      </c>
      <c r="F2" s="291" t="str">
        <f>VLOOKUP(Calculation!A2,'Descriptor maps'!$A$2:$F$1658,6,0)</f>
        <v>Name of Facility</v>
      </c>
      <c r="G2" s="242" t="s">
        <v>679</v>
      </c>
      <c r="H2" s="281"/>
      <c r="I2" s="282"/>
      <c r="J2" s="283" t="e" cm="1">
        <f t="array" ref="J2">INDEX('Descriptor maps'!$I$2:$I$1658,MATCH(1,('Descriptor maps'!$A$2:$A$1658=Calculation!$A2)*('Descriptor maps'!$G$2:$G$1658=Calculation!$G2),0))</f>
        <v>#N/A</v>
      </c>
      <c r="K2" s="280"/>
      <c r="L2" s="284"/>
      <c r="M2" s="284"/>
      <c r="N2" s="284"/>
      <c r="O2" s="284"/>
      <c r="P2" s="284"/>
      <c r="Q2" s="284"/>
      <c r="R2" s="284"/>
      <c r="S2" s="284"/>
      <c r="T2" s="284"/>
      <c r="U2" s="284"/>
      <c r="V2" s="284"/>
      <c r="W2" s="284"/>
      <c r="X2" s="284"/>
      <c r="Y2" s="284"/>
      <c r="Z2" s="284"/>
      <c r="AA2" s="284"/>
      <c r="AB2" s="284"/>
      <c r="AC2" s="284"/>
      <c r="AD2" s="284"/>
      <c r="AE2" s="284"/>
      <c r="AF2" s="284"/>
      <c r="AG2" s="284"/>
      <c r="AH2" s="284"/>
      <c r="AI2" s="284"/>
      <c r="AJ2" s="284"/>
      <c r="AK2" s="284"/>
      <c r="AL2" s="284"/>
      <c r="AM2" s="284"/>
      <c r="AN2" s="284"/>
      <c r="AO2" s="284"/>
      <c r="AP2" s="284"/>
      <c r="AQ2" s="284"/>
      <c r="AR2" s="284"/>
      <c r="AS2" s="284"/>
      <c r="AT2" s="284"/>
      <c r="AU2" s="284"/>
      <c r="AV2" s="284"/>
      <c r="AW2" s="284"/>
      <c r="AX2" s="284"/>
      <c r="AY2" s="284"/>
      <c r="AZ2" s="284"/>
      <c r="BA2" s="284"/>
      <c r="BB2" s="284"/>
      <c r="BC2" s="284"/>
      <c r="BD2" s="284"/>
      <c r="BE2" s="284"/>
      <c r="BF2" s="284"/>
      <c r="BG2" s="284"/>
      <c r="BH2" s="284"/>
      <c r="BI2" s="284"/>
      <c r="BJ2" s="284"/>
      <c r="BK2" s="284"/>
      <c r="BL2" s="284"/>
      <c r="BM2" s="284"/>
      <c r="BN2" s="284"/>
      <c r="BO2" s="284"/>
      <c r="BP2" s="284"/>
      <c r="BQ2" s="284"/>
      <c r="BR2" s="284"/>
      <c r="BS2" s="284"/>
      <c r="BT2" s="284"/>
      <c r="BU2" s="284"/>
      <c r="BV2" s="284"/>
      <c r="BW2" s="284"/>
      <c r="BX2" s="284"/>
      <c r="BY2" s="284"/>
      <c r="BZ2" s="284"/>
      <c r="CA2" s="285"/>
      <c r="CB2" s="286"/>
      <c r="CC2" s="286"/>
      <c r="CD2" s="286"/>
      <c r="CE2" s="286"/>
      <c r="CF2" s="286"/>
      <c r="CG2" s="286"/>
      <c r="CH2" s="286"/>
      <c r="CI2" s="286"/>
      <c r="CJ2" s="286"/>
      <c r="CK2" s="286"/>
      <c r="CL2" s="286"/>
      <c r="CM2" s="286"/>
      <c r="CN2" s="286"/>
      <c r="CO2" s="286"/>
      <c r="CP2" s="286"/>
      <c r="CQ2" s="286"/>
      <c r="CR2" s="286"/>
      <c r="CS2" s="286"/>
      <c r="CT2" s="286"/>
      <c r="CU2" s="286"/>
      <c r="CV2" s="286"/>
      <c r="CW2" s="286"/>
      <c r="CX2" s="286"/>
      <c r="CY2" s="286"/>
      <c r="CZ2" s="286"/>
      <c r="DA2" s="286"/>
      <c r="DB2" s="286"/>
      <c r="DC2" s="286"/>
      <c r="DD2" s="286"/>
      <c r="DE2" s="286"/>
      <c r="DF2" s="286"/>
      <c r="DG2" s="286"/>
      <c r="DH2" s="286"/>
      <c r="DI2" s="286"/>
      <c r="DJ2" s="286"/>
      <c r="DK2" s="286"/>
      <c r="DL2" s="286"/>
      <c r="DM2" s="286"/>
      <c r="DN2" s="286"/>
      <c r="DO2" s="286"/>
      <c r="DP2" s="286"/>
      <c r="DR2" s="58" t="str">
        <f>IF(ISNUMBER(MATCH(#REF!,'Audit Characteristic Mapping'!$B$3:$B$500,0)),"Y","")</f>
        <v/>
      </c>
      <c r="DS2" s="58" t="str">
        <f>IF(ISNUMBER(MATCH(#REF!,'Audit Characteristic Mapping'!$C$3:$C$500,0)),"Y","")</f>
        <v/>
      </c>
      <c r="DT2" s="58" t="str">
        <f>IF(ISNUMBER(MATCH(#REF!,'Audit Characteristic Mapping'!$D$3:$D$500,0)),"Y","")</f>
        <v/>
      </c>
      <c r="DU2" s="58" t="str">
        <f>IF(ISNUMBER(MATCH(#REF!,'Audit Characteristic Mapping'!$E$3:$E$500,0)),"Y","")</f>
        <v/>
      </c>
      <c r="DV2" s="58" t="str">
        <f>IF(ISNUMBER(MATCH(#REF!,'Audit Characteristic Mapping'!$F$3:$F$500,0)),"Y","")</f>
        <v/>
      </c>
      <c r="DW2" s="58" t="str">
        <f>IF(ISNUMBER(MATCH(#REF!,'Audit Characteristic Mapping'!$G$3:$G$500,0)),"Y","")</f>
        <v/>
      </c>
      <c r="DX2" s="58" t="str">
        <f>IF(ISNUMBER(MATCH(#REF!,'Audit Characteristic Mapping'!$H$3:$H$500,0)),"Y","")</f>
        <v/>
      </c>
      <c r="DY2" s="58" t="str">
        <f>IF(ISNUMBER(MATCH(#REF!,'Audit Characteristic Mapping'!$I$3:$I$500,0)),"Y","")</f>
        <v/>
      </c>
      <c r="DZ2" s="58" t="str">
        <f>IF(ISNUMBER(MATCH(#REF!,'Audit Characteristic Mapping'!$J$3:$J$500,0)),"Y","")</f>
        <v/>
      </c>
      <c r="EA2" s="58" t="str">
        <f>IF(ISNUMBER(MATCH(#REF!,'Audit Characteristic Mapping'!$K$3:$K$500,0)),"Y","")</f>
        <v/>
      </c>
    </row>
    <row r="3" spans="1:131" ht="16" x14ac:dyDescent="0.2">
      <c r="A3" s="294">
        <v>2</v>
      </c>
      <c r="B3" s="287" t="s">
        <v>131</v>
      </c>
      <c r="C3" s="226" t="s">
        <v>133</v>
      </c>
      <c r="D3" s="170">
        <v>1</v>
      </c>
      <c r="E3" s="288">
        <v>2</v>
      </c>
      <c r="F3" s="291" t="str">
        <f>VLOOKUP(Calculation!A3,'Descriptor maps'!$A$2:$F$1658,6,0)</f>
        <v>Country</v>
      </c>
      <c r="G3" s="289" t="s">
        <v>657</v>
      </c>
      <c r="H3" s="290"/>
      <c r="I3" s="291"/>
      <c r="J3" s="292" t="e" cm="1">
        <f t="array" ref="J3">INDEX('Descriptor maps'!$I$2:$I$1658,MATCH(1,('Descriptor maps'!$A$2:$A$1658=Calculation!$A3)*('Descriptor maps'!$G$2:$G$1658=Calculation!$G3),0))</f>
        <v>#N/A</v>
      </c>
      <c r="K3" s="226"/>
      <c r="L3" s="293"/>
      <c r="M3" s="293"/>
      <c r="N3" s="293"/>
      <c r="O3" s="293"/>
      <c r="P3" s="293"/>
      <c r="Q3" s="293"/>
      <c r="R3" s="293"/>
      <c r="S3" s="293"/>
      <c r="T3" s="293"/>
      <c r="U3" s="293"/>
      <c r="V3" s="293"/>
      <c r="W3" s="293"/>
      <c r="X3" s="293"/>
      <c r="Y3" s="293"/>
      <c r="Z3" s="293"/>
      <c r="AA3" s="293"/>
      <c r="AB3" s="293"/>
      <c r="AC3" s="293"/>
      <c r="AD3" s="293"/>
      <c r="AE3" s="293"/>
      <c r="AF3" s="293"/>
      <c r="AG3" s="293"/>
      <c r="AH3" s="293"/>
      <c r="AI3" s="293"/>
      <c r="AJ3" s="293"/>
      <c r="AK3" s="293"/>
      <c r="AL3" s="293"/>
      <c r="AM3" s="293"/>
      <c r="AN3" s="293"/>
      <c r="AO3" s="293"/>
      <c r="AP3" s="293"/>
      <c r="AQ3" s="293"/>
      <c r="AR3" s="293"/>
      <c r="AS3" s="293"/>
      <c r="AT3" s="293"/>
      <c r="AU3" s="293"/>
      <c r="AV3" s="293"/>
      <c r="AW3" s="293"/>
      <c r="AX3" s="293"/>
      <c r="AY3" s="293"/>
      <c r="AZ3" s="293"/>
      <c r="BA3" s="293"/>
      <c r="BB3" s="293"/>
      <c r="BC3" s="293"/>
      <c r="BD3" s="293"/>
      <c r="BE3" s="293"/>
      <c r="BF3" s="293"/>
      <c r="BG3" s="293"/>
      <c r="BH3" s="293"/>
      <c r="BI3" s="293"/>
      <c r="BJ3" s="293"/>
      <c r="BK3" s="293"/>
      <c r="BL3" s="293"/>
      <c r="BM3" s="293"/>
      <c r="BN3" s="293"/>
      <c r="BO3" s="293"/>
      <c r="BP3" s="293"/>
      <c r="BQ3" s="293"/>
      <c r="BR3" s="293"/>
      <c r="BS3" s="293"/>
      <c r="BT3" s="293"/>
      <c r="BU3" s="293"/>
      <c r="BV3" s="293"/>
      <c r="BW3" s="293"/>
      <c r="BX3" s="293"/>
      <c r="BY3" s="293"/>
      <c r="BZ3" s="293"/>
      <c r="CA3" s="285"/>
      <c r="CB3" s="286"/>
      <c r="CC3" s="286"/>
      <c r="CD3" s="286"/>
      <c r="CE3" s="286"/>
      <c r="CF3" s="286"/>
      <c r="CG3" s="286"/>
      <c r="CH3" s="286"/>
      <c r="CI3" s="286"/>
      <c r="CJ3" s="286"/>
      <c r="CK3" s="286"/>
      <c r="CL3" s="286"/>
      <c r="CM3" s="286"/>
      <c r="CN3" s="286"/>
      <c r="CO3" s="286"/>
      <c r="CP3" s="286"/>
      <c r="CQ3" s="286"/>
      <c r="CR3" s="286"/>
      <c r="CS3" s="286"/>
      <c r="CT3" s="286"/>
      <c r="CU3" s="286"/>
      <c r="CV3" s="286"/>
      <c r="CW3" s="286"/>
      <c r="CX3" s="286"/>
      <c r="CY3" s="286"/>
      <c r="CZ3" s="286"/>
      <c r="DA3" s="286"/>
      <c r="DB3" s="286"/>
      <c r="DC3" s="286"/>
      <c r="DD3" s="286"/>
      <c r="DE3" s="286"/>
      <c r="DF3" s="286"/>
      <c r="DG3" s="286"/>
      <c r="DH3" s="286"/>
      <c r="DI3" s="286"/>
      <c r="DJ3" s="286"/>
      <c r="DK3" s="286"/>
      <c r="DL3" s="286"/>
      <c r="DM3" s="286"/>
      <c r="DN3" s="286"/>
      <c r="DO3" s="286"/>
      <c r="DP3" s="286"/>
      <c r="DR3" s="58" t="str">
        <f>IF(ISNUMBER(MATCH(#REF!,'Audit Characteristic Mapping'!$B$3:$B$500,0)),"Y","")</f>
        <v/>
      </c>
      <c r="DS3" s="58" t="str">
        <f>IF(ISNUMBER(MATCH(#REF!,'Audit Characteristic Mapping'!$C$3:$C$500,0)),"Y","")</f>
        <v/>
      </c>
      <c r="DT3" s="58" t="str">
        <f>IF(ISNUMBER(MATCH(#REF!,'Audit Characteristic Mapping'!$D$3:$D$500,0)),"Y","")</f>
        <v/>
      </c>
      <c r="DU3" s="58" t="str">
        <f>IF(ISNUMBER(MATCH(#REF!,'Audit Characteristic Mapping'!$E$3:$E$500,0)),"Y","")</f>
        <v/>
      </c>
      <c r="DV3" s="58" t="str">
        <f>IF(ISNUMBER(MATCH(#REF!,'Audit Characteristic Mapping'!$F$3:$F$500,0)),"Y","")</f>
        <v/>
      </c>
      <c r="DW3" s="58" t="str">
        <f>IF(ISNUMBER(MATCH(#REF!,'Audit Characteristic Mapping'!$G$3:$G$500,0)),"Y","")</f>
        <v/>
      </c>
      <c r="DX3" s="58" t="str">
        <f>IF(ISNUMBER(MATCH(#REF!,'Audit Characteristic Mapping'!$H$3:$H$500,0)),"Y","")</f>
        <v/>
      </c>
      <c r="DY3" s="58" t="str">
        <f>IF(ISNUMBER(MATCH(#REF!,'Audit Characteristic Mapping'!$I$3:$I$500,0)),"Y","")</f>
        <v/>
      </c>
      <c r="DZ3" s="58" t="str">
        <f>IF(ISNUMBER(MATCH(#REF!,'Audit Characteristic Mapping'!$J$3:$J$500,0)),"Y","")</f>
        <v/>
      </c>
      <c r="EA3" s="58" t="str">
        <f>IF(ISNUMBER(MATCH(#REF!,'Audit Characteristic Mapping'!$K$3:$K$500,0)),"Y","")</f>
        <v/>
      </c>
    </row>
    <row r="4" spans="1:131" ht="16" x14ac:dyDescent="0.2">
      <c r="A4" s="294">
        <v>3</v>
      </c>
      <c r="B4" s="287" t="s">
        <v>131</v>
      </c>
      <c r="C4" s="226" t="s">
        <v>133</v>
      </c>
      <c r="D4" s="170">
        <v>1</v>
      </c>
      <c r="E4" s="288">
        <v>2</v>
      </c>
      <c r="F4" s="291" t="str">
        <f>VLOOKUP(Calculation!A4,'Descriptor maps'!$A$2:$F$1658,6,0)</f>
        <v>City</v>
      </c>
      <c r="G4" s="289"/>
      <c r="H4" s="290"/>
      <c r="I4" s="291"/>
      <c r="J4" s="292" t="e" cm="1">
        <f t="array" ref="J4">INDEX('Descriptor maps'!$I$2:$I$1658,MATCH(1,('Descriptor maps'!$A$2:$A$1658=Calculation!$A4)*('Descriptor maps'!$G$2:$G$1658=Calculation!$G4),0))</f>
        <v>#N/A</v>
      </c>
      <c r="K4" s="226"/>
      <c r="L4" s="293"/>
      <c r="M4" s="293"/>
      <c r="N4" s="293"/>
      <c r="O4" s="293"/>
      <c r="P4" s="293"/>
      <c r="Q4" s="293"/>
      <c r="R4" s="293"/>
      <c r="S4" s="293"/>
      <c r="T4" s="293"/>
      <c r="U4" s="293"/>
      <c r="V4" s="293"/>
      <c r="W4" s="293"/>
      <c r="X4" s="293"/>
      <c r="Y4" s="293"/>
      <c r="Z4" s="293"/>
      <c r="AA4" s="293"/>
      <c r="AB4" s="293"/>
      <c r="AC4" s="293"/>
      <c r="AD4" s="293"/>
      <c r="AE4" s="293"/>
      <c r="AF4" s="293"/>
      <c r="AG4" s="293"/>
      <c r="AH4" s="293"/>
      <c r="AI4" s="293"/>
      <c r="AJ4" s="293"/>
      <c r="AK4" s="293"/>
      <c r="AL4" s="293"/>
      <c r="AM4" s="293"/>
      <c r="AN4" s="293"/>
      <c r="AO4" s="293"/>
      <c r="AP4" s="293"/>
      <c r="AQ4" s="293"/>
      <c r="AR4" s="293"/>
      <c r="AS4" s="293"/>
      <c r="AT4" s="293"/>
      <c r="AU4" s="293"/>
      <c r="AV4" s="293"/>
      <c r="AW4" s="293"/>
      <c r="AX4" s="293"/>
      <c r="AY4" s="293"/>
      <c r="AZ4" s="293"/>
      <c r="BA4" s="293"/>
      <c r="BB4" s="293"/>
      <c r="BC4" s="293"/>
      <c r="BD4" s="293"/>
      <c r="BE4" s="293"/>
      <c r="BF4" s="293"/>
      <c r="BG4" s="293"/>
      <c r="BH4" s="293"/>
      <c r="BI4" s="293"/>
      <c r="BJ4" s="293"/>
      <c r="BK4" s="293"/>
      <c r="BL4" s="293"/>
      <c r="BM4" s="293"/>
      <c r="BN4" s="293"/>
      <c r="BO4" s="293"/>
      <c r="BP4" s="293"/>
      <c r="BQ4" s="293"/>
      <c r="BR4" s="293"/>
      <c r="BS4" s="293"/>
      <c r="BT4" s="293"/>
      <c r="BU4" s="293"/>
      <c r="BV4" s="293"/>
      <c r="BW4" s="293"/>
      <c r="BX4" s="293"/>
      <c r="BY4" s="293"/>
      <c r="BZ4" s="293"/>
      <c r="CA4" s="285"/>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R4" s="58" t="str">
        <f>IF(ISNUMBER(MATCH(#REF!,'Audit Characteristic Mapping'!$B$3:$B$500,0)),"Y","")</f>
        <v/>
      </c>
      <c r="DS4" s="58" t="str">
        <f>IF(ISNUMBER(MATCH(#REF!,'Audit Characteristic Mapping'!$C$3:$C$500,0)),"Y","")</f>
        <v/>
      </c>
      <c r="DT4" s="58" t="str">
        <f>IF(ISNUMBER(MATCH(#REF!,'Audit Characteristic Mapping'!$D$3:$D$500,0)),"Y","")</f>
        <v/>
      </c>
      <c r="DU4" s="58" t="str">
        <f>IF(ISNUMBER(MATCH(#REF!,'Audit Characteristic Mapping'!$E$3:$E$500,0)),"Y","")</f>
        <v/>
      </c>
      <c r="DV4" s="58" t="str">
        <f>IF(ISNUMBER(MATCH(#REF!,'Audit Characteristic Mapping'!$F$3:$F$500,0)),"Y","")</f>
        <v/>
      </c>
      <c r="DW4" s="58" t="str">
        <f>IF(ISNUMBER(MATCH(#REF!,'Audit Characteristic Mapping'!$G$3:$G$500,0)),"Y","")</f>
        <v/>
      </c>
      <c r="DX4" s="58" t="str">
        <f>IF(ISNUMBER(MATCH(#REF!,'Audit Characteristic Mapping'!$H$3:$H$500,0)),"Y","")</f>
        <v/>
      </c>
      <c r="DY4" s="58" t="str">
        <f>IF(ISNUMBER(MATCH(#REF!,'Audit Characteristic Mapping'!$I$3:$I$500,0)),"Y","")</f>
        <v/>
      </c>
      <c r="DZ4" s="58" t="str">
        <f>IF(ISNUMBER(MATCH(#REF!,'Audit Characteristic Mapping'!$J$3:$J$500,0)),"Y","")</f>
        <v/>
      </c>
      <c r="EA4" s="58" t="str">
        <f>IF(ISNUMBER(MATCH(#REF!,'Audit Characteristic Mapping'!$K$3:$K$500,0)),"Y","")</f>
        <v/>
      </c>
    </row>
    <row r="5" spans="1:131" ht="16" x14ac:dyDescent="0.2">
      <c r="A5" s="294">
        <v>4</v>
      </c>
      <c r="B5" s="287" t="s">
        <v>131</v>
      </c>
      <c r="C5" s="226" t="s">
        <v>133</v>
      </c>
      <c r="D5" s="170">
        <v>1</v>
      </c>
      <c r="E5" s="288">
        <v>2</v>
      </c>
      <c r="F5" s="291" t="str">
        <f>VLOOKUP(Calculation!A5,'Descriptor maps'!$A$2:$F$1658,6,0)</f>
        <v>Site/Operation</v>
      </c>
      <c r="G5" s="289" t="s">
        <v>5</v>
      </c>
      <c r="H5" s="290"/>
      <c r="I5" s="291"/>
      <c r="J5" s="292" t="e" cm="1">
        <f t="array" ref="J5">INDEX('Descriptor maps'!$I$2:$I$1658,MATCH(1,('Descriptor maps'!$A$2:$A$1658=Calculation!$A5)*('Descriptor maps'!$G$2:$G$1658=Calculation!$G5),0))</f>
        <v>#N/A</v>
      </c>
      <c r="K5" s="226"/>
      <c r="L5" s="293"/>
      <c r="M5" s="293"/>
      <c r="N5" s="293"/>
      <c r="O5" s="293"/>
      <c r="P5" s="293"/>
      <c r="Q5" s="293"/>
      <c r="R5" s="293"/>
      <c r="S5" s="293"/>
      <c r="T5" s="293"/>
      <c r="U5" s="293"/>
      <c r="V5" s="293"/>
      <c r="W5" s="293"/>
      <c r="X5" s="293"/>
      <c r="Y5" s="293"/>
      <c r="Z5" s="293"/>
      <c r="AA5" s="293"/>
      <c r="AB5" s="293"/>
      <c r="AC5" s="293"/>
      <c r="AD5" s="293"/>
      <c r="AE5" s="293"/>
      <c r="AF5" s="293"/>
      <c r="AG5" s="293"/>
      <c r="AH5" s="293"/>
      <c r="AI5" s="293"/>
      <c r="AJ5" s="293"/>
      <c r="AK5" s="293"/>
      <c r="AL5" s="293"/>
      <c r="AM5" s="293"/>
      <c r="AN5" s="293"/>
      <c r="AO5" s="293"/>
      <c r="AP5" s="293"/>
      <c r="AQ5" s="293"/>
      <c r="AR5" s="293"/>
      <c r="AS5" s="293"/>
      <c r="AT5" s="293"/>
      <c r="AU5" s="293"/>
      <c r="AV5" s="293"/>
      <c r="AW5" s="293"/>
      <c r="AX5" s="293"/>
      <c r="AY5" s="293"/>
      <c r="AZ5" s="293"/>
      <c r="BA5" s="293"/>
      <c r="BB5" s="293"/>
      <c r="BC5" s="293"/>
      <c r="BD5" s="293"/>
      <c r="BE5" s="293"/>
      <c r="BF5" s="293"/>
      <c r="BG5" s="293"/>
      <c r="BH5" s="293"/>
      <c r="BI5" s="293"/>
      <c r="BJ5" s="293"/>
      <c r="BK5" s="293"/>
      <c r="BL5" s="293"/>
      <c r="BM5" s="293"/>
      <c r="BN5" s="293"/>
      <c r="BO5" s="293"/>
      <c r="BP5" s="293"/>
      <c r="BQ5" s="293"/>
      <c r="BR5" s="293"/>
      <c r="BS5" s="293"/>
      <c r="BT5" s="293"/>
      <c r="BU5" s="293"/>
      <c r="BV5" s="293"/>
      <c r="BW5" s="293"/>
      <c r="BX5" s="293"/>
      <c r="BY5" s="293"/>
      <c r="BZ5" s="293"/>
      <c r="CA5" s="285"/>
      <c r="CB5" s="286"/>
      <c r="CC5" s="286"/>
      <c r="CD5" s="286"/>
      <c r="CE5" s="286"/>
      <c r="CF5" s="286"/>
      <c r="CG5" s="286"/>
      <c r="CH5" s="286"/>
      <c r="CI5" s="286"/>
      <c r="CJ5" s="286"/>
      <c r="CK5" s="286"/>
      <c r="CL5" s="286"/>
      <c r="CM5" s="286"/>
      <c r="CN5" s="286"/>
      <c r="CO5" s="286"/>
      <c r="CP5" s="286"/>
      <c r="CQ5" s="286"/>
      <c r="CR5" s="286"/>
      <c r="CS5" s="286"/>
      <c r="CT5" s="286"/>
      <c r="CU5" s="286"/>
      <c r="CV5" s="286"/>
      <c r="CW5" s="286"/>
      <c r="CX5" s="286"/>
      <c r="CY5" s="286"/>
      <c r="CZ5" s="286"/>
      <c r="DA5" s="286"/>
      <c r="DB5" s="286"/>
      <c r="DC5" s="286"/>
      <c r="DD5" s="286"/>
      <c r="DE5" s="286"/>
      <c r="DF5" s="286"/>
      <c r="DG5" s="286"/>
      <c r="DH5" s="286"/>
      <c r="DI5" s="286"/>
      <c r="DJ5" s="286"/>
      <c r="DK5" s="286"/>
      <c r="DL5" s="286"/>
      <c r="DM5" s="286"/>
      <c r="DN5" s="286"/>
      <c r="DO5" s="286"/>
      <c r="DP5" s="286"/>
      <c r="DR5" s="58" t="str">
        <f>IF(ISNUMBER(MATCH(#REF!,'Audit Characteristic Mapping'!$B$3:$B$500,0)),"Y","")</f>
        <v/>
      </c>
      <c r="DS5" s="58" t="str">
        <f>IF(ISNUMBER(MATCH(#REF!,'Audit Characteristic Mapping'!$C$3:$C$500,0)),"Y","")</f>
        <v/>
      </c>
      <c r="DT5" s="58" t="str">
        <f>IF(ISNUMBER(MATCH(#REF!,'Audit Characteristic Mapping'!$D$3:$D$500,0)),"Y","")</f>
        <v/>
      </c>
      <c r="DU5" s="58" t="str">
        <f>IF(ISNUMBER(MATCH(#REF!,'Audit Characteristic Mapping'!$E$3:$E$500,0)),"Y","")</f>
        <v/>
      </c>
      <c r="DV5" s="58" t="str">
        <f>IF(ISNUMBER(MATCH(#REF!,'Audit Characteristic Mapping'!$F$3:$F$500,0)),"Y","")</f>
        <v/>
      </c>
      <c r="DW5" s="58" t="str">
        <f>IF(ISNUMBER(MATCH(#REF!,'Audit Characteristic Mapping'!$G$3:$G$500,0)),"Y","")</f>
        <v/>
      </c>
      <c r="DX5" s="58" t="str">
        <f>IF(ISNUMBER(MATCH(#REF!,'Audit Characteristic Mapping'!$H$3:$H$500,0)),"Y","")</f>
        <v/>
      </c>
      <c r="DY5" s="58" t="str">
        <f>IF(ISNUMBER(MATCH(#REF!,'Audit Characteristic Mapping'!$I$3:$I$500,0)),"Y","")</f>
        <v/>
      </c>
      <c r="DZ5" s="58" t="str">
        <f>IF(ISNUMBER(MATCH(#REF!,'Audit Characteristic Mapping'!$J$3:$J$500,0)),"Y","")</f>
        <v/>
      </c>
      <c r="EA5" s="58" t="str">
        <f>IF(ISNUMBER(MATCH(#REF!,'Audit Characteristic Mapping'!$K$3:$K$500,0)),"Y","")</f>
        <v/>
      </c>
    </row>
    <row r="6" spans="1:131" ht="16" hidden="1" x14ac:dyDescent="0.2">
      <c r="A6" s="288">
        <v>5</v>
      </c>
      <c r="B6" s="287" t="s">
        <v>131</v>
      </c>
      <c r="C6" s="226" t="s">
        <v>137</v>
      </c>
      <c r="D6" s="170">
        <v>1</v>
      </c>
      <c r="E6" s="288">
        <v>3</v>
      </c>
      <c r="F6" s="291" t="str">
        <f>VLOOKUP(Calculation!A6,'Descriptor maps'!$A$2:$F$1658,2,0)</f>
        <v>General information</v>
      </c>
      <c r="G6" s="289"/>
      <c r="H6" s="290"/>
      <c r="I6" s="291"/>
      <c r="J6" s="292" t="e" cm="1">
        <f t="array" ref="J6">INDEX('Descriptor maps'!$I$2:$I$1658,MATCH(1,('Descriptor maps'!$A$2:$A$1658=Calculation!$A6)*('Descriptor maps'!$G$2:$G$1658=Calculation!$G6),0))</f>
        <v>#N/A</v>
      </c>
      <c r="K6" s="226"/>
      <c r="L6" s="293"/>
      <c r="M6" s="293"/>
      <c r="N6" s="293"/>
      <c r="O6" s="293"/>
      <c r="P6" s="293"/>
      <c r="Q6" s="293"/>
      <c r="R6" s="293"/>
      <c r="S6" s="293"/>
      <c r="T6" s="293"/>
      <c r="U6" s="293"/>
      <c r="V6" s="293"/>
      <c r="W6" s="293"/>
      <c r="X6" s="293"/>
      <c r="Y6" s="293"/>
      <c r="Z6" s="293"/>
      <c r="AA6" s="293"/>
      <c r="AB6" s="293"/>
      <c r="AC6" s="293"/>
      <c r="AD6" s="293"/>
      <c r="AE6" s="293"/>
      <c r="AF6" s="293"/>
      <c r="AG6" s="293"/>
      <c r="AH6" s="293"/>
      <c r="AI6" s="293"/>
      <c r="AJ6" s="293"/>
      <c r="AK6" s="293"/>
      <c r="AL6" s="293"/>
      <c r="AM6" s="293"/>
      <c r="AN6" s="293"/>
      <c r="AO6" s="293"/>
      <c r="AP6" s="293"/>
      <c r="AQ6" s="293"/>
      <c r="AR6" s="293"/>
      <c r="AS6" s="293"/>
      <c r="AT6" s="293"/>
      <c r="AU6" s="293"/>
      <c r="AV6" s="293"/>
      <c r="AW6" s="293"/>
      <c r="AX6" s="293"/>
      <c r="AY6" s="293"/>
      <c r="AZ6" s="293"/>
      <c r="BA6" s="293"/>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85"/>
      <c r="CB6" s="286"/>
      <c r="CC6" s="286"/>
      <c r="CD6" s="286"/>
      <c r="CE6" s="286"/>
      <c r="CF6" s="286"/>
      <c r="CG6" s="286"/>
      <c r="CH6" s="286"/>
      <c r="CI6" s="286"/>
      <c r="CJ6" s="286"/>
      <c r="CK6" s="286"/>
      <c r="CL6" s="286"/>
      <c r="CM6" s="286"/>
      <c r="CN6" s="286"/>
      <c r="CO6" s="286"/>
      <c r="CP6" s="286"/>
      <c r="CQ6" s="286"/>
      <c r="CR6" s="286"/>
      <c r="CS6" s="286"/>
      <c r="CT6" s="286"/>
      <c r="CU6" s="286"/>
      <c r="CV6" s="286"/>
      <c r="CW6" s="286"/>
      <c r="CX6" s="286"/>
      <c r="CY6" s="286"/>
      <c r="CZ6" s="286"/>
      <c r="DA6" s="286"/>
      <c r="DB6" s="286"/>
      <c r="DC6" s="286"/>
      <c r="DD6" s="286"/>
      <c r="DE6" s="286"/>
      <c r="DF6" s="286"/>
      <c r="DG6" s="286"/>
      <c r="DH6" s="286"/>
      <c r="DI6" s="286"/>
      <c r="DJ6" s="286"/>
      <c r="DK6" s="286"/>
      <c r="DL6" s="286"/>
      <c r="DM6" s="286"/>
      <c r="DN6" s="286"/>
      <c r="DO6" s="286"/>
      <c r="DP6" s="286"/>
      <c r="DR6" s="58" t="str">
        <f>IF(ISNUMBER(MATCH(#REF!,'Audit Characteristic Mapping'!$B$3:$B$500,0)),"Y","")</f>
        <v/>
      </c>
      <c r="DS6" s="58" t="str">
        <f>IF(ISNUMBER(MATCH(#REF!,'Audit Characteristic Mapping'!$C$3:$C$500,0)),"Y","")</f>
        <v/>
      </c>
      <c r="DT6" s="58" t="str">
        <f>IF(ISNUMBER(MATCH(#REF!,'Audit Characteristic Mapping'!$D$3:$D$500,0)),"Y","")</f>
        <v/>
      </c>
      <c r="DU6" s="58" t="str">
        <f>IF(ISNUMBER(MATCH(#REF!,'Audit Characteristic Mapping'!$E$3:$E$500,0)),"Y","")</f>
        <v/>
      </c>
      <c r="DV6" s="58" t="str">
        <f>IF(ISNUMBER(MATCH(#REF!,'Audit Characteristic Mapping'!$F$3:$F$500,0)),"Y","")</f>
        <v/>
      </c>
      <c r="DW6" s="58" t="str">
        <f>IF(ISNUMBER(MATCH(#REF!,'Audit Characteristic Mapping'!$G$3:$G$500,0)),"Y","")</f>
        <v/>
      </c>
      <c r="DX6" s="58" t="str">
        <f>IF(ISNUMBER(MATCH(#REF!,'Audit Characteristic Mapping'!$H$3:$H$500,0)),"Y","")</f>
        <v/>
      </c>
      <c r="DY6" s="58" t="str">
        <f>IF(ISNUMBER(MATCH(#REF!,'Audit Characteristic Mapping'!$I$3:$I$500,0)),"Y","")</f>
        <v/>
      </c>
      <c r="DZ6" s="58" t="str">
        <f>IF(ISNUMBER(MATCH(#REF!,'Audit Characteristic Mapping'!$J$3:$J$500,0)),"Y","")</f>
        <v/>
      </c>
      <c r="EA6" s="58" t="str">
        <f>IF(ISNUMBER(MATCH(#REF!,'Audit Characteristic Mapping'!$K$3:$K$500,0)),"Y","")</f>
        <v/>
      </c>
    </row>
    <row r="7" spans="1:131" ht="16" hidden="1" x14ac:dyDescent="0.2">
      <c r="A7" s="288">
        <v>6</v>
      </c>
      <c r="B7" s="287" t="s">
        <v>131</v>
      </c>
      <c r="C7" s="226" t="s">
        <v>137</v>
      </c>
      <c r="D7" s="170">
        <v>1</v>
      </c>
      <c r="E7" s="288">
        <v>3</v>
      </c>
      <c r="F7" s="291" t="str">
        <f>VLOOKUP(Calculation!A7,'Descriptor maps'!$A$2:$F$1658,2,0)</f>
        <v>General information</v>
      </c>
      <c r="G7" s="289"/>
      <c r="H7" s="290"/>
      <c r="I7" s="291"/>
      <c r="J7" s="292" t="e" cm="1">
        <f t="array" ref="J7">INDEX('Descriptor maps'!$I$2:$I$1658,MATCH(1,('Descriptor maps'!$A$2:$A$1658=Calculation!$A7)*('Descriptor maps'!$G$2:$G$1658=Calculation!$G7),0))</f>
        <v>#N/A</v>
      </c>
      <c r="K7" s="226"/>
      <c r="L7" s="293"/>
      <c r="M7" s="293"/>
      <c r="N7" s="293"/>
      <c r="O7" s="293"/>
      <c r="P7" s="293"/>
      <c r="Q7" s="293"/>
      <c r="R7" s="293"/>
      <c r="S7" s="293"/>
      <c r="T7" s="293"/>
      <c r="U7" s="293"/>
      <c r="V7" s="293"/>
      <c r="W7" s="293"/>
      <c r="X7" s="293"/>
      <c r="Y7" s="293"/>
      <c r="Z7" s="293"/>
      <c r="AA7" s="293"/>
      <c r="AB7" s="293"/>
      <c r="AC7" s="293"/>
      <c r="AD7" s="293"/>
      <c r="AE7" s="293"/>
      <c r="AF7" s="293"/>
      <c r="AG7" s="293"/>
      <c r="AH7" s="293"/>
      <c r="AI7" s="293"/>
      <c r="AJ7" s="293"/>
      <c r="AK7" s="293"/>
      <c r="AL7" s="293"/>
      <c r="AM7" s="293"/>
      <c r="AN7" s="293"/>
      <c r="AO7" s="293"/>
      <c r="AP7" s="293"/>
      <c r="AQ7" s="293"/>
      <c r="AR7" s="293"/>
      <c r="AS7" s="293"/>
      <c r="AT7" s="293"/>
      <c r="AU7" s="293"/>
      <c r="AV7" s="293"/>
      <c r="AW7" s="293"/>
      <c r="AX7" s="293"/>
      <c r="AY7" s="293"/>
      <c r="AZ7" s="293"/>
      <c r="BA7" s="293"/>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85"/>
      <c r="CB7" s="286"/>
      <c r="CC7" s="286"/>
      <c r="CD7" s="286"/>
      <c r="CE7" s="286"/>
      <c r="CF7" s="286"/>
      <c r="CG7" s="286"/>
      <c r="CH7" s="286"/>
      <c r="CI7" s="286"/>
      <c r="CJ7" s="286"/>
      <c r="CK7" s="286"/>
      <c r="CL7" s="286"/>
      <c r="CM7" s="286"/>
      <c r="CN7" s="286"/>
      <c r="CO7" s="286"/>
      <c r="CP7" s="286"/>
      <c r="CQ7" s="286"/>
      <c r="CR7" s="286"/>
      <c r="CS7" s="286"/>
      <c r="CT7" s="286"/>
      <c r="CU7" s="286"/>
      <c r="CV7" s="286"/>
      <c r="CW7" s="286"/>
      <c r="CX7" s="286"/>
      <c r="CY7" s="286"/>
      <c r="CZ7" s="286"/>
      <c r="DA7" s="286"/>
      <c r="DB7" s="286"/>
      <c r="DC7" s="286"/>
      <c r="DD7" s="286"/>
      <c r="DE7" s="286"/>
      <c r="DF7" s="286"/>
      <c r="DG7" s="286"/>
      <c r="DH7" s="286"/>
      <c r="DI7" s="286"/>
      <c r="DJ7" s="286"/>
      <c r="DK7" s="286"/>
      <c r="DL7" s="286"/>
      <c r="DM7" s="286"/>
      <c r="DN7" s="286"/>
      <c r="DO7" s="286"/>
      <c r="DP7" s="286"/>
      <c r="DR7" s="58" t="str">
        <f>IF(ISNUMBER(MATCH(#REF!,'Audit Characteristic Mapping'!$B$3:$B$500,0)),"Y","")</f>
        <v/>
      </c>
      <c r="DS7" s="58" t="str">
        <f>IF(ISNUMBER(MATCH(#REF!,'Audit Characteristic Mapping'!$C$3:$C$500,0)),"Y","")</f>
        <v/>
      </c>
      <c r="DT7" s="58" t="str">
        <f>IF(ISNUMBER(MATCH(#REF!,'Audit Characteristic Mapping'!$D$3:$D$500,0)),"Y","")</f>
        <v/>
      </c>
      <c r="DU7" s="58" t="str">
        <f>IF(ISNUMBER(MATCH(#REF!,'Audit Characteristic Mapping'!$E$3:$E$500,0)),"Y","")</f>
        <v/>
      </c>
      <c r="DV7" s="58" t="str">
        <f>IF(ISNUMBER(MATCH(#REF!,'Audit Characteristic Mapping'!$F$3:$F$500,0)),"Y","")</f>
        <v/>
      </c>
      <c r="DW7" s="58" t="str">
        <f>IF(ISNUMBER(MATCH(#REF!,'Audit Characteristic Mapping'!$G$3:$G$500,0)),"Y","")</f>
        <v/>
      </c>
      <c r="DX7" s="58" t="str">
        <f>IF(ISNUMBER(MATCH(#REF!,'Audit Characteristic Mapping'!$H$3:$H$500,0)),"Y","")</f>
        <v/>
      </c>
      <c r="DY7" s="58" t="str">
        <f>IF(ISNUMBER(MATCH(#REF!,'Audit Characteristic Mapping'!$I$3:$I$500,0)),"Y","")</f>
        <v/>
      </c>
      <c r="DZ7" s="58" t="str">
        <f>IF(ISNUMBER(MATCH(#REF!,'Audit Characteristic Mapping'!$J$3:$J$500,0)),"Y","")</f>
        <v/>
      </c>
      <c r="EA7" s="58" t="str">
        <f>IF(ISNUMBER(MATCH(#REF!,'Audit Characteristic Mapping'!$K$3:$K$500,0)),"Y","")</f>
        <v/>
      </c>
    </row>
    <row r="8" spans="1:131" ht="16" hidden="1" x14ac:dyDescent="0.2">
      <c r="A8" s="288">
        <v>7</v>
      </c>
      <c r="B8" s="287" t="s">
        <v>131</v>
      </c>
      <c r="C8" s="226" t="s">
        <v>137</v>
      </c>
      <c r="D8" s="170">
        <v>1</v>
      </c>
      <c r="E8" s="288">
        <v>3</v>
      </c>
      <c r="F8" s="291" t="str">
        <f>VLOOKUP(Calculation!A8,'Descriptor maps'!$A$2:$F$1658,2,0)</f>
        <v>General information</v>
      </c>
      <c r="G8" s="289"/>
      <c r="H8" s="290"/>
      <c r="I8" s="291"/>
      <c r="J8" s="292" t="e" cm="1">
        <f t="array" ref="J8">INDEX('Descriptor maps'!$I$2:$I$1658,MATCH(1,('Descriptor maps'!$A$2:$A$1658=Calculation!$A8)*('Descriptor maps'!$G$2:$G$1658=Calculation!$G8),0))</f>
        <v>#N/A</v>
      </c>
      <c r="K8" s="226"/>
      <c r="L8" s="293"/>
      <c r="M8" s="293"/>
      <c r="N8" s="293"/>
      <c r="O8" s="293"/>
      <c r="P8" s="293"/>
      <c r="Q8" s="293"/>
      <c r="R8" s="293"/>
      <c r="S8" s="293"/>
      <c r="T8" s="293"/>
      <c r="U8" s="293"/>
      <c r="V8" s="293"/>
      <c r="W8" s="293"/>
      <c r="X8" s="293"/>
      <c r="Y8" s="293"/>
      <c r="Z8" s="293"/>
      <c r="AA8" s="293"/>
      <c r="AB8" s="293"/>
      <c r="AC8" s="293"/>
      <c r="AD8" s="293"/>
      <c r="AE8" s="293"/>
      <c r="AF8" s="293"/>
      <c r="AG8" s="293"/>
      <c r="AH8" s="293"/>
      <c r="AI8" s="293"/>
      <c r="AJ8" s="293"/>
      <c r="AK8" s="293"/>
      <c r="AL8" s="293"/>
      <c r="AM8" s="293"/>
      <c r="AN8" s="293"/>
      <c r="AO8" s="293"/>
      <c r="AP8" s="293"/>
      <c r="AQ8" s="293"/>
      <c r="AR8" s="293"/>
      <c r="AS8" s="293"/>
      <c r="AT8" s="293"/>
      <c r="AU8" s="293"/>
      <c r="AV8" s="293"/>
      <c r="AW8" s="293"/>
      <c r="AX8" s="293"/>
      <c r="AY8" s="293"/>
      <c r="AZ8" s="293"/>
      <c r="BA8" s="293"/>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85"/>
      <c r="CB8" s="286"/>
      <c r="CC8" s="286"/>
      <c r="CD8" s="286"/>
      <c r="CE8" s="286"/>
      <c r="CF8" s="286"/>
      <c r="CG8" s="286"/>
      <c r="CH8" s="286"/>
      <c r="CI8" s="286"/>
      <c r="CJ8" s="286"/>
      <c r="CK8" s="286"/>
      <c r="CL8" s="286"/>
      <c r="CM8" s="286"/>
      <c r="CN8" s="286"/>
      <c r="CO8" s="286"/>
      <c r="CP8" s="286"/>
      <c r="CQ8" s="286"/>
      <c r="CR8" s="286"/>
      <c r="CS8" s="286"/>
      <c r="CT8" s="286"/>
      <c r="CU8" s="286"/>
      <c r="CV8" s="286"/>
      <c r="CW8" s="286"/>
      <c r="CX8" s="286"/>
      <c r="CY8" s="286"/>
      <c r="CZ8" s="286"/>
      <c r="DA8" s="286"/>
      <c r="DB8" s="286"/>
      <c r="DC8" s="286"/>
      <c r="DD8" s="286"/>
      <c r="DE8" s="286"/>
      <c r="DF8" s="286"/>
      <c r="DG8" s="286"/>
      <c r="DH8" s="286"/>
      <c r="DI8" s="286"/>
      <c r="DJ8" s="286"/>
      <c r="DK8" s="286"/>
      <c r="DL8" s="286"/>
      <c r="DM8" s="286"/>
      <c r="DN8" s="286"/>
      <c r="DO8" s="286"/>
      <c r="DP8" s="286"/>
      <c r="DR8" s="58" t="str">
        <f>IF(ISNUMBER(MATCH(#REF!,'Audit Characteristic Mapping'!$B$3:$B$500,0)),"Y","")</f>
        <v/>
      </c>
      <c r="DS8" s="58" t="str">
        <f>IF(ISNUMBER(MATCH(#REF!,'Audit Characteristic Mapping'!$C$3:$C$500,0)),"Y","")</f>
        <v/>
      </c>
      <c r="DT8" s="58" t="str">
        <f>IF(ISNUMBER(MATCH(#REF!,'Audit Characteristic Mapping'!$D$3:$D$500,0)),"Y","")</f>
        <v/>
      </c>
      <c r="DU8" s="58" t="str">
        <f>IF(ISNUMBER(MATCH(#REF!,'Audit Characteristic Mapping'!$E$3:$E$500,0)),"Y","")</f>
        <v/>
      </c>
      <c r="DV8" s="58" t="str">
        <f>IF(ISNUMBER(MATCH(#REF!,'Audit Characteristic Mapping'!$F$3:$F$500,0)),"Y","")</f>
        <v/>
      </c>
      <c r="DW8" s="58" t="str">
        <f>IF(ISNUMBER(MATCH(#REF!,'Audit Characteristic Mapping'!$G$3:$G$500,0)),"Y","")</f>
        <v/>
      </c>
      <c r="DX8" s="58" t="str">
        <f>IF(ISNUMBER(MATCH(#REF!,'Audit Characteristic Mapping'!$H$3:$H$500,0)),"Y","")</f>
        <v/>
      </c>
      <c r="DY8" s="58" t="str">
        <f>IF(ISNUMBER(MATCH(#REF!,'Audit Characteristic Mapping'!$I$3:$I$500,0)),"Y","")</f>
        <v/>
      </c>
      <c r="DZ8" s="58" t="str">
        <f>IF(ISNUMBER(MATCH(#REF!,'Audit Characteristic Mapping'!$J$3:$J$500,0)),"Y","")</f>
        <v/>
      </c>
      <c r="EA8" s="58" t="str">
        <f>IF(ISNUMBER(MATCH(#REF!,'Audit Characteristic Mapping'!$K$3:$K$500,0)),"Y","")</f>
        <v/>
      </c>
    </row>
    <row r="9" spans="1:131" ht="16" hidden="1" x14ac:dyDescent="0.2">
      <c r="A9" s="288">
        <v>8</v>
      </c>
      <c r="B9" s="287" t="s">
        <v>131</v>
      </c>
      <c r="C9" s="226" t="s">
        <v>141</v>
      </c>
      <c r="D9" s="170">
        <v>1</v>
      </c>
      <c r="E9" s="288">
        <v>4</v>
      </c>
      <c r="F9" s="291" t="str">
        <f>VLOOKUP(Calculation!A9,'Descriptor maps'!$A$2:$F$1658,2,0)</f>
        <v>Facility consequences</v>
      </c>
      <c r="G9" s="289"/>
      <c r="H9" s="290"/>
      <c r="I9" s="291"/>
      <c r="J9" s="292" t="e" cm="1">
        <f t="array" ref="J9">INDEX('Descriptor maps'!$I$2:$I$1658,MATCH(1,('Descriptor maps'!$A$2:$A$1658=Calculation!$A9)*('Descriptor maps'!$G$2:$G$1658=Calculation!$G9),0))</f>
        <v>#N/A</v>
      </c>
      <c r="K9" s="226"/>
      <c r="L9" s="293"/>
      <c r="M9" s="293"/>
      <c r="N9" s="293"/>
      <c r="O9" s="293"/>
      <c r="P9" s="293"/>
      <c r="Q9" s="293"/>
      <c r="R9" s="293"/>
      <c r="S9" s="293"/>
      <c r="T9" s="293"/>
      <c r="U9" s="293"/>
      <c r="V9" s="293"/>
      <c r="W9" s="293"/>
      <c r="X9" s="293"/>
      <c r="Y9" s="293"/>
      <c r="Z9" s="293"/>
      <c r="AA9" s="293"/>
      <c r="AB9" s="293"/>
      <c r="AC9" s="293"/>
      <c r="AD9" s="293"/>
      <c r="AE9" s="293"/>
      <c r="AF9" s="293"/>
      <c r="AG9" s="293"/>
      <c r="AH9" s="293"/>
      <c r="AI9" s="293"/>
      <c r="AJ9" s="293"/>
      <c r="AK9" s="293"/>
      <c r="AL9" s="293"/>
      <c r="AM9" s="293"/>
      <c r="AN9" s="293"/>
      <c r="AO9" s="293"/>
      <c r="AP9" s="293"/>
      <c r="AQ9" s="293"/>
      <c r="AR9" s="293"/>
      <c r="AS9" s="293"/>
      <c r="AT9" s="293"/>
      <c r="AU9" s="293"/>
      <c r="AV9" s="293"/>
      <c r="AW9" s="293"/>
      <c r="AX9" s="293"/>
      <c r="AY9" s="293"/>
      <c r="AZ9" s="293"/>
      <c r="BA9" s="293"/>
      <c r="BB9" s="293"/>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85"/>
      <c r="CB9" s="286"/>
      <c r="CC9" s="286"/>
      <c r="CD9" s="286"/>
      <c r="CE9" s="286"/>
      <c r="CF9" s="286"/>
      <c r="CG9" s="286"/>
      <c r="CH9" s="286"/>
      <c r="CI9" s="286"/>
      <c r="CJ9" s="286"/>
      <c r="CK9" s="286"/>
      <c r="CL9" s="286"/>
      <c r="CM9" s="286"/>
      <c r="CN9" s="286"/>
      <c r="CO9" s="286"/>
      <c r="CP9" s="286"/>
      <c r="CQ9" s="286"/>
      <c r="CR9" s="286"/>
      <c r="CS9" s="286"/>
      <c r="CT9" s="286"/>
      <c r="CU9" s="286"/>
      <c r="CV9" s="286"/>
      <c r="CW9" s="286"/>
      <c r="CX9" s="286"/>
      <c r="CY9" s="286"/>
      <c r="CZ9" s="286"/>
      <c r="DA9" s="286"/>
      <c r="DB9" s="286"/>
      <c r="DC9" s="286"/>
      <c r="DD9" s="286"/>
      <c r="DE9" s="286"/>
      <c r="DF9" s="286"/>
      <c r="DG9" s="286"/>
      <c r="DH9" s="286"/>
      <c r="DI9" s="286"/>
      <c r="DJ9" s="286"/>
      <c r="DK9" s="286"/>
      <c r="DL9" s="286"/>
      <c r="DM9" s="286"/>
      <c r="DN9" s="286"/>
      <c r="DO9" s="286"/>
      <c r="DP9" s="286"/>
      <c r="DR9" s="58" t="str">
        <f>IF(ISNUMBER(MATCH(#REF!,'Audit Characteristic Mapping'!$B$3:$B$500,0)),"Y","")</f>
        <v/>
      </c>
      <c r="DS9" s="58" t="str">
        <f>IF(ISNUMBER(MATCH(#REF!,'Audit Characteristic Mapping'!$C$3:$C$500,0)),"Y","")</f>
        <v/>
      </c>
      <c r="DT9" s="58" t="str">
        <f>IF(ISNUMBER(MATCH(#REF!,'Audit Characteristic Mapping'!$D$3:$D$500,0)),"Y","")</f>
        <v/>
      </c>
      <c r="DU9" s="58" t="str">
        <f>IF(ISNUMBER(MATCH(#REF!,'Audit Characteristic Mapping'!$E$3:$E$500,0)),"Y","")</f>
        <v/>
      </c>
      <c r="DV9" s="58" t="str">
        <f>IF(ISNUMBER(MATCH(#REF!,'Audit Characteristic Mapping'!$F$3:$F$500,0)),"Y","")</f>
        <v/>
      </c>
      <c r="DW9" s="58" t="str">
        <f>IF(ISNUMBER(MATCH(#REF!,'Audit Characteristic Mapping'!$G$3:$G$500,0)),"Y","")</f>
        <v/>
      </c>
      <c r="DX9" s="58" t="str">
        <f>IF(ISNUMBER(MATCH(#REF!,'Audit Characteristic Mapping'!$H$3:$H$500,0)),"Y","")</f>
        <v/>
      </c>
      <c r="DY9" s="58" t="str">
        <f>IF(ISNUMBER(MATCH(#REF!,'Audit Characteristic Mapping'!$I$3:$I$500,0)),"Y","")</f>
        <v/>
      </c>
      <c r="DZ9" s="58" t="str">
        <f>IF(ISNUMBER(MATCH(#REF!,'Audit Characteristic Mapping'!$J$3:$J$500,0)),"Y","")</f>
        <v/>
      </c>
      <c r="EA9" s="58" t="str">
        <f>IF(ISNUMBER(MATCH(#REF!,'Audit Characteristic Mapping'!$K$3:$K$500,0)),"Y","")</f>
        <v/>
      </c>
    </row>
    <row r="10" spans="1:131" ht="16" hidden="1" x14ac:dyDescent="0.2">
      <c r="A10" s="288">
        <v>9</v>
      </c>
      <c r="B10" s="287" t="s">
        <v>131</v>
      </c>
      <c r="C10" s="226" t="s">
        <v>141</v>
      </c>
      <c r="D10" s="170">
        <v>1</v>
      </c>
      <c r="E10" s="288">
        <v>4</v>
      </c>
      <c r="F10" s="291" t="str">
        <f>VLOOKUP(Calculation!A10,'Descriptor maps'!$A$2:$F$1658,2,0)</f>
        <v>Facility consequences</v>
      </c>
      <c r="G10" s="289" t="s">
        <v>658</v>
      </c>
      <c r="H10" s="290"/>
      <c r="I10" s="291"/>
      <c r="J10" s="292" cm="1">
        <f t="array" ref="J10">INDEX('Descriptor maps'!$I$2:$I$1658,MATCH(1,('Descriptor maps'!$A$2:$A$1658=Calculation!$A10)*('Descriptor maps'!$G$2:$G$1658=Calculation!$G10),0))</f>
        <v>0</v>
      </c>
      <c r="K10" s="226"/>
      <c r="L10" s="293"/>
      <c r="M10" s="293"/>
      <c r="N10" s="293"/>
      <c r="O10" s="293"/>
      <c r="P10" s="293"/>
      <c r="Q10" s="293"/>
      <c r="R10" s="293"/>
      <c r="S10" s="293"/>
      <c r="T10" s="293"/>
      <c r="U10" s="293"/>
      <c r="V10" s="293"/>
      <c r="W10" s="293"/>
      <c r="X10" s="293"/>
      <c r="Y10" s="293"/>
      <c r="Z10" s="293"/>
      <c r="AA10" s="293"/>
      <c r="AB10" s="293"/>
      <c r="AC10" s="293"/>
      <c r="AD10" s="293"/>
      <c r="AE10" s="293"/>
      <c r="AF10" s="293"/>
      <c r="AG10" s="293"/>
      <c r="AH10" s="293"/>
      <c r="AI10" s="293"/>
      <c r="AJ10" s="293"/>
      <c r="AK10" s="293"/>
      <c r="AL10" s="293"/>
      <c r="AM10" s="293"/>
      <c r="AN10" s="293"/>
      <c r="AO10" s="293"/>
      <c r="AP10" s="293"/>
      <c r="AQ10" s="293"/>
      <c r="AR10" s="293"/>
      <c r="AS10" s="293"/>
      <c r="AT10" s="293"/>
      <c r="AU10" s="293"/>
      <c r="AV10" s="293"/>
      <c r="AW10" s="293"/>
      <c r="AX10" s="293"/>
      <c r="AY10" s="293"/>
      <c r="AZ10" s="293"/>
      <c r="BA10" s="293"/>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85"/>
      <c r="CB10" s="286"/>
      <c r="CC10" s="286"/>
      <c r="CD10" s="286"/>
      <c r="CE10" s="286"/>
      <c r="CF10" s="286"/>
      <c r="CG10" s="286"/>
      <c r="CH10" s="286"/>
      <c r="CI10" s="286"/>
      <c r="CJ10" s="286"/>
      <c r="CK10" s="286"/>
      <c r="CL10" s="286"/>
      <c r="CM10" s="286"/>
      <c r="CN10" s="286"/>
      <c r="CO10" s="286"/>
      <c r="CP10" s="286"/>
      <c r="CQ10" s="286"/>
      <c r="CR10" s="286"/>
      <c r="CS10" s="286"/>
      <c r="CT10" s="286"/>
      <c r="CU10" s="286"/>
      <c r="CV10" s="286"/>
      <c r="CW10" s="286"/>
      <c r="CX10" s="286"/>
      <c r="CY10" s="286"/>
      <c r="CZ10" s="286"/>
      <c r="DA10" s="286"/>
      <c r="DB10" s="286"/>
      <c r="DC10" s="286"/>
      <c r="DD10" s="286"/>
      <c r="DE10" s="286"/>
      <c r="DF10" s="286"/>
      <c r="DG10" s="286"/>
      <c r="DH10" s="286"/>
      <c r="DI10" s="286"/>
      <c r="DJ10" s="286"/>
      <c r="DK10" s="286"/>
      <c r="DL10" s="286"/>
      <c r="DM10" s="286"/>
      <c r="DN10" s="286"/>
      <c r="DO10" s="286"/>
      <c r="DP10" s="286"/>
      <c r="DR10" s="58" t="str">
        <f>IF(ISNUMBER(MATCH(#REF!,'Audit Characteristic Mapping'!$B$3:$B$500,0)),"Y","")</f>
        <v/>
      </c>
      <c r="DS10" s="58" t="str">
        <f>IF(ISNUMBER(MATCH(#REF!,'Audit Characteristic Mapping'!$C$3:$C$500,0)),"Y","")</f>
        <v/>
      </c>
      <c r="DT10" s="58" t="str">
        <f>IF(ISNUMBER(MATCH(#REF!,'Audit Characteristic Mapping'!$D$3:$D$500,0)),"Y","")</f>
        <v/>
      </c>
      <c r="DU10" s="58" t="str">
        <f>IF(ISNUMBER(MATCH(#REF!,'Audit Characteristic Mapping'!$E$3:$E$500,0)),"Y","")</f>
        <v/>
      </c>
      <c r="DV10" s="58" t="str">
        <f>IF(ISNUMBER(MATCH(#REF!,'Audit Characteristic Mapping'!$F$3:$F$500,0)),"Y","")</f>
        <v/>
      </c>
      <c r="DW10" s="58" t="str">
        <f>IF(ISNUMBER(MATCH(#REF!,'Audit Characteristic Mapping'!$G$3:$G$500,0)),"Y","")</f>
        <v/>
      </c>
      <c r="DX10" s="58" t="str">
        <f>IF(ISNUMBER(MATCH(#REF!,'Audit Characteristic Mapping'!$H$3:$H$500,0)),"Y","")</f>
        <v/>
      </c>
      <c r="DY10" s="58" t="str">
        <f>IF(ISNUMBER(MATCH(#REF!,'Audit Characteristic Mapping'!$I$3:$I$500,0)),"Y","")</f>
        <v/>
      </c>
      <c r="DZ10" s="58" t="str">
        <f>IF(ISNUMBER(MATCH(#REF!,'Audit Characteristic Mapping'!$J$3:$J$500,0)),"Y","")</f>
        <v/>
      </c>
      <c r="EA10" s="58" t="str">
        <f>IF(ISNUMBER(MATCH(#REF!,'Audit Characteristic Mapping'!$K$3:$K$500,0)),"Y","")</f>
        <v/>
      </c>
    </row>
    <row r="11" spans="1:131" ht="16" hidden="1" x14ac:dyDescent="0.2">
      <c r="A11" s="288">
        <v>10</v>
      </c>
      <c r="B11" s="287" t="s">
        <v>131</v>
      </c>
      <c r="C11" s="226" t="s">
        <v>141</v>
      </c>
      <c r="D11" s="170">
        <v>1</v>
      </c>
      <c r="E11" s="288">
        <v>4</v>
      </c>
      <c r="F11" s="291" t="str">
        <f>VLOOKUP(Calculation!A11,'Descriptor maps'!$A$2:$F$1658,2,0)</f>
        <v>Facility consequences</v>
      </c>
      <c r="G11" s="289" t="s">
        <v>659</v>
      </c>
      <c r="H11" s="290"/>
      <c r="I11" s="291"/>
      <c r="J11" s="292" cm="1">
        <f t="array" ref="J11">INDEX('Descriptor maps'!$I$2:$I$1658,MATCH(1,('Descriptor maps'!$A$2:$A$1658=Calculation!$A11)*('Descriptor maps'!$G$2:$G$1658=Calculation!$G11),0))</f>
        <v>0</v>
      </c>
      <c r="K11" s="226"/>
      <c r="L11" s="293"/>
      <c r="M11" s="293"/>
      <c r="N11" s="293"/>
      <c r="O11" s="293"/>
      <c r="P11" s="293"/>
      <c r="Q11" s="293"/>
      <c r="R11" s="293"/>
      <c r="S11" s="293"/>
      <c r="T11" s="293"/>
      <c r="U11" s="293"/>
      <c r="V11" s="293"/>
      <c r="W11" s="293"/>
      <c r="X11" s="293"/>
      <c r="Y11" s="293"/>
      <c r="Z11" s="293"/>
      <c r="AA11" s="293"/>
      <c r="AB11" s="293"/>
      <c r="AC11" s="293"/>
      <c r="AD11" s="293"/>
      <c r="AE11" s="293"/>
      <c r="AF11" s="293"/>
      <c r="AG11" s="293"/>
      <c r="AH11" s="293"/>
      <c r="AI11" s="293"/>
      <c r="AJ11" s="293"/>
      <c r="AK11" s="293"/>
      <c r="AL11" s="293"/>
      <c r="AM11" s="293"/>
      <c r="AN11" s="293"/>
      <c r="AO11" s="293"/>
      <c r="AP11" s="293"/>
      <c r="AQ11" s="293"/>
      <c r="AR11" s="293"/>
      <c r="AS11" s="293"/>
      <c r="AT11" s="293"/>
      <c r="AU11" s="293"/>
      <c r="AV11" s="293"/>
      <c r="AW11" s="293"/>
      <c r="AX11" s="293"/>
      <c r="AY11" s="293"/>
      <c r="AZ11" s="293"/>
      <c r="BA11" s="293"/>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85"/>
      <c r="CB11" s="286"/>
      <c r="CC11" s="286"/>
      <c r="CD11" s="286"/>
      <c r="CE11" s="286"/>
      <c r="CF11" s="286"/>
      <c r="CG11" s="286"/>
      <c r="CH11" s="286"/>
      <c r="CI11" s="286"/>
      <c r="CJ11" s="286"/>
      <c r="CK11" s="286"/>
      <c r="CL11" s="286"/>
      <c r="CM11" s="286"/>
      <c r="CN11" s="286"/>
      <c r="CO11" s="286"/>
      <c r="CP11" s="286"/>
      <c r="CQ11" s="286"/>
      <c r="CR11" s="286"/>
      <c r="CS11" s="286"/>
      <c r="CT11" s="286"/>
      <c r="CU11" s="286"/>
      <c r="CV11" s="286"/>
      <c r="CW11" s="286"/>
      <c r="CX11" s="286"/>
      <c r="CY11" s="286"/>
      <c r="CZ11" s="286"/>
      <c r="DA11" s="286"/>
      <c r="DB11" s="286"/>
      <c r="DC11" s="286"/>
      <c r="DD11" s="286"/>
      <c r="DE11" s="286"/>
      <c r="DF11" s="286"/>
      <c r="DG11" s="286"/>
      <c r="DH11" s="286"/>
      <c r="DI11" s="286"/>
      <c r="DJ11" s="286"/>
      <c r="DK11" s="286"/>
      <c r="DL11" s="286"/>
      <c r="DM11" s="286"/>
      <c r="DN11" s="286"/>
      <c r="DO11" s="286"/>
      <c r="DP11" s="286"/>
      <c r="DR11" s="58" t="str">
        <f>IF(ISNUMBER(MATCH(#REF!,'Audit Characteristic Mapping'!$B$3:$B$500,0)),"Y","")</f>
        <v/>
      </c>
      <c r="DS11" s="58" t="str">
        <f>IF(ISNUMBER(MATCH(#REF!,'Audit Characteristic Mapping'!$C$3:$C$500,0)),"Y","")</f>
        <v/>
      </c>
      <c r="DT11" s="58" t="str">
        <f>IF(ISNUMBER(MATCH(#REF!,'Audit Characteristic Mapping'!$D$3:$D$500,0)),"Y","")</f>
        <v/>
      </c>
      <c r="DU11" s="58" t="str">
        <f>IF(ISNUMBER(MATCH(#REF!,'Audit Characteristic Mapping'!$E$3:$E$500,0)),"Y","")</f>
        <v/>
      </c>
      <c r="DV11" s="58" t="str">
        <f>IF(ISNUMBER(MATCH(#REF!,'Audit Characteristic Mapping'!$F$3:$F$500,0)),"Y","")</f>
        <v/>
      </c>
      <c r="DW11" s="58" t="str">
        <f>IF(ISNUMBER(MATCH(#REF!,'Audit Characteristic Mapping'!$G$3:$G$500,0)),"Y","")</f>
        <v/>
      </c>
      <c r="DX11" s="58" t="str">
        <f>IF(ISNUMBER(MATCH(#REF!,'Audit Characteristic Mapping'!$H$3:$H$500,0)),"Y","")</f>
        <v/>
      </c>
      <c r="DY11" s="58" t="str">
        <f>IF(ISNUMBER(MATCH(#REF!,'Audit Characteristic Mapping'!$I$3:$I$500,0)),"Y","")</f>
        <v/>
      </c>
      <c r="DZ11" s="58" t="str">
        <f>IF(ISNUMBER(MATCH(#REF!,'Audit Characteristic Mapping'!$J$3:$J$500,0)),"Y","")</f>
        <v/>
      </c>
      <c r="EA11" s="58" t="str">
        <f>IF(ISNUMBER(MATCH(#REF!,'Audit Characteristic Mapping'!$K$3:$K$500,0)),"Y","")</f>
        <v/>
      </c>
    </row>
    <row r="12" spans="1:131" ht="16" x14ac:dyDescent="0.2">
      <c r="A12" s="294">
        <v>64</v>
      </c>
      <c r="B12" s="287" t="s">
        <v>174</v>
      </c>
      <c r="C12" s="226" t="s">
        <v>191</v>
      </c>
      <c r="D12" s="170">
        <v>2</v>
      </c>
      <c r="E12" s="288">
        <v>8</v>
      </c>
      <c r="F12" s="291" t="str">
        <f>VLOOKUP(Calculation!A12,'Descriptor maps'!$A$2:$F$1658,6,0)</f>
        <v>Name of Embankment</v>
      </c>
      <c r="G12" s="289"/>
      <c r="H12" s="290"/>
      <c r="I12" s="291"/>
      <c r="J12" s="292" t="e" cm="1">
        <f t="array" ref="J12">INDEX('Descriptor maps'!$I$2:$I$1658,MATCH(1,('Descriptor maps'!$A$2:$A$1658=Calculation!$A12)*('Descriptor maps'!$G$2:$G$1658=Calculation!$G12),0))</f>
        <v>#N/A</v>
      </c>
      <c r="K12" s="226"/>
      <c r="L12" s="293"/>
      <c r="M12" s="293"/>
      <c r="N12" s="293"/>
      <c r="O12" s="293"/>
      <c r="P12" s="293"/>
      <c r="Q12" s="293"/>
      <c r="R12" s="293"/>
      <c r="S12" s="293"/>
      <c r="T12" s="293"/>
      <c r="U12" s="293"/>
      <c r="V12" s="293"/>
      <c r="W12" s="293"/>
      <c r="X12" s="293"/>
      <c r="Y12" s="293"/>
      <c r="Z12" s="293"/>
      <c r="AA12" s="293"/>
      <c r="AB12" s="293"/>
      <c r="AC12" s="293"/>
      <c r="AD12" s="293"/>
      <c r="AE12" s="293"/>
      <c r="AF12" s="293"/>
      <c r="AG12" s="293"/>
      <c r="AH12" s="293"/>
      <c r="AI12" s="293"/>
      <c r="AJ12" s="293"/>
      <c r="AK12" s="293"/>
      <c r="AL12" s="293"/>
      <c r="AM12" s="293"/>
      <c r="AN12" s="293"/>
      <c r="AO12" s="293"/>
      <c r="AP12" s="293"/>
      <c r="AQ12" s="293"/>
      <c r="AR12" s="293"/>
      <c r="AS12" s="293"/>
      <c r="AT12" s="293"/>
      <c r="AU12" s="293"/>
      <c r="AV12" s="293"/>
      <c r="AW12" s="293"/>
      <c r="AX12" s="293"/>
      <c r="AY12" s="293"/>
      <c r="AZ12" s="293"/>
      <c r="BA12" s="293"/>
      <c r="BB12" s="293"/>
      <c r="BC12" s="293"/>
      <c r="BD12" s="293"/>
      <c r="BE12" s="293"/>
      <c r="BF12" s="293"/>
      <c r="BG12" s="293"/>
      <c r="BH12" s="293"/>
      <c r="BI12" s="293"/>
      <c r="BJ12" s="293"/>
      <c r="BK12" s="293"/>
      <c r="BL12" s="293"/>
      <c r="BM12" s="293"/>
      <c r="BN12" s="293"/>
      <c r="BO12" s="293"/>
      <c r="BP12" s="293"/>
      <c r="BQ12" s="293"/>
      <c r="BR12" s="293"/>
      <c r="BS12" s="293"/>
      <c r="BT12" s="293"/>
      <c r="BU12" s="293"/>
      <c r="BV12" s="293"/>
      <c r="BW12" s="293"/>
      <c r="BX12" s="293"/>
      <c r="BY12" s="293"/>
      <c r="BZ12" s="293"/>
      <c r="CA12" s="285"/>
      <c r="CB12" s="286"/>
      <c r="CC12" s="286"/>
      <c r="CD12" s="286"/>
      <c r="CE12" s="286"/>
      <c r="CF12" s="286"/>
      <c r="CG12" s="286"/>
      <c r="CH12" s="286"/>
      <c r="CI12" s="286"/>
      <c r="CJ12" s="286"/>
      <c r="CK12" s="286"/>
      <c r="CL12" s="286"/>
      <c r="CM12" s="286"/>
      <c r="CN12" s="286"/>
      <c r="CO12" s="286"/>
      <c r="CP12" s="286"/>
      <c r="CQ12" s="286"/>
      <c r="CR12" s="286"/>
      <c r="CS12" s="286"/>
      <c r="CT12" s="286"/>
      <c r="CU12" s="286"/>
      <c r="CV12" s="286"/>
      <c r="CW12" s="286"/>
      <c r="CX12" s="286"/>
      <c r="CY12" s="286"/>
      <c r="CZ12" s="286"/>
      <c r="DA12" s="286"/>
      <c r="DB12" s="286"/>
      <c r="DC12" s="286"/>
      <c r="DD12" s="286"/>
      <c r="DE12" s="286"/>
      <c r="DF12" s="286"/>
      <c r="DG12" s="286"/>
      <c r="DH12" s="286"/>
      <c r="DI12" s="286"/>
      <c r="DJ12" s="286"/>
      <c r="DK12" s="286"/>
      <c r="DL12" s="286"/>
      <c r="DM12" s="286"/>
      <c r="DN12" s="286"/>
      <c r="DO12" s="286"/>
      <c r="DP12" s="286"/>
      <c r="DR12" s="58" t="str">
        <f>IF(ISNUMBER(MATCH(#REF!,'Audit Characteristic Mapping'!$B$3:$B$500,0)),"Y","")</f>
        <v/>
      </c>
      <c r="DS12" s="58" t="str">
        <f>IF(ISNUMBER(MATCH(#REF!,'Audit Characteristic Mapping'!$C$3:$C$500,0)),"Y","")</f>
        <v/>
      </c>
      <c r="DT12" s="58" t="str">
        <f>IF(ISNUMBER(MATCH(#REF!,'Audit Characteristic Mapping'!$D$3:$D$500,0)),"Y","")</f>
        <v/>
      </c>
      <c r="DU12" s="58" t="str">
        <f>IF(ISNUMBER(MATCH(#REF!,'Audit Characteristic Mapping'!$E$3:$E$500,0)),"Y","")</f>
        <v/>
      </c>
      <c r="DV12" s="58" t="str">
        <f>IF(ISNUMBER(MATCH(#REF!,'Audit Characteristic Mapping'!$F$3:$F$500,0)),"Y","")</f>
        <v/>
      </c>
      <c r="DW12" s="58" t="str">
        <f>IF(ISNUMBER(MATCH(#REF!,'Audit Characteristic Mapping'!$G$3:$G$500,0)),"Y","")</f>
        <v/>
      </c>
      <c r="DX12" s="58" t="str">
        <f>IF(ISNUMBER(MATCH(#REF!,'Audit Characteristic Mapping'!$H$3:$H$500,0)),"Y","")</f>
        <v/>
      </c>
      <c r="DY12" s="58" t="str">
        <f>IF(ISNUMBER(MATCH(#REF!,'Audit Characteristic Mapping'!$I$3:$I$500,0)),"Y","")</f>
        <v/>
      </c>
      <c r="DZ12" s="58" t="str">
        <f>IF(ISNUMBER(MATCH(#REF!,'Audit Characteristic Mapping'!$J$3:$J$500,0)),"Y","")</f>
        <v/>
      </c>
      <c r="EA12" s="58" t="str">
        <f>IF(ISNUMBER(MATCH(#REF!,'Audit Characteristic Mapping'!$K$3:$K$500,0)),"Y","")</f>
        <v/>
      </c>
    </row>
    <row r="13" spans="1:131" ht="16" x14ac:dyDescent="0.2">
      <c r="A13" s="294">
        <v>11</v>
      </c>
      <c r="B13" s="287" t="s">
        <v>131</v>
      </c>
      <c r="C13" s="226" t="s">
        <v>141</v>
      </c>
      <c r="D13" s="170">
        <v>1</v>
      </c>
      <c r="E13" s="288">
        <v>4</v>
      </c>
      <c r="F13" s="291" t="str">
        <f>VLOOKUP(Calculation!A13,'Descriptor maps'!$A$2:$F$1658,6,0)</f>
        <v>ANCOLD Consequence Category</v>
      </c>
      <c r="G13" s="289" t="s">
        <v>660</v>
      </c>
      <c r="H13" s="290"/>
      <c r="I13" s="291"/>
      <c r="J13" s="292" cm="1">
        <f t="array" ref="J13">INDEX('Descriptor maps'!$I$2:$I$1658,MATCH(1,('Descriptor maps'!$A$2:$A$1658=Calculation!$A13)*('Descriptor maps'!$G$2:$G$1658=Calculation!$G13),0))</f>
        <v>0</v>
      </c>
      <c r="K13" s="226"/>
      <c r="L13" s="293"/>
      <c r="M13" s="293"/>
      <c r="N13" s="293"/>
      <c r="O13" s="293"/>
      <c r="P13" s="293"/>
      <c r="Q13" s="293"/>
      <c r="R13" s="293"/>
      <c r="S13" s="293"/>
      <c r="T13" s="293"/>
      <c r="U13" s="293"/>
      <c r="V13" s="293"/>
      <c r="W13" s="293"/>
      <c r="X13" s="293"/>
      <c r="Y13" s="293"/>
      <c r="Z13" s="293"/>
      <c r="AA13" s="293"/>
      <c r="AB13" s="293"/>
      <c r="AC13" s="293"/>
      <c r="AD13" s="293"/>
      <c r="AE13" s="293"/>
      <c r="AF13" s="293"/>
      <c r="AG13" s="293"/>
      <c r="AH13" s="293"/>
      <c r="AI13" s="293"/>
      <c r="AJ13" s="293"/>
      <c r="AK13" s="293"/>
      <c r="AL13" s="293"/>
      <c r="AM13" s="293"/>
      <c r="AN13" s="293"/>
      <c r="AO13" s="293"/>
      <c r="AP13" s="293"/>
      <c r="AQ13" s="293"/>
      <c r="AR13" s="293"/>
      <c r="AS13" s="293"/>
      <c r="AT13" s="293"/>
      <c r="AU13" s="293"/>
      <c r="AV13" s="293"/>
      <c r="AW13" s="293"/>
      <c r="AX13" s="293"/>
      <c r="AY13" s="293"/>
      <c r="AZ13" s="293"/>
      <c r="BA13" s="293"/>
      <c r="BB13" s="293"/>
      <c r="BC13" s="293"/>
      <c r="BD13" s="293"/>
      <c r="BE13" s="293"/>
      <c r="BF13" s="293"/>
      <c r="BG13" s="293"/>
      <c r="BH13" s="293"/>
      <c r="BI13" s="293"/>
      <c r="BJ13" s="293"/>
      <c r="BK13" s="293"/>
      <c r="BL13" s="293"/>
      <c r="BM13" s="293"/>
      <c r="BN13" s="293"/>
      <c r="BO13" s="293"/>
      <c r="BP13" s="293"/>
      <c r="BQ13" s="293"/>
      <c r="BR13" s="293"/>
      <c r="BS13" s="293"/>
      <c r="BT13" s="293"/>
      <c r="BU13" s="293"/>
      <c r="BV13" s="293"/>
      <c r="BW13" s="293"/>
      <c r="BX13" s="293"/>
      <c r="BY13" s="293"/>
      <c r="BZ13" s="293"/>
      <c r="CA13" s="285"/>
      <c r="CB13" s="286"/>
      <c r="CC13" s="286"/>
      <c r="CD13" s="286"/>
      <c r="CE13" s="286"/>
      <c r="CF13" s="286"/>
      <c r="CG13" s="286"/>
      <c r="CH13" s="286"/>
      <c r="CI13" s="286"/>
      <c r="CJ13" s="286"/>
      <c r="CK13" s="286"/>
      <c r="CL13" s="286"/>
      <c r="CM13" s="286"/>
      <c r="CN13" s="286"/>
      <c r="CO13" s="286"/>
      <c r="CP13" s="286"/>
      <c r="CQ13" s="286"/>
      <c r="CR13" s="286"/>
      <c r="CS13" s="286"/>
      <c r="CT13" s="286"/>
      <c r="CU13" s="286"/>
      <c r="CV13" s="286"/>
      <c r="CW13" s="286"/>
      <c r="CX13" s="286"/>
      <c r="CY13" s="286"/>
      <c r="CZ13" s="286"/>
      <c r="DA13" s="286"/>
      <c r="DB13" s="286"/>
      <c r="DC13" s="286"/>
      <c r="DD13" s="286"/>
      <c r="DE13" s="286"/>
      <c r="DF13" s="286"/>
      <c r="DG13" s="286"/>
      <c r="DH13" s="286"/>
      <c r="DI13" s="286"/>
      <c r="DJ13" s="286"/>
      <c r="DK13" s="286"/>
      <c r="DL13" s="286"/>
      <c r="DM13" s="286"/>
      <c r="DN13" s="286"/>
      <c r="DO13" s="286"/>
      <c r="DP13" s="286"/>
      <c r="DR13" s="58" t="str">
        <f>IF(ISNUMBER(MATCH(#REF!,'Audit Characteristic Mapping'!$B$3:$B$500,0)),"Y","")</f>
        <v/>
      </c>
      <c r="DS13" s="58" t="str">
        <f>IF(ISNUMBER(MATCH(#REF!,'Audit Characteristic Mapping'!$C$3:$C$500,0)),"Y","")</f>
        <v/>
      </c>
      <c r="DT13" s="58" t="str">
        <f>IF(ISNUMBER(MATCH(#REF!,'Audit Characteristic Mapping'!$D$3:$D$500,0)),"Y","")</f>
        <v/>
      </c>
      <c r="DU13" s="58" t="str">
        <f>IF(ISNUMBER(MATCH(#REF!,'Audit Characteristic Mapping'!$E$3:$E$500,0)),"Y","")</f>
        <v/>
      </c>
      <c r="DV13" s="58" t="str">
        <f>IF(ISNUMBER(MATCH(#REF!,'Audit Characteristic Mapping'!$F$3:$F$500,0)),"Y","")</f>
        <v/>
      </c>
      <c r="DW13" s="58" t="str">
        <f>IF(ISNUMBER(MATCH(#REF!,'Audit Characteristic Mapping'!$G$3:$G$500,0)),"Y","")</f>
        <v/>
      </c>
      <c r="DX13" s="58" t="str">
        <f>IF(ISNUMBER(MATCH(#REF!,'Audit Characteristic Mapping'!$H$3:$H$500,0)),"Y","")</f>
        <v/>
      </c>
      <c r="DY13" s="58" t="str">
        <f>IF(ISNUMBER(MATCH(#REF!,'Audit Characteristic Mapping'!$I$3:$I$500,0)),"Y","")</f>
        <v/>
      </c>
      <c r="DZ13" s="58" t="str">
        <f>IF(ISNUMBER(MATCH(#REF!,'Audit Characteristic Mapping'!$J$3:$J$500,0)),"Y","")</f>
        <v/>
      </c>
      <c r="EA13" s="58" t="str">
        <f>IF(ISNUMBER(MATCH(#REF!,'Audit Characteristic Mapping'!$K$3:$K$500,0)),"Y","")</f>
        <v/>
      </c>
    </row>
    <row r="14" spans="1:131" ht="16" hidden="1" x14ac:dyDescent="0.2">
      <c r="A14" s="288">
        <v>12</v>
      </c>
      <c r="B14" s="287" t="s">
        <v>131</v>
      </c>
      <c r="C14" s="226" t="s">
        <v>141</v>
      </c>
      <c r="D14" s="170">
        <v>1</v>
      </c>
      <c r="E14" s="288">
        <v>4</v>
      </c>
      <c r="F14" s="291" t="str">
        <f>VLOOKUP(Calculation!A14,'Descriptor maps'!$A$2:$F$1658,2,0)</f>
        <v>Facility consequences</v>
      </c>
      <c r="G14" s="289"/>
      <c r="H14" s="290"/>
      <c r="I14" s="291"/>
      <c r="J14" s="292" cm="1">
        <f t="array" ref="J14">INDEX('Descriptor maps'!$I$2:$I$1658,MATCH(1,('Descriptor maps'!$A$2:$A$1658=Calculation!$A14)*('Descriptor maps'!$G$2:$G$1658=Calculation!$G14),0))</f>
        <v>0</v>
      </c>
      <c r="K14" s="226"/>
      <c r="L14" s="293"/>
      <c r="M14" s="293"/>
      <c r="N14" s="293"/>
      <c r="O14" s="293"/>
      <c r="P14" s="293"/>
      <c r="Q14" s="293"/>
      <c r="R14" s="293"/>
      <c r="S14" s="293"/>
      <c r="T14" s="293"/>
      <c r="U14" s="293"/>
      <c r="V14" s="293"/>
      <c r="W14" s="293"/>
      <c r="X14" s="293"/>
      <c r="Y14" s="293"/>
      <c r="Z14" s="293"/>
      <c r="AA14" s="293"/>
      <c r="AB14" s="293"/>
      <c r="AC14" s="293"/>
      <c r="AD14" s="293"/>
      <c r="AE14" s="293"/>
      <c r="AF14" s="293"/>
      <c r="AG14" s="293"/>
      <c r="AH14" s="293"/>
      <c r="AI14" s="293"/>
      <c r="AJ14" s="293"/>
      <c r="AK14" s="293"/>
      <c r="AL14" s="293"/>
      <c r="AM14" s="293"/>
      <c r="AN14" s="293"/>
      <c r="AO14" s="293"/>
      <c r="AP14" s="293"/>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85"/>
      <c r="CB14" s="286"/>
      <c r="CC14" s="286"/>
      <c r="CD14" s="286"/>
      <c r="CE14" s="286"/>
      <c r="CF14" s="286"/>
      <c r="CG14" s="286"/>
      <c r="CH14" s="286"/>
      <c r="CI14" s="286"/>
      <c r="CJ14" s="286"/>
      <c r="CK14" s="286"/>
      <c r="CL14" s="286"/>
      <c r="CM14" s="286"/>
      <c r="CN14" s="286"/>
      <c r="CO14" s="286"/>
      <c r="CP14" s="286"/>
      <c r="CQ14" s="286"/>
      <c r="CR14" s="286"/>
      <c r="CS14" s="286"/>
      <c r="CT14" s="286"/>
      <c r="CU14" s="286"/>
      <c r="CV14" s="286"/>
      <c r="CW14" s="286"/>
      <c r="CX14" s="286"/>
      <c r="CY14" s="286"/>
      <c r="CZ14" s="286"/>
      <c r="DA14" s="286"/>
      <c r="DB14" s="286"/>
      <c r="DC14" s="286"/>
      <c r="DD14" s="286"/>
      <c r="DE14" s="286"/>
      <c r="DF14" s="286"/>
      <c r="DG14" s="286"/>
      <c r="DH14" s="286"/>
      <c r="DI14" s="286"/>
      <c r="DJ14" s="286"/>
      <c r="DK14" s="286"/>
      <c r="DL14" s="286"/>
      <c r="DM14" s="286"/>
      <c r="DN14" s="286"/>
      <c r="DO14" s="286"/>
      <c r="DP14" s="286"/>
      <c r="DR14" s="58" t="str">
        <f>IF(ISNUMBER(MATCH(#REF!,'Audit Characteristic Mapping'!$B$3:$B$500,0)),"Y","")</f>
        <v/>
      </c>
      <c r="DS14" s="58" t="str">
        <f>IF(ISNUMBER(MATCH(#REF!,'Audit Characteristic Mapping'!$C$3:$C$500,0)),"Y","")</f>
        <v/>
      </c>
      <c r="DT14" s="58" t="str">
        <f>IF(ISNUMBER(MATCH(#REF!,'Audit Characteristic Mapping'!$D$3:$D$500,0)),"Y","")</f>
        <v/>
      </c>
      <c r="DU14" s="58" t="str">
        <f>IF(ISNUMBER(MATCH(#REF!,'Audit Characteristic Mapping'!$E$3:$E$500,0)),"Y","")</f>
        <v/>
      </c>
      <c r="DV14" s="58" t="str">
        <f>IF(ISNUMBER(MATCH(#REF!,'Audit Characteristic Mapping'!$F$3:$F$500,0)),"Y","")</f>
        <v/>
      </c>
      <c r="DW14" s="58" t="str">
        <f>IF(ISNUMBER(MATCH(#REF!,'Audit Characteristic Mapping'!$G$3:$G$500,0)),"Y","")</f>
        <v/>
      </c>
      <c r="DX14" s="58" t="str">
        <f>IF(ISNUMBER(MATCH(#REF!,'Audit Characteristic Mapping'!$H$3:$H$500,0)),"Y","")</f>
        <v/>
      </c>
      <c r="DY14" s="58" t="str">
        <f>IF(ISNUMBER(MATCH(#REF!,'Audit Characteristic Mapping'!$I$3:$I$500,0)),"Y","")</f>
        <v/>
      </c>
      <c r="DZ14" s="58" t="str">
        <f>IF(ISNUMBER(MATCH(#REF!,'Audit Characteristic Mapping'!$J$3:$J$500,0)),"Y","")</f>
        <v/>
      </c>
      <c r="EA14" s="58" t="str">
        <f>IF(ISNUMBER(MATCH(#REF!,'Audit Characteristic Mapping'!$K$3:$K$500,0)),"Y","")</f>
        <v/>
      </c>
    </row>
    <row r="15" spans="1:131" ht="16" x14ac:dyDescent="0.2">
      <c r="A15" s="294">
        <v>13</v>
      </c>
      <c r="B15" s="287" t="s">
        <v>131</v>
      </c>
      <c r="C15" s="226" t="s">
        <v>147</v>
      </c>
      <c r="D15" s="170">
        <v>1</v>
      </c>
      <c r="E15" s="288">
        <v>5</v>
      </c>
      <c r="F15" s="291" t="str">
        <f>VLOOKUP(Calculation!A15,'Descriptor maps'!$A$2:$F$1658,6,0)</f>
        <v>Population at Risk (Flood Failure)</v>
      </c>
      <c r="G15" s="289">
        <v>100</v>
      </c>
      <c r="H15" s="290"/>
      <c r="I15" s="291" t="e" cm="1">
        <f t="array" ref="I15">INDEX('Descriptor maps'!$H$2:$H$1658,MATCH(1,('Descriptor maps'!$A$2:$A$1658=Calculation!$A15)*('Descriptor maps'!$G$2:$G$1658=Calculation!$G15),0))</f>
        <v>#N/A</v>
      </c>
      <c r="J15" s="292">
        <f>G15</f>
        <v>100</v>
      </c>
      <c r="K15" s="226"/>
      <c r="L15" s="293"/>
      <c r="M15" s="293"/>
      <c r="N15" s="293"/>
      <c r="O15" s="293"/>
      <c r="P15" s="293"/>
      <c r="Q15" s="293"/>
      <c r="R15" s="293"/>
      <c r="S15" s="293"/>
      <c r="T15" s="293"/>
      <c r="U15" s="293"/>
      <c r="V15" s="293"/>
      <c r="W15" s="293"/>
      <c r="X15" s="293"/>
      <c r="Y15" s="293"/>
      <c r="Z15" s="293"/>
      <c r="AA15" s="293"/>
      <c r="AB15" s="293"/>
      <c r="AC15" s="293"/>
      <c r="AD15" s="293"/>
      <c r="AE15" s="293"/>
      <c r="AF15" s="293"/>
      <c r="AG15" s="293"/>
      <c r="AH15" s="293"/>
      <c r="AI15" s="293"/>
      <c r="AJ15" s="293"/>
      <c r="AK15" s="293"/>
      <c r="AL15" s="293"/>
      <c r="AM15" s="293"/>
      <c r="AN15" s="293"/>
      <c r="AO15" s="293"/>
      <c r="AP15" s="293"/>
      <c r="AQ15" s="293"/>
      <c r="AR15" s="293"/>
      <c r="AS15" s="293"/>
      <c r="AT15" s="293"/>
      <c r="AU15" s="293"/>
      <c r="AV15" s="293"/>
      <c r="AW15" s="293"/>
      <c r="AX15" s="293"/>
      <c r="AY15" s="293"/>
      <c r="AZ15" s="293"/>
      <c r="BA15" s="293"/>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85"/>
      <c r="CB15" s="286"/>
      <c r="CC15" s="286"/>
      <c r="CD15" s="286"/>
      <c r="CE15" s="286"/>
      <c r="CF15" s="286"/>
      <c r="CG15" s="286"/>
      <c r="CH15" s="286"/>
      <c r="CI15" s="286"/>
      <c r="CJ15" s="286"/>
      <c r="CK15" s="286"/>
      <c r="CL15" s="286"/>
      <c r="CM15" s="286"/>
      <c r="CN15" s="286"/>
      <c r="CO15" s="286"/>
      <c r="CP15" s="286"/>
      <c r="CQ15" s="286"/>
      <c r="CR15" s="286"/>
      <c r="CS15" s="286"/>
      <c r="CT15" s="286"/>
      <c r="CU15" s="286"/>
      <c r="CV15" s="286"/>
      <c r="CW15" s="286"/>
      <c r="CX15" s="286"/>
      <c r="CY15" s="286"/>
      <c r="CZ15" s="286"/>
      <c r="DA15" s="286"/>
      <c r="DB15" s="286"/>
      <c r="DC15" s="286"/>
      <c r="DD15" s="286"/>
      <c r="DE15" s="286"/>
      <c r="DF15" s="286"/>
      <c r="DG15" s="286"/>
      <c r="DH15" s="286"/>
      <c r="DI15" s="286"/>
      <c r="DJ15" s="286"/>
      <c r="DK15" s="286"/>
      <c r="DL15" s="286"/>
      <c r="DM15" s="286"/>
      <c r="DN15" s="286"/>
      <c r="DO15" s="286"/>
      <c r="DP15" s="286"/>
      <c r="DR15" s="58" t="str">
        <f>IF(ISNUMBER(MATCH(#REF!,'Audit Characteristic Mapping'!$B$3:$B$500,0)),"Y","")</f>
        <v/>
      </c>
      <c r="DS15" s="58" t="str">
        <f>IF(ISNUMBER(MATCH(#REF!,'Audit Characteristic Mapping'!$C$3:$C$500,0)),"Y","")</f>
        <v/>
      </c>
      <c r="DT15" s="58" t="str">
        <f>IF(ISNUMBER(MATCH(#REF!,'Audit Characteristic Mapping'!$D$3:$D$500,0)),"Y","")</f>
        <v/>
      </c>
      <c r="DU15" s="58" t="str">
        <f>IF(ISNUMBER(MATCH(#REF!,'Audit Characteristic Mapping'!$E$3:$E$500,0)),"Y","")</f>
        <v/>
      </c>
      <c r="DV15" s="58" t="str">
        <f>IF(ISNUMBER(MATCH(#REF!,'Audit Characteristic Mapping'!$F$3:$F$500,0)),"Y","")</f>
        <v/>
      </c>
      <c r="DW15" s="58" t="str">
        <f>IF(ISNUMBER(MATCH(#REF!,'Audit Characteristic Mapping'!$G$3:$G$500,0)),"Y","")</f>
        <v/>
      </c>
      <c r="DX15" s="58" t="str">
        <f>IF(ISNUMBER(MATCH(#REF!,'Audit Characteristic Mapping'!$H$3:$H$500,0)),"Y","")</f>
        <v/>
      </c>
      <c r="DY15" s="58" t="str">
        <f>IF(ISNUMBER(MATCH(#REF!,'Audit Characteristic Mapping'!$I$3:$I$500,0)),"Y","")</f>
        <v/>
      </c>
      <c r="DZ15" s="58" t="str">
        <f>IF(ISNUMBER(MATCH(#REF!,'Audit Characteristic Mapping'!$J$3:$J$500,0)),"Y","")</f>
        <v/>
      </c>
      <c r="EA15" s="58" t="str">
        <f>IF(ISNUMBER(MATCH(#REF!,'Audit Characteristic Mapping'!$K$3:$K$500,0)),"Y","")</f>
        <v/>
      </c>
    </row>
    <row r="16" spans="1:131" ht="16" x14ac:dyDescent="0.2">
      <c r="A16" s="294">
        <v>14</v>
      </c>
      <c r="B16" s="287" t="s">
        <v>131</v>
      </c>
      <c r="C16" s="226" t="s">
        <v>147</v>
      </c>
      <c r="D16" s="170">
        <v>1</v>
      </c>
      <c r="E16" s="288">
        <v>5</v>
      </c>
      <c r="F16" s="291" t="str">
        <f>VLOOKUP(Calculation!A16,'Descriptor maps'!$A$2:$F$1658,6,0)</f>
        <v>Population at Risk (Sunny Day Failure)</v>
      </c>
      <c r="G16" s="289">
        <v>100</v>
      </c>
      <c r="H16" s="290"/>
      <c r="I16" s="291" t="e" cm="1">
        <f t="array" ref="I16">INDEX('Descriptor maps'!$H$2:$H$1658,MATCH(1,('Descriptor maps'!$A$2:$A$1658=Calculation!$A16)*('Descriptor maps'!$G$2:$G$1658=Calculation!$G16),0))</f>
        <v>#N/A</v>
      </c>
      <c r="J16" s="292">
        <f>G16</f>
        <v>100</v>
      </c>
      <c r="K16" s="226"/>
      <c r="L16" s="293"/>
      <c r="M16" s="293"/>
      <c r="N16" s="293"/>
      <c r="O16" s="293"/>
      <c r="P16" s="293"/>
      <c r="Q16" s="293"/>
      <c r="R16" s="293"/>
      <c r="S16" s="293"/>
      <c r="T16" s="293"/>
      <c r="U16" s="293"/>
      <c r="V16" s="293"/>
      <c r="W16" s="293"/>
      <c r="X16" s="293"/>
      <c r="Y16" s="293"/>
      <c r="Z16" s="293"/>
      <c r="AA16" s="293"/>
      <c r="AB16" s="293"/>
      <c r="AC16" s="293"/>
      <c r="AD16" s="293"/>
      <c r="AE16" s="293"/>
      <c r="AF16" s="293"/>
      <c r="AG16" s="293"/>
      <c r="AH16" s="293"/>
      <c r="AI16" s="293"/>
      <c r="AJ16" s="293"/>
      <c r="AK16" s="293"/>
      <c r="AL16" s="293"/>
      <c r="AM16" s="293"/>
      <c r="AN16" s="293"/>
      <c r="AO16" s="293"/>
      <c r="AP16" s="293"/>
      <c r="AQ16" s="293"/>
      <c r="AR16" s="293"/>
      <c r="AS16" s="293"/>
      <c r="AT16" s="293"/>
      <c r="AU16" s="293"/>
      <c r="AV16" s="293"/>
      <c r="AW16" s="293"/>
      <c r="AX16" s="293"/>
      <c r="AY16" s="293"/>
      <c r="AZ16" s="293"/>
      <c r="BA16" s="293"/>
      <c r="BB16" s="293"/>
      <c r="BC16" s="293"/>
      <c r="BD16" s="293"/>
      <c r="BE16" s="293"/>
      <c r="BF16" s="293"/>
      <c r="BG16" s="293"/>
      <c r="BH16" s="293"/>
      <c r="BI16" s="293"/>
      <c r="BJ16" s="293"/>
      <c r="BK16" s="293"/>
      <c r="BL16" s="293"/>
      <c r="BM16" s="293"/>
      <c r="BN16" s="293"/>
      <c r="BO16" s="293"/>
      <c r="BP16" s="293"/>
      <c r="BQ16" s="293"/>
      <c r="BR16" s="293"/>
      <c r="BS16" s="293"/>
      <c r="BT16" s="293"/>
      <c r="BU16" s="293"/>
      <c r="BV16" s="293"/>
      <c r="BW16" s="293"/>
      <c r="BX16" s="293"/>
      <c r="BY16" s="293"/>
      <c r="BZ16" s="293"/>
      <c r="CA16" s="285"/>
      <c r="CB16" s="286"/>
      <c r="CC16" s="286"/>
      <c r="CD16" s="286"/>
      <c r="CE16" s="286"/>
      <c r="CF16" s="286"/>
      <c r="CG16" s="286"/>
      <c r="CH16" s="286"/>
      <c r="CI16" s="286"/>
      <c r="CJ16" s="286"/>
      <c r="CK16" s="286"/>
      <c r="CL16" s="286"/>
      <c r="CM16" s="286"/>
      <c r="CN16" s="286"/>
      <c r="CO16" s="286"/>
      <c r="CP16" s="286"/>
      <c r="CQ16" s="286"/>
      <c r="CR16" s="286"/>
      <c r="CS16" s="286"/>
      <c r="CT16" s="286"/>
      <c r="CU16" s="286"/>
      <c r="CV16" s="286"/>
      <c r="CW16" s="286"/>
      <c r="CX16" s="286"/>
      <c r="CY16" s="286"/>
      <c r="CZ16" s="286"/>
      <c r="DA16" s="286"/>
      <c r="DB16" s="286"/>
      <c r="DC16" s="286"/>
      <c r="DD16" s="286"/>
      <c r="DE16" s="286"/>
      <c r="DF16" s="286"/>
      <c r="DG16" s="286"/>
      <c r="DH16" s="286"/>
      <c r="DI16" s="286"/>
      <c r="DJ16" s="286"/>
      <c r="DK16" s="286"/>
      <c r="DL16" s="286"/>
      <c r="DM16" s="286"/>
      <c r="DN16" s="286"/>
      <c r="DO16" s="286"/>
      <c r="DP16" s="286"/>
      <c r="DR16" s="58" t="str">
        <f>IF(ISNUMBER(MATCH(#REF!,'Audit Characteristic Mapping'!$B$3:$B$500,0)),"Y","")</f>
        <v/>
      </c>
      <c r="DS16" s="58" t="str">
        <f>IF(ISNUMBER(MATCH(#REF!,'Audit Characteristic Mapping'!$C$3:$C$500,0)),"Y","")</f>
        <v/>
      </c>
      <c r="DT16" s="58" t="str">
        <f>IF(ISNUMBER(MATCH(#REF!,'Audit Characteristic Mapping'!$D$3:$D$500,0)),"Y","")</f>
        <v/>
      </c>
      <c r="DU16" s="58" t="str">
        <f>IF(ISNUMBER(MATCH(#REF!,'Audit Characteristic Mapping'!$E$3:$E$500,0)),"Y","")</f>
        <v/>
      </c>
      <c r="DV16" s="58" t="str">
        <f>IF(ISNUMBER(MATCH(#REF!,'Audit Characteristic Mapping'!$F$3:$F$500,0)),"Y","")</f>
        <v/>
      </c>
      <c r="DW16" s="58" t="str">
        <f>IF(ISNUMBER(MATCH(#REF!,'Audit Characteristic Mapping'!$G$3:$G$500,0)),"Y","")</f>
        <v/>
      </c>
      <c r="DX16" s="58" t="str">
        <f>IF(ISNUMBER(MATCH(#REF!,'Audit Characteristic Mapping'!$H$3:$H$500,0)),"Y","")</f>
        <v/>
      </c>
      <c r="DY16" s="58" t="str">
        <f>IF(ISNUMBER(MATCH(#REF!,'Audit Characteristic Mapping'!$I$3:$I$500,0)),"Y","")</f>
        <v/>
      </c>
      <c r="DZ16" s="58" t="str">
        <f>IF(ISNUMBER(MATCH(#REF!,'Audit Characteristic Mapping'!$J$3:$J$500,0)),"Y","")</f>
        <v/>
      </c>
      <c r="EA16" s="58" t="str">
        <f>IF(ISNUMBER(MATCH(#REF!,'Audit Characteristic Mapping'!$K$3:$K$500,0)),"Y","")</f>
        <v/>
      </c>
    </row>
    <row r="17" spans="1:131" ht="16" x14ac:dyDescent="0.2">
      <c r="A17" s="294">
        <v>463</v>
      </c>
      <c r="B17" s="287" t="s">
        <v>131</v>
      </c>
      <c r="C17" s="226" t="s">
        <v>147</v>
      </c>
      <c r="D17" s="170">
        <v>1</v>
      </c>
      <c r="E17" s="288">
        <v>5</v>
      </c>
      <c r="F17" s="291" t="str">
        <f>VLOOKUP(Calculation!A17,'Descriptor maps'!$A$2:$F$1658,6,0)</f>
        <v>Incremental Potential Loss of Life (Flood Failure)</v>
      </c>
      <c r="G17" s="289">
        <v>10</v>
      </c>
      <c r="H17" s="295"/>
      <c r="I17" s="291" t="e" cm="1">
        <f t="array" ref="I17">INDEX('Descriptor maps'!$H$2:$H$1658,MATCH(1,('Descriptor maps'!$A$2:$A$1658=Calculation!$A17)*('Descriptor maps'!$G$2:$G$1658=Calculation!$G17),0))</f>
        <v>#N/A</v>
      </c>
      <c r="J17" s="292">
        <f>G17</f>
        <v>10</v>
      </c>
      <c r="K17" s="226"/>
      <c r="L17" s="293"/>
      <c r="M17" s="293"/>
      <c r="N17" s="293"/>
      <c r="O17" s="293"/>
      <c r="P17" s="293"/>
      <c r="Q17" s="293"/>
      <c r="R17" s="293"/>
      <c r="S17" s="293"/>
      <c r="T17" s="293"/>
      <c r="U17" s="293"/>
      <c r="V17" s="293"/>
      <c r="W17" s="293"/>
      <c r="X17" s="293"/>
      <c r="Y17" s="293"/>
      <c r="Z17" s="293"/>
      <c r="AA17" s="293"/>
      <c r="AB17" s="293"/>
      <c r="AC17" s="293"/>
      <c r="AD17" s="293"/>
      <c r="AE17" s="293"/>
      <c r="AF17" s="293"/>
      <c r="AG17" s="293"/>
      <c r="AH17" s="293"/>
      <c r="AI17" s="293"/>
      <c r="AJ17" s="293"/>
      <c r="AK17" s="293"/>
      <c r="AL17" s="293"/>
      <c r="AM17" s="293"/>
      <c r="AN17" s="293"/>
      <c r="AO17" s="293"/>
      <c r="AP17" s="293"/>
      <c r="AQ17" s="293"/>
      <c r="AR17" s="293"/>
      <c r="AS17" s="293"/>
      <c r="AT17" s="293"/>
      <c r="AU17" s="293"/>
      <c r="AV17" s="293"/>
      <c r="AW17" s="293"/>
      <c r="AX17" s="293"/>
      <c r="AY17" s="293"/>
      <c r="AZ17" s="293"/>
      <c r="BA17" s="293"/>
      <c r="BB17" s="293"/>
      <c r="BC17" s="293"/>
      <c r="BD17" s="293"/>
      <c r="BE17" s="293"/>
      <c r="BF17" s="293"/>
      <c r="BG17" s="293"/>
      <c r="BH17" s="293"/>
      <c r="BI17" s="293"/>
      <c r="BJ17" s="293"/>
      <c r="BK17" s="293"/>
      <c r="BL17" s="293"/>
      <c r="BM17" s="293"/>
      <c r="BN17" s="293"/>
      <c r="BO17" s="293"/>
      <c r="BP17" s="293"/>
      <c r="BQ17" s="293"/>
      <c r="BR17" s="293"/>
      <c r="BS17" s="293"/>
      <c r="BT17" s="293"/>
      <c r="BU17" s="293"/>
      <c r="BV17" s="293"/>
      <c r="BW17" s="293"/>
      <c r="BX17" s="293"/>
      <c r="BY17" s="293"/>
      <c r="BZ17" s="293"/>
      <c r="CA17" s="285"/>
      <c r="CB17" s="286"/>
      <c r="CC17" s="286"/>
      <c r="CD17" s="286"/>
      <c r="CE17" s="286"/>
      <c r="CF17" s="286"/>
      <c r="CG17" s="286"/>
      <c r="CH17" s="286"/>
      <c r="CI17" s="286"/>
      <c r="CJ17" s="286"/>
      <c r="CK17" s="286"/>
      <c r="CL17" s="286"/>
      <c r="CM17" s="286"/>
      <c r="CN17" s="286"/>
      <c r="CO17" s="286"/>
      <c r="CP17" s="286"/>
      <c r="CQ17" s="286"/>
      <c r="CR17" s="286"/>
      <c r="CS17" s="286"/>
      <c r="CT17" s="286"/>
      <c r="CU17" s="286"/>
      <c r="CV17" s="286"/>
      <c r="CW17" s="286"/>
      <c r="CX17" s="286"/>
      <c r="CY17" s="286"/>
      <c r="CZ17" s="286"/>
      <c r="DA17" s="286"/>
      <c r="DB17" s="286"/>
      <c r="DC17" s="286"/>
      <c r="DD17" s="286"/>
      <c r="DE17" s="286"/>
      <c r="DF17" s="286"/>
      <c r="DG17" s="286"/>
      <c r="DH17" s="286"/>
      <c r="DI17" s="286"/>
      <c r="DJ17" s="286"/>
      <c r="DK17" s="286"/>
      <c r="DL17" s="286"/>
      <c r="DM17" s="286"/>
      <c r="DN17" s="286"/>
      <c r="DO17" s="286"/>
      <c r="DP17" s="286"/>
      <c r="DR17" s="58" t="str">
        <f>IF(ISNUMBER(MATCH(#REF!,'Audit Characteristic Mapping'!$B$3:$B$500,0)),"Y","")</f>
        <v/>
      </c>
      <c r="DS17" s="58" t="str">
        <f>IF(ISNUMBER(MATCH(#REF!,'Audit Characteristic Mapping'!$C$3:$C$500,0)),"Y","")</f>
        <v/>
      </c>
      <c r="DT17" s="58" t="str">
        <f>IF(ISNUMBER(MATCH(#REF!,'Audit Characteristic Mapping'!$D$3:$D$500,0)),"Y","")</f>
        <v/>
      </c>
      <c r="DU17" s="58" t="str">
        <f>IF(ISNUMBER(MATCH(#REF!,'Audit Characteristic Mapping'!$E$3:$E$500,0)),"Y","")</f>
        <v/>
      </c>
      <c r="DV17" s="58" t="str">
        <f>IF(ISNUMBER(MATCH(#REF!,'Audit Characteristic Mapping'!$F$3:$F$500,0)),"Y","")</f>
        <v/>
      </c>
      <c r="DW17" s="58" t="str">
        <f>IF(ISNUMBER(MATCH(#REF!,'Audit Characteristic Mapping'!$G$3:$G$500,0)),"Y","")</f>
        <v/>
      </c>
      <c r="DX17" s="58" t="str">
        <f>IF(ISNUMBER(MATCH(#REF!,'Audit Characteristic Mapping'!$H$3:$H$500,0)),"Y","")</f>
        <v/>
      </c>
      <c r="DY17" s="58" t="str">
        <f>IF(ISNUMBER(MATCH(#REF!,'Audit Characteristic Mapping'!$I$3:$I$500,0)),"Y","")</f>
        <v/>
      </c>
      <c r="DZ17" s="58" t="str">
        <f>IF(ISNUMBER(MATCH(#REF!,'Audit Characteristic Mapping'!$J$3:$J$500,0)),"Y","")</f>
        <v/>
      </c>
      <c r="EA17" s="58" t="str">
        <f>IF(ISNUMBER(MATCH(#REF!,'Audit Characteristic Mapping'!$K$3:$K$500,0)),"Y","")</f>
        <v/>
      </c>
    </row>
    <row r="18" spans="1:131" ht="16" x14ac:dyDescent="0.2">
      <c r="A18" s="294">
        <v>464</v>
      </c>
      <c r="B18" s="287" t="s">
        <v>131</v>
      </c>
      <c r="C18" s="226" t="s">
        <v>147</v>
      </c>
      <c r="D18" s="170">
        <v>1</v>
      </c>
      <c r="E18" s="288">
        <v>5</v>
      </c>
      <c r="F18" s="291" t="str">
        <f>VLOOKUP(Calculation!A18,'Descriptor maps'!$A$2:$F$1658,6,0)</f>
        <v>Incremental Potential Loss of Life (Sunny Day Failure)</v>
      </c>
      <c r="G18" s="289">
        <v>10</v>
      </c>
      <c r="H18" s="295"/>
      <c r="I18" s="291" t="e" cm="1">
        <f t="array" ref="I18">INDEX('Descriptor maps'!$H$2:$H$1658,MATCH(1,('Descriptor maps'!$A$2:$A$1658=Calculation!$A18)*('Descriptor maps'!$G$2:$G$1658=Calculation!$G18),0))</f>
        <v>#N/A</v>
      </c>
      <c r="J18" s="292">
        <f>G18</f>
        <v>10</v>
      </c>
      <c r="K18" s="226"/>
      <c r="L18" s="293"/>
      <c r="M18" s="293"/>
      <c r="N18" s="293"/>
      <c r="O18" s="293"/>
      <c r="P18" s="293"/>
      <c r="Q18" s="293"/>
      <c r="R18" s="293"/>
      <c r="S18" s="293"/>
      <c r="T18" s="293"/>
      <c r="U18" s="293"/>
      <c r="V18" s="293"/>
      <c r="W18" s="293"/>
      <c r="X18" s="293"/>
      <c r="Y18" s="293"/>
      <c r="Z18" s="293"/>
      <c r="AA18" s="293"/>
      <c r="AB18" s="293"/>
      <c r="AC18" s="293"/>
      <c r="AD18" s="293"/>
      <c r="AE18" s="293"/>
      <c r="AF18" s="293"/>
      <c r="AG18" s="293"/>
      <c r="AH18" s="293"/>
      <c r="AI18" s="293"/>
      <c r="AJ18" s="293"/>
      <c r="AK18" s="293"/>
      <c r="AL18" s="293"/>
      <c r="AM18" s="293"/>
      <c r="AN18" s="293"/>
      <c r="AO18" s="293"/>
      <c r="AP18" s="293"/>
      <c r="AQ18" s="293"/>
      <c r="AR18" s="293"/>
      <c r="AS18" s="293"/>
      <c r="AT18" s="293"/>
      <c r="AU18" s="293"/>
      <c r="AV18" s="293"/>
      <c r="AW18" s="293"/>
      <c r="AX18" s="293"/>
      <c r="AY18" s="293"/>
      <c r="AZ18" s="293"/>
      <c r="BA18" s="293"/>
      <c r="BB18" s="293"/>
      <c r="BC18" s="293"/>
      <c r="BD18" s="293"/>
      <c r="BE18" s="293"/>
      <c r="BF18" s="293"/>
      <c r="BG18" s="293"/>
      <c r="BH18" s="293"/>
      <c r="BI18" s="293"/>
      <c r="BJ18" s="293"/>
      <c r="BK18" s="293"/>
      <c r="BL18" s="293"/>
      <c r="BM18" s="293"/>
      <c r="BN18" s="293"/>
      <c r="BO18" s="293"/>
      <c r="BP18" s="293"/>
      <c r="BQ18" s="293"/>
      <c r="BR18" s="293"/>
      <c r="BS18" s="293"/>
      <c r="BT18" s="293"/>
      <c r="BU18" s="293"/>
      <c r="BV18" s="293"/>
      <c r="BW18" s="293"/>
      <c r="BX18" s="293"/>
      <c r="BY18" s="293"/>
      <c r="BZ18" s="293"/>
      <c r="CA18" s="285"/>
      <c r="CB18" s="286"/>
      <c r="CC18" s="286"/>
      <c r="CD18" s="286"/>
      <c r="CE18" s="286"/>
      <c r="CF18" s="286"/>
      <c r="CG18" s="286"/>
      <c r="CH18" s="286"/>
      <c r="CI18" s="286"/>
      <c r="CJ18" s="286"/>
      <c r="CK18" s="286"/>
      <c r="CL18" s="286"/>
      <c r="CM18" s="286"/>
      <c r="CN18" s="286"/>
      <c r="CO18" s="286"/>
      <c r="CP18" s="286"/>
      <c r="CQ18" s="286"/>
      <c r="CR18" s="286"/>
      <c r="CS18" s="286"/>
      <c r="CT18" s="286"/>
      <c r="CU18" s="286"/>
      <c r="CV18" s="286"/>
      <c r="CW18" s="286"/>
      <c r="CX18" s="286"/>
      <c r="CY18" s="286"/>
      <c r="CZ18" s="286"/>
      <c r="DA18" s="286"/>
      <c r="DB18" s="286"/>
      <c r="DC18" s="286"/>
      <c r="DD18" s="286"/>
      <c r="DE18" s="286"/>
      <c r="DF18" s="286"/>
      <c r="DG18" s="286"/>
      <c r="DH18" s="286"/>
      <c r="DI18" s="286"/>
      <c r="DJ18" s="286"/>
      <c r="DK18" s="286"/>
      <c r="DL18" s="286"/>
      <c r="DM18" s="286"/>
      <c r="DN18" s="286"/>
      <c r="DO18" s="286"/>
      <c r="DP18" s="286"/>
      <c r="DR18" s="58" t="str">
        <f>IF(ISNUMBER(MATCH(#REF!,'Audit Characteristic Mapping'!$B$3:$B$500,0)),"Y","")</f>
        <v/>
      </c>
      <c r="DS18" s="58" t="str">
        <f>IF(ISNUMBER(MATCH(#REF!,'Audit Characteristic Mapping'!$C$3:$C$500,0)),"Y","")</f>
        <v/>
      </c>
      <c r="DT18" s="58" t="str">
        <f>IF(ISNUMBER(MATCH(#REF!,'Audit Characteristic Mapping'!$D$3:$D$500,0)),"Y","")</f>
        <v/>
      </c>
      <c r="DU18" s="58" t="str">
        <f>IF(ISNUMBER(MATCH(#REF!,'Audit Characteristic Mapping'!$E$3:$E$500,0)),"Y","")</f>
        <v/>
      </c>
      <c r="DV18" s="58" t="str">
        <f>IF(ISNUMBER(MATCH(#REF!,'Audit Characteristic Mapping'!$F$3:$F$500,0)),"Y","")</f>
        <v/>
      </c>
      <c r="DW18" s="58" t="str">
        <f>IF(ISNUMBER(MATCH(#REF!,'Audit Characteristic Mapping'!$G$3:$G$500,0)),"Y","")</f>
        <v/>
      </c>
      <c r="DX18" s="58" t="str">
        <f>IF(ISNUMBER(MATCH(#REF!,'Audit Characteristic Mapping'!$H$3:$H$500,0)),"Y","")</f>
        <v/>
      </c>
      <c r="DY18" s="58" t="str">
        <f>IF(ISNUMBER(MATCH(#REF!,'Audit Characteristic Mapping'!$I$3:$I$500,0)),"Y","")</f>
        <v/>
      </c>
      <c r="DZ18" s="58" t="str">
        <f>IF(ISNUMBER(MATCH(#REF!,'Audit Characteristic Mapping'!$J$3:$J$500,0)),"Y","")</f>
        <v/>
      </c>
      <c r="EA18" s="58" t="str">
        <f>IF(ISNUMBER(MATCH(#REF!,'Audit Characteristic Mapping'!$K$3:$K$500,0)),"Y","")</f>
        <v/>
      </c>
    </row>
    <row r="19" spans="1:131" ht="16" hidden="1" x14ac:dyDescent="0.2">
      <c r="A19" s="288">
        <v>15</v>
      </c>
      <c r="B19" s="287" t="s">
        <v>131</v>
      </c>
      <c r="C19" s="226" t="s">
        <v>147</v>
      </c>
      <c r="D19" s="170">
        <v>1</v>
      </c>
      <c r="E19" s="288">
        <v>5</v>
      </c>
      <c r="F19" s="291" t="str">
        <f>VLOOKUP(Calculation!A19,'Descriptor maps'!$A$2:$F$1658,2,0)</f>
        <v>Facility consequences</v>
      </c>
      <c r="G19" s="289"/>
      <c r="H19" s="290"/>
      <c r="I19" s="291"/>
      <c r="J19" s="292" t="e" cm="1">
        <f t="array" ref="J19">INDEX('Descriptor maps'!$I$2:$I$1658,MATCH(1,('Descriptor maps'!$A$2:$A$1658=Calculation!$A19)*('Descriptor maps'!$G$2:$G$1658=Calculation!$G19),0))</f>
        <v>#N/A</v>
      </c>
      <c r="K19" s="226"/>
      <c r="L19" s="293"/>
      <c r="M19" s="293"/>
      <c r="N19" s="293"/>
      <c r="O19" s="293"/>
      <c r="P19" s="293"/>
      <c r="Q19" s="293"/>
      <c r="R19" s="293"/>
      <c r="S19" s="293"/>
      <c r="T19" s="293"/>
      <c r="U19" s="293"/>
      <c r="V19" s="293"/>
      <c r="W19" s="293"/>
      <c r="X19" s="293"/>
      <c r="Y19" s="293"/>
      <c r="Z19" s="293"/>
      <c r="AA19" s="293"/>
      <c r="AB19" s="293"/>
      <c r="AC19" s="293"/>
      <c r="AD19" s="293"/>
      <c r="AE19" s="293"/>
      <c r="AF19" s="293"/>
      <c r="AG19" s="293"/>
      <c r="AH19" s="293"/>
      <c r="AI19" s="293"/>
      <c r="AJ19" s="293"/>
      <c r="AK19" s="293"/>
      <c r="AL19" s="293"/>
      <c r="AM19" s="293"/>
      <c r="AN19" s="293"/>
      <c r="AO19" s="293"/>
      <c r="AP19" s="293"/>
      <c r="AQ19" s="293"/>
      <c r="AR19" s="293"/>
      <c r="AS19" s="293"/>
      <c r="AT19" s="293"/>
      <c r="AU19" s="293"/>
      <c r="AV19" s="293"/>
      <c r="AW19" s="293"/>
      <c r="AX19" s="293"/>
      <c r="AY19" s="293"/>
      <c r="AZ19" s="293"/>
      <c r="BA19" s="293"/>
      <c r="BB19" s="293"/>
      <c r="BC19" s="293"/>
      <c r="BD19" s="293"/>
      <c r="BE19" s="293"/>
      <c r="BF19" s="293"/>
      <c r="BG19" s="293"/>
      <c r="BH19" s="293"/>
      <c r="BI19" s="293"/>
      <c r="BJ19" s="293"/>
      <c r="BK19" s="293"/>
      <c r="BL19" s="293"/>
      <c r="BM19" s="293"/>
      <c r="BN19" s="293"/>
      <c r="BO19" s="293"/>
      <c r="BP19" s="293"/>
      <c r="BQ19" s="293"/>
      <c r="BR19" s="293"/>
      <c r="BS19" s="293"/>
      <c r="BT19" s="293"/>
      <c r="BU19" s="293"/>
      <c r="BV19" s="293"/>
      <c r="BW19" s="293"/>
      <c r="BX19" s="293"/>
      <c r="BY19" s="293"/>
      <c r="BZ19" s="293"/>
      <c r="CA19" s="285"/>
      <c r="CB19" s="286"/>
      <c r="CC19" s="286"/>
      <c r="CD19" s="286"/>
      <c r="CE19" s="286"/>
      <c r="CF19" s="286"/>
      <c r="CG19" s="286"/>
      <c r="CH19" s="286"/>
      <c r="CI19" s="286"/>
      <c r="CJ19" s="286"/>
      <c r="CK19" s="286"/>
      <c r="CL19" s="286"/>
      <c r="CM19" s="286"/>
      <c r="CN19" s="286"/>
      <c r="CO19" s="286"/>
      <c r="CP19" s="286"/>
      <c r="CQ19" s="286"/>
      <c r="CR19" s="286"/>
      <c r="CS19" s="286"/>
      <c r="CT19" s="286"/>
      <c r="CU19" s="286"/>
      <c r="CV19" s="286"/>
      <c r="CW19" s="286"/>
      <c r="CX19" s="286"/>
      <c r="CY19" s="286"/>
      <c r="CZ19" s="286"/>
      <c r="DA19" s="286"/>
      <c r="DB19" s="286"/>
      <c r="DC19" s="286"/>
      <c r="DD19" s="286"/>
      <c r="DE19" s="286"/>
      <c r="DF19" s="286"/>
      <c r="DG19" s="286"/>
      <c r="DH19" s="286"/>
      <c r="DI19" s="286"/>
      <c r="DJ19" s="286"/>
      <c r="DK19" s="286"/>
      <c r="DL19" s="286"/>
      <c r="DM19" s="286"/>
      <c r="DN19" s="286"/>
      <c r="DO19" s="286"/>
      <c r="DP19" s="286"/>
      <c r="DR19" s="58" t="str">
        <f>IF(ISNUMBER(MATCH(#REF!,'Audit Characteristic Mapping'!$B$3:$B$500,0)),"Y","")</f>
        <v/>
      </c>
      <c r="DS19" s="58" t="str">
        <f>IF(ISNUMBER(MATCH(#REF!,'Audit Characteristic Mapping'!$C$3:$C$500,0)),"Y","")</f>
        <v/>
      </c>
      <c r="DT19" s="58" t="str">
        <f>IF(ISNUMBER(MATCH(#REF!,'Audit Characteristic Mapping'!$D$3:$D$500,0)),"Y","")</f>
        <v/>
      </c>
      <c r="DU19" s="58" t="str">
        <f>IF(ISNUMBER(MATCH(#REF!,'Audit Characteristic Mapping'!$E$3:$E$500,0)),"Y","")</f>
        <v/>
      </c>
      <c r="DV19" s="58" t="str">
        <f>IF(ISNUMBER(MATCH(#REF!,'Audit Characteristic Mapping'!$F$3:$F$500,0)),"Y","")</f>
        <v/>
      </c>
      <c r="DW19" s="58" t="str">
        <f>IF(ISNUMBER(MATCH(#REF!,'Audit Characteristic Mapping'!$G$3:$G$500,0)),"Y","")</f>
        <v/>
      </c>
      <c r="DX19" s="58" t="str">
        <f>IF(ISNUMBER(MATCH(#REF!,'Audit Characteristic Mapping'!$H$3:$H$500,0)),"Y","")</f>
        <v/>
      </c>
      <c r="DY19" s="58" t="str">
        <f>IF(ISNUMBER(MATCH(#REF!,'Audit Characteristic Mapping'!$I$3:$I$500,0)),"Y","")</f>
        <v/>
      </c>
      <c r="DZ19" s="58" t="str">
        <f>IF(ISNUMBER(MATCH(#REF!,'Audit Characteristic Mapping'!$J$3:$J$500,0)),"Y","")</f>
        <v/>
      </c>
      <c r="EA19" s="58" t="str">
        <f>IF(ISNUMBER(MATCH(#REF!,'Audit Characteristic Mapping'!$K$3:$K$500,0)),"Y","")</f>
        <v/>
      </c>
    </row>
    <row r="20" spans="1:131" ht="16" hidden="1" x14ac:dyDescent="0.2">
      <c r="A20" s="288">
        <v>16</v>
      </c>
      <c r="B20" s="287" t="s">
        <v>131</v>
      </c>
      <c r="C20" s="226" t="s">
        <v>153</v>
      </c>
      <c r="D20" s="170">
        <v>1</v>
      </c>
      <c r="E20" s="288">
        <v>6</v>
      </c>
      <c r="F20" s="291" t="str">
        <f>VLOOKUP(Calculation!A20,'Descriptor maps'!$A$2:$F$1658,2,0)</f>
        <v>General information</v>
      </c>
      <c r="G20" s="289"/>
      <c r="H20" s="290"/>
      <c r="I20" s="291"/>
      <c r="J20" s="292" t="e" cm="1">
        <f t="array" ref="J20">INDEX('Descriptor maps'!$I$2:$I$1658,MATCH(1,('Descriptor maps'!$A$2:$A$1658=Calculation!$A20)*('Descriptor maps'!$G$2:$G$1658=Calculation!$G20),0))</f>
        <v>#N/A</v>
      </c>
      <c r="K20" s="226"/>
      <c r="L20" s="293"/>
      <c r="M20" s="293"/>
      <c r="N20" s="293"/>
      <c r="O20" s="293"/>
      <c r="P20" s="293"/>
      <c r="Q20" s="293"/>
      <c r="R20" s="293"/>
      <c r="S20" s="293"/>
      <c r="T20" s="293"/>
      <c r="U20" s="293"/>
      <c r="V20" s="293"/>
      <c r="W20" s="293"/>
      <c r="X20" s="293"/>
      <c r="Y20" s="293"/>
      <c r="Z20" s="293"/>
      <c r="AA20" s="293"/>
      <c r="AB20" s="293"/>
      <c r="AC20" s="293"/>
      <c r="AD20" s="293"/>
      <c r="AE20" s="293"/>
      <c r="AF20" s="293"/>
      <c r="AG20" s="293"/>
      <c r="AH20" s="293"/>
      <c r="AI20" s="293"/>
      <c r="AJ20" s="293"/>
      <c r="AK20" s="293"/>
      <c r="AL20" s="293"/>
      <c r="AM20" s="293"/>
      <c r="AN20" s="293"/>
      <c r="AO20" s="293"/>
      <c r="AP20" s="293"/>
      <c r="AQ20" s="293"/>
      <c r="AR20" s="293"/>
      <c r="AS20" s="293"/>
      <c r="AT20" s="293"/>
      <c r="AU20" s="293"/>
      <c r="AV20" s="293"/>
      <c r="AW20" s="293"/>
      <c r="AX20" s="293"/>
      <c r="AY20" s="293"/>
      <c r="AZ20" s="293"/>
      <c r="BA20" s="293"/>
      <c r="BB20" s="293"/>
      <c r="BC20" s="293"/>
      <c r="BD20" s="293"/>
      <c r="BE20" s="293"/>
      <c r="BF20" s="293"/>
      <c r="BG20" s="293"/>
      <c r="BH20" s="293"/>
      <c r="BI20" s="293"/>
      <c r="BJ20" s="293"/>
      <c r="BK20" s="293"/>
      <c r="BL20" s="293"/>
      <c r="BM20" s="293"/>
      <c r="BN20" s="293"/>
      <c r="BO20" s="293"/>
      <c r="BP20" s="293"/>
      <c r="BQ20" s="293"/>
      <c r="BR20" s="293"/>
      <c r="BS20" s="293"/>
      <c r="BT20" s="293"/>
      <c r="BU20" s="293"/>
      <c r="BV20" s="293"/>
      <c r="BW20" s="293"/>
      <c r="BX20" s="293"/>
      <c r="BY20" s="293"/>
      <c r="BZ20" s="293"/>
      <c r="CA20" s="285"/>
      <c r="CB20" s="286"/>
      <c r="CC20" s="286"/>
      <c r="CD20" s="286"/>
      <c r="CE20" s="286"/>
      <c r="CF20" s="286"/>
      <c r="CG20" s="286"/>
      <c r="CH20" s="286"/>
      <c r="CI20" s="286"/>
      <c r="CJ20" s="286"/>
      <c r="CK20" s="286"/>
      <c r="CL20" s="286"/>
      <c r="CM20" s="286"/>
      <c r="CN20" s="286"/>
      <c r="CO20" s="286"/>
      <c r="CP20" s="286"/>
      <c r="CQ20" s="286"/>
      <c r="CR20" s="286"/>
      <c r="CS20" s="286"/>
      <c r="CT20" s="286"/>
      <c r="CU20" s="286"/>
      <c r="CV20" s="286"/>
      <c r="CW20" s="286"/>
      <c r="CX20" s="286"/>
      <c r="CY20" s="286"/>
      <c r="CZ20" s="286"/>
      <c r="DA20" s="286"/>
      <c r="DB20" s="286"/>
      <c r="DC20" s="286"/>
      <c r="DD20" s="286"/>
      <c r="DE20" s="286"/>
      <c r="DF20" s="286"/>
      <c r="DG20" s="286"/>
      <c r="DH20" s="286"/>
      <c r="DI20" s="286"/>
      <c r="DJ20" s="286"/>
      <c r="DK20" s="286"/>
      <c r="DL20" s="286"/>
      <c r="DM20" s="286"/>
      <c r="DN20" s="286"/>
      <c r="DO20" s="286"/>
      <c r="DP20" s="286"/>
      <c r="DR20" s="58" t="str">
        <f>IF(ISNUMBER(MATCH(#REF!,'Audit Characteristic Mapping'!$B$3:$B$500,0)),"Y","")</f>
        <v/>
      </c>
      <c r="DS20" s="58" t="str">
        <f>IF(ISNUMBER(MATCH(#REF!,'Audit Characteristic Mapping'!$C$3:$C$500,0)),"Y","")</f>
        <v/>
      </c>
      <c r="DT20" s="58" t="str">
        <f>IF(ISNUMBER(MATCH(#REF!,'Audit Characteristic Mapping'!$D$3:$D$500,0)),"Y","")</f>
        <v/>
      </c>
      <c r="DU20" s="58" t="str">
        <f>IF(ISNUMBER(MATCH(#REF!,'Audit Characteristic Mapping'!$E$3:$E$500,0)),"Y","")</f>
        <v/>
      </c>
      <c r="DV20" s="58" t="str">
        <f>IF(ISNUMBER(MATCH(#REF!,'Audit Characteristic Mapping'!$F$3:$F$500,0)),"Y","")</f>
        <v/>
      </c>
      <c r="DW20" s="58" t="str">
        <f>IF(ISNUMBER(MATCH(#REF!,'Audit Characteristic Mapping'!$G$3:$G$500,0)),"Y","")</f>
        <v/>
      </c>
      <c r="DX20" s="58" t="str">
        <f>IF(ISNUMBER(MATCH(#REF!,'Audit Characteristic Mapping'!$H$3:$H$500,0)),"Y","")</f>
        <v/>
      </c>
      <c r="DY20" s="58" t="str">
        <f>IF(ISNUMBER(MATCH(#REF!,'Audit Characteristic Mapping'!$I$3:$I$500,0)),"Y","")</f>
        <v/>
      </c>
      <c r="DZ20" s="58" t="str">
        <f>IF(ISNUMBER(MATCH(#REF!,'Audit Characteristic Mapping'!$J$3:$J$500,0)),"Y","")</f>
        <v/>
      </c>
      <c r="EA20" s="58" t="str">
        <f>IF(ISNUMBER(MATCH(#REF!,'Audit Characteristic Mapping'!$K$3:$K$500,0)),"Y","")</f>
        <v/>
      </c>
    </row>
    <row r="21" spans="1:131" ht="16" x14ac:dyDescent="0.2">
      <c r="A21" s="294">
        <v>17</v>
      </c>
      <c r="B21" s="287" t="s">
        <v>131</v>
      </c>
      <c r="C21" s="226" t="s">
        <v>153</v>
      </c>
      <c r="D21" s="170">
        <v>1</v>
      </c>
      <c r="E21" s="288">
        <v>6</v>
      </c>
      <c r="F21" s="291" t="str">
        <f>VLOOKUP(Calculation!A21,'Descriptor maps'!$A$2:$F$1658,6,0)</f>
        <v>Was the embankment raised in the last five years?</v>
      </c>
      <c r="G21" s="289" t="s">
        <v>7</v>
      </c>
      <c r="H21" s="290"/>
      <c r="I21" s="291" cm="1">
        <f t="array" ref="I21">INDEX('Descriptor maps'!$H$2:$H$1658,MATCH(1,('Descriptor maps'!$A$2:$A$1658=Calculation!$A21)*('Descriptor maps'!$G$2:$G$1658=Calculation!$G21),0))</f>
        <v>1</v>
      </c>
      <c r="J21" s="353" cm="1">
        <f t="array" ref="J21">INDEX('Descriptor maps'!$I$2:$I$1658,MATCH(1,('Descriptor maps'!$A$2:$A$1658=Calculation!$A21)*('Descriptor maps'!$G$2:$G$1658=Calculation!$G21),0))</f>
        <v>1</v>
      </c>
      <c r="K21" s="226"/>
      <c r="L21" s="293"/>
      <c r="M21" s="293"/>
      <c r="N21" s="293"/>
      <c r="O21" s="293"/>
      <c r="P21" s="293"/>
      <c r="Q21" s="293"/>
      <c r="R21" s="293"/>
      <c r="S21" s="293"/>
      <c r="T21" s="293"/>
      <c r="U21" s="293"/>
      <c r="V21" s="293"/>
      <c r="W21" s="293"/>
      <c r="X21" s="293"/>
      <c r="Y21" s="293"/>
      <c r="Z21" s="293"/>
      <c r="AA21" s="293"/>
      <c r="AB21" s="293"/>
      <c r="AC21" s="293"/>
      <c r="AD21" s="293"/>
      <c r="AE21" s="293"/>
      <c r="AF21" s="293"/>
      <c r="AG21" s="293"/>
      <c r="AH21" s="293"/>
      <c r="AI21" s="293"/>
      <c r="AJ21" s="293"/>
      <c r="AK21" s="293"/>
      <c r="AL21" s="293"/>
      <c r="AM21" s="293"/>
      <c r="AN21" s="293"/>
      <c r="AO21" s="293"/>
      <c r="AP21" s="293"/>
      <c r="AQ21" s="293"/>
      <c r="AR21" s="293"/>
      <c r="AS21" s="293"/>
      <c r="AT21" s="293"/>
      <c r="AU21" s="293"/>
      <c r="AV21" s="293"/>
      <c r="AW21" s="293"/>
      <c r="AX21" s="293"/>
      <c r="AY21" s="293"/>
      <c r="AZ21" s="293"/>
      <c r="BA21" s="293"/>
      <c r="BB21" s="293"/>
      <c r="BC21" s="293">
        <f>J21</f>
        <v>1</v>
      </c>
      <c r="BD21" s="293"/>
      <c r="BE21" s="293"/>
      <c r="BF21" s="293"/>
      <c r="BG21" s="293"/>
      <c r="BH21" s="293"/>
      <c r="BI21" s="293"/>
      <c r="BJ21" s="293"/>
      <c r="BK21" s="293"/>
      <c r="BL21" s="293"/>
      <c r="BM21" s="293"/>
      <c r="BN21" s="293"/>
      <c r="BO21" s="293"/>
      <c r="BP21" s="293"/>
      <c r="BQ21" s="293">
        <v>1</v>
      </c>
      <c r="BR21" s="293"/>
      <c r="BS21" s="293"/>
      <c r="BT21" s="293"/>
      <c r="BU21" s="293"/>
      <c r="BV21" s="293"/>
      <c r="BW21" s="293"/>
      <c r="BX21" s="293"/>
      <c r="BY21" s="293"/>
      <c r="BZ21" s="293"/>
      <c r="CA21" s="285"/>
      <c r="CB21" s="286"/>
      <c r="CC21" s="286"/>
      <c r="CD21" s="286"/>
      <c r="CE21" s="286"/>
      <c r="CF21" s="286"/>
      <c r="CG21" s="286"/>
      <c r="CH21" s="286"/>
      <c r="CI21" s="286"/>
      <c r="CJ21" s="286"/>
      <c r="CK21" s="286"/>
      <c r="CL21" s="286"/>
      <c r="CM21" s="286"/>
      <c r="CN21" s="286"/>
      <c r="CO21" s="286"/>
      <c r="CP21" s="286"/>
      <c r="CQ21" s="286"/>
      <c r="CR21" s="286"/>
      <c r="CS21" s="286"/>
      <c r="CT21" s="286"/>
      <c r="CU21" s="286"/>
      <c r="CV21" s="286"/>
      <c r="CW21" s="286"/>
      <c r="CX21" s="286"/>
      <c r="CY21" s="286"/>
      <c r="CZ21" s="286"/>
      <c r="DA21" s="286"/>
      <c r="DB21" s="286"/>
      <c r="DC21" s="286"/>
      <c r="DD21" s="286"/>
      <c r="DE21" s="286"/>
      <c r="DF21" s="286"/>
      <c r="DG21" s="286"/>
      <c r="DH21" s="286"/>
      <c r="DI21" s="286"/>
      <c r="DJ21" s="286"/>
      <c r="DK21" s="286"/>
      <c r="DL21" s="286"/>
      <c r="DM21" s="286"/>
      <c r="DN21" s="286"/>
      <c r="DO21" s="286"/>
      <c r="DP21" s="286"/>
      <c r="DR21" s="58" t="str">
        <f>IF(ISNUMBER(MATCH(#REF!,'Audit Characteristic Mapping'!$B$3:$B$500,0)),"Y","")</f>
        <v/>
      </c>
      <c r="DS21" s="58" t="str">
        <f>IF(ISNUMBER(MATCH(#REF!,'Audit Characteristic Mapping'!$C$3:$C$500,0)),"Y","")</f>
        <v/>
      </c>
      <c r="DT21" s="58" t="str">
        <f>IF(ISNUMBER(MATCH(#REF!,'Audit Characteristic Mapping'!$D$3:$D$500,0)),"Y","")</f>
        <v/>
      </c>
      <c r="DU21" s="58" t="str">
        <f>IF(ISNUMBER(MATCH(#REF!,'Audit Characteristic Mapping'!$E$3:$E$500,0)),"Y","")</f>
        <v/>
      </c>
      <c r="DV21" s="58" t="str">
        <f>IF(ISNUMBER(MATCH(#REF!,'Audit Characteristic Mapping'!$F$3:$F$500,0)),"Y","")</f>
        <v/>
      </c>
      <c r="DW21" s="58" t="str">
        <f>IF(ISNUMBER(MATCH(#REF!,'Audit Characteristic Mapping'!$G$3:$G$500,0)),"Y","")</f>
        <v/>
      </c>
      <c r="DX21" s="58" t="str">
        <f>IF(ISNUMBER(MATCH(#REF!,'Audit Characteristic Mapping'!$H$3:$H$500,0)),"Y","")</f>
        <v/>
      </c>
      <c r="DY21" s="58" t="str">
        <f>IF(ISNUMBER(MATCH(#REF!,'Audit Characteristic Mapping'!$I$3:$I$500,0)),"Y","")</f>
        <v/>
      </c>
      <c r="DZ21" s="58" t="str">
        <f>IF(ISNUMBER(MATCH(#REF!,'Audit Characteristic Mapping'!$J$3:$J$500,0)),"Y","")</f>
        <v/>
      </c>
      <c r="EA21" s="58" t="str">
        <f>IF(ISNUMBER(MATCH(#REF!,'Audit Characteristic Mapping'!$K$3:$K$500,0)),"Y","")</f>
        <v/>
      </c>
    </row>
    <row r="22" spans="1:131" ht="16" hidden="1" x14ac:dyDescent="0.2">
      <c r="A22" s="288">
        <v>18</v>
      </c>
      <c r="B22" s="287" t="s">
        <v>131</v>
      </c>
      <c r="C22" s="226" t="s">
        <v>153</v>
      </c>
      <c r="D22" s="170">
        <v>1</v>
      </c>
      <c r="E22" s="288">
        <v>6</v>
      </c>
      <c r="F22" s="291" t="str">
        <f>VLOOKUP(Calculation!A22,'Descriptor maps'!$A$2:$F$1658,2,0)</f>
        <v>General information</v>
      </c>
      <c r="G22" s="289" t="s">
        <v>661</v>
      </c>
      <c r="H22" s="290"/>
      <c r="I22" s="291"/>
      <c r="J22" s="292" t="e" cm="1">
        <f t="array" ref="J22">INDEX('Descriptor maps'!$I$2:$I$1658,MATCH(1,('Descriptor maps'!$A$2:$A$1658=Calculation!$A22)*('Descriptor maps'!$G$2:$G$1658=Calculation!$G22),0))</f>
        <v>#N/A</v>
      </c>
      <c r="K22" s="226"/>
      <c r="L22" s="293"/>
      <c r="M22" s="293"/>
      <c r="N22" s="293"/>
      <c r="O22" s="293"/>
      <c r="P22" s="293"/>
      <c r="Q22" s="293"/>
      <c r="R22" s="293"/>
      <c r="S22" s="293"/>
      <c r="T22" s="293"/>
      <c r="U22" s="293"/>
      <c r="V22" s="293"/>
      <c r="W22" s="293"/>
      <c r="X22" s="293"/>
      <c r="Y22" s="293"/>
      <c r="Z22" s="293"/>
      <c r="AA22" s="293"/>
      <c r="AB22" s="293"/>
      <c r="AC22" s="293"/>
      <c r="AD22" s="293"/>
      <c r="AE22" s="293"/>
      <c r="AF22" s="293"/>
      <c r="AG22" s="293"/>
      <c r="AH22" s="293"/>
      <c r="AI22" s="293"/>
      <c r="AJ22" s="293"/>
      <c r="AK22" s="293"/>
      <c r="AL22" s="293"/>
      <c r="AM22" s="293"/>
      <c r="AN22" s="293"/>
      <c r="AO22" s="293"/>
      <c r="AP22" s="293"/>
      <c r="AQ22" s="293"/>
      <c r="AR22" s="293"/>
      <c r="AS22" s="293"/>
      <c r="AT22" s="293"/>
      <c r="AU22" s="293"/>
      <c r="AV22" s="293"/>
      <c r="AW22" s="293"/>
      <c r="AX22" s="293"/>
      <c r="AY22" s="293"/>
      <c r="AZ22" s="293"/>
      <c r="BA22" s="293"/>
      <c r="BB22" s="293"/>
      <c r="BC22" s="293"/>
      <c r="BD22" s="293"/>
      <c r="BE22" s="293"/>
      <c r="BF22" s="293"/>
      <c r="BG22" s="293"/>
      <c r="BH22" s="293"/>
      <c r="BI22" s="293"/>
      <c r="BJ22" s="293"/>
      <c r="BK22" s="293"/>
      <c r="BL22" s="293"/>
      <c r="BM22" s="293"/>
      <c r="BN22" s="293"/>
      <c r="BO22" s="293"/>
      <c r="BP22" s="293"/>
      <c r="BQ22" s="293"/>
      <c r="BR22" s="293"/>
      <c r="BS22" s="293"/>
      <c r="BT22" s="293"/>
      <c r="BU22" s="293"/>
      <c r="BV22" s="293"/>
      <c r="BW22" s="293"/>
      <c r="BX22" s="293"/>
      <c r="BY22" s="293"/>
      <c r="BZ22" s="293"/>
      <c r="CA22" s="285"/>
      <c r="CB22" s="286"/>
      <c r="CC22" s="286"/>
      <c r="CD22" s="286"/>
      <c r="CE22" s="286"/>
      <c r="CF22" s="286"/>
      <c r="CG22" s="286"/>
      <c r="CH22" s="286"/>
      <c r="CI22" s="286"/>
      <c r="CJ22" s="286"/>
      <c r="CK22" s="286"/>
      <c r="CL22" s="286"/>
      <c r="CM22" s="286"/>
      <c r="CN22" s="286"/>
      <c r="CO22" s="286"/>
      <c r="CP22" s="286"/>
      <c r="CQ22" s="286"/>
      <c r="CR22" s="286"/>
      <c r="CS22" s="286"/>
      <c r="CT22" s="286"/>
      <c r="CU22" s="286"/>
      <c r="CV22" s="286"/>
      <c r="CW22" s="286"/>
      <c r="CX22" s="286"/>
      <c r="CY22" s="286"/>
      <c r="CZ22" s="286"/>
      <c r="DA22" s="286"/>
      <c r="DB22" s="286"/>
      <c r="DC22" s="286"/>
      <c r="DD22" s="286"/>
      <c r="DE22" s="286"/>
      <c r="DF22" s="286"/>
      <c r="DG22" s="286"/>
      <c r="DH22" s="286"/>
      <c r="DI22" s="286"/>
      <c r="DJ22" s="286"/>
      <c r="DK22" s="286"/>
      <c r="DL22" s="286"/>
      <c r="DM22" s="286"/>
      <c r="DN22" s="286"/>
      <c r="DO22" s="286"/>
      <c r="DP22" s="286"/>
      <c r="DR22" s="58" t="str">
        <f>IF(ISNUMBER(MATCH(#REF!,'Audit Characteristic Mapping'!$B$3:$B$500,0)),"Y","")</f>
        <v/>
      </c>
      <c r="DS22" s="58" t="str">
        <f>IF(ISNUMBER(MATCH(#REF!,'Audit Characteristic Mapping'!$C$3:$C$500,0)),"Y","")</f>
        <v/>
      </c>
      <c r="DT22" s="58" t="str">
        <f>IF(ISNUMBER(MATCH(#REF!,'Audit Characteristic Mapping'!$D$3:$D$500,0)),"Y","")</f>
        <v/>
      </c>
      <c r="DU22" s="58" t="str">
        <f>IF(ISNUMBER(MATCH(#REF!,'Audit Characteristic Mapping'!$E$3:$E$500,0)),"Y","")</f>
        <v/>
      </c>
      <c r="DV22" s="58" t="str">
        <f>IF(ISNUMBER(MATCH(#REF!,'Audit Characteristic Mapping'!$F$3:$F$500,0)),"Y","")</f>
        <v/>
      </c>
      <c r="DW22" s="58" t="str">
        <f>IF(ISNUMBER(MATCH(#REF!,'Audit Characteristic Mapping'!$G$3:$G$500,0)),"Y","")</f>
        <v/>
      </c>
      <c r="DX22" s="58" t="str">
        <f>IF(ISNUMBER(MATCH(#REF!,'Audit Characteristic Mapping'!$H$3:$H$500,0)),"Y","")</f>
        <v/>
      </c>
      <c r="DY22" s="58" t="str">
        <f>IF(ISNUMBER(MATCH(#REF!,'Audit Characteristic Mapping'!$I$3:$I$500,0)),"Y","")</f>
        <v/>
      </c>
      <c r="DZ22" s="58" t="str">
        <f>IF(ISNUMBER(MATCH(#REF!,'Audit Characteristic Mapping'!$J$3:$J$500,0)),"Y","")</f>
        <v/>
      </c>
      <c r="EA22" s="58" t="str">
        <f>IF(ISNUMBER(MATCH(#REF!,'Audit Characteristic Mapping'!$K$3:$K$500,0)),"Y","")</f>
        <v/>
      </c>
    </row>
    <row r="23" spans="1:131" ht="16" hidden="1" x14ac:dyDescent="0.2">
      <c r="A23" s="288">
        <v>19</v>
      </c>
      <c r="B23" s="287" t="s">
        <v>131</v>
      </c>
      <c r="C23" s="226" t="s">
        <v>153</v>
      </c>
      <c r="D23" s="170">
        <v>1</v>
      </c>
      <c r="E23" s="288">
        <v>6</v>
      </c>
      <c r="F23" s="291" t="str">
        <f>VLOOKUP(Calculation!A23,'Descriptor maps'!$A$2:$F$1658,2,0)</f>
        <v>General information</v>
      </c>
      <c r="G23" s="289"/>
      <c r="H23" s="290"/>
      <c r="I23" s="291"/>
      <c r="J23" s="292" t="e" cm="1">
        <f t="array" ref="J23">INDEX('Descriptor maps'!$I$2:$I$1658,MATCH(1,('Descriptor maps'!$A$2:$A$1658=Calculation!$A23)*('Descriptor maps'!$G$2:$G$1658=Calculation!$G23),0))</f>
        <v>#N/A</v>
      </c>
      <c r="K23" s="226"/>
      <c r="L23" s="293"/>
      <c r="M23" s="293"/>
      <c r="N23" s="293"/>
      <c r="O23" s="293"/>
      <c r="P23" s="293"/>
      <c r="Q23" s="293"/>
      <c r="R23" s="293"/>
      <c r="S23" s="293"/>
      <c r="T23" s="293"/>
      <c r="U23" s="293"/>
      <c r="V23" s="293"/>
      <c r="W23" s="293"/>
      <c r="X23" s="293"/>
      <c r="Y23" s="293"/>
      <c r="Z23" s="293"/>
      <c r="AA23" s="293"/>
      <c r="AB23" s="293"/>
      <c r="AC23" s="293"/>
      <c r="AD23" s="293"/>
      <c r="AE23" s="293"/>
      <c r="AF23" s="293"/>
      <c r="AG23" s="293"/>
      <c r="AH23" s="293"/>
      <c r="AI23" s="293"/>
      <c r="AJ23" s="293"/>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c r="BT23" s="293"/>
      <c r="BU23" s="293"/>
      <c r="BV23" s="293"/>
      <c r="BW23" s="293"/>
      <c r="BX23" s="293"/>
      <c r="BY23" s="293"/>
      <c r="BZ23" s="293"/>
      <c r="CA23" s="285"/>
      <c r="CB23" s="286"/>
      <c r="CC23" s="286"/>
      <c r="CD23" s="286"/>
      <c r="CE23" s="286"/>
      <c r="CF23" s="286"/>
      <c r="CG23" s="286"/>
      <c r="CH23" s="286"/>
      <c r="CI23" s="286"/>
      <c r="CJ23" s="286"/>
      <c r="CK23" s="286"/>
      <c r="CL23" s="286"/>
      <c r="CM23" s="286"/>
      <c r="CN23" s="286"/>
      <c r="CO23" s="286"/>
      <c r="CP23" s="286"/>
      <c r="CQ23" s="286"/>
      <c r="CR23" s="286"/>
      <c r="CS23" s="286"/>
      <c r="CT23" s="286"/>
      <c r="CU23" s="286"/>
      <c r="CV23" s="286"/>
      <c r="CW23" s="286"/>
      <c r="CX23" s="286"/>
      <c r="CY23" s="286"/>
      <c r="CZ23" s="286"/>
      <c r="DA23" s="286"/>
      <c r="DB23" s="286"/>
      <c r="DC23" s="286"/>
      <c r="DD23" s="286"/>
      <c r="DE23" s="286"/>
      <c r="DF23" s="286"/>
      <c r="DG23" s="286"/>
      <c r="DH23" s="286"/>
      <c r="DI23" s="286"/>
      <c r="DJ23" s="286"/>
      <c r="DK23" s="286"/>
      <c r="DL23" s="286"/>
      <c r="DM23" s="286"/>
      <c r="DN23" s="286"/>
      <c r="DO23" s="286"/>
      <c r="DP23" s="286"/>
      <c r="DR23" s="58" t="str">
        <f>IF(ISNUMBER(MATCH(#REF!,'Audit Characteristic Mapping'!$B$3:$B$500,0)),"Y","")</f>
        <v/>
      </c>
      <c r="DS23" s="58" t="str">
        <f>IF(ISNUMBER(MATCH(#REF!,'Audit Characteristic Mapping'!$C$3:$C$500,0)),"Y","")</f>
        <v/>
      </c>
      <c r="DT23" s="58" t="str">
        <f>IF(ISNUMBER(MATCH(#REF!,'Audit Characteristic Mapping'!$D$3:$D$500,0)),"Y","")</f>
        <v/>
      </c>
      <c r="DU23" s="58" t="str">
        <f>IF(ISNUMBER(MATCH(#REF!,'Audit Characteristic Mapping'!$E$3:$E$500,0)),"Y","")</f>
        <v/>
      </c>
      <c r="DV23" s="58" t="str">
        <f>IF(ISNUMBER(MATCH(#REF!,'Audit Characteristic Mapping'!$F$3:$F$500,0)),"Y","")</f>
        <v/>
      </c>
      <c r="DW23" s="58" t="str">
        <f>IF(ISNUMBER(MATCH(#REF!,'Audit Characteristic Mapping'!$G$3:$G$500,0)),"Y","")</f>
        <v/>
      </c>
      <c r="DX23" s="58" t="str">
        <f>IF(ISNUMBER(MATCH(#REF!,'Audit Characteristic Mapping'!$H$3:$H$500,0)),"Y","")</f>
        <v/>
      </c>
      <c r="DY23" s="58" t="str">
        <f>IF(ISNUMBER(MATCH(#REF!,'Audit Characteristic Mapping'!$I$3:$I$500,0)),"Y","")</f>
        <v/>
      </c>
      <c r="DZ23" s="58" t="str">
        <f>IF(ISNUMBER(MATCH(#REF!,'Audit Characteristic Mapping'!$J$3:$J$500,0)),"Y","")</f>
        <v/>
      </c>
      <c r="EA23" s="58" t="str">
        <f>IF(ISNUMBER(MATCH(#REF!,'Audit Characteristic Mapping'!$K$3:$K$500,0)),"Y","")</f>
        <v/>
      </c>
    </row>
    <row r="24" spans="1:131" ht="16" hidden="1" x14ac:dyDescent="0.2">
      <c r="A24" s="288">
        <v>20</v>
      </c>
      <c r="B24" s="287" t="s">
        <v>131</v>
      </c>
      <c r="C24" s="226" t="s">
        <v>153</v>
      </c>
      <c r="D24" s="170">
        <v>1</v>
      </c>
      <c r="E24" s="288">
        <v>6</v>
      </c>
      <c r="F24" s="291" t="str">
        <f>VLOOKUP(Calculation!A24,'Descriptor maps'!$A$2:$F$1658,2,0)</f>
        <v>General information</v>
      </c>
      <c r="G24" s="289"/>
      <c r="H24" s="290"/>
      <c r="I24" s="291"/>
      <c r="J24" s="292" t="e" cm="1">
        <f t="array" ref="J24">INDEX('Descriptor maps'!$I$2:$I$1658,MATCH(1,('Descriptor maps'!$A$2:$A$1658=Calculation!$A24)*('Descriptor maps'!$G$2:$G$1658=Calculation!$G24),0))</f>
        <v>#N/A</v>
      </c>
      <c r="K24" s="226"/>
      <c r="L24" s="293"/>
      <c r="M24" s="293"/>
      <c r="N24" s="293"/>
      <c r="O24" s="293"/>
      <c r="P24" s="293"/>
      <c r="Q24" s="293"/>
      <c r="R24" s="293"/>
      <c r="S24" s="293"/>
      <c r="T24" s="293"/>
      <c r="U24" s="293"/>
      <c r="V24" s="293"/>
      <c r="W24" s="293"/>
      <c r="X24" s="293"/>
      <c r="Y24" s="293"/>
      <c r="Z24" s="293"/>
      <c r="AA24" s="293"/>
      <c r="AB24" s="293"/>
      <c r="AC24" s="293"/>
      <c r="AD24" s="293"/>
      <c r="AE24" s="293"/>
      <c r="AF24" s="293"/>
      <c r="AG24" s="293"/>
      <c r="AH24" s="293"/>
      <c r="AI24" s="293"/>
      <c r="AJ24" s="293"/>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c r="BT24" s="293"/>
      <c r="BU24" s="293"/>
      <c r="BV24" s="293"/>
      <c r="BW24" s="293"/>
      <c r="BX24" s="293"/>
      <c r="BY24" s="293"/>
      <c r="BZ24" s="293"/>
      <c r="CA24" s="285"/>
      <c r="CB24" s="286"/>
      <c r="CC24" s="286"/>
      <c r="CD24" s="286"/>
      <c r="CE24" s="286"/>
      <c r="CF24" s="286"/>
      <c r="CG24" s="286"/>
      <c r="CH24" s="286"/>
      <c r="CI24" s="286"/>
      <c r="CJ24" s="286"/>
      <c r="CK24" s="286"/>
      <c r="CL24" s="286"/>
      <c r="CM24" s="286"/>
      <c r="CN24" s="286"/>
      <c r="CO24" s="286"/>
      <c r="CP24" s="286"/>
      <c r="CQ24" s="286"/>
      <c r="CR24" s="286"/>
      <c r="CS24" s="286"/>
      <c r="CT24" s="286"/>
      <c r="CU24" s="286"/>
      <c r="CV24" s="286"/>
      <c r="CW24" s="286"/>
      <c r="CX24" s="286"/>
      <c r="CY24" s="286"/>
      <c r="CZ24" s="286"/>
      <c r="DA24" s="286"/>
      <c r="DB24" s="286"/>
      <c r="DC24" s="286"/>
      <c r="DD24" s="286"/>
      <c r="DE24" s="286"/>
      <c r="DF24" s="286"/>
      <c r="DG24" s="286"/>
      <c r="DH24" s="286"/>
      <c r="DI24" s="286"/>
      <c r="DJ24" s="286"/>
      <c r="DK24" s="286"/>
      <c r="DL24" s="286"/>
      <c r="DM24" s="286"/>
      <c r="DN24" s="286"/>
      <c r="DO24" s="286"/>
      <c r="DP24" s="286"/>
      <c r="DR24" s="58" t="str">
        <f>IF(ISNUMBER(MATCH(#REF!,'Audit Characteristic Mapping'!$B$3:$B$500,0)),"Y","")</f>
        <v/>
      </c>
      <c r="DS24" s="58" t="str">
        <f>IF(ISNUMBER(MATCH(#REF!,'Audit Characteristic Mapping'!$C$3:$C$500,0)),"Y","")</f>
        <v/>
      </c>
      <c r="DT24" s="58" t="str">
        <f>IF(ISNUMBER(MATCH(#REF!,'Audit Characteristic Mapping'!$D$3:$D$500,0)),"Y","")</f>
        <v/>
      </c>
      <c r="DU24" s="58" t="str">
        <f>IF(ISNUMBER(MATCH(#REF!,'Audit Characteristic Mapping'!$E$3:$E$500,0)),"Y","")</f>
        <v/>
      </c>
      <c r="DV24" s="58" t="str">
        <f>IF(ISNUMBER(MATCH(#REF!,'Audit Characteristic Mapping'!$F$3:$F$500,0)),"Y","")</f>
        <v/>
      </c>
      <c r="DW24" s="58" t="str">
        <f>IF(ISNUMBER(MATCH(#REF!,'Audit Characteristic Mapping'!$G$3:$G$500,0)),"Y","")</f>
        <v/>
      </c>
      <c r="DX24" s="58" t="str">
        <f>IF(ISNUMBER(MATCH(#REF!,'Audit Characteristic Mapping'!$H$3:$H$500,0)),"Y","")</f>
        <v/>
      </c>
      <c r="DY24" s="58" t="str">
        <f>IF(ISNUMBER(MATCH(#REF!,'Audit Characteristic Mapping'!$I$3:$I$500,0)),"Y","")</f>
        <v/>
      </c>
      <c r="DZ24" s="58" t="str">
        <f>IF(ISNUMBER(MATCH(#REF!,'Audit Characteristic Mapping'!$J$3:$J$500,0)),"Y","")</f>
        <v/>
      </c>
      <c r="EA24" s="58" t="str">
        <f>IF(ISNUMBER(MATCH(#REF!,'Audit Characteristic Mapping'!$K$3:$K$500,0)),"Y","")</f>
        <v/>
      </c>
    </row>
    <row r="25" spans="1:131" ht="16" hidden="1" x14ac:dyDescent="0.2">
      <c r="A25" s="288">
        <v>21</v>
      </c>
      <c r="B25" s="287" t="s">
        <v>131</v>
      </c>
      <c r="C25" s="226" t="s">
        <v>153</v>
      </c>
      <c r="D25" s="170">
        <v>1</v>
      </c>
      <c r="E25" s="288">
        <v>6</v>
      </c>
      <c r="F25" s="291" t="str">
        <f>VLOOKUP(Calculation!A25,'Descriptor maps'!$A$2:$F$1658,2,0)</f>
        <v>General information</v>
      </c>
      <c r="G25" s="289"/>
      <c r="H25" s="290"/>
      <c r="I25" s="291"/>
      <c r="J25" s="292" t="e" cm="1">
        <f t="array" ref="J25">INDEX('Descriptor maps'!$I$2:$I$1658,MATCH(1,('Descriptor maps'!$A$2:$A$1658=Calculation!$A25)*('Descriptor maps'!$G$2:$G$1658=Calculation!$G25),0))</f>
        <v>#N/A</v>
      </c>
      <c r="K25" s="226"/>
      <c r="L25" s="293"/>
      <c r="M25" s="293"/>
      <c r="N25" s="293"/>
      <c r="O25" s="293"/>
      <c r="P25" s="293"/>
      <c r="Q25" s="293"/>
      <c r="R25" s="293"/>
      <c r="S25" s="293"/>
      <c r="T25" s="293"/>
      <c r="U25" s="293"/>
      <c r="V25" s="293"/>
      <c r="W25" s="293"/>
      <c r="X25" s="293"/>
      <c r="Y25" s="293"/>
      <c r="Z25" s="293"/>
      <c r="AA25" s="293"/>
      <c r="AB25" s="293"/>
      <c r="AC25" s="293"/>
      <c r="AD25" s="293"/>
      <c r="AE25" s="293"/>
      <c r="AF25" s="293"/>
      <c r="AG25" s="293"/>
      <c r="AH25" s="293"/>
      <c r="AI25" s="293"/>
      <c r="AJ25" s="293"/>
      <c r="AK25" s="293"/>
      <c r="AL25" s="293"/>
      <c r="AM25" s="293"/>
      <c r="AN25" s="293"/>
      <c r="AO25" s="293"/>
      <c r="AP25" s="293"/>
      <c r="AQ25" s="293"/>
      <c r="AR25" s="293"/>
      <c r="AS25" s="293"/>
      <c r="AT25" s="293"/>
      <c r="AU25" s="293"/>
      <c r="AV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c r="BT25" s="293"/>
      <c r="BU25" s="293"/>
      <c r="BV25" s="293"/>
      <c r="BW25" s="293"/>
      <c r="BX25" s="293"/>
      <c r="BY25" s="293"/>
      <c r="BZ25" s="293"/>
      <c r="CA25" s="285"/>
      <c r="CB25" s="286"/>
      <c r="CC25" s="286"/>
      <c r="CD25" s="286"/>
      <c r="CE25" s="286"/>
      <c r="CF25" s="286"/>
      <c r="CG25" s="286"/>
      <c r="CH25" s="286"/>
      <c r="CI25" s="286"/>
      <c r="CJ25" s="286"/>
      <c r="CK25" s="286"/>
      <c r="CL25" s="286"/>
      <c r="CM25" s="286"/>
      <c r="CN25" s="286"/>
      <c r="CO25" s="286"/>
      <c r="CP25" s="286"/>
      <c r="CQ25" s="286"/>
      <c r="CR25" s="286"/>
      <c r="CS25" s="286"/>
      <c r="CT25" s="286"/>
      <c r="CU25" s="286"/>
      <c r="CV25" s="286"/>
      <c r="CW25" s="286"/>
      <c r="CX25" s="286"/>
      <c r="CY25" s="286"/>
      <c r="CZ25" s="286"/>
      <c r="DA25" s="286"/>
      <c r="DB25" s="286"/>
      <c r="DC25" s="286"/>
      <c r="DD25" s="286"/>
      <c r="DE25" s="286"/>
      <c r="DF25" s="286"/>
      <c r="DG25" s="286"/>
      <c r="DH25" s="286"/>
      <c r="DI25" s="286"/>
      <c r="DJ25" s="286"/>
      <c r="DK25" s="286"/>
      <c r="DL25" s="286"/>
      <c r="DM25" s="286"/>
      <c r="DN25" s="286"/>
      <c r="DO25" s="286"/>
      <c r="DP25" s="286"/>
      <c r="DR25" s="58" t="str">
        <f>IF(ISNUMBER(MATCH(#REF!,'Audit Characteristic Mapping'!$B$3:$B$500,0)),"Y","")</f>
        <v/>
      </c>
      <c r="DS25" s="58" t="str">
        <f>IF(ISNUMBER(MATCH(#REF!,'Audit Characteristic Mapping'!$C$3:$C$500,0)),"Y","")</f>
        <v/>
      </c>
      <c r="DT25" s="58" t="str">
        <f>IF(ISNUMBER(MATCH(#REF!,'Audit Characteristic Mapping'!$D$3:$D$500,0)),"Y","")</f>
        <v/>
      </c>
      <c r="DU25" s="58" t="str">
        <f>IF(ISNUMBER(MATCH(#REF!,'Audit Characteristic Mapping'!$E$3:$E$500,0)),"Y","")</f>
        <v/>
      </c>
      <c r="DV25" s="58" t="str">
        <f>IF(ISNUMBER(MATCH(#REF!,'Audit Characteristic Mapping'!$F$3:$F$500,0)),"Y","")</f>
        <v/>
      </c>
      <c r="DW25" s="58" t="str">
        <f>IF(ISNUMBER(MATCH(#REF!,'Audit Characteristic Mapping'!$G$3:$G$500,0)),"Y","")</f>
        <v/>
      </c>
      <c r="DX25" s="58" t="str">
        <f>IF(ISNUMBER(MATCH(#REF!,'Audit Characteristic Mapping'!$H$3:$H$500,0)),"Y","")</f>
        <v/>
      </c>
      <c r="DY25" s="58" t="str">
        <f>IF(ISNUMBER(MATCH(#REF!,'Audit Characteristic Mapping'!$I$3:$I$500,0)),"Y","")</f>
        <v/>
      </c>
      <c r="DZ25" s="58" t="str">
        <f>IF(ISNUMBER(MATCH(#REF!,'Audit Characteristic Mapping'!$J$3:$J$500,0)),"Y","")</f>
        <v/>
      </c>
      <c r="EA25" s="58" t="str">
        <f>IF(ISNUMBER(MATCH(#REF!,'Audit Characteristic Mapping'!$K$3:$K$500,0)),"Y","")</f>
        <v/>
      </c>
    </row>
    <row r="26" spans="1:131" ht="16" hidden="1" x14ac:dyDescent="0.2">
      <c r="A26" s="288">
        <v>22</v>
      </c>
      <c r="B26" s="287" t="s">
        <v>131</v>
      </c>
      <c r="C26" s="226" t="s">
        <v>153</v>
      </c>
      <c r="D26" s="170">
        <v>1</v>
      </c>
      <c r="E26" s="288">
        <v>6</v>
      </c>
      <c r="F26" s="291" t="str">
        <f>VLOOKUP(Calculation!A26,'Descriptor maps'!$A$2:$F$1658,2,0)</f>
        <v>General information</v>
      </c>
      <c r="G26" s="289"/>
      <c r="H26" s="290"/>
      <c r="I26" s="291"/>
      <c r="J26" s="292" t="e" cm="1">
        <f t="array" ref="J26">INDEX('Descriptor maps'!$I$2:$I$1658,MATCH(1,('Descriptor maps'!$A$2:$A$1658=Calculation!$A26)*('Descriptor maps'!$G$2:$G$1658=Calculation!$G26),0))</f>
        <v>#N/A</v>
      </c>
      <c r="K26" s="226"/>
      <c r="L26" s="293"/>
      <c r="M26" s="293"/>
      <c r="N26" s="293"/>
      <c r="O26" s="293"/>
      <c r="P26" s="293"/>
      <c r="Q26" s="293"/>
      <c r="R26" s="293"/>
      <c r="S26" s="293"/>
      <c r="T26" s="293"/>
      <c r="U26" s="293"/>
      <c r="V26" s="293"/>
      <c r="W26" s="293"/>
      <c r="X26" s="293"/>
      <c r="Y26" s="293"/>
      <c r="Z26" s="293"/>
      <c r="AA26" s="293"/>
      <c r="AB26" s="293"/>
      <c r="AC26" s="293"/>
      <c r="AD26" s="293"/>
      <c r="AE26" s="293"/>
      <c r="AF26" s="293"/>
      <c r="AG26" s="293"/>
      <c r="AH26" s="293"/>
      <c r="AI26" s="293"/>
      <c r="AJ26" s="293"/>
      <c r="AK26" s="293"/>
      <c r="AL26" s="293"/>
      <c r="AM26" s="293"/>
      <c r="AN26" s="293"/>
      <c r="AO26" s="293"/>
      <c r="AP26" s="293"/>
      <c r="AQ26" s="293"/>
      <c r="AR26" s="293"/>
      <c r="AS26" s="293"/>
      <c r="AT26" s="293"/>
      <c r="AU26" s="293"/>
      <c r="AV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c r="BT26" s="293"/>
      <c r="BU26" s="293"/>
      <c r="BV26" s="293"/>
      <c r="BW26" s="293"/>
      <c r="BX26" s="293"/>
      <c r="BY26" s="293"/>
      <c r="BZ26" s="293"/>
      <c r="CA26" s="285"/>
      <c r="CB26" s="286"/>
      <c r="CC26" s="286"/>
      <c r="CD26" s="286"/>
      <c r="CE26" s="286"/>
      <c r="CF26" s="286"/>
      <c r="CG26" s="286"/>
      <c r="CH26" s="286"/>
      <c r="CI26" s="286"/>
      <c r="CJ26" s="286"/>
      <c r="CK26" s="286"/>
      <c r="CL26" s="286"/>
      <c r="CM26" s="286"/>
      <c r="CN26" s="286"/>
      <c r="CO26" s="286"/>
      <c r="CP26" s="286"/>
      <c r="CQ26" s="286"/>
      <c r="CR26" s="286"/>
      <c r="CS26" s="286"/>
      <c r="CT26" s="286"/>
      <c r="CU26" s="286"/>
      <c r="CV26" s="286"/>
      <c r="CW26" s="286"/>
      <c r="CX26" s="286"/>
      <c r="CY26" s="286"/>
      <c r="CZ26" s="286"/>
      <c r="DA26" s="286"/>
      <c r="DB26" s="286"/>
      <c r="DC26" s="286"/>
      <c r="DD26" s="286"/>
      <c r="DE26" s="286"/>
      <c r="DF26" s="286"/>
      <c r="DG26" s="286"/>
      <c r="DH26" s="286"/>
      <c r="DI26" s="286"/>
      <c r="DJ26" s="286"/>
      <c r="DK26" s="286"/>
      <c r="DL26" s="286"/>
      <c r="DM26" s="286"/>
      <c r="DN26" s="286"/>
      <c r="DO26" s="286"/>
      <c r="DP26" s="286"/>
      <c r="DR26" s="58" t="str">
        <f>IF(ISNUMBER(MATCH(#REF!,'Audit Characteristic Mapping'!$B$3:$B$500,0)),"Y","")</f>
        <v/>
      </c>
      <c r="DS26" s="58" t="str">
        <f>IF(ISNUMBER(MATCH(#REF!,'Audit Characteristic Mapping'!$C$3:$C$500,0)),"Y","")</f>
        <v/>
      </c>
      <c r="DT26" s="58" t="str">
        <f>IF(ISNUMBER(MATCH(#REF!,'Audit Characteristic Mapping'!$D$3:$D$500,0)),"Y","")</f>
        <v/>
      </c>
      <c r="DU26" s="58" t="str">
        <f>IF(ISNUMBER(MATCH(#REF!,'Audit Characteristic Mapping'!$E$3:$E$500,0)),"Y","")</f>
        <v/>
      </c>
      <c r="DV26" s="58" t="str">
        <f>IF(ISNUMBER(MATCH(#REF!,'Audit Characteristic Mapping'!$F$3:$F$500,0)),"Y","")</f>
        <v/>
      </c>
      <c r="DW26" s="58" t="str">
        <f>IF(ISNUMBER(MATCH(#REF!,'Audit Characteristic Mapping'!$G$3:$G$500,0)),"Y","")</f>
        <v/>
      </c>
      <c r="DX26" s="58" t="str">
        <f>IF(ISNUMBER(MATCH(#REF!,'Audit Characteristic Mapping'!$H$3:$H$500,0)),"Y","")</f>
        <v/>
      </c>
      <c r="DY26" s="58" t="str">
        <f>IF(ISNUMBER(MATCH(#REF!,'Audit Characteristic Mapping'!$I$3:$I$500,0)),"Y","")</f>
        <v/>
      </c>
      <c r="DZ26" s="58" t="str">
        <f>IF(ISNUMBER(MATCH(#REF!,'Audit Characteristic Mapping'!$J$3:$J$500,0)),"Y","")</f>
        <v/>
      </c>
      <c r="EA26" s="58" t="str">
        <f>IF(ISNUMBER(MATCH(#REF!,'Audit Characteristic Mapping'!$K$3:$K$500,0)),"Y","")</f>
        <v/>
      </c>
    </row>
    <row r="27" spans="1:131" ht="32" hidden="1" x14ac:dyDescent="0.2">
      <c r="A27" s="288">
        <v>23</v>
      </c>
      <c r="B27" s="287" t="s">
        <v>131</v>
      </c>
      <c r="C27" s="226" t="s">
        <v>153</v>
      </c>
      <c r="D27" s="170">
        <v>1</v>
      </c>
      <c r="E27" s="288">
        <v>6</v>
      </c>
      <c r="F27" s="291" t="str">
        <f>VLOOKUP(Calculation!A27,'Descriptor maps'!$A$2:$F$1658,2,0)</f>
        <v>General information</v>
      </c>
      <c r="G27" s="297" t="s">
        <v>680</v>
      </c>
      <c r="H27" s="290"/>
      <c r="I27" s="291"/>
      <c r="J27" s="292" t="e" cm="1">
        <f t="array" ref="J27">INDEX('Descriptor maps'!$I$2:$I$1658,MATCH(1,('Descriptor maps'!$A$2:$A$1658=Calculation!$A27)*('Descriptor maps'!$G$2:$G$1658=Calculation!$G27),0))</f>
        <v>#N/A</v>
      </c>
      <c r="K27" s="226"/>
      <c r="L27" s="293"/>
      <c r="M27" s="293"/>
      <c r="N27" s="293"/>
      <c r="O27" s="293"/>
      <c r="P27" s="293"/>
      <c r="Q27" s="293"/>
      <c r="R27" s="293"/>
      <c r="S27" s="293"/>
      <c r="T27" s="293"/>
      <c r="U27" s="293"/>
      <c r="V27" s="293"/>
      <c r="W27" s="293"/>
      <c r="X27" s="293"/>
      <c r="Y27" s="293"/>
      <c r="Z27" s="293"/>
      <c r="AA27" s="293"/>
      <c r="AB27" s="293"/>
      <c r="AC27" s="293"/>
      <c r="AD27" s="293"/>
      <c r="AE27" s="293"/>
      <c r="AF27" s="293"/>
      <c r="AG27" s="293"/>
      <c r="AH27" s="293"/>
      <c r="AI27" s="293"/>
      <c r="AJ27" s="293"/>
      <c r="AK27" s="293"/>
      <c r="AL27" s="293"/>
      <c r="AM27" s="293"/>
      <c r="AN27" s="293"/>
      <c r="AO27" s="293"/>
      <c r="AP27" s="293"/>
      <c r="AQ27" s="293"/>
      <c r="AR27" s="293"/>
      <c r="AS27" s="293"/>
      <c r="AT27" s="293"/>
      <c r="AU27" s="293"/>
      <c r="AV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c r="BT27" s="293"/>
      <c r="BU27" s="293"/>
      <c r="BV27" s="293"/>
      <c r="BW27" s="293"/>
      <c r="BX27" s="293"/>
      <c r="BY27" s="293"/>
      <c r="BZ27" s="293"/>
      <c r="CA27" s="285"/>
      <c r="CB27" s="286"/>
      <c r="CC27" s="286"/>
      <c r="CD27" s="286"/>
      <c r="CE27" s="286"/>
      <c r="CF27" s="286"/>
      <c r="CG27" s="286"/>
      <c r="CH27" s="286"/>
      <c r="CI27" s="286"/>
      <c r="CJ27" s="286"/>
      <c r="CK27" s="286"/>
      <c r="CL27" s="286"/>
      <c r="CM27" s="286"/>
      <c r="CN27" s="286"/>
      <c r="CO27" s="286"/>
      <c r="CP27" s="286"/>
      <c r="CQ27" s="286"/>
      <c r="CR27" s="286"/>
      <c r="CS27" s="286"/>
      <c r="CT27" s="286"/>
      <c r="CU27" s="286"/>
      <c r="CV27" s="286"/>
      <c r="CW27" s="286"/>
      <c r="CX27" s="286"/>
      <c r="CY27" s="286"/>
      <c r="CZ27" s="286"/>
      <c r="DA27" s="286"/>
      <c r="DB27" s="286"/>
      <c r="DC27" s="286"/>
      <c r="DD27" s="286"/>
      <c r="DE27" s="286"/>
      <c r="DF27" s="286"/>
      <c r="DG27" s="286"/>
      <c r="DH27" s="286"/>
      <c r="DI27" s="286"/>
      <c r="DJ27" s="286"/>
      <c r="DK27" s="286"/>
      <c r="DL27" s="286"/>
      <c r="DM27" s="286"/>
      <c r="DN27" s="286"/>
      <c r="DO27" s="286"/>
      <c r="DP27" s="286"/>
      <c r="DR27" s="58" t="str">
        <f>IF(ISNUMBER(MATCH(#REF!,'Audit Characteristic Mapping'!$B$3:$B$500,0)),"Y","")</f>
        <v/>
      </c>
      <c r="DS27" s="58" t="str">
        <f>IF(ISNUMBER(MATCH(#REF!,'Audit Characteristic Mapping'!$C$3:$C$500,0)),"Y","")</f>
        <v/>
      </c>
      <c r="DT27" s="58" t="str">
        <f>IF(ISNUMBER(MATCH(#REF!,'Audit Characteristic Mapping'!$D$3:$D$500,0)),"Y","")</f>
        <v/>
      </c>
      <c r="DU27" s="58" t="str">
        <f>IF(ISNUMBER(MATCH(#REF!,'Audit Characteristic Mapping'!$E$3:$E$500,0)),"Y","")</f>
        <v/>
      </c>
      <c r="DV27" s="58" t="str">
        <f>IF(ISNUMBER(MATCH(#REF!,'Audit Characteristic Mapping'!$F$3:$F$500,0)),"Y","")</f>
        <v/>
      </c>
      <c r="DW27" s="58" t="str">
        <f>IF(ISNUMBER(MATCH(#REF!,'Audit Characteristic Mapping'!$G$3:$G$500,0)),"Y","")</f>
        <v/>
      </c>
      <c r="DX27" s="58" t="str">
        <f>IF(ISNUMBER(MATCH(#REF!,'Audit Characteristic Mapping'!$H$3:$H$500,0)),"Y","")</f>
        <v/>
      </c>
      <c r="DY27" s="58" t="str">
        <f>IF(ISNUMBER(MATCH(#REF!,'Audit Characteristic Mapping'!$I$3:$I$500,0)),"Y","")</f>
        <v/>
      </c>
      <c r="DZ27" s="58" t="str">
        <f>IF(ISNUMBER(MATCH(#REF!,'Audit Characteristic Mapping'!$J$3:$J$500,0)),"Y","")</f>
        <v/>
      </c>
      <c r="EA27" s="58" t="str">
        <f>IF(ISNUMBER(MATCH(#REF!,'Audit Characteristic Mapping'!$K$3:$K$500,0)),"Y","")</f>
        <v/>
      </c>
    </row>
    <row r="28" spans="1:131" ht="16" hidden="1" x14ac:dyDescent="0.2">
      <c r="A28" s="288">
        <v>24</v>
      </c>
      <c r="B28" s="287" t="s">
        <v>131</v>
      </c>
      <c r="C28" s="226" t="s">
        <v>153</v>
      </c>
      <c r="D28" s="170">
        <v>1</v>
      </c>
      <c r="E28" s="288">
        <v>6</v>
      </c>
      <c r="F28" s="291" t="str">
        <f>VLOOKUP(Calculation!A28,'Descriptor maps'!$A$2:$F$1658,2,0)</f>
        <v>General information</v>
      </c>
      <c r="G28" s="298">
        <f>2.68/1.27+5.6</f>
        <v>7.7102362204724404</v>
      </c>
      <c r="H28" s="290"/>
      <c r="I28" s="291"/>
      <c r="J28" s="292" t="e" cm="1">
        <f t="array" ref="J28">INDEX('Descriptor maps'!$I$2:$I$1658,MATCH(1,('Descriptor maps'!$A$2:$A$1658=Calculation!$A28)*('Descriptor maps'!$G$2:$G$1658=Calculation!$G28),0))</f>
        <v>#N/A</v>
      </c>
      <c r="K28" s="226"/>
      <c r="L28" s="293"/>
      <c r="M28" s="293"/>
      <c r="N28" s="293"/>
      <c r="O28" s="293"/>
      <c r="P28" s="293"/>
      <c r="Q28" s="293"/>
      <c r="R28" s="293"/>
      <c r="S28" s="293"/>
      <c r="T28" s="293"/>
      <c r="U28" s="293"/>
      <c r="V28" s="293"/>
      <c r="W28" s="293"/>
      <c r="X28" s="293"/>
      <c r="Y28" s="293"/>
      <c r="Z28" s="293"/>
      <c r="AA28" s="293"/>
      <c r="AB28" s="293"/>
      <c r="AC28" s="293"/>
      <c r="AD28" s="293"/>
      <c r="AE28" s="293"/>
      <c r="AF28" s="293"/>
      <c r="AG28" s="293"/>
      <c r="AH28" s="293"/>
      <c r="AI28" s="293"/>
      <c r="AJ28" s="293"/>
      <c r="AK28" s="293"/>
      <c r="AL28" s="293"/>
      <c r="AM28" s="293"/>
      <c r="AN28" s="293"/>
      <c r="AO28" s="293"/>
      <c r="AP28" s="293"/>
      <c r="AQ28" s="293"/>
      <c r="AR28" s="293"/>
      <c r="AS28" s="293"/>
      <c r="AT28" s="293"/>
      <c r="AU28" s="293"/>
      <c r="AV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c r="BT28" s="293"/>
      <c r="BU28" s="293"/>
      <c r="BV28" s="293"/>
      <c r="BW28" s="293"/>
      <c r="BX28" s="293"/>
      <c r="BY28" s="293"/>
      <c r="BZ28" s="293"/>
      <c r="CA28" s="285"/>
      <c r="CB28" s="286"/>
      <c r="CC28" s="286"/>
      <c r="CD28" s="286"/>
      <c r="CE28" s="286"/>
      <c r="CF28" s="286"/>
      <c r="CG28" s="286"/>
      <c r="CH28" s="286"/>
      <c r="CI28" s="286"/>
      <c r="CJ28" s="286"/>
      <c r="CK28" s="286"/>
      <c r="CL28" s="286"/>
      <c r="CM28" s="286"/>
      <c r="CN28" s="286"/>
      <c r="CO28" s="286"/>
      <c r="CP28" s="286"/>
      <c r="CQ28" s="286"/>
      <c r="CR28" s="286"/>
      <c r="CS28" s="286"/>
      <c r="CT28" s="286"/>
      <c r="CU28" s="286"/>
      <c r="CV28" s="286"/>
      <c r="CW28" s="286"/>
      <c r="CX28" s="286"/>
      <c r="CY28" s="286"/>
      <c r="CZ28" s="286"/>
      <c r="DA28" s="286"/>
      <c r="DB28" s="286"/>
      <c r="DC28" s="286"/>
      <c r="DD28" s="286"/>
      <c r="DE28" s="286"/>
      <c r="DF28" s="286"/>
      <c r="DG28" s="286"/>
      <c r="DH28" s="286"/>
      <c r="DI28" s="286"/>
      <c r="DJ28" s="286"/>
      <c r="DK28" s="286"/>
      <c r="DL28" s="286"/>
      <c r="DM28" s="286"/>
      <c r="DN28" s="286"/>
      <c r="DO28" s="286"/>
      <c r="DP28" s="286"/>
      <c r="DR28" s="58" t="str">
        <f>IF(ISNUMBER(MATCH(#REF!,'Audit Characteristic Mapping'!$B$3:$B$500,0)),"Y","")</f>
        <v/>
      </c>
      <c r="DS28" s="58" t="str">
        <f>IF(ISNUMBER(MATCH(#REF!,'Audit Characteristic Mapping'!$C$3:$C$500,0)),"Y","")</f>
        <v/>
      </c>
      <c r="DT28" s="58" t="str">
        <f>IF(ISNUMBER(MATCH(#REF!,'Audit Characteristic Mapping'!$D$3:$D$500,0)),"Y","")</f>
        <v/>
      </c>
      <c r="DU28" s="58" t="str">
        <f>IF(ISNUMBER(MATCH(#REF!,'Audit Characteristic Mapping'!$E$3:$E$500,0)),"Y","")</f>
        <v/>
      </c>
      <c r="DV28" s="58" t="str">
        <f>IF(ISNUMBER(MATCH(#REF!,'Audit Characteristic Mapping'!$F$3:$F$500,0)),"Y","")</f>
        <v/>
      </c>
      <c r="DW28" s="58" t="str">
        <f>IF(ISNUMBER(MATCH(#REF!,'Audit Characteristic Mapping'!$G$3:$G$500,0)),"Y","")</f>
        <v/>
      </c>
      <c r="DX28" s="58" t="str">
        <f>IF(ISNUMBER(MATCH(#REF!,'Audit Characteristic Mapping'!$H$3:$H$500,0)),"Y","")</f>
        <v/>
      </c>
      <c r="DY28" s="58" t="str">
        <f>IF(ISNUMBER(MATCH(#REF!,'Audit Characteristic Mapping'!$I$3:$I$500,0)),"Y","")</f>
        <v/>
      </c>
      <c r="DZ28" s="58" t="str">
        <f>IF(ISNUMBER(MATCH(#REF!,'Audit Characteristic Mapping'!$J$3:$J$500,0)),"Y","")</f>
        <v/>
      </c>
      <c r="EA28" s="58" t="str">
        <f>IF(ISNUMBER(MATCH(#REF!,'Audit Characteristic Mapping'!$K$3:$K$500,0)),"Y","")</f>
        <v/>
      </c>
    </row>
    <row r="29" spans="1:131" ht="48" hidden="1" x14ac:dyDescent="0.2">
      <c r="A29" s="288">
        <v>25</v>
      </c>
      <c r="B29" s="287" t="s">
        <v>131</v>
      </c>
      <c r="C29" s="226" t="s">
        <v>153</v>
      </c>
      <c r="D29" s="170">
        <v>1</v>
      </c>
      <c r="E29" s="288">
        <v>6</v>
      </c>
      <c r="F29" s="291" t="str">
        <f>VLOOKUP(Calculation!A29,'Descriptor maps'!$A$2:$F$1658,2,0)</f>
        <v>General information</v>
      </c>
      <c r="G29" s="289" t="s">
        <v>681</v>
      </c>
      <c r="H29" s="290"/>
      <c r="I29" s="291"/>
      <c r="J29" s="292" t="e" cm="1">
        <f t="array" ref="J29">INDEX('Descriptor maps'!$I$2:$I$1658,MATCH(1,('Descriptor maps'!$A$2:$A$1658=Calculation!$A29)*('Descriptor maps'!$G$2:$G$1658=Calculation!$G29),0))</f>
        <v>#N/A</v>
      </c>
      <c r="K29" s="226"/>
      <c r="L29" s="293"/>
      <c r="M29" s="293"/>
      <c r="N29" s="293"/>
      <c r="O29" s="293"/>
      <c r="P29" s="293"/>
      <c r="Q29" s="293"/>
      <c r="R29" s="293"/>
      <c r="S29" s="293"/>
      <c r="T29" s="293"/>
      <c r="U29" s="293"/>
      <c r="V29" s="293"/>
      <c r="W29" s="293"/>
      <c r="X29" s="293"/>
      <c r="Y29" s="293"/>
      <c r="Z29" s="293"/>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c r="BT29" s="293"/>
      <c r="BU29" s="293"/>
      <c r="BV29" s="293"/>
      <c r="BW29" s="293"/>
      <c r="BX29" s="293"/>
      <c r="BY29" s="293"/>
      <c r="BZ29" s="293"/>
      <c r="CA29" s="285"/>
      <c r="CB29" s="286"/>
      <c r="CC29" s="286"/>
      <c r="CD29" s="286"/>
      <c r="CE29" s="286"/>
      <c r="CF29" s="286"/>
      <c r="CG29" s="286"/>
      <c r="CH29" s="286"/>
      <c r="CI29" s="286"/>
      <c r="CJ29" s="286"/>
      <c r="CK29" s="286"/>
      <c r="CL29" s="286"/>
      <c r="CM29" s="286"/>
      <c r="CN29" s="286"/>
      <c r="CO29" s="286"/>
      <c r="CP29" s="286"/>
      <c r="CQ29" s="286"/>
      <c r="CR29" s="286"/>
      <c r="CS29" s="286"/>
      <c r="CT29" s="286"/>
      <c r="CU29" s="286"/>
      <c r="CV29" s="286"/>
      <c r="CW29" s="286"/>
      <c r="CX29" s="286"/>
      <c r="CY29" s="286"/>
      <c r="CZ29" s="286"/>
      <c r="DA29" s="286"/>
      <c r="DB29" s="286"/>
      <c r="DC29" s="286"/>
      <c r="DD29" s="286"/>
      <c r="DE29" s="286"/>
      <c r="DF29" s="286"/>
      <c r="DG29" s="286"/>
      <c r="DH29" s="286"/>
      <c r="DI29" s="286"/>
      <c r="DJ29" s="286"/>
      <c r="DK29" s="286"/>
      <c r="DL29" s="286"/>
      <c r="DM29" s="286"/>
      <c r="DN29" s="286"/>
      <c r="DO29" s="286"/>
      <c r="DP29" s="286"/>
      <c r="DR29" s="58" t="str">
        <f>IF(ISNUMBER(MATCH(#REF!,'Audit Characteristic Mapping'!$B$3:$B$500,0)),"Y","")</f>
        <v/>
      </c>
      <c r="DS29" s="58" t="str">
        <f>IF(ISNUMBER(MATCH(#REF!,'Audit Characteristic Mapping'!$C$3:$C$500,0)),"Y","")</f>
        <v/>
      </c>
      <c r="DT29" s="58" t="str">
        <f>IF(ISNUMBER(MATCH(#REF!,'Audit Characteristic Mapping'!$D$3:$D$500,0)),"Y","")</f>
        <v/>
      </c>
      <c r="DU29" s="58" t="str">
        <f>IF(ISNUMBER(MATCH(#REF!,'Audit Characteristic Mapping'!$E$3:$E$500,0)),"Y","")</f>
        <v/>
      </c>
      <c r="DV29" s="58" t="str">
        <f>IF(ISNUMBER(MATCH(#REF!,'Audit Characteristic Mapping'!$F$3:$F$500,0)),"Y","")</f>
        <v/>
      </c>
      <c r="DW29" s="58" t="str">
        <f>IF(ISNUMBER(MATCH(#REF!,'Audit Characteristic Mapping'!$G$3:$G$500,0)),"Y","")</f>
        <v/>
      </c>
      <c r="DX29" s="58" t="str">
        <f>IF(ISNUMBER(MATCH(#REF!,'Audit Characteristic Mapping'!$H$3:$H$500,0)),"Y","")</f>
        <v/>
      </c>
      <c r="DY29" s="58" t="str">
        <f>IF(ISNUMBER(MATCH(#REF!,'Audit Characteristic Mapping'!$I$3:$I$500,0)),"Y","")</f>
        <v/>
      </c>
      <c r="DZ29" s="58" t="str">
        <f>IF(ISNUMBER(MATCH(#REF!,'Audit Characteristic Mapping'!$J$3:$J$500,0)),"Y","")</f>
        <v/>
      </c>
      <c r="EA29" s="58" t="str">
        <f>IF(ISNUMBER(MATCH(#REF!,'Audit Characteristic Mapping'!$K$3:$K$500,0)),"Y","")</f>
        <v/>
      </c>
    </row>
    <row r="30" spans="1:131" ht="16" hidden="1" x14ac:dyDescent="0.2">
      <c r="A30" s="288">
        <v>26</v>
      </c>
      <c r="B30" s="287" t="s">
        <v>131</v>
      </c>
      <c r="C30" s="226" t="s">
        <v>153</v>
      </c>
      <c r="D30" s="170">
        <v>1</v>
      </c>
      <c r="E30" s="288">
        <v>6</v>
      </c>
      <c r="F30" s="291" t="str">
        <f>VLOOKUP(Calculation!A30,'Descriptor maps'!$A$2:$F$1658,2,0)</f>
        <v>General information</v>
      </c>
      <c r="G30" s="289">
        <f>25.22*1000000</f>
        <v>25220000</v>
      </c>
      <c r="H30" s="290"/>
      <c r="I30" s="291"/>
      <c r="J30" s="292" t="e" cm="1">
        <f t="array" ref="J30">INDEX('Descriptor maps'!$I$2:$I$1658,MATCH(1,('Descriptor maps'!$A$2:$A$1658=Calculation!$A30)*('Descriptor maps'!$G$2:$G$1658=Calculation!$G30),0))</f>
        <v>#N/A</v>
      </c>
      <c r="K30" s="226"/>
      <c r="L30" s="293"/>
      <c r="M30" s="293"/>
      <c r="N30" s="293"/>
      <c r="O30" s="293"/>
      <c r="P30" s="293"/>
      <c r="Q30" s="293"/>
      <c r="R30" s="293"/>
      <c r="S30" s="293"/>
      <c r="T30" s="293"/>
      <c r="U30" s="293"/>
      <c r="V30" s="293"/>
      <c r="W30" s="293"/>
      <c r="X30" s="293"/>
      <c r="Y30" s="293"/>
      <c r="Z30" s="293"/>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c r="BT30" s="293"/>
      <c r="BU30" s="293"/>
      <c r="BV30" s="293"/>
      <c r="BW30" s="293"/>
      <c r="BX30" s="293"/>
      <c r="BY30" s="293"/>
      <c r="BZ30" s="293"/>
      <c r="CA30" s="285"/>
      <c r="CB30" s="286"/>
      <c r="CC30" s="286"/>
      <c r="CD30" s="286"/>
      <c r="CE30" s="286"/>
      <c r="CF30" s="286"/>
      <c r="CG30" s="286"/>
      <c r="CH30" s="286"/>
      <c r="CI30" s="286"/>
      <c r="CJ30" s="286"/>
      <c r="CK30" s="286"/>
      <c r="CL30" s="286"/>
      <c r="CM30" s="286"/>
      <c r="CN30" s="286"/>
      <c r="CO30" s="286"/>
      <c r="CP30" s="286"/>
      <c r="CQ30" s="286"/>
      <c r="CR30" s="286"/>
      <c r="CS30" s="286"/>
      <c r="CT30" s="286"/>
      <c r="CU30" s="286"/>
      <c r="CV30" s="286"/>
      <c r="CW30" s="286"/>
      <c r="CX30" s="286"/>
      <c r="CY30" s="286"/>
      <c r="CZ30" s="286"/>
      <c r="DA30" s="286"/>
      <c r="DB30" s="286"/>
      <c r="DC30" s="286"/>
      <c r="DD30" s="286"/>
      <c r="DE30" s="286"/>
      <c r="DF30" s="286"/>
      <c r="DG30" s="286"/>
      <c r="DH30" s="286"/>
      <c r="DI30" s="286"/>
      <c r="DJ30" s="286"/>
      <c r="DK30" s="286"/>
      <c r="DL30" s="286"/>
      <c r="DM30" s="286"/>
      <c r="DN30" s="286"/>
      <c r="DO30" s="286"/>
      <c r="DP30" s="286"/>
      <c r="DR30" s="58" t="str">
        <f>IF(ISNUMBER(MATCH(#REF!,'Audit Characteristic Mapping'!$B$3:$B$500,0)),"Y","")</f>
        <v/>
      </c>
      <c r="DS30" s="58" t="str">
        <f>IF(ISNUMBER(MATCH(#REF!,'Audit Characteristic Mapping'!$C$3:$C$500,0)),"Y","")</f>
        <v/>
      </c>
      <c r="DT30" s="58" t="str">
        <f>IF(ISNUMBER(MATCH(#REF!,'Audit Characteristic Mapping'!$D$3:$D$500,0)),"Y","")</f>
        <v/>
      </c>
      <c r="DU30" s="58" t="str">
        <f>IF(ISNUMBER(MATCH(#REF!,'Audit Characteristic Mapping'!$E$3:$E$500,0)),"Y","")</f>
        <v/>
      </c>
      <c r="DV30" s="58" t="str">
        <f>IF(ISNUMBER(MATCH(#REF!,'Audit Characteristic Mapping'!$F$3:$F$500,0)),"Y","")</f>
        <v/>
      </c>
      <c r="DW30" s="58" t="str">
        <f>IF(ISNUMBER(MATCH(#REF!,'Audit Characteristic Mapping'!$G$3:$G$500,0)),"Y","")</f>
        <v/>
      </c>
      <c r="DX30" s="58" t="str">
        <f>IF(ISNUMBER(MATCH(#REF!,'Audit Characteristic Mapping'!$H$3:$H$500,0)),"Y","")</f>
        <v/>
      </c>
      <c r="DY30" s="58" t="str">
        <f>IF(ISNUMBER(MATCH(#REF!,'Audit Characteristic Mapping'!$I$3:$I$500,0)),"Y","")</f>
        <v/>
      </c>
      <c r="DZ30" s="58" t="str">
        <f>IF(ISNUMBER(MATCH(#REF!,'Audit Characteristic Mapping'!$J$3:$J$500,0)),"Y","")</f>
        <v/>
      </c>
      <c r="EA30" s="58" t="str">
        <f>IF(ISNUMBER(MATCH(#REF!,'Audit Characteristic Mapping'!$K$3:$K$500,0)),"Y","")</f>
        <v/>
      </c>
    </row>
    <row r="31" spans="1:131" ht="16" hidden="1" x14ac:dyDescent="0.2">
      <c r="A31" s="288">
        <v>27</v>
      </c>
      <c r="B31" s="287" t="s">
        <v>131</v>
      </c>
      <c r="C31" s="226" t="s">
        <v>153</v>
      </c>
      <c r="D31" s="170">
        <v>1</v>
      </c>
      <c r="E31" s="288">
        <v>6</v>
      </c>
      <c r="F31" s="291" t="str">
        <f>VLOOKUP(Calculation!A31,'Descriptor maps'!$A$2:$F$1658,2,0)</f>
        <v>General information</v>
      </c>
      <c r="G31" s="298">
        <f>(2.52+2.56+2.31+2.1+2.38+1.91+2.14+2.78+2.86+2.66+2.23)/11</f>
        <v>2.4045454545454548</v>
      </c>
      <c r="H31" s="290"/>
      <c r="I31" s="291"/>
      <c r="J31" s="292" t="e" cm="1">
        <f t="array" ref="J31">INDEX('Descriptor maps'!$I$2:$I$1658,MATCH(1,('Descriptor maps'!$A$2:$A$1658=Calculation!$A31)*('Descriptor maps'!$G$2:$G$1658=Calculation!$G31),0))</f>
        <v>#N/A</v>
      </c>
      <c r="K31" s="226"/>
      <c r="L31" s="293"/>
      <c r="M31" s="293"/>
      <c r="N31" s="293"/>
      <c r="O31" s="293"/>
      <c r="P31" s="293"/>
      <c r="Q31" s="293"/>
      <c r="R31" s="293"/>
      <c r="S31" s="293"/>
      <c r="T31" s="293"/>
      <c r="U31" s="293"/>
      <c r="V31" s="293"/>
      <c r="W31" s="293"/>
      <c r="X31" s="293"/>
      <c r="Y31" s="293"/>
      <c r="Z31" s="293"/>
      <c r="AA31" s="293"/>
      <c r="AB31" s="293"/>
      <c r="AC31" s="293"/>
      <c r="AD31" s="293"/>
      <c r="AE31" s="293"/>
      <c r="AF31" s="293"/>
      <c r="AG31" s="293"/>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c r="BT31" s="293"/>
      <c r="BU31" s="293"/>
      <c r="BV31" s="293"/>
      <c r="BW31" s="293"/>
      <c r="BX31" s="293"/>
      <c r="BY31" s="293"/>
      <c r="BZ31" s="293"/>
      <c r="CA31" s="285"/>
      <c r="CB31" s="286"/>
      <c r="CC31" s="286"/>
      <c r="CD31" s="286"/>
      <c r="CE31" s="286"/>
      <c r="CF31" s="286"/>
      <c r="CG31" s="286"/>
      <c r="CH31" s="286"/>
      <c r="CI31" s="286"/>
      <c r="CJ31" s="286"/>
      <c r="CK31" s="286"/>
      <c r="CL31" s="286"/>
      <c r="CM31" s="286"/>
      <c r="CN31" s="286"/>
      <c r="CO31" s="286"/>
      <c r="CP31" s="286"/>
      <c r="CQ31" s="286"/>
      <c r="CR31" s="286"/>
      <c r="CS31" s="286"/>
      <c r="CT31" s="286"/>
      <c r="CU31" s="286"/>
      <c r="CV31" s="286"/>
      <c r="CW31" s="286"/>
      <c r="CX31" s="286"/>
      <c r="CY31" s="286"/>
      <c r="CZ31" s="286"/>
      <c r="DA31" s="286"/>
      <c r="DB31" s="286"/>
      <c r="DC31" s="286"/>
      <c r="DD31" s="286"/>
      <c r="DE31" s="286"/>
      <c r="DF31" s="286"/>
      <c r="DG31" s="286"/>
      <c r="DH31" s="286"/>
      <c r="DI31" s="286"/>
      <c r="DJ31" s="286"/>
      <c r="DK31" s="286"/>
      <c r="DL31" s="286"/>
      <c r="DM31" s="286"/>
      <c r="DN31" s="286"/>
      <c r="DO31" s="286"/>
      <c r="DP31" s="286"/>
      <c r="DR31" s="58" t="str">
        <f>IF(ISNUMBER(MATCH(#REF!,'Audit Characteristic Mapping'!$B$3:$B$500,0)),"Y","")</f>
        <v/>
      </c>
      <c r="DS31" s="58" t="str">
        <f>IF(ISNUMBER(MATCH(#REF!,'Audit Characteristic Mapping'!$C$3:$C$500,0)),"Y","")</f>
        <v/>
      </c>
      <c r="DT31" s="58" t="str">
        <f>IF(ISNUMBER(MATCH(#REF!,'Audit Characteristic Mapping'!$D$3:$D$500,0)),"Y","")</f>
        <v/>
      </c>
      <c r="DU31" s="58" t="str">
        <f>IF(ISNUMBER(MATCH(#REF!,'Audit Characteristic Mapping'!$E$3:$E$500,0)),"Y","")</f>
        <v/>
      </c>
      <c r="DV31" s="58" t="str">
        <f>IF(ISNUMBER(MATCH(#REF!,'Audit Characteristic Mapping'!$F$3:$F$500,0)),"Y","")</f>
        <v/>
      </c>
      <c r="DW31" s="58" t="str">
        <f>IF(ISNUMBER(MATCH(#REF!,'Audit Characteristic Mapping'!$G$3:$G$500,0)),"Y","")</f>
        <v/>
      </c>
      <c r="DX31" s="58" t="str">
        <f>IF(ISNUMBER(MATCH(#REF!,'Audit Characteristic Mapping'!$H$3:$H$500,0)),"Y","")</f>
        <v/>
      </c>
      <c r="DY31" s="58" t="str">
        <f>IF(ISNUMBER(MATCH(#REF!,'Audit Characteristic Mapping'!$I$3:$I$500,0)),"Y","")</f>
        <v/>
      </c>
      <c r="DZ31" s="58" t="str">
        <f>IF(ISNUMBER(MATCH(#REF!,'Audit Characteristic Mapping'!$J$3:$J$500,0)),"Y","")</f>
        <v/>
      </c>
      <c r="EA31" s="58" t="str">
        <f>IF(ISNUMBER(MATCH(#REF!,'Audit Characteristic Mapping'!$K$3:$K$500,0)),"Y","")</f>
        <v/>
      </c>
    </row>
    <row r="32" spans="1:131" ht="16" hidden="1" x14ac:dyDescent="0.2">
      <c r="A32" s="288">
        <v>28</v>
      </c>
      <c r="B32" s="287" t="s">
        <v>131</v>
      </c>
      <c r="C32" s="226" t="s">
        <v>153</v>
      </c>
      <c r="D32" s="170">
        <v>1</v>
      </c>
      <c r="E32" s="288">
        <v>6</v>
      </c>
      <c r="F32" s="291" t="str">
        <f>VLOOKUP(Calculation!A32,'Descriptor maps'!$A$2:$F$1658,2,0)</f>
        <v>General information</v>
      </c>
      <c r="G32" s="289">
        <v>1305581.9999999998</v>
      </c>
      <c r="H32" s="290"/>
      <c r="I32" s="291"/>
      <c r="J32" s="292" t="e" cm="1">
        <f t="array" ref="J32">INDEX('Descriptor maps'!$I$2:$I$1658,MATCH(1,('Descriptor maps'!$A$2:$A$1658=Calculation!$A32)*('Descriptor maps'!$G$2:$G$1658=Calculation!$G32),0))</f>
        <v>#N/A</v>
      </c>
      <c r="K32" s="226"/>
      <c r="L32" s="293"/>
      <c r="M32" s="293"/>
      <c r="N32" s="293"/>
      <c r="O32" s="293"/>
      <c r="P32" s="293"/>
      <c r="Q32" s="293"/>
      <c r="R32" s="293"/>
      <c r="S32" s="293"/>
      <c r="T32" s="293"/>
      <c r="U32" s="293"/>
      <c r="V32" s="293"/>
      <c r="W32" s="293"/>
      <c r="X32" s="293"/>
      <c r="Y32" s="293"/>
      <c r="Z32" s="293"/>
      <c r="AA32" s="293"/>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c r="BT32" s="293"/>
      <c r="BU32" s="293"/>
      <c r="BV32" s="293"/>
      <c r="BW32" s="293"/>
      <c r="BX32" s="293"/>
      <c r="BY32" s="293"/>
      <c r="BZ32" s="293"/>
      <c r="CA32" s="285"/>
      <c r="CB32" s="286"/>
      <c r="CC32" s="286"/>
      <c r="CD32" s="286"/>
      <c r="CE32" s="286"/>
      <c r="CF32" s="286"/>
      <c r="CG32" s="286"/>
      <c r="CH32" s="286"/>
      <c r="CI32" s="286"/>
      <c r="CJ32" s="286"/>
      <c r="CK32" s="286"/>
      <c r="CL32" s="286"/>
      <c r="CM32" s="286"/>
      <c r="CN32" s="286"/>
      <c r="CO32" s="286"/>
      <c r="CP32" s="286"/>
      <c r="CQ32" s="286"/>
      <c r="CR32" s="286"/>
      <c r="CS32" s="286"/>
      <c r="CT32" s="286"/>
      <c r="CU32" s="286"/>
      <c r="CV32" s="286"/>
      <c r="CW32" s="286"/>
      <c r="CX32" s="286"/>
      <c r="CY32" s="286"/>
      <c r="CZ32" s="286"/>
      <c r="DA32" s="286"/>
      <c r="DB32" s="286"/>
      <c r="DC32" s="286"/>
      <c r="DD32" s="286"/>
      <c r="DE32" s="286"/>
      <c r="DF32" s="286"/>
      <c r="DG32" s="286"/>
      <c r="DH32" s="286"/>
      <c r="DI32" s="286"/>
      <c r="DJ32" s="286"/>
      <c r="DK32" s="286"/>
      <c r="DL32" s="286"/>
      <c r="DM32" s="286"/>
      <c r="DN32" s="286"/>
      <c r="DO32" s="286"/>
      <c r="DP32" s="286"/>
      <c r="DR32" s="58" t="str">
        <f>IF(ISNUMBER(MATCH(#REF!,'Audit Characteristic Mapping'!$B$3:$B$500,0)),"Y","")</f>
        <v/>
      </c>
      <c r="DS32" s="58" t="str">
        <f>IF(ISNUMBER(MATCH(#REF!,'Audit Characteristic Mapping'!$C$3:$C$500,0)),"Y","")</f>
        <v/>
      </c>
      <c r="DT32" s="58" t="str">
        <f>IF(ISNUMBER(MATCH(#REF!,'Audit Characteristic Mapping'!$D$3:$D$500,0)),"Y","")</f>
        <v/>
      </c>
      <c r="DU32" s="58" t="str">
        <f>IF(ISNUMBER(MATCH(#REF!,'Audit Characteristic Mapping'!$E$3:$E$500,0)),"Y","")</f>
        <v/>
      </c>
      <c r="DV32" s="58" t="str">
        <f>IF(ISNUMBER(MATCH(#REF!,'Audit Characteristic Mapping'!$F$3:$F$500,0)),"Y","")</f>
        <v/>
      </c>
      <c r="DW32" s="58" t="str">
        <f>IF(ISNUMBER(MATCH(#REF!,'Audit Characteristic Mapping'!$G$3:$G$500,0)),"Y","")</f>
        <v/>
      </c>
      <c r="DX32" s="58" t="str">
        <f>IF(ISNUMBER(MATCH(#REF!,'Audit Characteristic Mapping'!$H$3:$H$500,0)),"Y","")</f>
        <v/>
      </c>
      <c r="DY32" s="58" t="str">
        <f>IF(ISNUMBER(MATCH(#REF!,'Audit Characteristic Mapping'!$I$3:$I$500,0)),"Y","")</f>
        <v/>
      </c>
      <c r="DZ32" s="58" t="str">
        <f>IF(ISNUMBER(MATCH(#REF!,'Audit Characteristic Mapping'!$J$3:$J$500,0)),"Y","")</f>
        <v/>
      </c>
      <c r="EA32" s="58" t="str">
        <f>IF(ISNUMBER(MATCH(#REF!,'Audit Characteristic Mapping'!$K$3:$K$500,0)),"Y","")</f>
        <v/>
      </c>
    </row>
    <row r="33" spans="1:131" ht="16" hidden="1" x14ac:dyDescent="0.2">
      <c r="A33" s="288">
        <v>29</v>
      </c>
      <c r="B33" s="287" t="s">
        <v>131</v>
      </c>
      <c r="C33" s="226" t="s">
        <v>153</v>
      </c>
      <c r="D33" s="170">
        <v>1</v>
      </c>
      <c r="E33" s="288">
        <v>6</v>
      </c>
      <c r="F33" s="291" t="str">
        <f>VLOOKUP(Calculation!A33,'Descriptor maps'!$A$2:$F$1658,2,0)</f>
        <v>General information</v>
      </c>
      <c r="G33" s="289"/>
      <c r="H33" s="290"/>
      <c r="I33" s="291"/>
      <c r="J33" s="292" t="e" cm="1">
        <f t="array" ref="J33">INDEX('Descriptor maps'!$I$2:$I$1658,MATCH(1,('Descriptor maps'!$A$2:$A$1658=Calculation!$A33)*('Descriptor maps'!$G$2:$G$1658=Calculation!$G33),0))</f>
        <v>#N/A</v>
      </c>
      <c r="K33" s="226"/>
      <c r="L33" s="293"/>
      <c r="M33" s="293"/>
      <c r="N33" s="293"/>
      <c r="O33" s="293"/>
      <c r="P33" s="293"/>
      <c r="Q33" s="293"/>
      <c r="R33" s="293"/>
      <c r="S33" s="293"/>
      <c r="T33" s="293"/>
      <c r="U33" s="293"/>
      <c r="V33" s="293"/>
      <c r="W33" s="293"/>
      <c r="X33" s="293"/>
      <c r="Y33" s="293"/>
      <c r="Z33" s="293"/>
      <c r="AA33" s="293"/>
      <c r="AB33" s="293"/>
      <c r="AC33" s="293"/>
      <c r="AD33" s="293"/>
      <c r="AE33" s="293"/>
      <c r="AF33" s="293"/>
      <c r="AG33" s="293"/>
      <c r="AH33" s="293"/>
      <c r="AI33" s="293"/>
      <c r="AJ33" s="293"/>
      <c r="AK33" s="293"/>
      <c r="AL33" s="293"/>
      <c r="AM33" s="293"/>
      <c r="AN33" s="293"/>
      <c r="AO33" s="293"/>
      <c r="AP33" s="293"/>
      <c r="AQ33" s="293"/>
      <c r="AR33" s="293"/>
      <c r="AS33" s="293"/>
      <c r="AT33" s="293"/>
      <c r="AU33" s="293"/>
      <c r="AV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c r="BT33" s="293"/>
      <c r="BU33" s="293"/>
      <c r="BV33" s="293"/>
      <c r="BW33" s="293"/>
      <c r="BX33" s="293"/>
      <c r="BY33" s="293"/>
      <c r="BZ33" s="293"/>
      <c r="CA33" s="285"/>
      <c r="CB33" s="286"/>
      <c r="CC33" s="286"/>
      <c r="CD33" s="286"/>
      <c r="CE33" s="286"/>
      <c r="CF33" s="286"/>
      <c r="CG33" s="286"/>
      <c r="CH33" s="286"/>
      <c r="CI33" s="286"/>
      <c r="CJ33" s="286"/>
      <c r="CK33" s="286"/>
      <c r="CL33" s="286"/>
      <c r="CM33" s="286"/>
      <c r="CN33" s="286"/>
      <c r="CO33" s="286"/>
      <c r="CP33" s="286"/>
      <c r="CQ33" s="286"/>
      <c r="CR33" s="286"/>
      <c r="CS33" s="286"/>
      <c r="CT33" s="286"/>
      <c r="CU33" s="286"/>
      <c r="CV33" s="286"/>
      <c r="CW33" s="286"/>
      <c r="CX33" s="286"/>
      <c r="CY33" s="286"/>
      <c r="CZ33" s="286"/>
      <c r="DA33" s="286"/>
      <c r="DB33" s="286"/>
      <c r="DC33" s="286"/>
      <c r="DD33" s="286"/>
      <c r="DE33" s="286"/>
      <c r="DF33" s="286"/>
      <c r="DG33" s="286"/>
      <c r="DH33" s="286"/>
      <c r="DI33" s="286"/>
      <c r="DJ33" s="286"/>
      <c r="DK33" s="286"/>
      <c r="DL33" s="286"/>
      <c r="DM33" s="286"/>
      <c r="DN33" s="286"/>
      <c r="DO33" s="286"/>
      <c r="DP33" s="286"/>
      <c r="DR33" s="58" t="str">
        <f>IF(ISNUMBER(MATCH(#REF!,'Audit Characteristic Mapping'!$B$3:$B$500,0)),"Y","")</f>
        <v/>
      </c>
      <c r="DS33" s="58" t="str">
        <f>IF(ISNUMBER(MATCH(#REF!,'Audit Characteristic Mapping'!$C$3:$C$500,0)),"Y","")</f>
        <v/>
      </c>
      <c r="DT33" s="58" t="str">
        <f>IF(ISNUMBER(MATCH(#REF!,'Audit Characteristic Mapping'!$D$3:$D$500,0)),"Y","")</f>
        <v/>
      </c>
      <c r="DU33" s="58" t="str">
        <f>IF(ISNUMBER(MATCH(#REF!,'Audit Characteristic Mapping'!$E$3:$E$500,0)),"Y","")</f>
        <v/>
      </c>
      <c r="DV33" s="58" t="str">
        <f>IF(ISNUMBER(MATCH(#REF!,'Audit Characteristic Mapping'!$F$3:$F$500,0)),"Y","")</f>
        <v/>
      </c>
      <c r="DW33" s="58" t="str">
        <f>IF(ISNUMBER(MATCH(#REF!,'Audit Characteristic Mapping'!$G$3:$G$500,0)),"Y","")</f>
        <v/>
      </c>
      <c r="DX33" s="58" t="str">
        <f>IF(ISNUMBER(MATCH(#REF!,'Audit Characteristic Mapping'!$H$3:$H$500,0)),"Y","")</f>
        <v/>
      </c>
      <c r="DY33" s="58" t="str">
        <f>IF(ISNUMBER(MATCH(#REF!,'Audit Characteristic Mapping'!$I$3:$I$500,0)),"Y","")</f>
        <v/>
      </c>
      <c r="DZ33" s="58" t="str">
        <f>IF(ISNUMBER(MATCH(#REF!,'Audit Characteristic Mapping'!$J$3:$J$500,0)),"Y","")</f>
        <v/>
      </c>
      <c r="EA33" s="58" t="str">
        <f>IF(ISNUMBER(MATCH(#REF!,'Audit Characteristic Mapping'!$K$3:$K$500,0)),"Y","")</f>
        <v/>
      </c>
    </row>
    <row r="34" spans="1:131" ht="16" hidden="1" x14ac:dyDescent="0.2">
      <c r="A34" s="288">
        <v>30</v>
      </c>
      <c r="B34" s="287" t="s">
        <v>131</v>
      </c>
      <c r="C34" s="226" t="s">
        <v>153</v>
      </c>
      <c r="D34" s="170">
        <v>1</v>
      </c>
      <c r="E34" s="288">
        <v>6</v>
      </c>
      <c r="F34" s="291" t="str">
        <f>VLOOKUP(Calculation!A34,'Descriptor maps'!$A$2:$F$1658,2,0)</f>
        <v>General information</v>
      </c>
      <c r="G34" s="289"/>
      <c r="H34" s="290"/>
      <c r="I34" s="291"/>
      <c r="J34" s="292" t="e" cm="1">
        <f t="array" ref="J34">INDEX('Descriptor maps'!$I$2:$I$1658,MATCH(1,('Descriptor maps'!$A$2:$A$1658=Calculation!$A34)*('Descriptor maps'!$G$2:$G$1658=Calculation!$G34),0))</f>
        <v>#N/A</v>
      </c>
      <c r="K34" s="226"/>
      <c r="L34" s="293"/>
      <c r="M34" s="293"/>
      <c r="N34" s="293"/>
      <c r="O34" s="293"/>
      <c r="P34" s="293"/>
      <c r="Q34" s="293"/>
      <c r="R34" s="293"/>
      <c r="S34" s="293"/>
      <c r="T34" s="293"/>
      <c r="U34" s="293"/>
      <c r="V34" s="293"/>
      <c r="W34" s="293"/>
      <c r="X34" s="293"/>
      <c r="Y34" s="293"/>
      <c r="Z34" s="293"/>
      <c r="AA34" s="293"/>
      <c r="AB34" s="293"/>
      <c r="AC34" s="293"/>
      <c r="AD34" s="293"/>
      <c r="AE34" s="293"/>
      <c r="AF34" s="293"/>
      <c r="AG34" s="293"/>
      <c r="AH34" s="293"/>
      <c r="AI34" s="293"/>
      <c r="AJ34" s="293"/>
      <c r="AK34" s="293"/>
      <c r="AL34" s="293"/>
      <c r="AM34" s="293"/>
      <c r="AN34" s="293"/>
      <c r="AO34" s="293"/>
      <c r="AP34" s="293"/>
      <c r="AQ34" s="293"/>
      <c r="AR34" s="293"/>
      <c r="AS34" s="293"/>
      <c r="AT34" s="293"/>
      <c r="AU34" s="293"/>
      <c r="AV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c r="BT34" s="293"/>
      <c r="BU34" s="293"/>
      <c r="BV34" s="293"/>
      <c r="BW34" s="293"/>
      <c r="BX34" s="293"/>
      <c r="BY34" s="293"/>
      <c r="BZ34" s="293"/>
      <c r="CA34" s="285"/>
      <c r="CB34" s="286"/>
      <c r="CC34" s="286"/>
      <c r="CD34" s="286"/>
      <c r="CE34" s="286"/>
      <c r="CF34" s="286"/>
      <c r="CG34" s="286"/>
      <c r="CH34" s="286"/>
      <c r="CI34" s="286"/>
      <c r="CJ34" s="286"/>
      <c r="CK34" s="286"/>
      <c r="CL34" s="286"/>
      <c r="CM34" s="286"/>
      <c r="CN34" s="286"/>
      <c r="CO34" s="286"/>
      <c r="CP34" s="286"/>
      <c r="CQ34" s="286"/>
      <c r="CR34" s="286"/>
      <c r="CS34" s="286"/>
      <c r="CT34" s="286"/>
      <c r="CU34" s="286"/>
      <c r="CV34" s="286"/>
      <c r="CW34" s="286"/>
      <c r="CX34" s="286"/>
      <c r="CY34" s="286"/>
      <c r="CZ34" s="286"/>
      <c r="DA34" s="286"/>
      <c r="DB34" s="286"/>
      <c r="DC34" s="286"/>
      <c r="DD34" s="286"/>
      <c r="DE34" s="286"/>
      <c r="DF34" s="286"/>
      <c r="DG34" s="286"/>
      <c r="DH34" s="286"/>
      <c r="DI34" s="286"/>
      <c r="DJ34" s="286"/>
      <c r="DK34" s="286"/>
      <c r="DL34" s="286"/>
      <c r="DM34" s="286"/>
      <c r="DN34" s="286"/>
      <c r="DO34" s="286"/>
      <c r="DP34" s="286"/>
      <c r="DR34" s="58" t="str">
        <f>IF(ISNUMBER(MATCH(#REF!,'Audit Characteristic Mapping'!$B$3:$B$500,0)),"Y","")</f>
        <v/>
      </c>
      <c r="DS34" s="58" t="str">
        <f>IF(ISNUMBER(MATCH(#REF!,'Audit Characteristic Mapping'!$C$3:$C$500,0)),"Y","")</f>
        <v/>
      </c>
      <c r="DT34" s="58" t="str">
        <f>IF(ISNUMBER(MATCH(#REF!,'Audit Characteristic Mapping'!$D$3:$D$500,0)),"Y","")</f>
        <v/>
      </c>
      <c r="DU34" s="58" t="str">
        <f>IF(ISNUMBER(MATCH(#REF!,'Audit Characteristic Mapping'!$E$3:$E$500,0)),"Y","")</f>
        <v/>
      </c>
      <c r="DV34" s="58" t="str">
        <f>IF(ISNUMBER(MATCH(#REF!,'Audit Characteristic Mapping'!$F$3:$F$500,0)),"Y","")</f>
        <v/>
      </c>
      <c r="DW34" s="58" t="str">
        <f>IF(ISNUMBER(MATCH(#REF!,'Audit Characteristic Mapping'!$G$3:$G$500,0)),"Y","")</f>
        <v/>
      </c>
      <c r="DX34" s="58" t="str">
        <f>IF(ISNUMBER(MATCH(#REF!,'Audit Characteristic Mapping'!$H$3:$H$500,0)),"Y","")</f>
        <v/>
      </c>
      <c r="DY34" s="58" t="str">
        <f>IF(ISNUMBER(MATCH(#REF!,'Audit Characteristic Mapping'!$I$3:$I$500,0)),"Y","")</f>
        <v/>
      </c>
      <c r="DZ34" s="58" t="str">
        <f>IF(ISNUMBER(MATCH(#REF!,'Audit Characteristic Mapping'!$J$3:$J$500,0)),"Y","")</f>
        <v/>
      </c>
      <c r="EA34" s="58" t="str">
        <f>IF(ISNUMBER(MATCH(#REF!,'Audit Characteristic Mapping'!$K$3:$K$500,0)),"Y","")</f>
        <v/>
      </c>
    </row>
    <row r="35" spans="1:131" ht="16" hidden="1" x14ac:dyDescent="0.2">
      <c r="A35" s="288">
        <v>31</v>
      </c>
      <c r="B35" s="287" t="s">
        <v>131</v>
      </c>
      <c r="C35" s="226" t="s">
        <v>153</v>
      </c>
      <c r="D35" s="170">
        <v>1</v>
      </c>
      <c r="E35" s="288">
        <v>6</v>
      </c>
      <c r="F35" s="291" t="str">
        <f>VLOOKUP(Calculation!A35,'Descriptor maps'!$A$2:$F$1658,2,0)</f>
        <v>General information</v>
      </c>
      <c r="G35" s="289" t="s">
        <v>662</v>
      </c>
      <c r="H35" s="290"/>
      <c r="I35" s="291"/>
      <c r="J35" s="292" cm="1">
        <f t="array" ref="J35">INDEX('Descriptor maps'!$I$2:$I$1658,MATCH(1,('Descriptor maps'!$A$2:$A$1658=Calculation!$A35)*('Descriptor maps'!$G$2:$G$1658=Calculation!$G35),0))</f>
        <v>0</v>
      </c>
      <c r="K35" s="226"/>
      <c r="L35" s="293"/>
      <c r="M35" s="293"/>
      <c r="N35" s="293"/>
      <c r="O35" s="293"/>
      <c r="P35" s="293"/>
      <c r="Q35" s="293"/>
      <c r="R35" s="293"/>
      <c r="S35" s="293"/>
      <c r="T35" s="293"/>
      <c r="U35" s="293"/>
      <c r="V35" s="293"/>
      <c r="W35" s="293"/>
      <c r="X35" s="293"/>
      <c r="Y35" s="293"/>
      <c r="Z35" s="293"/>
      <c r="AA35" s="293"/>
      <c r="AB35" s="293"/>
      <c r="AC35" s="293"/>
      <c r="AD35" s="293"/>
      <c r="AE35" s="293"/>
      <c r="AF35" s="293"/>
      <c r="AG35" s="293"/>
      <c r="AH35" s="293"/>
      <c r="AI35" s="293"/>
      <c r="AJ35" s="293"/>
      <c r="AK35" s="293"/>
      <c r="AL35" s="293"/>
      <c r="AM35" s="293"/>
      <c r="AN35" s="293"/>
      <c r="AO35" s="293"/>
      <c r="AP35" s="293"/>
      <c r="AQ35" s="293"/>
      <c r="AR35" s="293"/>
      <c r="AS35" s="293"/>
      <c r="AT35" s="293"/>
      <c r="AU35" s="293"/>
      <c r="AV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c r="BT35" s="293"/>
      <c r="BU35" s="293"/>
      <c r="BV35" s="293"/>
      <c r="BW35" s="293"/>
      <c r="BX35" s="293"/>
      <c r="BY35" s="293"/>
      <c r="BZ35" s="293"/>
      <c r="CA35" s="285"/>
      <c r="CB35" s="286"/>
      <c r="CC35" s="286"/>
      <c r="CD35" s="286"/>
      <c r="CE35" s="286"/>
      <c r="CF35" s="286"/>
      <c r="CG35" s="286"/>
      <c r="CH35" s="286"/>
      <c r="CI35" s="286"/>
      <c r="CJ35" s="286"/>
      <c r="CK35" s="286"/>
      <c r="CL35" s="286"/>
      <c r="CM35" s="286"/>
      <c r="CN35" s="286"/>
      <c r="CO35" s="286"/>
      <c r="CP35" s="286"/>
      <c r="CQ35" s="286"/>
      <c r="CR35" s="286"/>
      <c r="CS35" s="286"/>
      <c r="CT35" s="286"/>
      <c r="CU35" s="286"/>
      <c r="CV35" s="286"/>
      <c r="CW35" s="286"/>
      <c r="CX35" s="286"/>
      <c r="CY35" s="286"/>
      <c r="CZ35" s="286"/>
      <c r="DA35" s="286"/>
      <c r="DB35" s="286"/>
      <c r="DC35" s="286"/>
      <c r="DD35" s="286"/>
      <c r="DE35" s="286"/>
      <c r="DF35" s="286"/>
      <c r="DG35" s="286"/>
      <c r="DH35" s="286"/>
      <c r="DI35" s="286"/>
      <c r="DJ35" s="286"/>
      <c r="DK35" s="286"/>
      <c r="DL35" s="286"/>
      <c r="DM35" s="286"/>
      <c r="DN35" s="286"/>
      <c r="DO35" s="286"/>
      <c r="DP35" s="286"/>
      <c r="DR35" s="58" t="str">
        <f>IF(ISNUMBER(MATCH(#REF!,'Audit Characteristic Mapping'!$B$3:$B$500,0)),"Y","")</f>
        <v/>
      </c>
      <c r="DS35" s="58" t="str">
        <f>IF(ISNUMBER(MATCH(#REF!,'Audit Characteristic Mapping'!$C$3:$C$500,0)),"Y","")</f>
        <v/>
      </c>
      <c r="DT35" s="58" t="str">
        <f>IF(ISNUMBER(MATCH(#REF!,'Audit Characteristic Mapping'!$D$3:$D$500,0)),"Y","")</f>
        <v/>
      </c>
      <c r="DU35" s="58" t="str">
        <f>IF(ISNUMBER(MATCH(#REF!,'Audit Characteristic Mapping'!$E$3:$E$500,0)),"Y","")</f>
        <v/>
      </c>
      <c r="DV35" s="58" t="str">
        <f>IF(ISNUMBER(MATCH(#REF!,'Audit Characteristic Mapping'!$F$3:$F$500,0)),"Y","")</f>
        <v/>
      </c>
      <c r="DW35" s="58" t="str">
        <f>IF(ISNUMBER(MATCH(#REF!,'Audit Characteristic Mapping'!$G$3:$G$500,0)),"Y","")</f>
        <v/>
      </c>
      <c r="DX35" s="58" t="str">
        <f>IF(ISNUMBER(MATCH(#REF!,'Audit Characteristic Mapping'!$H$3:$H$500,0)),"Y","")</f>
        <v/>
      </c>
      <c r="DY35" s="58" t="str">
        <f>IF(ISNUMBER(MATCH(#REF!,'Audit Characteristic Mapping'!$I$3:$I$500,0)),"Y","")</f>
        <v/>
      </c>
      <c r="DZ35" s="58" t="str">
        <f>IF(ISNUMBER(MATCH(#REF!,'Audit Characteristic Mapping'!$J$3:$J$500,0)),"Y","")</f>
        <v/>
      </c>
      <c r="EA35" s="58" t="str">
        <f>IF(ISNUMBER(MATCH(#REF!,'Audit Characteristic Mapping'!$K$3:$K$500,0)),"Y","")</f>
        <v/>
      </c>
    </row>
    <row r="36" spans="1:131" ht="16" hidden="1" x14ac:dyDescent="0.2">
      <c r="A36" s="288">
        <v>32</v>
      </c>
      <c r="B36" s="287" t="s">
        <v>131</v>
      </c>
      <c r="C36" s="226" t="s">
        <v>153</v>
      </c>
      <c r="D36" s="170">
        <v>1</v>
      </c>
      <c r="E36" s="288">
        <v>6</v>
      </c>
      <c r="F36" s="291" t="str">
        <f>VLOOKUP(Calculation!A36,'Descriptor maps'!$A$2:$F$1658,2,0)</f>
        <v>General information</v>
      </c>
      <c r="G36" s="289" t="s">
        <v>682</v>
      </c>
      <c r="H36" s="290"/>
      <c r="I36" s="291"/>
      <c r="J36" s="292" t="e" cm="1">
        <f t="array" ref="J36">INDEX('Descriptor maps'!$I$2:$I$1658,MATCH(1,('Descriptor maps'!$A$2:$A$1658=Calculation!$A36)*('Descriptor maps'!$G$2:$G$1658=Calculation!$G36),0))</f>
        <v>#N/A</v>
      </c>
      <c r="K36" s="226"/>
      <c r="L36" s="293"/>
      <c r="M36" s="293"/>
      <c r="N36" s="293"/>
      <c r="O36" s="293"/>
      <c r="P36" s="293"/>
      <c r="Q36" s="293"/>
      <c r="R36" s="293"/>
      <c r="S36" s="293"/>
      <c r="T36" s="293"/>
      <c r="U36" s="293"/>
      <c r="V36" s="293"/>
      <c r="W36" s="293"/>
      <c r="X36" s="293"/>
      <c r="Y36" s="293"/>
      <c r="Z36" s="293"/>
      <c r="AA36" s="293"/>
      <c r="AB36" s="293"/>
      <c r="AC36" s="293"/>
      <c r="AD36" s="293"/>
      <c r="AE36" s="293"/>
      <c r="AF36" s="293"/>
      <c r="AG36" s="293"/>
      <c r="AH36" s="293"/>
      <c r="AI36" s="293"/>
      <c r="AJ36" s="293"/>
      <c r="AK36" s="293"/>
      <c r="AL36" s="293"/>
      <c r="AM36" s="293"/>
      <c r="AN36" s="293"/>
      <c r="AO36" s="293"/>
      <c r="AP36" s="293"/>
      <c r="AQ36" s="293"/>
      <c r="AR36" s="293"/>
      <c r="AS36" s="293"/>
      <c r="AT36" s="293"/>
      <c r="AU36" s="293"/>
      <c r="AV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c r="BT36" s="293"/>
      <c r="BU36" s="293"/>
      <c r="BV36" s="293"/>
      <c r="BW36" s="293"/>
      <c r="BX36" s="293"/>
      <c r="BY36" s="293"/>
      <c r="BZ36" s="293"/>
      <c r="CA36" s="285"/>
      <c r="CB36" s="286"/>
      <c r="CC36" s="286"/>
      <c r="CD36" s="286"/>
      <c r="CE36" s="286"/>
      <c r="CF36" s="286"/>
      <c r="CG36" s="286"/>
      <c r="CH36" s="286"/>
      <c r="CI36" s="286"/>
      <c r="CJ36" s="286"/>
      <c r="CK36" s="286"/>
      <c r="CL36" s="286"/>
      <c r="CM36" s="286"/>
      <c r="CN36" s="286"/>
      <c r="CO36" s="286"/>
      <c r="CP36" s="286"/>
      <c r="CQ36" s="286"/>
      <c r="CR36" s="286"/>
      <c r="CS36" s="286"/>
      <c r="CT36" s="286"/>
      <c r="CU36" s="286"/>
      <c r="CV36" s="286"/>
      <c r="CW36" s="286"/>
      <c r="CX36" s="286"/>
      <c r="CY36" s="286"/>
      <c r="CZ36" s="286"/>
      <c r="DA36" s="286"/>
      <c r="DB36" s="286"/>
      <c r="DC36" s="286"/>
      <c r="DD36" s="286"/>
      <c r="DE36" s="286"/>
      <c r="DF36" s="286"/>
      <c r="DG36" s="286"/>
      <c r="DH36" s="286"/>
      <c r="DI36" s="286"/>
      <c r="DJ36" s="286"/>
      <c r="DK36" s="286"/>
      <c r="DL36" s="286"/>
      <c r="DM36" s="286"/>
      <c r="DN36" s="286"/>
      <c r="DO36" s="286"/>
      <c r="DP36" s="286"/>
      <c r="DR36" s="58" t="str">
        <f>IF(ISNUMBER(MATCH(#REF!,'Audit Characteristic Mapping'!$B$3:$B$500,0)),"Y","")</f>
        <v/>
      </c>
      <c r="DS36" s="58" t="str">
        <f>IF(ISNUMBER(MATCH(#REF!,'Audit Characteristic Mapping'!$C$3:$C$500,0)),"Y","")</f>
        <v/>
      </c>
      <c r="DT36" s="58" t="str">
        <f>IF(ISNUMBER(MATCH(#REF!,'Audit Characteristic Mapping'!$D$3:$D$500,0)),"Y","")</f>
        <v/>
      </c>
      <c r="DU36" s="58" t="str">
        <f>IF(ISNUMBER(MATCH(#REF!,'Audit Characteristic Mapping'!$E$3:$E$500,0)),"Y","")</f>
        <v/>
      </c>
      <c r="DV36" s="58" t="str">
        <f>IF(ISNUMBER(MATCH(#REF!,'Audit Characteristic Mapping'!$F$3:$F$500,0)),"Y","")</f>
        <v/>
      </c>
      <c r="DW36" s="58" t="str">
        <f>IF(ISNUMBER(MATCH(#REF!,'Audit Characteristic Mapping'!$G$3:$G$500,0)),"Y","")</f>
        <v/>
      </c>
      <c r="DX36" s="58" t="str">
        <f>IF(ISNUMBER(MATCH(#REF!,'Audit Characteristic Mapping'!$H$3:$H$500,0)),"Y","")</f>
        <v/>
      </c>
      <c r="DY36" s="58" t="str">
        <f>IF(ISNUMBER(MATCH(#REF!,'Audit Characteristic Mapping'!$I$3:$I$500,0)),"Y","")</f>
        <v/>
      </c>
      <c r="DZ36" s="58" t="str">
        <f>IF(ISNUMBER(MATCH(#REF!,'Audit Characteristic Mapping'!$J$3:$J$500,0)),"Y","")</f>
        <v/>
      </c>
      <c r="EA36" s="58" t="str">
        <f>IF(ISNUMBER(MATCH(#REF!,'Audit Characteristic Mapping'!$K$3:$K$500,0)),"Y","")</f>
        <v/>
      </c>
    </row>
    <row r="37" spans="1:131" ht="16" hidden="1" x14ac:dyDescent="0.2">
      <c r="A37" s="288">
        <v>33</v>
      </c>
      <c r="B37" s="287" t="s">
        <v>131</v>
      </c>
      <c r="C37" s="226" t="s">
        <v>153</v>
      </c>
      <c r="D37" s="170">
        <v>1</v>
      </c>
      <c r="E37" s="288">
        <v>6</v>
      </c>
      <c r="F37" s="291" t="str">
        <f>VLOOKUP(Calculation!A37,'Descriptor maps'!$A$2:$F$1658,2,0)</f>
        <v>General information</v>
      </c>
      <c r="G37" s="289" t="s">
        <v>683</v>
      </c>
      <c r="H37" s="290"/>
      <c r="I37" s="291"/>
      <c r="J37" s="292" t="e" cm="1">
        <f t="array" ref="J37">INDEX('Descriptor maps'!$I$2:$I$1658,MATCH(1,('Descriptor maps'!$A$2:$A$1658=Calculation!$A37)*('Descriptor maps'!$G$2:$G$1658=Calculation!$G37),0))</f>
        <v>#N/A</v>
      </c>
      <c r="K37" s="226"/>
      <c r="L37" s="293"/>
      <c r="M37" s="293"/>
      <c r="N37" s="293"/>
      <c r="O37" s="293"/>
      <c r="P37" s="293"/>
      <c r="Q37" s="293"/>
      <c r="R37" s="293"/>
      <c r="S37" s="293"/>
      <c r="T37" s="293"/>
      <c r="U37" s="293"/>
      <c r="V37" s="293"/>
      <c r="W37" s="293"/>
      <c r="X37" s="293"/>
      <c r="Y37" s="293"/>
      <c r="Z37" s="293"/>
      <c r="AA37" s="293"/>
      <c r="AB37" s="293"/>
      <c r="AC37" s="293"/>
      <c r="AD37" s="293"/>
      <c r="AE37" s="293"/>
      <c r="AF37" s="293"/>
      <c r="AG37" s="293"/>
      <c r="AH37" s="293"/>
      <c r="AI37" s="293"/>
      <c r="AJ37" s="293"/>
      <c r="AK37" s="293"/>
      <c r="AL37" s="293"/>
      <c r="AM37" s="293"/>
      <c r="AN37" s="293"/>
      <c r="AO37" s="293"/>
      <c r="AP37" s="293"/>
      <c r="AQ37" s="293"/>
      <c r="AR37" s="293"/>
      <c r="AS37" s="293"/>
      <c r="AT37" s="293"/>
      <c r="AU37" s="293"/>
      <c r="AV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c r="BT37" s="293"/>
      <c r="BU37" s="293"/>
      <c r="BV37" s="293"/>
      <c r="BW37" s="293"/>
      <c r="BX37" s="293"/>
      <c r="BY37" s="293"/>
      <c r="BZ37" s="293"/>
      <c r="CA37" s="285"/>
      <c r="CB37" s="286"/>
      <c r="CC37" s="286"/>
      <c r="CD37" s="286"/>
      <c r="CE37" s="286"/>
      <c r="CF37" s="286"/>
      <c r="CG37" s="286"/>
      <c r="CH37" s="286"/>
      <c r="CI37" s="286"/>
      <c r="CJ37" s="286"/>
      <c r="CK37" s="286"/>
      <c r="CL37" s="286"/>
      <c r="CM37" s="286"/>
      <c r="CN37" s="286"/>
      <c r="CO37" s="286"/>
      <c r="CP37" s="286"/>
      <c r="CQ37" s="286"/>
      <c r="CR37" s="286"/>
      <c r="CS37" s="286"/>
      <c r="CT37" s="286"/>
      <c r="CU37" s="286"/>
      <c r="CV37" s="286"/>
      <c r="CW37" s="286"/>
      <c r="CX37" s="286"/>
      <c r="CY37" s="286"/>
      <c r="CZ37" s="286"/>
      <c r="DA37" s="286"/>
      <c r="DB37" s="286"/>
      <c r="DC37" s="286"/>
      <c r="DD37" s="286"/>
      <c r="DE37" s="286"/>
      <c r="DF37" s="286"/>
      <c r="DG37" s="286"/>
      <c r="DH37" s="286"/>
      <c r="DI37" s="286"/>
      <c r="DJ37" s="286"/>
      <c r="DK37" s="286"/>
      <c r="DL37" s="286"/>
      <c r="DM37" s="286"/>
      <c r="DN37" s="286"/>
      <c r="DO37" s="286"/>
      <c r="DP37" s="286"/>
      <c r="DR37" s="58" t="str">
        <f>IF(ISNUMBER(MATCH(#REF!,'Audit Characteristic Mapping'!$B$3:$B$500,0)),"Y","")</f>
        <v/>
      </c>
      <c r="DS37" s="58" t="str">
        <f>IF(ISNUMBER(MATCH(#REF!,'Audit Characteristic Mapping'!$C$3:$C$500,0)),"Y","")</f>
        <v/>
      </c>
      <c r="DT37" s="58" t="str">
        <f>IF(ISNUMBER(MATCH(#REF!,'Audit Characteristic Mapping'!$D$3:$D$500,0)),"Y","")</f>
        <v/>
      </c>
      <c r="DU37" s="58" t="str">
        <f>IF(ISNUMBER(MATCH(#REF!,'Audit Characteristic Mapping'!$E$3:$E$500,0)),"Y","")</f>
        <v/>
      </c>
      <c r="DV37" s="58" t="str">
        <f>IF(ISNUMBER(MATCH(#REF!,'Audit Characteristic Mapping'!$F$3:$F$500,0)),"Y","")</f>
        <v/>
      </c>
      <c r="DW37" s="58" t="str">
        <f>IF(ISNUMBER(MATCH(#REF!,'Audit Characteristic Mapping'!$G$3:$G$500,0)),"Y","")</f>
        <v/>
      </c>
      <c r="DX37" s="58" t="str">
        <f>IF(ISNUMBER(MATCH(#REF!,'Audit Characteristic Mapping'!$H$3:$H$500,0)),"Y","")</f>
        <v/>
      </c>
      <c r="DY37" s="58" t="str">
        <f>IF(ISNUMBER(MATCH(#REF!,'Audit Characteristic Mapping'!$I$3:$I$500,0)),"Y","")</f>
        <v/>
      </c>
      <c r="DZ37" s="58" t="str">
        <f>IF(ISNUMBER(MATCH(#REF!,'Audit Characteristic Mapping'!$J$3:$J$500,0)),"Y","")</f>
        <v/>
      </c>
      <c r="EA37" s="58" t="str">
        <f>IF(ISNUMBER(MATCH(#REF!,'Audit Characteristic Mapping'!$K$3:$K$500,0)),"Y","")</f>
        <v/>
      </c>
    </row>
    <row r="38" spans="1:131" ht="16" hidden="1" x14ac:dyDescent="0.2">
      <c r="A38" s="288">
        <v>34</v>
      </c>
      <c r="B38" s="287" t="s">
        <v>131</v>
      </c>
      <c r="C38" s="226" t="s">
        <v>153</v>
      </c>
      <c r="D38" s="170">
        <v>1</v>
      </c>
      <c r="E38" s="288">
        <v>6</v>
      </c>
      <c r="F38" s="291" t="str">
        <f>VLOOKUP(Calculation!A38,'Descriptor maps'!$A$2:$F$1658,2,0)</f>
        <v>General information</v>
      </c>
      <c r="G38" s="289" t="s">
        <v>684</v>
      </c>
      <c r="H38" s="290"/>
      <c r="I38" s="291"/>
      <c r="J38" s="292" t="e" cm="1">
        <f t="array" ref="J38">INDEX('Descriptor maps'!$I$2:$I$1658,MATCH(1,('Descriptor maps'!$A$2:$A$1658=Calculation!$A38)*('Descriptor maps'!$G$2:$G$1658=Calculation!$G38),0))</f>
        <v>#N/A</v>
      </c>
      <c r="K38" s="226"/>
      <c r="L38" s="293"/>
      <c r="M38" s="293"/>
      <c r="N38" s="293"/>
      <c r="O38" s="293"/>
      <c r="P38" s="293"/>
      <c r="Q38" s="293"/>
      <c r="R38" s="293"/>
      <c r="S38" s="293"/>
      <c r="T38" s="293"/>
      <c r="U38" s="293"/>
      <c r="V38" s="293"/>
      <c r="W38" s="293"/>
      <c r="X38" s="293"/>
      <c r="Y38" s="293"/>
      <c r="Z38" s="293"/>
      <c r="AA38" s="293"/>
      <c r="AB38" s="293"/>
      <c r="AC38" s="293"/>
      <c r="AD38" s="293"/>
      <c r="AE38" s="293"/>
      <c r="AF38" s="293"/>
      <c r="AG38" s="293"/>
      <c r="AH38" s="293"/>
      <c r="AI38" s="293"/>
      <c r="AJ38" s="293"/>
      <c r="AK38" s="293"/>
      <c r="AL38" s="293"/>
      <c r="AM38" s="293"/>
      <c r="AN38" s="293"/>
      <c r="AO38" s="293"/>
      <c r="AP38" s="293"/>
      <c r="AQ38" s="293"/>
      <c r="AR38" s="293"/>
      <c r="AS38" s="293"/>
      <c r="AT38" s="293"/>
      <c r="AU38" s="293"/>
      <c r="AV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c r="BT38" s="293"/>
      <c r="BU38" s="293"/>
      <c r="BV38" s="293"/>
      <c r="BW38" s="293"/>
      <c r="BX38" s="293"/>
      <c r="BY38" s="293"/>
      <c r="BZ38" s="293"/>
      <c r="CA38" s="285"/>
      <c r="CB38" s="286"/>
      <c r="CC38" s="286"/>
      <c r="CD38" s="286"/>
      <c r="CE38" s="286"/>
      <c r="CF38" s="286"/>
      <c r="CG38" s="286"/>
      <c r="CH38" s="286"/>
      <c r="CI38" s="286"/>
      <c r="CJ38" s="286"/>
      <c r="CK38" s="286"/>
      <c r="CL38" s="286"/>
      <c r="CM38" s="286"/>
      <c r="CN38" s="286"/>
      <c r="CO38" s="286"/>
      <c r="CP38" s="286"/>
      <c r="CQ38" s="286"/>
      <c r="CR38" s="286"/>
      <c r="CS38" s="286"/>
      <c r="CT38" s="286"/>
      <c r="CU38" s="286"/>
      <c r="CV38" s="286"/>
      <c r="CW38" s="286"/>
      <c r="CX38" s="286"/>
      <c r="CY38" s="286"/>
      <c r="CZ38" s="286"/>
      <c r="DA38" s="286"/>
      <c r="DB38" s="286"/>
      <c r="DC38" s="286"/>
      <c r="DD38" s="286"/>
      <c r="DE38" s="286"/>
      <c r="DF38" s="286"/>
      <c r="DG38" s="286"/>
      <c r="DH38" s="286"/>
      <c r="DI38" s="286"/>
      <c r="DJ38" s="286"/>
      <c r="DK38" s="286"/>
      <c r="DL38" s="286"/>
      <c r="DM38" s="286"/>
      <c r="DN38" s="286"/>
      <c r="DO38" s="286"/>
      <c r="DP38" s="286"/>
      <c r="DR38" s="58" t="str">
        <f>IF(ISNUMBER(MATCH(#REF!,'Audit Characteristic Mapping'!$B$3:$B$500,0)),"Y","")</f>
        <v/>
      </c>
      <c r="DS38" s="58" t="str">
        <f>IF(ISNUMBER(MATCH(#REF!,'Audit Characteristic Mapping'!$C$3:$C$500,0)),"Y","")</f>
        <v/>
      </c>
      <c r="DT38" s="58" t="str">
        <f>IF(ISNUMBER(MATCH(#REF!,'Audit Characteristic Mapping'!$D$3:$D$500,0)),"Y","")</f>
        <v/>
      </c>
      <c r="DU38" s="58" t="str">
        <f>IF(ISNUMBER(MATCH(#REF!,'Audit Characteristic Mapping'!$E$3:$E$500,0)),"Y","")</f>
        <v/>
      </c>
      <c r="DV38" s="58" t="str">
        <f>IF(ISNUMBER(MATCH(#REF!,'Audit Characteristic Mapping'!$F$3:$F$500,0)),"Y","")</f>
        <v/>
      </c>
      <c r="DW38" s="58" t="str">
        <f>IF(ISNUMBER(MATCH(#REF!,'Audit Characteristic Mapping'!$G$3:$G$500,0)),"Y","")</f>
        <v/>
      </c>
      <c r="DX38" s="58" t="str">
        <f>IF(ISNUMBER(MATCH(#REF!,'Audit Characteristic Mapping'!$H$3:$H$500,0)),"Y","")</f>
        <v/>
      </c>
      <c r="DY38" s="58" t="str">
        <f>IF(ISNUMBER(MATCH(#REF!,'Audit Characteristic Mapping'!$I$3:$I$500,0)),"Y","")</f>
        <v/>
      </c>
      <c r="DZ38" s="58" t="str">
        <f>IF(ISNUMBER(MATCH(#REF!,'Audit Characteristic Mapping'!$J$3:$J$500,0)),"Y","")</f>
        <v/>
      </c>
      <c r="EA38" s="58" t="str">
        <f>IF(ISNUMBER(MATCH(#REF!,'Audit Characteristic Mapping'!$K$3:$K$500,0)),"Y","")</f>
        <v/>
      </c>
    </row>
    <row r="39" spans="1:131" ht="16" hidden="1" x14ac:dyDescent="0.2">
      <c r="A39" s="288">
        <v>35</v>
      </c>
      <c r="B39" s="287" t="s">
        <v>131</v>
      </c>
      <c r="C39" s="226" t="s">
        <v>153</v>
      </c>
      <c r="D39" s="170">
        <v>1</v>
      </c>
      <c r="E39" s="288">
        <v>6</v>
      </c>
      <c r="F39" s="291" t="str">
        <f>VLOOKUP(Calculation!A39,'Descriptor maps'!$A$2:$F$1658,2,0)</f>
        <v>General information</v>
      </c>
      <c r="G39" s="289">
        <v>1.27</v>
      </c>
      <c r="H39" s="290"/>
      <c r="I39" s="291"/>
      <c r="J39" s="292" t="e" cm="1">
        <f t="array" ref="J39">INDEX('Descriptor maps'!$I$2:$I$1658,MATCH(1,('Descriptor maps'!$A$2:$A$1658=Calculation!$A39)*('Descriptor maps'!$G$2:$G$1658=Calculation!$G39),0))</f>
        <v>#N/A</v>
      </c>
      <c r="K39" s="226"/>
      <c r="L39" s="293"/>
      <c r="M39" s="293"/>
      <c r="N39" s="293"/>
      <c r="O39" s="293"/>
      <c r="P39" s="293"/>
      <c r="Q39" s="293"/>
      <c r="R39" s="293"/>
      <c r="S39" s="293"/>
      <c r="T39" s="293"/>
      <c r="U39" s="293"/>
      <c r="V39" s="293"/>
      <c r="W39" s="293"/>
      <c r="X39" s="293"/>
      <c r="Y39" s="29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c r="BT39" s="293"/>
      <c r="BU39" s="293"/>
      <c r="BV39" s="293"/>
      <c r="BW39" s="293"/>
      <c r="BX39" s="293"/>
      <c r="BY39" s="293"/>
      <c r="BZ39" s="293"/>
      <c r="CA39" s="285"/>
      <c r="CB39" s="286"/>
      <c r="CC39" s="286"/>
      <c r="CD39" s="286"/>
      <c r="CE39" s="286"/>
      <c r="CF39" s="286"/>
      <c r="CG39" s="286"/>
      <c r="CH39" s="286"/>
      <c r="CI39" s="286"/>
      <c r="CJ39" s="286"/>
      <c r="CK39" s="286"/>
      <c r="CL39" s="286"/>
      <c r="CM39" s="286"/>
      <c r="CN39" s="286"/>
      <c r="CO39" s="286"/>
      <c r="CP39" s="286"/>
      <c r="CQ39" s="286"/>
      <c r="CR39" s="286"/>
      <c r="CS39" s="286"/>
      <c r="CT39" s="286"/>
      <c r="CU39" s="286"/>
      <c r="CV39" s="286"/>
      <c r="CW39" s="286"/>
      <c r="CX39" s="286"/>
      <c r="CY39" s="286"/>
      <c r="CZ39" s="286"/>
      <c r="DA39" s="286"/>
      <c r="DB39" s="286"/>
      <c r="DC39" s="286"/>
      <c r="DD39" s="286"/>
      <c r="DE39" s="286"/>
      <c r="DF39" s="286"/>
      <c r="DG39" s="286"/>
      <c r="DH39" s="286"/>
      <c r="DI39" s="286"/>
      <c r="DJ39" s="286"/>
      <c r="DK39" s="286"/>
      <c r="DL39" s="286"/>
      <c r="DM39" s="286"/>
      <c r="DN39" s="286"/>
      <c r="DO39" s="286"/>
      <c r="DP39" s="286"/>
      <c r="DR39" s="58" t="str">
        <f>IF(ISNUMBER(MATCH(#REF!,'Audit Characteristic Mapping'!$B$3:$B$500,0)),"Y","")</f>
        <v/>
      </c>
      <c r="DS39" s="58" t="str">
        <f>IF(ISNUMBER(MATCH(#REF!,'Audit Characteristic Mapping'!$C$3:$C$500,0)),"Y","")</f>
        <v/>
      </c>
      <c r="DT39" s="58" t="str">
        <f>IF(ISNUMBER(MATCH(#REF!,'Audit Characteristic Mapping'!$D$3:$D$500,0)),"Y","")</f>
        <v/>
      </c>
      <c r="DU39" s="58" t="str">
        <f>IF(ISNUMBER(MATCH(#REF!,'Audit Characteristic Mapping'!$E$3:$E$500,0)),"Y","")</f>
        <v/>
      </c>
      <c r="DV39" s="58" t="str">
        <f>IF(ISNUMBER(MATCH(#REF!,'Audit Characteristic Mapping'!$F$3:$F$500,0)),"Y","")</f>
        <v/>
      </c>
      <c r="DW39" s="58" t="str">
        <f>IF(ISNUMBER(MATCH(#REF!,'Audit Characteristic Mapping'!$G$3:$G$500,0)),"Y","")</f>
        <v/>
      </c>
      <c r="DX39" s="58" t="str">
        <f>IF(ISNUMBER(MATCH(#REF!,'Audit Characteristic Mapping'!$H$3:$H$500,0)),"Y","")</f>
        <v/>
      </c>
      <c r="DY39" s="58" t="str">
        <f>IF(ISNUMBER(MATCH(#REF!,'Audit Characteristic Mapping'!$I$3:$I$500,0)),"Y","")</f>
        <v/>
      </c>
      <c r="DZ39" s="58" t="str">
        <f>IF(ISNUMBER(MATCH(#REF!,'Audit Characteristic Mapping'!$J$3:$J$500,0)),"Y","")</f>
        <v/>
      </c>
      <c r="EA39" s="58" t="str">
        <f>IF(ISNUMBER(MATCH(#REF!,'Audit Characteristic Mapping'!$K$3:$K$500,0)),"Y","")</f>
        <v/>
      </c>
    </row>
    <row r="40" spans="1:131" ht="16" hidden="1" x14ac:dyDescent="0.2">
      <c r="A40" s="288">
        <v>36</v>
      </c>
      <c r="B40" s="287" t="s">
        <v>131</v>
      </c>
      <c r="C40" s="226" t="s">
        <v>153</v>
      </c>
      <c r="D40" s="170">
        <v>1</v>
      </c>
      <c r="E40" s="288">
        <v>6</v>
      </c>
      <c r="F40" s="291" t="str">
        <f>VLOOKUP(Calculation!A40,'Descriptor maps'!$A$2:$F$1658,2,0)</f>
        <v>General information</v>
      </c>
      <c r="G40" s="289" t="s">
        <v>661</v>
      </c>
      <c r="H40" s="290"/>
      <c r="I40" s="291"/>
      <c r="J40" s="292" t="e" cm="1">
        <f t="array" ref="J40">INDEX('Descriptor maps'!$I$2:$I$1658,MATCH(1,('Descriptor maps'!$A$2:$A$1658=Calculation!$A40)*('Descriptor maps'!$G$2:$G$1658=Calculation!$G40),0))</f>
        <v>#N/A</v>
      </c>
      <c r="K40" s="226"/>
      <c r="L40" s="293"/>
      <c r="M40" s="293"/>
      <c r="N40" s="293"/>
      <c r="O40" s="293"/>
      <c r="P40" s="293"/>
      <c r="Q40" s="293"/>
      <c r="R40" s="293"/>
      <c r="S40" s="293"/>
      <c r="T40" s="293"/>
      <c r="U40" s="293"/>
      <c r="V40" s="293"/>
      <c r="W40" s="293"/>
      <c r="X40" s="293"/>
      <c r="Y40" s="293"/>
      <c r="Z40" s="293"/>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c r="BT40" s="293"/>
      <c r="BU40" s="293"/>
      <c r="BV40" s="293"/>
      <c r="BW40" s="293"/>
      <c r="BX40" s="293"/>
      <c r="BY40" s="293"/>
      <c r="BZ40" s="293"/>
      <c r="CA40" s="285"/>
      <c r="CB40" s="286"/>
      <c r="CC40" s="286"/>
      <c r="CD40" s="286"/>
      <c r="CE40" s="286"/>
      <c r="CF40" s="286"/>
      <c r="CG40" s="286"/>
      <c r="CH40" s="286"/>
      <c r="CI40" s="286"/>
      <c r="CJ40" s="286"/>
      <c r="CK40" s="286"/>
      <c r="CL40" s="286"/>
      <c r="CM40" s="286"/>
      <c r="CN40" s="286"/>
      <c r="CO40" s="286"/>
      <c r="CP40" s="286"/>
      <c r="CQ40" s="286"/>
      <c r="CR40" s="286"/>
      <c r="CS40" s="286"/>
      <c r="CT40" s="286"/>
      <c r="CU40" s="286"/>
      <c r="CV40" s="286"/>
      <c r="CW40" s="286"/>
      <c r="CX40" s="286"/>
      <c r="CY40" s="286"/>
      <c r="CZ40" s="286"/>
      <c r="DA40" s="286"/>
      <c r="DB40" s="286"/>
      <c r="DC40" s="286"/>
      <c r="DD40" s="286"/>
      <c r="DE40" s="286"/>
      <c r="DF40" s="286"/>
      <c r="DG40" s="286"/>
      <c r="DH40" s="286"/>
      <c r="DI40" s="286"/>
      <c r="DJ40" s="286"/>
      <c r="DK40" s="286"/>
      <c r="DL40" s="286"/>
      <c r="DM40" s="286"/>
      <c r="DN40" s="286"/>
      <c r="DO40" s="286"/>
      <c r="DP40" s="286"/>
      <c r="DR40" s="58" t="str">
        <f>IF(ISNUMBER(MATCH(#REF!,'Audit Characteristic Mapping'!$B$3:$B$500,0)),"Y","")</f>
        <v/>
      </c>
      <c r="DS40" s="58" t="str">
        <f>IF(ISNUMBER(MATCH(#REF!,'Audit Characteristic Mapping'!$C$3:$C$500,0)),"Y","")</f>
        <v/>
      </c>
      <c r="DT40" s="58" t="str">
        <f>IF(ISNUMBER(MATCH(#REF!,'Audit Characteristic Mapping'!$D$3:$D$500,0)),"Y","")</f>
        <v/>
      </c>
      <c r="DU40" s="58" t="str">
        <f>IF(ISNUMBER(MATCH(#REF!,'Audit Characteristic Mapping'!$E$3:$E$500,0)),"Y","")</f>
        <v/>
      </c>
      <c r="DV40" s="58" t="str">
        <f>IF(ISNUMBER(MATCH(#REF!,'Audit Characteristic Mapping'!$F$3:$F$500,0)),"Y","")</f>
        <v/>
      </c>
      <c r="DW40" s="58" t="str">
        <f>IF(ISNUMBER(MATCH(#REF!,'Audit Characteristic Mapping'!$G$3:$G$500,0)),"Y","")</f>
        <v/>
      </c>
      <c r="DX40" s="58" t="str">
        <f>IF(ISNUMBER(MATCH(#REF!,'Audit Characteristic Mapping'!$H$3:$H$500,0)),"Y","")</f>
        <v/>
      </c>
      <c r="DY40" s="58" t="str">
        <f>IF(ISNUMBER(MATCH(#REF!,'Audit Characteristic Mapping'!$I$3:$I$500,0)),"Y","")</f>
        <v/>
      </c>
      <c r="DZ40" s="58" t="str">
        <f>IF(ISNUMBER(MATCH(#REF!,'Audit Characteristic Mapping'!$J$3:$J$500,0)),"Y","")</f>
        <v/>
      </c>
      <c r="EA40" s="58" t="str">
        <f>IF(ISNUMBER(MATCH(#REF!,'Audit Characteristic Mapping'!$K$3:$K$500,0)),"Y","")</f>
        <v/>
      </c>
    </row>
    <row r="41" spans="1:131" ht="16" hidden="1" x14ac:dyDescent="0.2">
      <c r="A41" s="288">
        <v>459</v>
      </c>
      <c r="B41" s="287" t="s">
        <v>131</v>
      </c>
      <c r="C41" s="226" t="s">
        <v>153</v>
      </c>
      <c r="D41" s="170">
        <v>1</v>
      </c>
      <c r="E41" s="288">
        <v>6</v>
      </c>
      <c r="F41" s="291" t="str">
        <f>VLOOKUP(Calculation!A41,'Descriptor maps'!$A$2:$F$1658,2,0)</f>
        <v>General information</v>
      </c>
      <c r="G41" s="289" t="s">
        <v>9</v>
      </c>
      <c r="H41" s="290"/>
      <c r="I41" s="291"/>
      <c r="J41" s="292" t="e" cm="1">
        <f t="array" ref="J41">INDEX('Descriptor maps'!$I$2:$I$1658,MATCH(1,('Descriptor maps'!$A$2:$A$1658=Calculation!$A41)*('Descriptor maps'!$G$2:$G$1658=Calculation!$G41),0))</f>
        <v>#N/A</v>
      </c>
      <c r="K41" s="226"/>
      <c r="L41" s="293"/>
      <c r="M41" s="293"/>
      <c r="N41" s="293"/>
      <c r="O41" s="293"/>
      <c r="P41" s="293"/>
      <c r="Q41" s="293"/>
      <c r="R41" s="293"/>
      <c r="S41" s="293"/>
      <c r="T41" s="293"/>
      <c r="U41" s="293"/>
      <c r="V41" s="293"/>
      <c r="W41" s="293"/>
      <c r="X41" s="293"/>
      <c r="Y41" s="29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c r="BT41" s="293"/>
      <c r="BU41" s="293"/>
      <c r="BV41" s="293"/>
      <c r="BW41" s="293"/>
      <c r="BX41" s="293"/>
      <c r="BY41" s="293"/>
      <c r="BZ41" s="293"/>
      <c r="CA41" s="285"/>
      <c r="CB41" s="286"/>
      <c r="CC41" s="286"/>
      <c r="CD41" s="286"/>
      <c r="CE41" s="286"/>
      <c r="CF41" s="286"/>
      <c r="CG41" s="286"/>
      <c r="CH41" s="286"/>
      <c r="CI41" s="286"/>
      <c r="CJ41" s="286"/>
      <c r="CK41" s="286"/>
      <c r="CL41" s="286"/>
      <c r="CM41" s="286"/>
      <c r="CN41" s="286"/>
      <c r="CO41" s="286"/>
      <c r="CP41" s="286"/>
      <c r="CQ41" s="286"/>
      <c r="CR41" s="286"/>
      <c r="CS41" s="286"/>
      <c r="CT41" s="286"/>
      <c r="CU41" s="286"/>
      <c r="CV41" s="286"/>
      <c r="CW41" s="286"/>
      <c r="CX41" s="286"/>
      <c r="CY41" s="286"/>
      <c r="CZ41" s="286"/>
      <c r="DA41" s="286"/>
      <c r="DB41" s="286"/>
      <c r="DC41" s="286"/>
      <c r="DD41" s="286"/>
      <c r="DE41" s="286"/>
      <c r="DF41" s="286"/>
      <c r="DG41" s="286"/>
      <c r="DH41" s="286"/>
      <c r="DI41" s="286"/>
      <c r="DJ41" s="286"/>
      <c r="DK41" s="286"/>
      <c r="DL41" s="286"/>
      <c r="DM41" s="286"/>
      <c r="DN41" s="286"/>
      <c r="DO41" s="286"/>
      <c r="DP41" s="286"/>
      <c r="DR41" s="58" t="str">
        <f>IF(ISNUMBER(MATCH(#REF!,'Audit Characteristic Mapping'!$B$3:$B$500,0)),"Y","")</f>
        <v/>
      </c>
      <c r="DS41" s="58" t="str">
        <f>IF(ISNUMBER(MATCH(#REF!,'Audit Characteristic Mapping'!$C$3:$C$500,0)),"Y","")</f>
        <v/>
      </c>
      <c r="DT41" s="58" t="str">
        <f>IF(ISNUMBER(MATCH(#REF!,'Audit Characteristic Mapping'!$D$3:$D$500,0)),"Y","")</f>
        <v/>
      </c>
      <c r="DU41" s="58" t="str">
        <f>IF(ISNUMBER(MATCH(#REF!,'Audit Characteristic Mapping'!$E$3:$E$500,0)),"Y","")</f>
        <v/>
      </c>
      <c r="DV41" s="58" t="str">
        <f>IF(ISNUMBER(MATCH(#REF!,'Audit Characteristic Mapping'!$F$3:$F$500,0)),"Y","")</f>
        <v/>
      </c>
      <c r="DW41" s="58" t="str">
        <f>IF(ISNUMBER(MATCH(#REF!,'Audit Characteristic Mapping'!$G$3:$G$500,0)),"Y","")</f>
        <v/>
      </c>
      <c r="DX41" s="58" t="str">
        <f>IF(ISNUMBER(MATCH(#REF!,'Audit Characteristic Mapping'!$H$3:$H$500,0)),"Y","")</f>
        <v/>
      </c>
      <c r="DY41" s="58" t="str">
        <f>IF(ISNUMBER(MATCH(#REF!,'Audit Characteristic Mapping'!$I$3:$I$500,0)),"Y","")</f>
        <v/>
      </c>
      <c r="DZ41" s="58" t="str">
        <f>IF(ISNUMBER(MATCH(#REF!,'Audit Characteristic Mapping'!$J$3:$J$500,0)),"Y","")</f>
        <v/>
      </c>
      <c r="EA41" s="58" t="str">
        <f>IF(ISNUMBER(MATCH(#REF!,'Audit Characteristic Mapping'!$K$3:$K$500,0)),"Y","")</f>
        <v/>
      </c>
    </row>
    <row r="42" spans="1:131" ht="16" hidden="1" x14ac:dyDescent="0.2">
      <c r="A42" s="288">
        <v>37</v>
      </c>
      <c r="B42" s="287" t="s">
        <v>131</v>
      </c>
      <c r="C42" s="226" t="s">
        <v>153</v>
      </c>
      <c r="D42" s="170">
        <v>1</v>
      </c>
      <c r="E42" s="288">
        <v>6</v>
      </c>
      <c r="F42" s="291" t="str">
        <f>VLOOKUP(Calculation!A42,'Descriptor maps'!$A$2:$F$1658,2,0)</f>
        <v>General information</v>
      </c>
      <c r="G42" s="289" t="s">
        <v>9</v>
      </c>
      <c r="H42" s="290"/>
      <c r="I42" s="291"/>
      <c r="J42" s="292" t="e" cm="1">
        <f t="array" ref="J42">INDEX('Descriptor maps'!$I$2:$I$1658,MATCH(1,('Descriptor maps'!$A$2:$A$1658=Calculation!$A42)*('Descriptor maps'!$G$2:$G$1658=Calculation!$G42),0))</f>
        <v>#N/A</v>
      </c>
      <c r="K42" s="226"/>
      <c r="L42" s="293"/>
      <c r="M42" s="293"/>
      <c r="N42" s="293"/>
      <c r="O42" s="293"/>
      <c r="P42" s="293"/>
      <c r="Q42" s="293"/>
      <c r="R42" s="293"/>
      <c r="S42" s="293"/>
      <c r="T42" s="293"/>
      <c r="U42" s="293"/>
      <c r="V42" s="293"/>
      <c r="W42" s="293"/>
      <c r="X42" s="293"/>
      <c r="Y42" s="293"/>
      <c r="Z42" s="293"/>
      <c r="AA42" s="293"/>
      <c r="AB42" s="293"/>
      <c r="AC42" s="293"/>
      <c r="AD42" s="293"/>
      <c r="AE42" s="293"/>
      <c r="AF42" s="293"/>
      <c r="AG42" s="293"/>
      <c r="AH42" s="293"/>
      <c r="AI42" s="293"/>
      <c r="AJ42" s="293"/>
      <c r="AK42" s="293"/>
      <c r="AL42" s="293"/>
      <c r="AM42" s="293"/>
      <c r="AN42" s="293"/>
      <c r="AO42" s="293"/>
      <c r="AP42" s="293"/>
      <c r="AQ42" s="293"/>
      <c r="AR42" s="293"/>
      <c r="AS42" s="293"/>
      <c r="AT42" s="293"/>
      <c r="AU42" s="293"/>
      <c r="AV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c r="BT42" s="293"/>
      <c r="BU42" s="293"/>
      <c r="BV42" s="293"/>
      <c r="BW42" s="293"/>
      <c r="BX42" s="293"/>
      <c r="BY42" s="293"/>
      <c r="BZ42" s="293"/>
      <c r="CA42" s="285"/>
      <c r="CB42" s="286"/>
      <c r="CC42" s="286"/>
      <c r="CD42" s="286"/>
      <c r="CE42" s="286"/>
      <c r="CF42" s="286"/>
      <c r="CG42" s="286"/>
      <c r="CH42" s="286"/>
      <c r="CI42" s="286"/>
      <c r="CJ42" s="286"/>
      <c r="CK42" s="286"/>
      <c r="CL42" s="286"/>
      <c r="CM42" s="286"/>
      <c r="CN42" s="286"/>
      <c r="CO42" s="286"/>
      <c r="CP42" s="286"/>
      <c r="CQ42" s="286"/>
      <c r="CR42" s="286"/>
      <c r="CS42" s="286"/>
      <c r="CT42" s="286"/>
      <c r="CU42" s="286"/>
      <c r="CV42" s="286"/>
      <c r="CW42" s="286"/>
      <c r="CX42" s="286"/>
      <c r="CY42" s="286"/>
      <c r="CZ42" s="286"/>
      <c r="DA42" s="286"/>
      <c r="DB42" s="286"/>
      <c r="DC42" s="286"/>
      <c r="DD42" s="286"/>
      <c r="DE42" s="286"/>
      <c r="DF42" s="286"/>
      <c r="DG42" s="286"/>
      <c r="DH42" s="286"/>
      <c r="DI42" s="286"/>
      <c r="DJ42" s="286"/>
      <c r="DK42" s="286"/>
      <c r="DL42" s="286"/>
      <c r="DM42" s="286"/>
      <c r="DN42" s="286"/>
      <c r="DO42" s="286"/>
      <c r="DP42" s="286"/>
      <c r="DR42" s="58" t="str">
        <f>IF(ISNUMBER(MATCH(#REF!,'Audit Characteristic Mapping'!$B$3:$B$500,0)),"Y","")</f>
        <v/>
      </c>
      <c r="DS42" s="58" t="str">
        <f>IF(ISNUMBER(MATCH(#REF!,'Audit Characteristic Mapping'!$C$3:$C$500,0)),"Y","")</f>
        <v/>
      </c>
      <c r="DT42" s="58" t="str">
        <f>IF(ISNUMBER(MATCH(#REF!,'Audit Characteristic Mapping'!$D$3:$D$500,0)),"Y","")</f>
        <v/>
      </c>
      <c r="DU42" s="58" t="str">
        <f>IF(ISNUMBER(MATCH(#REF!,'Audit Characteristic Mapping'!$E$3:$E$500,0)),"Y","")</f>
        <v/>
      </c>
      <c r="DV42" s="58" t="str">
        <f>IF(ISNUMBER(MATCH(#REF!,'Audit Characteristic Mapping'!$F$3:$F$500,0)),"Y","")</f>
        <v/>
      </c>
      <c r="DW42" s="58" t="str">
        <f>IF(ISNUMBER(MATCH(#REF!,'Audit Characteristic Mapping'!$G$3:$G$500,0)),"Y","")</f>
        <v/>
      </c>
      <c r="DX42" s="58" t="str">
        <f>IF(ISNUMBER(MATCH(#REF!,'Audit Characteristic Mapping'!$H$3:$H$500,0)),"Y","")</f>
        <v/>
      </c>
      <c r="DY42" s="58" t="str">
        <f>IF(ISNUMBER(MATCH(#REF!,'Audit Characteristic Mapping'!$I$3:$I$500,0)),"Y","")</f>
        <v/>
      </c>
      <c r="DZ42" s="58" t="str">
        <f>IF(ISNUMBER(MATCH(#REF!,'Audit Characteristic Mapping'!$J$3:$J$500,0)),"Y","")</f>
        <v/>
      </c>
      <c r="EA42" s="58" t="str">
        <f>IF(ISNUMBER(MATCH(#REF!,'Audit Characteristic Mapping'!$K$3:$K$500,0)),"Y","")</f>
        <v/>
      </c>
    </row>
    <row r="43" spans="1:131" ht="16" hidden="1" x14ac:dyDescent="0.2">
      <c r="A43" s="288">
        <v>38</v>
      </c>
      <c r="B43" s="287" t="s">
        <v>131</v>
      </c>
      <c r="C43" s="226" t="s">
        <v>153</v>
      </c>
      <c r="D43" s="170">
        <v>1</v>
      </c>
      <c r="E43" s="288">
        <v>6</v>
      </c>
      <c r="F43" s="291" t="str">
        <f>VLOOKUP(Calculation!A43,'Descriptor maps'!$A$2:$F$1658,2,0)</f>
        <v>General information</v>
      </c>
      <c r="G43" s="289"/>
      <c r="H43" s="290"/>
      <c r="I43" s="291"/>
      <c r="J43" s="292" t="e" cm="1">
        <f t="array" ref="J43">INDEX('Descriptor maps'!$I$2:$I$1658,MATCH(1,('Descriptor maps'!$A$2:$A$1658=Calculation!$A43)*('Descriptor maps'!$G$2:$G$1658=Calculation!$G43),0))</f>
        <v>#N/A</v>
      </c>
      <c r="K43" s="226"/>
      <c r="L43" s="293"/>
      <c r="M43" s="293"/>
      <c r="N43" s="293"/>
      <c r="O43" s="293"/>
      <c r="P43" s="293"/>
      <c r="Q43" s="293"/>
      <c r="R43" s="293"/>
      <c r="S43" s="293"/>
      <c r="T43" s="293"/>
      <c r="U43" s="293"/>
      <c r="V43" s="293"/>
      <c r="W43" s="293"/>
      <c r="X43" s="293"/>
      <c r="Y43" s="29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c r="BT43" s="293"/>
      <c r="BU43" s="293"/>
      <c r="BV43" s="293"/>
      <c r="BW43" s="293"/>
      <c r="BX43" s="293"/>
      <c r="BY43" s="293"/>
      <c r="BZ43" s="293"/>
      <c r="CA43" s="285"/>
      <c r="CB43" s="286"/>
      <c r="CC43" s="286"/>
      <c r="CD43" s="286"/>
      <c r="CE43" s="286"/>
      <c r="CF43" s="286"/>
      <c r="CG43" s="286"/>
      <c r="CH43" s="286"/>
      <c r="CI43" s="286"/>
      <c r="CJ43" s="286"/>
      <c r="CK43" s="286"/>
      <c r="CL43" s="286"/>
      <c r="CM43" s="286"/>
      <c r="CN43" s="286"/>
      <c r="CO43" s="286"/>
      <c r="CP43" s="286"/>
      <c r="CQ43" s="286"/>
      <c r="CR43" s="286"/>
      <c r="CS43" s="286"/>
      <c r="CT43" s="286"/>
      <c r="CU43" s="286"/>
      <c r="CV43" s="286"/>
      <c r="CW43" s="286"/>
      <c r="CX43" s="286"/>
      <c r="CY43" s="286"/>
      <c r="CZ43" s="286"/>
      <c r="DA43" s="286"/>
      <c r="DB43" s="286"/>
      <c r="DC43" s="286"/>
      <c r="DD43" s="286"/>
      <c r="DE43" s="286"/>
      <c r="DF43" s="286"/>
      <c r="DG43" s="286"/>
      <c r="DH43" s="286"/>
      <c r="DI43" s="286"/>
      <c r="DJ43" s="286"/>
      <c r="DK43" s="286"/>
      <c r="DL43" s="286"/>
      <c r="DM43" s="286"/>
      <c r="DN43" s="286"/>
      <c r="DO43" s="286"/>
      <c r="DP43" s="286"/>
      <c r="DR43" s="58" t="str">
        <f>IF(ISNUMBER(MATCH(#REF!,'Audit Characteristic Mapping'!$B$3:$B$500,0)),"Y","")</f>
        <v/>
      </c>
      <c r="DS43" s="58" t="str">
        <f>IF(ISNUMBER(MATCH(#REF!,'Audit Characteristic Mapping'!$C$3:$C$500,0)),"Y","")</f>
        <v/>
      </c>
      <c r="DT43" s="58" t="str">
        <f>IF(ISNUMBER(MATCH(#REF!,'Audit Characteristic Mapping'!$D$3:$D$500,0)),"Y","")</f>
        <v/>
      </c>
      <c r="DU43" s="58" t="str">
        <f>IF(ISNUMBER(MATCH(#REF!,'Audit Characteristic Mapping'!$E$3:$E$500,0)),"Y","")</f>
        <v/>
      </c>
      <c r="DV43" s="58" t="str">
        <f>IF(ISNUMBER(MATCH(#REF!,'Audit Characteristic Mapping'!$F$3:$F$500,0)),"Y","")</f>
        <v/>
      </c>
      <c r="DW43" s="58" t="str">
        <f>IF(ISNUMBER(MATCH(#REF!,'Audit Characteristic Mapping'!$G$3:$G$500,0)),"Y","")</f>
        <v/>
      </c>
      <c r="DX43" s="58" t="str">
        <f>IF(ISNUMBER(MATCH(#REF!,'Audit Characteristic Mapping'!$H$3:$H$500,0)),"Y","")</f>
        <v/>
      </c>
      <c r="DY43" s="58" t="str">
        <f>IF(ISNUMBER(MATCH(#REF!,'Audit Characteristic Mapping'!$I$3:$I$500,0)),"Y","")</f>
        <v/>
      </c>
      <c r="DZ43" s="58" t="str">
        <f>IF(ISNUMBER(MATCH(#REF!,'Audit Characteristic Mapping'!$J$3:$J$500,0)),"Y","")</f>
        <v/>
      </c>
      <c r="EA43" s="58" t="str">
        <f>IF(ISNUMBER(MATCH(#REF!,'Audit Characteristic Mapping'!$K$3:$K$500,0)),"Y","")</f>
        <v/>
      </c>
    </row>
    <row r="44" spans="1:131" ht="16" hidden="1" x14ac:dyDescent="0.2">
      <c r="A44" s="288">
        <v>39</v>
      </c>
      <c r="B44" s="287" t="s">
        <v>131</v>
      </c>
      <c r="C44" s="226" t="s">
        <v>153</v>
      </c>
      <c r="D44" s="170">
        <v>1</v>
      </c>
      <c r="E44" s="288">
        <v>6</v>
      </c>
      <c r="F44" s="291" t="str">
        <f>VLOOKUP(Calculation!A44,'Descriptor maps'!$A$2:$F$1658,2,0)</f>
        <v>General information</v>
      </c>
      <c r="G44" s="289" t="s">
        <v>663</v>
      </c>
      <c r="H44" s="290"/>
      <c r="I44" s="291"/>
      <c r="J44" s="292" t="e" cm="1">
        <f t="array" ref="J44">INDEX('Descriptor maps'!$I$2:$I$1658,MATCH(1,('Descriptor maps'!$A$2:$A$1658=Calculation!$A44)*('Descriptor maps'!$G$2:$G$1658=Calculation!$G44),0))</f>
        <v>#N/A</v>
      </c>
      <c r="K44" s="226"/>
      <c r="L44" s="293"/>
      <c r="M44" s="293"/>
      <c r="N44" s="293"/>
      <c r="O44" s="293"/>
      <c r="P44" s="293"/>
      <c r="Q44" s="293"/>
      <c r="R44" s="293"/>
      <c r="S44" s="293"/>
      <c r="T44" s="293"/>
      <c r="U44" s="293"/>
      <c r="V44" s="293"/>
      <c r="W44" s="293"/>
      <c r="X44" s="293"/>
      <c r="Y44" s="29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c r="BT44" s="293"/>
      <c r="BU44" s="293"/>
      <c r="BV44" s="293"/>
      <c r="BW44" s="293"/>
      <c r="BX44" s="293"/>
      <c r="BY44" s="293"/>
      <c r="BZ44" s="293"/>
      <c r="CA44" s="285"/>
      <c r="CB44" s="286"/>
      <c r="CC44" s="286"/>
      <c r="CD44" s="286"/>
      <c r="CE44" s="286"/>
      <c r="CF44" s="286"/>
      <c r="CG44" s="286"/>
      <c r="CH44" s="286"/>
      <c r="CI44" s="286"/>
      <c r="CJ44" s="286"/>
      <c r="CK44" s="286"/>
      <c r="CL44" s="286"/>
      <c r="CM44" s="286"/>
      <c r="CN44" s="286"/>
      <c r="CO44" s="286"/>
      <c r="CP44" s="286"/>
      <c r="CQ44" s="286"/>
      <c r="CR44" s="286"/>
      <c r="CS44" s="286"/>
      <c r="CT44" s="286"/>
      <c r="CU44" s="286"/>
      <c r="CV44" s="286"/>
      <c r="CW44" s="286"/>
      <c r="CX44" s="286"/>
      <c r="CY44" s="286"/>
      <c r="CZ44" s="286"/>
      <c r="DA44" s="286"/>
      <c r="DB44" s="286"/>
      <c r="DC44" s="286"/>
      <c r="DD44" s="286"/>
      <c r="DE44" s="286"/>
      <c r="DF44" s="286"/>
      <c r="DG44" s="286"/>
      <c r="DH44" s="286"/>
      <c r="DI44" s="286"/>
      <c r="DJ44" s="286"/>
      <c r="DK44" s="286"/>
      <c r="DL44" s="286"/>
      <c r="DM44" s="286"/>
      <c r="DN44" s="286"/>
      <c r="DO44" s="286"/>
      <c r="DP44" s="286"/>
      <c r="DR44" s="58" t="str">
        <f>IF(ISNUMBER(MATCH(#REF!,'Audit Characteristic Mapping'!$B$3:$B$500,0)),"Y","")</f>
        <v/>
      </c>
      <c r="DS44" s="58" t="str">
        <f>IF(ISNUMBER(MATCH(#REF!,'Audit Characteristic Mapping'!$C$3:$C$500,0)),"Y","")</f>
        <v/>
      </c>
      <c r="DT44" s="58" t="str">
        <f>IF(ISNUMBER(MATCH(#REF!,'Audit Characteristic Mapping'!$D$3:$D$500,0)),"Y","")</f>
        <v/>
      </c>
      <c r="DU44" s="58" t="str">
        <f>IF(ISNUMBER(MATCH(#REF!,'Audit Characteristic Mapping'!$E$3:$E$500,0)),"Y","")</f>
        <v/>
      </c>
      <c r="DV44" s="58" t="str">
        <f>IF(ISNUMBER(MATCH(#REF!,'Audit Characteristic Mapping'!$F$3:$F$500,0)),"Y","")</f>
        <v/>
      </c>
      <c r="DW44" s="58" t="str">
        <f>IF(ISNUMBER(MATCH(#REF!,'Audit Characteristic Mapping'!$G$3:$G$500,0)),"Y","")</f>
        <v/>
      </c>
      <c r="DX44" s="58" t="str">
        <f>IF(ISNUMBER(MATCH(#REF!,'Audit Characteristic Mapping'!$H$3:$H$500,0)),"Y","")</f>
        <v/>
      </c>
      <c r="DY44" s="58" t="str">
        <f>IF(ISNUMBER(MATCH(#REF!,'Audit Characteristic Mapping'!$I$3:$I$500,0)),"Y","")</f>
        <v/>
      </c>
      <c r="DZ44" s="58" t="str">
        <f>IF(ISNUMBER(MATCH(#REF!,'Audit Characteristic Mapping'!$J$3:$J$500,0)),"Y","")</f>
        <v/>
      </c>
      <c r="EA44" s="58" t="str">
        <f>IF(ISNUMBER(MATCH(#REF!,'Audit Characteristic Mapping'!$K$3:$K$500,0)),"Y","")</f>
        <v/>
      </c>
    </row>
    <row r="45" spans="1:131" ht="16" hidden="1" x14ac:dyDescent="0.2">
      <c r="A45" s="288">
        <v>40</v>
      </c>
      <c r="B45" s="287" t="s">
        <v>131</v>
      </c>
      <c r="C45" s="226" t="s">
        <v>174</v>
      </c>
      <c r="D45" s="170">
        <v>1</v>
      </c>
      <c r="E45" s="288">
        <v>7</v>
      </c>
      <c r="F45" s="291" t="str">
        <f>VLOOKUP(Calculation!A45,'Descriptor maps'!$A$2:$F$1658,2,0)</f>
        <v>General information</v>
      </c>
      <c r="G45" s="289">
        <v>4</v>
      </c>
      <c r="H45" s="290"/>
      <c r="I45" s="291"/>
      <c r="J45" s="292" t="e" cm="1">
        <f t="array" ref="J45">INDEX('Descriptor maps'!$I$2:$I$1658,MATCH(1,('Descriptor maps'!$A$2:$A$1658=Calculation!$A45)*('Descriptor maps'!$G$2:$G$1658=Calculation!$G45),0))</f>
        <v>#N/A</v>
      </c>
      <c r="K45" s="226"/>
      <c r="L45" s="293"/>
      <c r="M45" s="293"/>
      <c r="N45" s="293"/>
      <c r="O45" s="293"/>
      <c r="P45" s="293"/>
      <c r="Q45" s="293"/>
      <c r="R45" s="293"/>
      <c r="S45" s="293"/>
      <c r="T45" s="293"/>
      <c r="U45" s="293"/>
      <c r="V45" s="293"/>
      <c r="W45" s="293"/>
      <c r="X45" s="293"/>
      <c r="Y45" s="29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c r="BT45" s="293"/>
      <c r="BU45" s="293"/>
      <c r="BV45" s="293"/>
      <c r="BW45" s="293"/>
      <c r="BX45" s="293"/>
      <c r="BY45" s="293"/>
      <c r="BZ45" s="293"/>
      <c r="CA45" s="285"/>
      <c r="CB45" s="286"/>
      <c r="CC45" s="286"/>
      <c r="CD45" s="286"/>
      <c r="CE45" s="286"/>
      <c r="CF45" s="286"/>
      <c r="CG45" s="286"/>
      <c r="CH45" s="286"/>
      <c r="CI45" s="286"/>
      <c r="CJ45" s="286"/>
      <c r="CK45" s="286"/>
      <c r="CL45" s="286"/>
      <c r="CM45" s="286"/>
      <c r="CN45" s="286"/>
      <c r="CO45" s="286"/>
      <c r="CP45" s="286"/>
      <c r="CQ45" s="286"/>
      <c r="CR45" s="286"/>
      <c r="CS45" s="286"/>
      <c r="CT45" s="286"/>
      <c r="CU45" s="286"/>
      <c r="CV45" s="286"/>
      <c r="CW45" s="286"/>
      <c r="CX45" s="286"/>
      <c r="CY45" s="286"/>
      <c r="CZ45" s="286"/>
      <c r="DA45" s="286"/>
      <c r="DB45" s="286"/>
      <c r="DC45" s="286"/>
      <c r="DD45" s="286"/>
      <c r="DE45" s="286"/>
      <c r="DF45" s="286"/>
      <c r="DG45" s="286"/>
      <c r="DH45" s="286"/>
      <c r="DI45" s="286"/>
      <c r="DJ45" s="286"/>
      <c r="DK45" s="286"/>
      <c r="DL45" s="286"/>
      <c r="DM45" s="286"/>
      <c r="DN45" s="286"/>
      <c r="DO45" s="286"/>
      <c r="DP45" s="286"/>
      <c r="DR45" s="58" t="str">
        <f>IF(ISNUMBER(MATCH(#REF!,'Audit Characteristic Mapping'!$B$3:$B$500,0)),"Y","")</f>
        <v/>
      </c>
      <c r="DS45" s="58" t="str">
        <f>IF(ISNUMBER(MATCH(#REF!,'Audit Characteristic Mapping'!$C$3:$C$500,0)),"Y","")</f>
        <v/>
      </c>
      <c r="DT45" s="58" t="str">
        <f>IF(ISNUMBER(MATCH(#REF!,'Audit Characteristic Mapping'!$D$3:$D$500,0)),"Y","")</f>
        <v/>
      </c>
      <c r="DU45" s="58" t="str">
        <f>IF(ISNUMBER(MATCH(#REF!,'Audit Characteristic Mapping'!$E$3:$E$500,0)),"Y","")</f>
        <v/>
      </c>
      <c r="DV45" s="58" t="str">
        <f>IF(ISNUMBER(MATCH(#REF!,'Audit Characteristic Mapping'!$F$3:$F$500,0)),"Y","")</f>
        <v/>
      </c>
      <c r="DW45" s="58" t="str">
        <f>IF(ISNUMBER(MATCH(#REF!,'Audit Characteristic Mapping'!$G$3:$G$500,0)),"Y","")</f>
        <v/>
      </c>
      <c r="DX45" s="58" t="str">
        <f>IF(ISNUMBER(MATCH(#REF!,'Audit Characteristic Mapping'!$H$3:$H$500,0)),"Y","")</f>
        <v/>
      </c>
      <c r="DY45" s="58" t="str">
        <f>IF(ISNUMBER(MATCH(#REF!,'Audit Characteristic Mapping'!$I$3:$I$500,0)),"Y","")</f>
        <v/>
      </c>
      <c r="DZ45" s="58" t="str">
        <f>IF(ISNUMBER(MATCH(#REF!,'Audit Characteristic Mapping'!$J$3:$J$500,0)),"Y","")</f>
        <v/>
      </c>
      <c r="EA45" s="58" t="str">
        <f>IF(ISNUMBER(MATCH(#REF!,'Audit Characteristic Mapping'!$K$3:$K$500,0)),"Y","")</f>
        <v/>
      </c>
    </row>
    <row r="46" spans="1:131" ht="16" hidden="1" x14ac:dyDescent="0.2">
      <c r="A46" s="288">
        <v>41</v>
      </c>
      <c r="B46" s="287" t="s">
        <v>131</v>
      </c>
      <c r="C46" s="226" t="s">
        <v>174</v>
      </c>
      <c r="D46" s="170">
        <v>1</v>
      </c>
      <c r="E46" s="288">
        <v>7</v>
      </c>
      <c r="F46" s="291" t="str">
        <f>VLOOKUP(Calculation!A46,'Descriptor maps'!$A$2:$F$1658,2,0)</f>
        <v>General information</v>
      </c>
      <c r="G46" s="289"/>
      <c r="H46" s="290"/>
      <c r="I46" s="291"/>
      <c r="J46" s="292" t="e" cm="1">
        <f t="array" ref="J46">INDEX('Descriptor maps'!$I$2:$I$1658,MATCH(1,('Descriptor maps'!$A$2:$A$1658=Calculation!$A46)*('Descriptor maps'!$G$2:$G$1658=Calculation!$G46),0))</f>
        <v>#N/A</v>
      </c>
      <c r="K46" s="226"/>
      <c r="L46" s="293"/>
      <c r="M46" s="293"/>
      <c r="N46" s="293"/>
      <c r="O46" s="293"/>
      <c r="P46" s="293"/>
      <c r="Q46" s="293"/>
      <c r="R46" s="293"/>
      <c r="S46" s="293"/>
      <c r="T46" s="293"/>
      <c r="U46" s="293"/>
      <c r="V46" s="293"/>
      <c r="W46" s="293"/>
      <c r="X46" s="293"/>
      <c r="Y46" s="29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c r="BT46" s="293"/>
      <c r="BU46" s="293"/>
      <c r="BV46" s="293"/>
      <c r="BW46" s="293"/>
      <c r="BX46" s="293"/>
      <c r="BY46" s="293"/>
      <c r="BZ46" s="293"/>
      <c r="CA46" s="285"/>
      <c r="CB46" s="286"/>
      <c r="CC46" s="286"/>
      <c r="CD46" s="286"/>
      <c r="CE46" s="286"/>
      <c r="CF46" s="286"/>
      <c r="CG46" s="286"/>
      <c r="CH46" s="286"/>
      <c r="CI46" s="286"/>
      <c r="CJ46" s="286"/>
      <c r="CK46" s="286"/>
      <c r="CL46" s="286"/>
      <c r="CM46" s="286"/>
      <c r="CN46" s="286"/>
      <c r="CO46" s="286"/>
      <c r="CP46" s="286"/>
      <c r="CQ46" s="286"/>
      <c r="CR46" s="286"/>
      <c r="CS46" s="286"/>
      <c r="CT46" s="286"/>
      <c r="CU46" s="286"/>
      <c r="CV46" s="286"/>
      <c r="CW46" s="286"/>
      <c r="CX46" s="286"/>
      <c r="CY46" s="286"/>
      <c r="CZ46" s="286"/>
      <c r="DA46" s="286"/>
      <c r="DB46" s="286"/>
      <c r="DC46" s="286"/>
      <c r="DD46" s="286"/>
      <c r="DE46" s="286"/>
      <c r="DF46" s="286"/>
      <c r="DG46" s="286"/>
      <c r="DH46" s="286"/>
      <c r="DI46" s="286"/>
      <c r="DJ46" s="286"/>
      <c r="DK46" s="286"/>
      <c r="DL46" s="286"/>
      <c r="DM46" s="286"/>
      <c r="DN46" s="286"/>
      <c r="DO46" s="286"/>
      <c r="DP46" s="286"/>
      <c r="DR46" s="58" t="str">
        <f>IF(ISNUMBER(MATCH(#REF!,'Audit Characteristic Mapping'!$B$3:$B$500,0)),"Y","")</f>
        <v/>
      </c>
      <c r="DS46" s="58" t="str">
        <f>IF(ISNUMBER(MATCH(#REF!,'Audit Characteristic Mapping'!$C$3:$C$500,0)),"Y","")</f>
        <v/>
      </c>
      <c r="DT46" s="58" t="str">
        <f>IF(ISNUMBER(MATCH(#REF!,'Audit Characteristic Mapping'!$D$3:$D$500,0)),"Y","")</f>
        <v/>
      </c>
      <c r="DU46" s="58" t="str">
        <f>IF(ISNUMBER(MATCH(#REF!,'Audit Characteristic Mapping'!$E$3:$E$500,0)),"Y","")</f>
        <v/>
      </c>
      <c r="DV46" s="58" t="str">
        <f>IF(ISNUMBER(MATCH(#REF!,'Audit Characteristic Mapping'!$F$3:$F$500,0)),"Y","")</f>
        <v/>
      </c>
      <c r="DW46" s="58" t="str">
        <f>IF(ISNUMBER(MATCH(#REF!,'Audit Characteristic Mapping'!$G$3:$G$500,0)),"Y","")</f>
        <v/>
      </c>
      <c r="DX46" s="58" t="str">
        <f>IF(ISNUMBER(MATCH(#REF!,'Audit Characteristic Mapping'!$H$3:$H$500,0)),"Y","")</f>
        <v/>
      </c>
      <c r="DY46" s="58" t="str">
        <f>IF(ISNUMBER(MATCH(#REF!,'Audit Characteristic Mapping'!$I$3:$I$500,0)),"Y","")</f>
        <v/>
      </c>
      <c r="DZ46" s="58" t="str">
        <f>IF(ISNUMBER(MATCH(#REF!,'Audit Characteristic Mapping'!$J$3:$J$500,0)),"Y","")</f>
        <v/>
      </c>
      <c r="EA46" s="58" t="str">
        <f>IF(ISNUMBER(MATCH(#REF!,'Audit Characteristic Mapping'!$K$3:$K$500,0)),"Y","")</f>
        <v/>
      </c>
    </row>
    <row r="47" spans="1:131" ht="16" hidden="1" x14ac:dyDescent="0.2">
      <c r="A47" s="288">
        <v>42</v>
      </c>
      <c r="B47" s="287" t="s">
        <v>131</v>
      </c>
      <c r="C47" s="226" t="s">
        <v>174</v>
      </c>
      <c r="D47" s="170">
        <v>1</v>
      </c>
      <c r="E47" s="288">
        <v>7</v>
      </c>
      <c r="F47" s="291" t="str">
        <f>VLOOKUP(Calculation!A47,'Descriptor maps'!$A$2:$F$1658,2,0)</f>
        <v>General information</v>
      </c>
      <c r="G47" s="289"/>
      <c r="H47" s="290"/>
      <c r="I47" s="291"/>
      <c r="J47" s="292" t="e" cm="1">
        <f t="array" ref="J47">INDEX('Descriptor maps'!$I$2:$I$1658,MATCH(1,('Descriptor maps'!$A$2:$A$1658=Calculation!$A47)*('Descriptor maps'!$G$2:$G$1658=Calculation!$G47),0))</f>
        <v>#N/A</v>
      </c>
      <c r="K47" s="226"/>
      <c r="L47" s="293"/>
      <c r="M47" s="293"/>
      <c r="N47" s="293"/>
      <c r="O47" s="293"/>
      <c r="P47" s="293"/>
      <c r="Q47" s="293"/>
      <c r="R47" s="293"/>
      <c r="S47" s="293"/>
      <c r="T47" s="293"/>
      <c r="U47" s="293"/>
      <c r="V47" s="293"/>
      <c r="W47" s="293"/>
      <c r="X47" s="293"/>
      <c r="Y47" s="29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c r="BT47" s="293"/>
      <c r="BU47" s="293"/>
      <c r="BV47" s="293"/>
      <c r="BW47" s="293"/>
      <c r="BX47" s="293"/>
      <c r="BY47" s="293"/>
      <c r="BZ47" s="293"/>
      <c r="CA47" s="285"/>
      <c r="CB47" s="286"/>
      <c r="CC47" s="286"/>
      <c r="CD47" s="286"/>
      <c r="CE47" s="286"/>
      <c r="CF47" s="286"/>
      <c r="CG47" s="286"/>
      <c r="CH47" s="286"/>
      <c r="CI47" s="286"/>
      <c r="CJ47" s="286"/>
      <c r="CK47" s="286"/>
      <c r="CL47" s="286"/>
      <c r="CM47" s="286"/>
      <c r="CN47" s="286"/>
      <c r="CO47" s="286"/>
      <c r="CP47" s="286"/>
      <c r="CQ47" s="286"/>
      <c r="CR47" s="286"/>
      <c r="CS47" s="286"/>
      <c r="CT47" s="286"/>
      <c r="CU47" s="286"/>
      <c r="CV47" s="286"/>
      <c r="CW47" s="286"/>
      <c r="CX47" s="286"/>
      <c r="CY47" s="286"/>
      <c r="CZ47" s="286"/>
      <c r="DA47" s="286"/>
      <c r="DB47" s="286"/>
      <c r="DC47" s="286"/>
      <c r="DD47" s="286"/>
      <c r="DE47" s="286"/>
      <c r="DF47" s="286"/>
      <c r="DG47" s="286"/>
      <c r="DH47" s="286"/>
      <c r="DI47" s="286"/>
      <c r="DJ47" s="286"/>
      <c r="DK47" s="286"/>
      <c r="DL47" s="286"/>
      <c r="DM47" s="286"/>
      <c r="DN47" s="286"/>
      <c r="DO47" s="286"/>
      <c r="DP47" s="286"/>
      <c r="DR47" s="58" t="str">
        <f>IF(ISNUMBER(MATCH(#REF!,'Audit Characteristic Mapping'!$B$3:$B$500,0)),"Y","")</f>
        <v/>
      </c>
      <c r="DS47" s="58" t="str">
        <f>IF(ISNUMBER(MATCH(#REF!,'Audit Characteristic Mapping'!$C$3:$C$500,0)),"Y","")</f>
        <v/>
      </c>
      <c r="DT47" s="58" t="str">
        <f>IF(ISNUMBER(MATCH(#REF!,'Audit Characteristic Mapping'!$D$3:$D$500,0)),"Y","")</f>
        <v/>
      </c>
      <c r="DU47" s="58" t="str">
        <f>IF(ISNUMBER(MATCH(#REF!,'Audit Characteristic Mapping'!$E$3:$E$500,0)),"Y","")</f>
        <v/>
      </c>
      <c r="DV47" s="58" t="str">
        <f>IF(ISNUMBER(MATCH(#REF!,'Audit Characteristic Mapping'!$F$3:$F$500,0)),"Y","")</f>
        <v/>
      </c>
      <c r="DW47" s="58" t="str">
        <f>IF(ISNUMBER(MATCH(#REF!,'Audit Characteristic Mapping'!$G$3:$G$500,0)),"Y","")</f>
        <v/>
      </c>
      <c r="DX47" s="58" t="str">
        <f>IF(ISNUMBER(MATCH(#REF!,'Audit Characteristic Mapping'!$H$3:$H$500,0)),"Y","")</f>
        <v/>
      </c>
      <c r="DY47" s="58" t="str">
        <f>IF(ISNUMBER(MATCH(#REF!,'Audit Characteristic Mapping'!$I$3:$I$500,0)),"Y","")</f>
        <v/>
      </c>
      <c r="DZ47" s="58" t="str">
        <f>IF(ISNUMBER(MATCH(#REF!,'Audit Characteristic Mapping'!$J$3:$J$500,0)),"Y","")</f>
        <v/>
      </c>
      <c r="EA47" s="58" t="str">
        <f>IF(ISNUMBER(MATCH(#REF!,'Audit Characteristic Mapping'!$K$3:$K$500,0)),"Y","")</f>
        <v/>
      </c>
    </row>
    <row r="48" spans="1:131" ht="16" hidden="1" x14ac:dyDescent="0.2">
      <c r="A48" s="288">
        <v>43</v>
      </c>
      <c r="B48" s="287" t="s">
        <v>131</v>
      </c>
      <c r="C48" s="226" t="s">
        <v>174</v>
      </c>
      <c r="D48" s="170">
        <v>1</v>
      </c>
      <c r="E48" s="288">
        <v>7</v>
      </c>
      <c r="F48" s="291" t="str">
        <f>VLOOKUP(Calculation!A48,'Descriptor maps'!$A$2:$F$1658,2,0)</f>
        <v>General information</v>
      </c>
      <c r="G48" s="289"/>
      <c r="H48" s="290"/>
      <c r="I48" s="291"/>
      <c r="J48" s="292" t="e" cm="1">
        <f t="array" ref="J48">INDEX('Descriptor maps'!$I$2:$I$1658,MATCH(1,('Descriptor maps'!$A$2:$A$1658=Calculation!$A48)*('Descriptor maps'!$G$2:$G$1658=Calculation!$G48),0))</f>
        <v>#N/A</v>
      </c>
      <c r="K48" s="226"/>
      <c r="L48" s="293"/>
      <c r="M48" s="293"/>
      <c r="N48" s="293"/>
      <c r="O48" s="293"/>
      <c r="P48" s="293"/>
      <c r="Q48" s="293"/>
      <c r="R48" s="293"/>
      <c r="S48" s="293"/>
      <c r="T48" s="293"/>
      <c r="U48" s="293"/>
      <c r="V48" s="293"/>
      <c r="W48" s="293"/>
      <c r="X48" s="293"/>
      <c r="Y48" s="293"/>
      <c r="Z48" s="293"/>
      <c r="AA48" s="293"/>
      <c r="AB48" s="293"/>
      <c r="AC48" s="293"/>
      <c r="AD48" s="293"/>
      <c r="AE48" s="293"/>
      <c r="AF48" s="293"/>
      <c r="AG48" s="293"/>
      <c r="AH48" s="293"/>
      <c r="AI48" s="293"/>
      <c r="AJ48" s="293"/>
      <c r="AK48" s="293"/>
      <c r="AL48" s="293"/>
      <c r="AM48" s="293"/>
      <c r="AN48" s="293"/>
      <c r="AO48" s="293"/>
      <c r="AP48" s="293"/>
      <c r="AQ48" s="293"/>
      <c r="AR48" s="293"/>
      <c r="AS48" s="293"/>
      <c r="AT48" s="293"/>
      <c r="AU48" s="293"/>
      <c r="AV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c r="BT48" s="293"/>
      <c r="BU48" s="293"/>
      <c r="BV48" s="293"/>
      <c r="BW48" s="293"/>
      <c r="BX48" s="293"/>
      <c r="BY48" s="293"/>
      <c r="BZ48" s="293"/>
      <c r="CA48" s="285"/>
      <c r="CB48" s="286"/>
      <c r="CC48" s="286"/>
      <c r="CD48" s="286"/>
      <c r="CE48" s="286"/>
      <c r="CF48" s="286"/>
      <c r="CG48" s="286"/>
      <c r="CH48" s="286"/>
      <c r="CI48" s="286"/>
      <c r="CJ48" s="286"/>
      <c r="CK48" s="286"/>
      <c r="CL48" s="286"/>
      <c r="CM48" s="286"/>
      <c r="CN48" s="286"/>
      <c r="CO48" s="286"/>
      <c r="CP48" s="286"/>
      <c r="CQ48" s="286"/>
      <c r="CR48" s="286"/>
      <c r="CS48" s="286"/>
      <c r="CT48" s="286"/>
      <c r="CU48" s="286"/>
      <c r="CV48" s="286"/>
      <c r="CW48" s="286"/>
      <c r="CX48" s="286"/>
      <c r="CY48" s="286"/>
      <c r="CZ48" s="286"/>
      <c r="DA48" s="286"/>
      <c r="DB48" s="286"/>
      <c r="DC48" s="286"/>
      <c r="DD48" s="286"/>
      <c r="DE48" s="286"/>
      <c r="DF48" s="286"/>
      <c r="DG48" s="286"/>
      <c r="DH48" s="286"/>
      <c r="DI48" s="286"/>
      <c r="DJ48" s="286"/>
      <c r="DK48" s="286"/>
      <c r="DL48" s="286"/>
      <c r="DM48" s="286"/>
      <c r="DN48" s="286"/>
      <c r="DO48" s="286"/>
      <c r="DP48" s="286"/>
      <c r="DR48" s="58" t="str">
        <f>IF(ISNUMBER(MATCH(#REF!,'Audit Characteristic Mapping'!$B$3:$B$500,0)),"Y","")</f>
        <v/>
      </c>
      <c r="DS48" s="58" t="str">
        <f>IF(ISNUMBER(MATCH(#REF!,'Audit Characteristic Mapping'!$C$3:$C$500,0)),"Y","")</f>
        <v/>
      </c>
      <c r="DT48" s="58" t="str">
        <f>IF(ISNUMBER(MATCH(#REF!,'Audit Characteristic Mapping'!$D$3:$D$500,0)),"Y","")</f>
        <v/>
      </c>
      <c r="DU48" s="58" t="str">
        <f>IF(ISNUMBER(MATCH(#REF!,'Audit Characteristic Mapping'!$E$3:$E$500,0)),"Y","")</f>
        <v/>
      </c>
      <c r="DV48" s="58" t="str">
        <f>IF(ISNUMBER(MATCH(#REF!,'Audit Characteristic Mapping'!$F$3:$F$500,0)),"Y","")</f>
        <v/>
      </c>
      <c r="DW48" s="58" t="str">
        <f>IF(ISNUMBER(MATCH(#REF!,'Audit Characteristic Mapping'!$G$3:$G$500,0)),"Y","")</f>
        <v/>
      </c>
      <c r="DX48" s="58" t="str">
        <f>IF(ISNUMBER(MATCH(#REF!,'Audit Characteristic Mapping'!$H$3:$H$500,0)),"Y","")</f>
        <v/>
      </c>
      <c r="DY48" s="58" t="str">
        <f>IF(ISNUMBER(MATCH(#REF!,'Audit Characteristic Mapping'!$I$3:$I$500,0)),"Y","")</f>
        <v/>
      </c>
      <c r="DZ48" s="58" t="str">
        <f>IF(ISNUMBER(MATCH(#REF!,'Audit Characteristic Mapping'!$J$3:$J$500,0)),"Y","")</f>
        <v/>
      </c>
      <c r="EA48" s="58" t="str">
        <f>IF(ISNUMBER(MATCH(#REF!,'Audit Characteristic Mapping'!$K$3:$K$500,0)),"Y","")</f>
        <v/>
      </c>
    </row>
    <row r="49" spans="1:131" ht="16" hidden="1" x14ac:dyDescent="0.2">
      <c r="A49" s="288">
        <v>44</v>
      </c>
      <c r="B49" s="287" t="s">
        <v>131</v>
      </c>
      <c r="C49" s="226" t="s">
        <v>174</v>
      </c>
      <c r="D49" s="170">
        <v>1</v>
      </c>
      <c r="E49" s="288">
        <v>7</v>
      </c>
      <c r="F49" s="291" t="str">
        <f>VLOOKUP(Calculation!A49,'Descriptor maps'!$A$2:$F$1658,2,0)</f>
        <v>General information</v>
      </c>
      <c r="G49" s="289" t="s">
        <v>685</v>
      </c>
      <c r="H49" s="290"/>
      <c r="I49" s="291"/>
      <c r="J49" s="292" cm="1">
        <f t="array" ref="J49">INDEX('Descriptor maps'!$I$2:$I$1658,MATCH(1,('Descriptor maps'!$A$2:$A$1658=Calculation!$A49)*('Descriptor maps'!$G$2:$G$1658=Calculation!$G49),0))</f>
        <v>0</v>
      </c>
      <c r="K49" s="226"/>
      <c r="L49" s="293"/>
      <c r="M49" s="293"/>
      <c r="N49" s="293"/>
      <c r="O49" s="293"/>
      <c r="P49" s="293"/>
      <c r="Q49" s="293"/>
      <c r="R49" s="293"/>
      <c r="S49" s="293"/>
      <c r="T49" s="293"/>
      <c r="U49" s="293"/>
      <c r="V49" s="293"/>
      <c r="W49" s="293"/>
      <c r="X49" s="293"/>
      <c r="Y49" s="293"/>
      <c r="Z49" s="293"/>
      <c r="AA49" s="293"/>
      <c r="AB49" s="293"/>
      <c r="AC49" s="293"/>
      <c r="AD49" s="293"/>
      <c r="AE49" s="293"/>
      <c r="AF49" s="293"/>
      <c r="AG49" s="293"/>
      <c r="AH49" s="293"/>
      <c r="AI49" s="293"/>
      <c r="AJ49" s="293"/>
      <c r="AK49" s="293"/>
      <c r="AL49" s="293"/>
      <c r="AM49" s="293"/>
      <c r="AN49" s="293"/>
      <c r="AO49" s="293"/>
      <c r="AP49" s="293"/>
      <c r="AQ49" s="293"/>
      <c r="AR49" s="293"/>
      <c r="AS49" s="293"/>
      <c r="AT49" s="293"/>
      <c r="AU49" s="293"/>
      <c r="AV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c r="BT49" s="293"/>
      <c r="BU49" s="293"/>
      <c r="BV49" s="293"/>
      <c r="BW49" s="293"/>
      <c r="BX49" s="293"/>
      <c r="BY49" s="293"/>
      <c r="BZ49" s="293"/>
      <c r="CA49" s="285"/>
      <c r="CB49" s="286"/>
      <c r="CC49" s="286"/>
      <c r="CD49" s="286"/>
      <c r="CE49" s="286"/>
      <c r="CF49" s="286"/>
      <c r="CG49" s="286"/>
      <c r="CH49" s="286"/>
      <c r="CI49" s="286"/>
      <c r="CJ49" s="286"/>
      <c r="CK49" s="286"/>
      <c r="CL49" s="286"/>
      <c r="CM49" s="286"/>
      <c r="CN49" s="286"/>
      <c r="CO49" s="286"/>
      <c r="CP49" s="286"/>
      <c r="CQ49" s="286"/>
      <c r="CR49" s="286"/>
      <c r="CS49" s="286"/>
      <c r="CT49" s="286"/>
      <c r="CU49" s="286"/>
      <c r="CV49" s="286"/>
      <c r="CW49" s="286"/>
      <c r="CX49" s="286"/>
      <c r="CY49" s="286"/>
      <c r="CZ49" s="286"/>
      <c r="DA49" s="286"/>
      <c r="DB49" s="286"/>
      <c r="DC49" s="286"/>
      <c r="DD49" s="286"/>
      <c r="DE49" s="286"/>
      <c r="DF49" s="286"/>
      <c r="DG49" s="286"/>
      <c r="DH49" s="286"/>
      <c r="DI49" s="286"/>
      <c r="DJ49" s="286"/>
      <c r="DK49" s="286"/>
      <c r="DL49" s="286"/>
      <c r="DM49" s="286"/>
      <c r="DN49" s="286"/>
      <c r="DO49" s="286"/>
      <c r="DP49" s="286"/>
      <c r="DR49" s="58" t="str">
        <f>IF(ISNUMBER(MATCH(#REF!,'Audit Characteristic Mapping'!$B$3:$B$500,0)),"Y","")</f>
        <v/>
      </c>
      <c r="DS49" s="58" t="str">
        <f>IF(ISNUMBER(MATCH(#REF!,'Audit Characteristic Mapping'!$C$3:$C$500,0)),"Y","")</f>
        <v/>
      </c>
      <c r="DT49" s="58" t="str">
        <f>IF(ISNUMBER(MATCH(#REF!,'Audit Characteristic Mapping'!$D$3:$D$500,0)),"Y","")</f>
        <v/>
      </c>
      <c r="DU49" s="58" t="str">
        <f>IF(ISNUMBER(MATCH(#REF!,'Audit Characteristic Mapping'!$E$3:$E$500,0)),"Y","")</f>
        <v/>
      </c>
      <c r="DV49" s="58" t="str">
        <f>IF(ISNUMBER(MATCH(#REF!,'Audit Characteristic Mapping'!$F$3:$F$500,0)),"Y","")</f>
        <v/>
      </c>
      <c r="DW49" s="58" t="str">
        <f>IF(ISNUMBER(MATCH(#REF!,'Audit Characteristic Mapping'!$G$3:$G$500,0)),"Y","")</f>
        <v/>
      </c>
      <c r="DX49" s="58" t="str">
        <f>IF(ISNUMBER(MATCH(#REF!,'Audit Characteristic Mapping'!$H$3:$H$500,0)),"Y","")</f>
        <v/>
      </c>
      <c r="DY49" s="58" t="str">
        <f>IF(ISNUMBER(MATCH(#REF!,'Audit Characteristic Mapping'!$I$3:$I$500,0)),"Y","")</f>
        <v/>
      </c>
      <c r="DZ49" s="58" t="str">
        <f>IF(ISNUMBER(MATCH(#REF!,'Audit Characteristic Mapping'!$J$3:$J$500,0)),"Y","")</f>
        <v/>
      </c>
      <c r="EA49" s="58" t="str">
        <f>IF(ISNUMBER(MATCH(#REF!,'Audit Characteristic Mapping'!$K$3:$K$500,0)),"Y","")</f>
        <v/>
      </c>
    </row>
    <row r="50" spans="1:131" ht="16" hidden="1" x14ac:dyDescent="0.2">
      <c r="A50" s="288">
        <v>45</v>
      </c>
      <c r="B50" s="287" t="s">
        <v>131</v>
      </c>
      <c r="C50" s="226" t="s">
        <v>174</v>
      </c>
      <c r="D50" s="170">
        <v>1</v>
      </c>
      <c r="E50" s="288">
        <v>7</v>
      </c>
      <c r="F50" s="291" t="str">
        <f>VLOOKUP(Calculation!A50,'Descriptor maps'!$A$2:$F$1658,2,0)</f>
        <v>General information</v>
      </c>
      <c r="G50" s="289">
        <v>1</v>
      </c>
      <c r="H50" s="290"/>
      <c r="I50" s="291"/>
      <c r="J50" s="292" t="e" cm="1">
        <f t="array" ref="J50">INDEX('Descriptor maps'!$I$2:$I$1658,MATCH(1,('Descriptor maps'!$A$2:$A$1658=Calculation!$A50)*('Descriptor maps'!$G$2:$G$1658=Calculation!$G50),0))</f>
        <v>#N/A</v>
      </c>
      <c r="K50" s="226"/>
      <c r="L50" s="293"/>
      <c r="M50" s="293"/>
      <c r="N50" s="293"/>
      <c r="O50" s="293"/>
      <c r="P50" s="293"/>
      <c r="Q50" s="293"/>
      <c r="R50" s="293"/>
      <c r="S50" s="293"/>
      <c r="T50" s="293"/>
      <c r="U50" s="293"/>
      <c r="V50" s="293"/>
      <c r="W50" s="293"/>
      <c r="X50" s="293"/>
      <c r="Y50" s="29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c r="BT50" s="293"/>
      <c r="BU50" s="293"/>
      <c r="BV50" s="293"/>
      <c r="BW50" s="293"/>
      <c r="BX50" s="293"/>
      <c r="BY50" s="293"/>
      <c r="BZ50" s="293"/>
      <c r="CA50" s="285"/>
      <c r="CB50" s="286"/>
      <c r="CC50" s="286"/>
      <c r="CD50" s="286"/>
      <c r="CE50" s="286"/>
      <c r="CF50" s="286"/>
      <c r="CG50" s="286"/>
      <c r="CH50" s="286"/>
      <c r="CI50" s="286"/>
      <c r="CJ50" s="286"/>
      <c r="CK50" s="286"/>
      <c r="CL50" s="286"/>
      <c r="CM50" s="286"/>
      <c r="CN50" s="286"/>
      <c r="CO50" s="286"/>
      <c r="CP50" s="286"/>
      <c r="CQ50" s="286"/>
      <c r="CR50" s="286"/>
      <c r="CS50" s="286"/>
      <c r="CT50" s="286"/>
      <c r="CU50" s="286"/>
      <c r="CV50" s="286"/>
      <c r="CW50" s="286"/>
      <c r="CX50" s="286"/>
      <c r="CY50" s="286"/>
      <c r="CZ50" s="286"/>
      <c r="DA50" s="286"/>
      <c r="DB50" s="286"/>
      <c r="DC50" s="286"/>
      <c r="DD50" s="286"/>
      <c r="DE50" s="286"/>
      <c r="DF50" s="286"/>
      <c r="DG50" s="286"/>
      <c r="DH50" s="286"/>
      <c r="DI50" s="286"/>
      <c r="DJ50" s="286"/>
      <c r="DK50" s="286"/>
      <c r="DL50" s="286"/>
      <c r="DM50" s="286"/>
      <c r="DN50" s="286"/>
      <c r="DO50" s="286"/>
      <c r="DP50" s="286"/>
      <c r="DR50" s="58" t="str">
        <f>IF(ISNUMBER(MATCH(#REF!,'Audit Characteristic Mapping'!$B$3:$B$500,0)),"Y","")</f>
        <v/>
      </c>
      <c r="DS50" s="58" t="str">
        <f>IF(ISNUMBER(MATCH(#REF!,'Audit Characteristic Mapping'!$C$3:$C$500,0)),"Y","")</f>
        <v/>
      </c>
      <c r="DT50" s="58" t="str">
        <f>IF(ISNUMBER(MATCH(#REF!,'Audit Characteristic Mapping'!$D$3:$D$500,0)),"Y","")</f>
        <v/>
      </c>
      <c r="DU50" s="58" t="str">
        <f>IF(ISNUMBER(MATCH(#REF!,'Audit Characteristic Mapping'!$E$3:$E$500,0)),"Y","")</f>
        <v/>
      </c>
      <c r="DV50" s="58" t="str">
        <f>IF(ISNUMBER(MATCH(#REF!,'Audit Characteristic Mapping'!$F$3:$F$500,0)),"Y","")</f>
        <v/>
      </c>
      <c r="DW50" s="58" t="str">
        <f>IF(ISNUMBER(MATCH(#REF!,'Audit Characteristic Mapping'!$G$3:$G$500,0)),"Y","")</f>
        <v/>
      </c>
      <c r="DX50" s="58" t="str">
        <f>IF(ISNUMBER(MATCH(#REF!,'Audit Characteristic Mapping'!$H$3:$H$500,0)),"Y","")</f>
        <v/>
      </c>
      <c r="DY50" s="58" t="str">
        <f>IF(ISNUMBER(MATCH(#REF!,'Audit Characteristic Mapping'!$I$3:$I$500,0)),"Y","")</f>
        <v/>
      </c>
      <c r="DZ50" s="58" t="str">
        <f>IF(ISNUMBER(MATCH(#REF!,'Audit Characteristic Mapping'!$J$3:$J$500,0)),"Y","")</f>
        <v/>
      </c>
      <c r="EA50" s="58" t="str">
        <f>IF(ISNUMBER(MATCH(#REF!,'Audit Characteristic Mapping'!$K$3:$K$500,0)),"Y","")</f>
        <v/>
      </c>
    </row>
    <row r="51" spans="1:131" ht="16" hidden="1" x14ac:dyDescent="0.2">
      <c r="A51" s="288">
        <v>46</v>
      </c>
      <c r="B51" s="287" t="s">
        <v>131</v>
      </c>
      <c r="C51" s="226" t="s">
        <v>174</v>
      </c>
      <c r="D51" s="170">
        <v>1</v>
      </c>
      <c r="E51" s="288">
        <v>7</v>
      </c>
      <c r="F51" s="291" t="str">
        <f>VLOOKUP(Calculation!A51,'Descriptor maps'!$A$2:$F$1658,2,0)</f>
        <v>General information</v>
      </c>
      <c r="G51" s="289">
        <f>146*10000</f>
        <v>1460000</v>
      </c>
      <c r="H51" s="290"/>
      <c r="I51" s="291"/>
      <c r="J51" s="292" t="e" cm="1">
        <f t="array" ref="J51">INDEX('Descriptor maps'!$I$2:$I$1658,MATCH(1,('Descriptor maps'!$A$2:$A$1658=Calculation!$A51)*('Descriptor maps'!$G$2:$G$1658=Calculation!$G51),0))</f>
        <v>#N/A</v>
      </c>
      <c r="K51" s="226"/>
      <c r="L51" s="293"/>
      <c r="M51" s="293"/>
      <c r="N51" s="293"/>
      <c r="O51" s="293"/>
      <c r="P51" s="293"/>
      <c r="Q51" s="293"/>
      <c r="R51" s="293"/>
      <c r="S51" s="293"/>
      <c r="T51" s="293"/>
      <c r="U51" s="293"/>
      <c r="V51" s="293"/>
      <c r="W51" s="293"/>
      <c r="X51" s="293"/>
      <c r="Y51" s="293"/>
      <c r="Z51" s="293"/>
      <c r="AA51" s="293"/>
      <c r="AB51" s="293"/>
      <c r="AC51" s="293"/>
      <c r="AD51" s="293"/>
      <c r="AE51" s="293"/>
      <c r="AF51" s="293"/>
      <c r="AG51" s="293"/>
      <c r="AH51" s="293"/>
      <c r="AI51" s="293"/>
      <c r="AJ51" s="293"/>
      <c r="AK51" s="293"/>
      <c r="AL51" s="293"/>
      <c r="AM51" s="293"/>
      <c r="AN51" s="293"/>
      <c r="AO51" s="293"/>
      <c r="AP51" s="293"/>
      <c r="AQ51" s="293"/>
      <c r="AR51" s="293"/>
      <c r="AS51" s="293"/>
      <c r="AT51" s="293"/>
      <c r="AU51" s="293"/>
      <c r="AV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c r="BT51" s="293"/>
      <c r="BU51" s="293"/>
      <c r="BV51" s="293"/>
      <c r="BW51" s="293"/>
      <c r="BX51" s="293"/>
      <c r="BY51" s="293"/>
      <c r="BZ51" s="293"/>
      <c r="CA51" s="285"/>
      <c r="CB51" s="286"/>
      <c r="CC51" s="286"/>
      <c r="CD51" s="286"/>
      <c r="CE51" s="286"/>
      <c r="CF51" s="286"/>
      <c r="CG51" s="286"/>
      <c r="CH51" s="286"/>
      <c r="CI51" s="286"/>
      <c r="CJ51" s="286"/>
      <c r="CK51" s="286"/>
      <c r="CL51" s="286"/>
      <c r="CM51" s="286"/>
      <c r="CN51" s="286"/>
      <c r="CO51" s="286"/>
      <c r="CP51" s="286"/>
      <c r="CQ51" s="286"/>
      <c r="CR51" s="286"/>
      <c r="CS51" s="286"/>
      <c r="CT51" s="286"/>
      <c r="CU51" s="286"/>
      <c r="CV51" s="286"/>
      <c r="CW51" s="286"/>
      <c r="CX51" s="286"/>
      <c r="CY51" s="286"/>
      <c r="CZ51" s="286"/>
      <c r="DA51" s="286"/>
      <c r="DB51" s="286"/>
      <c r="DC51" s="286"/>
      <c r="DD51" s="286"/>
      <c r="DE51" s="286"/>
      <c r="DF51" s="286"/>
      <c r="DG51" s="286"/>
      <c r="DH51" s="286"/>
      <c r="DI51" s="286"/>
      <c r="DJ51" s="286"/>
      <c r="DK51" s="286"/>
      <c r="DL51" s="286"/>
      <c r="DM51" s="286"/>
      <c r="DN51" s="286"/>
      <c r="DO51" s="286"/>
      <c r="DP51" s="286"/>
      <c r="DR51" s="58" t="str">
        <f>IF(ISNUMBER(MATCH(#REF!,'Audit Characteristic Mapping'!$B$3:$B$500,0)),"Y","")</f>
        <v/>
      </c>
      <c r="DS51" s="58" t="str">
        <f>IF(ISNUMBER(MATCH(#REF!,'Audit Characteristic Mapping'!$C$3:$C$500,0)),"Y","")</f>
        <v/>
      </c>
      <c r="DT51" s="58" t="str">
        <f>IF(ISNUMBER(MATCH(#REF!,'Audit Characteristic Mapping'!$D$3:$D$500,0)),"Y","")</f>
        <v/>
      </c>
      <c r="DU51" s="58" t="str">
        <f>IF(ISNUMBER(MATCH(#REF!,'Audit Characteristic Mapping'!$E$3:$E$500,0)),"Y","")</f>
        <v/>
      </c>
      <c r="DV51" s="58" t="str">
        <f>IF(ISNUMBER(MATCH(#REF!,'Audit Characteristic Mapping'!$F$3:$F$500,0)),"Y","")</f>
        <v/>
      </c>
      <c r="DW51" s="58" t="str">
        <f>IF(ISNUMBER(MATCH(#REF!,'Audit Characteristic Mapping'!$G$3:$G$500,0)),"Y","")</f>
        <v/>
      </c>
      <c r="DX51" s="58" t="str">
        <f>IF(ISNUMBER(MATCH(#REF!,'Audit Characteristic Mapping'!$H$3:$H$500,0)),"Y","")</f>
        <v/>
      </c>
      <c r="DY51" s="58" t="str">
        <f>IF(ISNUMBER(MATCH(#REF!,'Audit Characteristic Mapping'!$I$3:$I$500,0)),"Y","")</f>
        <v/>
      </c>
      <c r="DZ51" s="58" t="str">
        <f>IF(ISNUMBER(MATCH(#REF!,'Audit Characteristic Mapping'!$J$3:$J$500,0)),"Y","")</f>
        <v/>
      </c>
      <c r="EA51" s="58" t="str">
        <f>IF(ISNUMBER(MATCH(#REF!,'Audit Characteristic Mapping'!$K$3:$K$500,0)),"Y","")</f>
        <v/>
      </c>
    </row>
    <row r="52" spans="1:131" ht="16" hidden="1" x14ac:dyDescent="0.2">
      <c r="A52" s="288">
        <v>47</v>
      </c>
      <c r="B52" s="287" t="s">
        <v>131</v>
      </c>
      <c r="C52" s="226" t="s">
        <v>174</v>
      </c>
      <c r="D52" s="170">
        <v>1</v>
      </c>
      <c r="E52" s="288">
        <v>7</v>
      </c>
      <c r="F52" s="291" t="str">
        <f>VLOOKUP(Calculation!A52,'Descriptor maps'!$A$2:$F$1658,2,0)</f>
        <v>General information</v>
      </c>
      <c r="G52" s="289" t="s">
        <v>686</v>
      </c>
      <c r="H52" s="290"/>
      <c r="I52" s="291"/>
      <c r="J52" s="292" t="e" cm="1">
        <f t="array" ref="J52">INDEX('Descriptor maps'!$I$2:$I$1658,MATCH(1,('Descriptor maps'!$A$2:$A$1658=Calculation!$A52)*('Descriptor maps'!$G$2:$G$1658=Calculation!$G52),0))</f>
        <v>#N/A</v>
      </c>
      <c r="K52" s="226"/>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c r="BT52" s="293"/>
      <c r="BU52" s="293"/>
      <c r="BV52" s="293"/>
      <c r="BW52" s="293"/>
      <c r="BX52" s="293"/>
      <c r="BY52" s="293"/>
      <c r="BZ52" s="293"/>
      <c r="CA52" s="285"/>
      <c r="CB52" s="286"/>
      <c r="CC52" s="286"/>
      <c r="CD52" s="286"/>
      <c r="CE52" s="286"/>
      <c r="CF52" s="286"/>
      <c r="CG52" s="286"/>
      <c r="CH52" s="286"/>
      <c r="CI52" s="286"/>
      <c r="CJ52" s="286"/>
      <c r="CK52" s="286"/>
      <c r="CL52" s="286"/>
      <c r="CM52" s="286"/>
      <c r="CN52" s="286"/>
      <c r="CO52" s="286"/>
      <c r="CP52" s="286"/>
      <c r="CQ52" s="286"/>
      <c r="CR52" s="286"/>
      <c r="CS52" s="286"/>
      <c r="CT52" s="286"/>
      <c r="CU52" s="286"/>
      <c r="CV52" s="286"/>
      <c r="CW52" s="286"/>
      <c r="CX52" s="286"/>
      <c r="CY52" s="286"/>
      <c r="CZ52" s="286"/>
      <c r="DA52" s="286"/>
      <c r="DB52" s="286"/>
      <c r="DC52" s="286"/>
      <c r="DD52" s="286"/>
      <c r="DE52" s="286"/>
      <c r="DF52" s="286"/>
      <c r="DG52" s="286"/>
      <c r="DH52" s="286"/>
      <c r="DI52" s="286"/>
      <c r="DJ52" s="286"/>
      <c r="DK52" s="286"/>
      <c r="DL52" s="286"/>
      <c r="DM52" s="286"/>
      <c r="DN52" s="286"/>
      <c r="DO52" s="286"/>
      <c r="DP52" s="286"/>
      <c r="DR52" s="58" t="str">
        <f>IF(ISNUMBER(MATCH(#REF!,'Audit Characteristic Mapping'!$B$3:$B$500,0)),"Y","")</f>
        <v/>
      </c>
      <c r="DS52" s="58" t="str">
        <f>IF(ISNUMBER(MATCH(#REF!,'Audit Characteristic Mapping'!$C$3:$C$500,0)),"Y","")</f>
        <v/>
      </c>
      <c r="DT52" s="58" t="str">
        <f>IF(ISNUMBER(MATCH(#REF!,'Audit Characteristic Mapping'!$D$3:$D$500,0)),"Y","")</f>
        <v/>
      </c>
      <c r="DU52" s="58" t="str">
        <f>IF(ISNUMBER(MATCH(#REF!,'Audit Characteristic Mapping'!$E$3:$E$500,0)),"Y","")</f>
        <v/>
      </c>
      <c r="DV52" s="58" t="str">
        <f>IF(ISNUMBER(MATCH(#REF!,'Audit Characteristic Mapping'!$F$3:$F$500,0)),"Y","")</f>
        <v/>
      </c>
      <c r="DW52" s="58" t="str">
        <f>IF(ISNUMBER(MATCH(#REF!,'Audit Characteristic Mapping'!$G$3:$G$500,0)),"Y","")</f>
        <v/>
      </c>
      <c r="DX52" s="58" t="str">
        <f>IF(ISNUMBER(MATCH(#REF!,'Audit Characteristic Mapping'!$H$3:$H$500,0)),"Y","")</f>
        <v/>
      </c>
      <c r="DY52" s="58" t="str">
        <f>IF(ISNUMBER(MATCH(#REF!,'Audit Characteristic Mapping'!$I$3:$I$500,0)),"Y","")</f>
        <v/>
      </c>
      <c r="DZ52" s="58" t="str">
        <f>IF(ISNUMBER(MATCH(#REF!,'Audit Characteristic Mapping'!$J$3:$J$500,0)),"Y","")</f>
        <v/>
      </c>
      <c r="EA52" s="58" t="str">
        <f>IF(ISNUMBER(MATCH(#REF!,'Audit Characteristic Mapping'!$K$3:$K$500,0)),"Y","")</f>
        <v/>
      </c>
    </row>
    <row r="53" spans="1:131" ht="16" hidden="1" x14ac:dyDescent="0.2">
      <c r="A53" s="288">
        <v>48</v>
      </c>
      <c r="B53" s="287" t="s">
        <v>131</v>
      </c>
      <c r="C53" s="226" t="s">
        <v>174</v>
      </c>
      <c r="D53" s="170">
        <v>1</v>
      </c>
      <c r="E53" s="288">
        <v>7</v>
      </c>
      <c r="F53" s="291" t="e">
        <f>VLOOKUP(Calculation!A53,'Descriptor maps'!$A$2:$F$1658,2,0)</f>
        <v>#N/A</v>
      </c>
      <c r="G53" s="289" t="s">
        <v>8</v>
      </c>
      <c r="H53" s="290"/>
      <c r="I53" s="291"/>
      <c r="J53" s="292" t="e" cm="1">
        <f t="array" ref="J53">INDEX('Descriptor maps'!$I$2:$I$1658,MATCH(1,('Descriptor maps'!$A$2:$A$1658=Calculation!$A53)*('Descriptor maps'!$G$2:$G$1658=Calculation!$G53),0))</f>
        <v>#N/A</v>
      </c>
      <c r="K53" s="226"/>
      <c r="L53" s="293"/>
      <c r="M53" s="293"/>
      <c r="N53" s="293"/>
      <c r="O53" s="293"/>
      <c r="P53" s="293"/>
      <c r="Q53" s="293"/>
      <c r="R53" s="293"/>
      <c r="S53" s="293"/>
      <c r="T53" s="293"/>
      <c r="U53" s="293"/>
      <c r="V53" s="293"/>
      <c r="W53" s="293"/>
      <c r="X53" s="293"/>
      <c r="Y53" s="29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c r="BT53" s="293"/>
      <c r="BU53" s="293"/>
      <c r="BV53" s="293"/>
      <c r="BW53" s="293"/>
      <c r="BX53" s="293"/>
      <c r="BY53" s="293"/>
      <c r="BZ53" s="293"/>
      <c r="CA53" s="285"/>
      <c r="CB53" s="286"/>
      <c r="CC53" s="286"/>
      <c r="CD53" s="286"/>
      <c r="CE53" s="286"/>
      <c r="CF53" s="286"/>
      <c r="CG53" s="286"/>
      <c r="CH53" s="286"/>
      <c r="CI53" s="286"/>
      <c r="CJ53" s="286"/>
      <c r="CK53" s="286"/>
      <c r="CL53" s="286"/>
      <c r="CM53" s="286"/>
      <c r="CN53" s="286"/>
      <c r="CO53" s="286"/>
      <c r="CP53" s="286"/>
      <c r="CQ53" s="286"/>
      <c r="CR53" s="286"/>
      <c r="CS53" s="286"/>
      <c r="CT53" s="286"/>
      <c r="CU53" s="286"/>
      <c r="CV53" s="286"/>
      <c r="CW53" s="286"/>
      <c r="CX53" s="286"/>
      <c r="CY53" s="286"/>
      <c r="CZ53" s="286"/>
      <c r="DA53" s="286"/>
      <c r="DB53" s="286"/>
      <c r="DC53" s="286"/>
      <c r="DD53" s="286"/>
      <c r="DE53" s="286"/>
      <c r="DF53" s="286"/>
      <c r="DG53" s="286"/>
      <c r="DH53" s="286"/>
      <c r="DI53" s="286"/>
      <c r="DJ53" s="286"/>
      <c r="DK53" s="286"/>
      <c r="DL53" s="286"/>
      <c r="DM53" s="286"/>
      <c r="DN53" s="286"/>
      <c r="DO53" s="286"/>
      <c r="DP53" s="286"/>
      <c r="DR53" s="58" t="str">
        <f>IF(ISNUMBER(MATCH(#REF!,'Audit Characteristic Mapping'!$B$3:$B$500,0)),"Y","")</f>
        <v/>
      </c>
      <c r="DS53" s="58" t="str">
        <f>IF(ISNUMBER(MATCH(#REF!,'Audit Characteristic Mapping'!$C$3:$C$500,0)),"Y","")</f>
        <v/>
      </c>
      <c r="DT53" s="58" t="str">
        <f>IF(ISNUMBER(MATCH(#REF!,'Audit Characteristic Mapping'!$D$3:$D$500,0)),"Y","")</f>
        <v/>
      </c>
      <c r="DU53" s="58" t="str">
        <f>IF(ISNUMBER(MATCH(#REF!,'Audit Characteristic Mapping'!$E$3:$E$500,0)),"Y","")</f>
        <v/>
      </c>
      <c r="DV53" s="58" t="str">
        <f>IF(ISNUMBER(MATCH(#REF!,'Audit Characteristic Mapping'!$F$3:$F$500,0)),"Y","")</f>
        <v/>
      </c>
      <c r="DW53" s="58" t="str">
        <f>IF(ISNUMBER(MATCH(#REF!,'Audit Characteristic Mapping'!$G$3:$G$500,0)),"Y","")</f>
        <v/>
      </c>
      <c r="DX53" s="58" t="str">
        <f>IF(ISNUMBER(MATCH(#REF!,'Audit Characteristic Mapping'!$H$3:$H$500,0)),"Y","")</f>
        <v/>
      </c>
      <c r="DY53" s="58" t="str">
        <f>IF(ISNUMBER(MATCH(#REF!,'Audit Characteristic Mapping'!$I$3:$I$500,0)),"Y","")</f>
        <v/>
      </c>
      <c r="DZ53" s="58" t="str">
        <f>IF(ISNUMBER(MATCH(#REF!,'Audit Characteristic Mapping'!$J$3:$J$500,0)),"Y","")</f>
        <v/>
      </c>
      <c r="EA53" s="58" t="str">
        <f>IF(ISNUMBER(MATCH(#REF!,'Audit Characteristic Mapping'!$K$3:$K$500,0)),"Y","")</f>
        <v/>
      </c>
    </row>
    <row r="54" spans="1:131" ht="16" hidden="1" x14ac:dyDescent="0.2">
      <c r="A54" s="288">
        <v>49</v>
      </c>
      <c r="B54" s="287" t="s">
        <v>131</v>
      </c>
      <c r="C54" s="226" t="s">
        <v>174</v>
      </c>
      <c r="D54" s="170">
        <v>1</v>
      </c>
      <c r="E54" s="288">
        <v>7</v>
      </c>
      <c r="F54" s="291" t="str">
        <f>VLOOKUP(Calculation!A54,'Descriptor maps'!$A$2:$F$1658,2,0)</f>
        <v>General information</v>
      </c>
      <c r="G54" s="289"/>
      <c r="H54" s="290"/>
      <c r="I54" s="291"/>
      <c r="J54" s="292" t="e" cm="1">
        <f t="array" ref="J54">INDEX('Descriptor maps'!$I$2:$I$1658,MATCH(1,('Descriptor maps'!$A$2:$A$1658=Calculation!$A54)*('Descriptor maps'!$G$2:$G$1658=Calculation!$G54),0))</f>
        <v>#N/A</v>
      </c>
      <c r="K54" s="226"/>
      <c r="L54" s="293"/>
      <c r="M54" s="293"/>
      <c r="N54" s="293"/>
      <c r="O54" s="293"/>
      <c r="P54" s="293"/>
      <c r="Q54" s="293"/>
      <c r="R54" s="293"/>
      <c r="S54" s="293"/>
      <c r="T54" s="293"/>
      <c r="U54" s="293"/>
      <c r="V54" s="293"/>
      <c r="W54" s="293"/>
      <c r="X54" s="293"/>
      <c r="Y54" s="293"/>
      <c r="Z54" s="293"/>
      <c r="AA54" s="293"/>
      <c r="AB54" s="293"/>
      <c r="AC54" s="293"/>
      <c r="AD54" s="293"/>
      <c r="AE54" s="293"/>
      <c r="AF54" s="293"/>
      <c r="AG54" s="293"/>
      <c r="AH54" s="293"/>
      <c r="AI54" s="293"/>
      <c r="AJ54" s="293"/>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c r="BT54" s="293"/>
      <c r="BU54" s="293"/>
      <c r="BV54" s="293"/>
      <c r="BW54" s="293"/>
      <c r="BX54" s="293"/>
      <c r="BY54" s="293"/>
      <c r="BZ54" s="293"/>
      <c r="CA54" s="285"/>
      <c r="CB54" s="286"/>
      <c r="CC54" s="286"/>
      <c r="CD54" s="286"/>
      <c r="CE54" s="286"/>
      <c r="CF54" s="286"/>
      <c r="CG54" s="286"/>
      <c r="CH54" s="286"/>
      <c r="CI54" s="286"/>
      <c r="CJ54" s="286"/>
      <c r="CK54" s="286"/>
      <c r="CL54" s="286"/>
      <c r="CM54" s="286"/>
      <c r="CN54" s="286"/>
      <c r="CO54" s="286"/>
      <c r="CP54" s="286"/>
      <c r="CQ54" s="286"/>
      <c r="CR54" s="286"/>
      <c r="CS54" s="286"/>
      <c r="CT54" s="286"/>
      <c r="CU54" s="286"/>
      <c r="CV54" s="286"/>
      <c r="CW54" s="286"/>
      <c r="CX54" s="286"/>
      <c r="CY54" s="286"/>
      <c r="CZ54" s="286"/>
      <c r="DA54" s="286"/>
      <c r="DB54" s="286"/>
      <c r="DC54" s="286"/>
      <c r="DD54" s="286"/>
      <c r="DE54" s="286"/>
      <c r="DF54" s="286"/>
      <c r="DG54" s="286"/>
      <c r="DH54" s="286"/>
      <c r="DI54" s="286"/>
      <c r="DJ54" s="286"/>
      <c r="DK54" s="286"/>
      <c r="DL54" s="286"/>
      <c r="DM54" s="286"/>
      <c r="DN54" s="286"/>
      <c r="DO54" s="286"/>
      <c r="DP54" s="286"/>
      <c r="DR54" s="58" t="str">
        <f>IF(ISNUMBER(MATCH(#REF!,'Audit Characteristic Mapping'!$B$3:$B$500,0)),"Y","")</f>
        <v/>
      </c>
      <c r="DS54" s="58" t="str">
        <f>IF(ISNUMBER(MATCH(#REF!,'Audit Characteristic Mapping'!$C$3:$C$500,0)),"Y","")</f>
        <v/>
      </c>
      <c r="DT54" s="58" t="str">
        <f>IF(ISNUMBER(MATCH(#REF!,'Audit Characteristic Mapping'!$D$3:$D$500,0)),"Y","")</f>
        <v/>
      </c>
      <c r="DU54" s="58" t="str">
        <f>IF(ISNUMBER(MATCH(#REF!,'Audit Characteristic Mapping'!$E$3:$E$500,0)),"Y","")</f>
        <v/>
      </c>
      <c r="DV54" s="58" t="str">
        <f>IF(ISNUMBER(MATCH(#REF!,'Audit Characteristic Mapping'!$F$3:$F$500,0)),"Y","")</f>
        <v/>
      </c>
      <c r="DW54" s="58" t="str">
        <f>IF(ISNUMBER(MATCH(#REF!,'Audit Characteristic Mapping'!$G$3:$G$500,0)),"Y","")</f>
        <v/>
      </c>
      <c r="DX54" s="58" t="str">
        <f>IF(ISNUMBER(MATCH(#REF!,'Audit Characteristic Mapping'!$H$3:$H$500,0)),"Y","")</f>
        <v/>
      </c>
      <c r="DY54" s="58" t="str">
        <f>IF(ISNUMBER(MATCH(#REF!,'Audit Characteristic Mapping'!$I$3:$I$500,0)),"Y","")</f>
        <v/>
      </c>
      <c r="DZ54" s="58" t="str">
        <f>IF(ISNUMBER(MATCH(#REF!,'Audit Characteristic Mapping'!$J$3:$J$500,0)),"Y","")</f>
        <v/>
      </c>
      <c r="EA54" s="58" t="str">
        <f>IF(ISNUMBER(MATCH(#REF!,'Audit Characteristic Mapping'!$K$3:$K$500,0)),"Y","")</f>
        <v/>
      </c>
    </row>
    <row r="55" spans="1:131" ht="16" hidden="1" x14ac:dyDescent="0.2">
      <c r="A55" s="288">
        <v>50</v>
      </c>
      <c r="B55" s="287" t="s">
        <v>131</v>
      </c>
      <c r="C55" s="226" t="s">
        <v>174</v>
      </c>
      <c r="D55" s="170">
        <v>1</v>
      </c>
      <c r="E55" s="288">
        <v>7</v>
      </c>
      <c r="F55" s="291" t="str">
        <f>VLOOKUP(Calculation!A55,'Descriptor maps'!$A$2:$F$1658,2,0)</f>
        <v>General information</v>
      </c>
      <c r="G55" s="289">
        <v>50</v>
      </c>
      <c r="H55" s="290"/>
      <c r="I55" s="291"/>
      <c r="J55" s="292" t="e" cm="1">
        <f t="array" ref="J55">INDEX('Descriptor maps'!$I$2:$I$1658,MATCH(1,('Descriptor maps'!$A$2:$A$1658=Calculation!$A55)*('Descriptor maps'!$G$2:$G$1658=Calculation!$G55),0))</f>
        <v>#N/A</v>
      </c>
      <c r="K55" s="226"/>
      <c r="L55" s="293"/>
      <c r="M55" s="293"/>
      <c r="N55" s="293"/>
      <c r="O55" s="293"/>
      <c r="P55" s="293"/>
      <c r="Q55" s="293"/>
      <c r="R55" s="293"/>
      <c r="S55" s="293"/>
      <c r="T55" s="293"/>
      <c r="U55" s="293"/>
      <c r="V55" s="293"/>
      <c r="W55" s="293"/>
      <c r="X55" s="293"/>
      <c r="Y55" s="293"/>
      <c r="Z55" s="293"/>
      <c r="AA55" s="293"/>
      <c r="AB55" s="293"/>
      <c r="AC55" s="293"/>
      <c r="AD55" s="293"/>
      <c r="AE55" s="293"/>
      <c r="AF55" s="293"/>
      <c r="AG55" s="293"/>
      <c r="AH55" s="293"/>
      <c r="AI55" s="293"/>
      <c r="AJ55" s="293"/>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c r="BT55" s="293"/>
      <c r="BU55" s="293"/>
      <c r="BV55" s="293"/>
      <c r="BW55" s="293"/>
      <c r="BX55" s="293"/>
      <c r="BY55" s="293"/>
      <c r="BZ55" s="293"/>
      <c r="CA55" s="285"/>
      <c r="CB55" s="286"/>
      <c r="CC55" s="286"/>
      <c r="CD55" s="286"/>
      <c r="CE55" s="286"/>
      <c r="CF55" s="286"/>
      <c r="CG55" s="286"/>
      <c r="CH55" s="286"/>
      <c r="CI55" s="286"/>
      <c r="CJ55" s="286"/>
      <c r="CK55" s="286"/>
      <c r="CL55" s="286"/>
      <c r="CM55" s="286"/>
      <c r="CN55" s="286"/>
      <c r="CO55" s="286"/>
      <c r="CP55" s="286"/>
      <c r="CQ55" s="286"/>
      <c r="CR55" s="286"/>
      <c r="CS55" s="286"/>
      <c r="CT55" s="286"/>
      <c r="CU55" s="286"/>
      <c r="CV55" s="286"/>
      <c r="CW55" s="286"/>
      <c r="CX55" s="286"/>
      <c r="CY55" s="286"/>
      <c r="CZ55" s="286"/>
      <c r="DA55" s="286"/>
      <c r="DB55" s="286"/>
      <c r="DC55" s="286"/>
      <c r="DD55" s="286"/>
      <c r="DE55" s="286"/>
      <c r="DF55" s="286"/>
      <c r="DG55" s="286"/>
      <c r="DH55" s="286"/>
      <c r="DI55" s="286"/>
      <c r="DJ55" s="286"/>
      <c r="DK55" s="286"/>
      <c r="DL55" s="286"/>
      <c r="DM55" s="286"/>
      <c r="DN55" s="286"/>
      <c r="DO55" s="286"/>
      <c r="DP55" s="286"/>
      <c r="DR55" s="58" t="str">
        <f>IF(ISNUMBER(MATCH(#REF!,'Audit Characteristic Mapping'!$B$3:$B$500,0)),"Y","")</f>
        <v/>
      </c>
      <c r="DS55" s="58" t="str">
        <f>IF(ISNUMBER(MATCH(#REF!,'Audit Characteristic Mapping'!$C$3:$C$500,0)),"Y","")</f>
        <v/>
      </c>
      <c r="DT55" s="58" t="str">
        <f>IF(ISNUMBER(MATCH(#REF!,'Audit Characteristic Mapping'!$D$3:$D$500,0)),"Y","")</f>
        <v/>
      </c>
      <c r="DU55" s="58" t="str">
        <f>IF(ISNUMBER(MATCH(#REF!,'Audit Characteristic Mapping'!$E$3:$E$500,0)),"Y","")</f>
        <v/>
      </c>
      <c r="DV55" s="58" t="str">
        <f>IF(ISNUMBER(MATCH(#REF!,'Audit Characteristic Mapping'!$F$3:$F$500,0)),"Y","")</f>
        <v/>
      </c>
      <c r="DW55" s="58" t="str">
        <f>IF(ISNUMBER(MATCH(#REF!,'Audit Characteristic Mapping'!$G$3:$G$500,0)),"Y","")</f>
        <v/>
      </c>
      <c r="DX55" s="58" t="str">
        <f>IF(ISNUMBER(MATCH(#REF!,'Audit Characteristic Mapping'!$H$3:$H$500,0)),"Y","")</f>
        <v/>
      </c>
      <c r="DY55" s="58" t="str">
        <f>IF(ISNUMBER(MATCH(#REF!,'Audit Characteristic Mapping'!$I$3:$I$500,0)),"Y","")</f>
        <v/>
      </c>
      <c r="DZ55" s="58" t="str">
        <f>IF(ISNUMBER(MATCH(#REF!,'Audit Characteristic Mapping'!$J$3:$J$500,0)),"Y","")</f>
        <v/>
      </c>
      <c r="EA55" s="58" t="str">
        <f>IF(ISNUMBER(MATCH(#REF!,'Audit Characteristic Mapping'!$K$3:$K$500,0)),"Y","")</f>
        <v/>
      </c>
    </row>
    <row r="56" spans="1:131" ht="16" hidden="1" x14ac:dyDescent="0.2">
      <c r="A56" s="288">
        <v>51</v>
      </c>
      <c r="B56" s="287" t="s">
        <v>131</v>
      </c>
      <c r="C56" s="226" t="s">
        <v>174</v>
      </c>
      <c r="D56" s="170">
        <v>1</v>
      </c>
      <c r="E56" s="288">
        <v>7</v>
      </c>
      <c r="F56" s="291" t="str">
        <f>VLOOKUP(Calculation!A56,'Descriptor maps'!$A$2:$F$1658,2,0)</f>
        <v>General information</v>
      </c>
      <c r="G56" s="289" t="s">
        <v>687</v>
      </c>
      <c r="H56" s="290"/>
      <c r="I56" s="291"/>
      <c r="J56" s="292" t="e" cm="1">
        <f t="array" ref="J56">INDEX('Descriptor maps'!$I$2:$I$1658,MATCH(1,('Descriptor maps'!$A$2:$A$1658=Calculation!$A56)*('Descriptor maps'!$G$2:$G$1658=Calculation!$G56),0))</f>
        <v>#N/A</v>
      </c>
      <c r="K56" s="226"/>
      <c r="L56" s="293"/>
      <c r="M56" s="293"/>
      <c r="N56" s="293"/>
      <c r="O56" s="293"/>
      <c r="P56" s="293"/>
      <c r="Q56" s="293"/>
      <c r="R56" s="293"/>
      <c r="S56" s="293"/>
      <c r="T56" s="293"/>
      <c r="U56" s="293"/>
      <c r="V56" s="293"/>
      <c r="W56" s="293"/>
      <c r="X56" s="293"/>
      <c r="Y56" s="293"/>
      <c r="Z56" s="293"/>
      <c r="AA56" s="293"/>
      <c r="AB56" s="293"/>
      <c r="AC56" s="293"/>
      <c r="AD56" s="293"/>
      <c r="AE56" s="293"/>
      <c r="AF56" s="293"/>
      <c r="AG56" s="293"/>
      <c r="AH56" s="293"/>
      <c r="AI56" s="293"/>
      <c r="AJ56" s="293"/>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c r="BT56" s="293"/>
      <c r="BU56" s="293"/>
      <c r="BV56" s="293"/>
      <c r="BW56" s="293"/>
      <c r="BX56" s="293"/>
      <c r="BY56" s="293"/>
      <c r="BZ56" s="293"/>
      <c r="CA56" s="285"/>
      <c r="CB56" s="286"/>
      <c r="CC56" s="286"/>
      <c r="CD56" s="286"/>
      <c r="CE56" s="286"/>
      <c r="CF56" s="286"/>
      <c r="CG56" s="286"/>
      <c r="CH56" s="286"/>
      <c r="CI56" s="286"/>
      <c r="CJ56" s="286"/>
      <c r="CK56" s="286"/>
      <c r="CL56" s="286"/>
      <c r="CM56" s="286"/>
      <c r="CN56" s="286"/>
      <c r="CO56" s="286"/>
      <c r="CP56" s="286"/>
      <c r="CQ56" s="286"/>
      <c r="CR56" s="286"/>
      <c r="CS56" s="286"/>
      <c r="CT56" s="286"/>
      <c r="CU56" s="286"/>
      <c r="CV56" s="286"/>
      <c r="CW56" s="286"/>
      <c r="CX56" s="286"/>
      <c r="CY56" s="286"/>
      <c r="CZ56" s="286"/>
      <c r="DA56" s="286"/>
      <c r="DB56" s="286"/>
      <c r="DC56" s="286"/>
      <c r="DD56" s="286"/>
      <c r="DE56" s="286"/>
      <c r="DF56" s="286"/>
      <c r="DG56" s="286"/>
      <c r="DH56" s="286"/>
      <c r="DI56" s="286"/>
      <c r="DJ56" s="286"/>
      <c r="DK56" s="286"/>
      <c r="DL56" s="286"/>
      <c r="DM56" s="286"/>
      <c r="DN56" s="286"/>
      <c r="DO56" s="286"/>
      <c r="DP56" s="286"/>
      <c r="DR56" s="58" t="str">
        <f>IF(ISNUMBER(MATCH(#REF!,'Audit Characteristic Mapping'!$B$3:$B$500,0)),"Y","")</f>
        <v/>
      </c>
      <c r="DS56" s="58" t="str">
        <f>IF(ISNUMBER(MATCH(#REF!,'Audit Characteristic Mapping'!$C$3:$C$500,0)),"Y","")</f>
        <v/>
      </c>
      <c r="DT56" s="58" t="str">
        <f>IF(ISNUMBER(MATCH(#REF!,'Audit Characteristic Mapping'!$D$3:$D$500,0)),"Y","")</f>
        <v/>
      </c>
      <c r="DU56" s="58" t="str">
        <f>IF(ISNUMBER(MATCH(#REF!,'Audit Characteristic Mapping'!$E$3:$E$500,0)),"Y","")</f>
        <v/>
      </c>
      <c r="DV56" s="58" t="str">
        <f>IF(ISNUMBER(MATCH(#REF!,'Audit Characteristic Mapping'!$F$3:$F$500,0)),"Y","")</f>
        <v/>
      </c>
      <c r="DW56" s="58" t="str">
        <f>IF(ISNUMBER(MATCH(#REF!,'Audit Characteristic Mapping'!$G$3:$G$500,0)),"Y","")</f>
        <v/>
      </c>
      <c r="DX56" s="58" t="str">
        <f>IF(ISNUMBER(MATCH(#REF!,'Audit Characteristic Mapping'!$H$3:$H$500,0)),"Y","")</f>
        <v/>
      </c>
      <c r="DY56" s="58" t="str">
        <f>IF(ISNUMBER(MATCH(#REF!,'Audit Characteristic Mapping'!$I$3:$I$500,0)),"Y","")</f>
        <v/>
      </c>
      <c r="DZ56" s="58" t="str">
        <f>IF(ISNUMBER(MATCH(#REF!,'Audit Characteristic Mapping'!$J$3:$J$500,0)),"Y","")</f>
        <v/>
      </c>
      <c r="EA56" s="58" t="str">
        <f>IF(ISNUMBER(MATCH(#REF!,'Audit Characteristic Mapping'!$K$3:$K$500,0)),"Y","")</f>
        <v/>
      </c>
    </row>
    <row r="57" spans="1:131" ht="16" hidden="1" x14ac:dyDescent="0.2">
      <c r="A57" s="288">
        <v>52</v>
      </c>
      <c r="B57" s="287" t="s">
        <v>131</v>
      </c>
      <c r="C57" s="226" t="s">
        <v>174</v>
      </c>
      <c r="D57" s="170">
        <v>1</v>
      </c>
      <c r="E57" s="288">
        <v>7</v>
      </c>
      <c r="F57" s="291" t="str">
        <f>VLOOKUP(Calculation!A57,'Descriptor maps'!$A$2:$F$1658,2,0)</f>
        <v>General information</v>
      </c>
      <c r="G57" s="289" t="s">
        <v>688</v>
      </c>
      <c r="H57" s="290"/>
      <c r="I57" s="291"/>
      <c r="J57" s="292" t="e" cm="1">
        <f t="array" ref="J57">INDEX('Descriptor maps'!$I$2:$I$1658,MATCH(1,('Descriptor maps'!$A$2:$A$1658=Calculation!$A57)*('Descriptor maps'!$G$2:$G$1658=Calculation!$G57),0))</f>
        <v>#N/A</v>
      </c>
      <c r="K57" s="226"/>
      <c r="L57" s="293"/>
      <c r="M57" s="293"/>
      <c r="N57" s="293"/>
      <c r="O57" s="293"/>
      <c r="P57" s="293"/>
      <c r="Q57" s="293"/>
      <c r="R57" s="293"/>
      <c r="S57" s="293"/>
      <c r="T57" s="293"/>
      <c r="U57" s="293"/>
      <c r="V57" s="293"/>
      <c r="W57" s="293"/>
      <c r="X57" s="293"/>
      <c r="Y57" s="293"/>
      <c r="Z57" s="293"/>
      <c r="AA57" s="293"/>
      <c r="AB57" s="293"/>
      <c r="AC57" s="293"/>
      <c r="AD57" s="293"/>
      <c r="AE57" s="293"/>
      <c r="AF57" s="293"/>
      <c r="AG57" s="293"/>
      <c r="AH57" s="293"/>
      <c r="AI57" s="293"/>
      <c r="AJ57" s="293"/>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c r="BT57" s="293"/>
      <c r="BU57" s="293"/>
      <c r="BV57" s="293"/>
      <c r="BW57" s="293"/>
      <c r="BX57" s="293"/>
      <c r="BY57" s="293"/>
      <c r="BZ57" s="293"/>
      <c r="CA57" s="285"/>
      <c r="CB57" s="286"/>
      <c r="CC57" s="286"/>
      <c r="CD57" s="286"/>
      <c r="CE57" s="286"/>
      <c r="CF57" s="286"/>
      <c r="CG57" s="286"/>
      <c r="CH57" s="286"/>
      <c r="CI57" s="286"/>
      <c r="CJ57" s="286"/>
      <c r="CK57" s="286"/>
      <c r="CL57" s="286"/>
      <c r="CM57" s="286"/>
      <c r="CN57" s="286"/>
      <c r="CO57" s="286"/>
      <c r="CP57" s="286"/>
      <c r="CQ57" s="286"/>
      <c r="CR57" s="286"/>
      <c r="CS57" s="286"/>
      <c r="CT57" s="286"/>
      <c r="CU57" s="286"/>
      <c r="CV57" s="286"/>
      <c r="CW57" s="286"/>
      <c r="CX57" s="286"/>
      <c r="CY57" s="286"/>
      <c r="CZ57" s="286"/>
      <c r="DA57" s="286"/>
      <c r="DB57" s="286"/>
      <c r="DC57" s="286"/>
      <c r="DD57" s="286"/>
      <c r="DE57" s="286"/>
      <c r="DF57" s="286"/>
      <c r="DG57" s="286"/>
      <c r="DH57" s="286"/>
      <c r="DI57" s="286"/>
      <c r="DJ57" s="286"/>
      <c r="DK57" s="286"/>
      <c r="DL57" s="286"/>
      <c r="DM57" s="286"/>
      <c r="DN57" s="286"/>
      <c r="DO57" s="286"/>
      <c r="DP57" s="286"/>
      <c r="DR57" s="58" t="str">
        <f>IF(ISNUMBER(MATCH(#REF!,'Audit Characteristic Mapping'!$B$3:$B$500,0)),"Y","")</f>
        <v/>
      </c>
      <c r="DS57" s="58" t="str">
        <f>IF(ISNUMBER(MATCH(#REF!,'Audit Characteristic Mapping'!$C$3:$C$500,0)),"Y","")</f>
        <v/>
      </c>
      <c r="DT57" s="58" t="str">
        <f>IF(ISNUMBER(MATCH(#REF!,'Audit Characteristic Mapping'!$D$3:$D$500,0)),"Y","")</f>
        <v/>
      </c>
      <c r="DU57" s="58" t="str">
        <f>IF(ISNUMBER(MATCH(#REF!,'Audit Characteristic Mapping'!$E$3:$E$500,0)),"Y","")</f>
        <v/>
      </c>
      <c r="DV57" s="58" t="str">
        <f>IF(ISNUMBER(MATCH(#REF!,'Audit Characteristic Mapping'!$F$3:$F$500,0)),"Y","")</f>
        <v/>
      </c>
      <c r="DW57" s="58" t="str">
        <f>IF(ISNUMBER(MATCH(#REF!,'Audit Characteristic Mapping'!$G$3:$G$500,0)),"Y","")</f>
        <v/>
      </c>
      <c r="DX57" s="58" t="str">
        <f>IF(ISNUMBER(MATCH(#REF!,'Audit Characteristic Mapping'!$H$3:$H$500,0)),"Y","")</f>
        <v/>
      </c>
      <c r="DY57" s="58" t="str">
        <f>IF(ISNUMBER(MATCH(#REF!,'Audit Characteristic Mapping'!$I$3:$I$500,0)),"Y","")</f>
        <v/>
      </c>
      <c r="DZ57" s="58" t="str">
        <f>IF(ISNUMBER(MATCH(#REF!,'Audit Characteristic Mapping'!$J$3:$J$500,0)),"Y","")</f>
        <v/>
      </c>
      <c r="EA57" s="58" t="str">
        <f>IF(ISNUMBER(MATCH(#REF!,'Audit Characteristic Mapping'!$K$3:$K$500,0)),"Y","")</f>
        <v/>
      </c>
    </row>
    <row r="58" spans="1:131" ht="16" hidden="1" x14ac:dyDescent="0.2">
      <c r="A58" s="288">
        <v>53</v>
      </c>
      <c r="B58" s="287" t="s">
        <v>131</v>
      </c>
      <c r="C58" s="226" t="s">
        <v>174</v>
      </c>
      <c r="D58" s="170">
        <v>1</v>
      </c>
      <c r="E58" s="288">
        <v>7</v>
      </c>
      <c r="F58" s="291" t="str">
        <f>VLOOKUP(Calculation!A58,'Descriptor maps'!$A$2:$F$1658,2,0)</f>
        <v>General information</v>
      </c>
      <c r="G58" s="289" t="s">
        <v>689</v>
      </c>
      <c r="H58" s="290"/>
      <c r="I58" s="291"/>
      <c r="J58" s="292" t="e" cm="1">
        <f t="array" ref="J58">INDEX('Descriptor maps'!$I$2:$I$1658,MATCH(1,('Descriptor maps'!$A$2:$A$1658=Calculation!$A58)*('Descriptor maps'!$G$2:$G$1658=Calculation!$G58),0))</f>
        <v>#N/A</v>
      </c>
      <c r="K58" s="226"/>
      <c r="L58" s="293"/>
      <c r="M58" s="293"/>
      <c r="N58" s="293"/>
      <c r="O58" s="293"/>
      <c r="P58" s="293"/>
      <c r="Q58" s="293"/>
      <c r="R58" s="293"/>
      <c r="S58" s="293"/>
      <c r="T58" s="293"/>
      <c r="U58" s="293"/>
      <c r="V58" s="293"/>
      <c r="W58" s="293"/>
      <c r="X58" s="293"/>
      <c r="Y58" s="293"/>
      <c r="Z58" s="293"/>
      <c r="AA58" s="293"/>
      <c r="AB58" s="293"/>
      <c r="AC58" s="293"/>
      <c r="AD58" s="293"/>
      <c r="AE58" s="293"/>
      <c r="AF58" s="293"/>
      <c r="AG58" s="293"/>
      <c r="AH58" s="293"/>
      <c r="AI58" s="293"/>
      <c r="AJ58" s="293"/>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c r="BT58" s="293"/>
      <c r="BU58" s="293"/>
      <c r="BV58" s="293"/>
      <c r="BW58" s="293"/>
      <c r="BX58" s="293"/>
      <c r="BY58" s="293"/>
      <c r="BZ58" s="293"/>
      <c r="CA58" s="285"/>
      <c r="CB58" s="286"/>
      <c r="CC58" s="286"/>
      <c r="CD58" s="286"/>
      <c r="CE58" s="286"/>
      <c r="CF58" s="286"/>
      <c r="CG58" s="286"/>
      <c r="CH58" s="286"/>
      <c r="CI58" s="286"/>
      <c r="CJ58" s="286"/>
      <c r="CK58" s="286"/>
      <c r="CL58" s="286"/>
      <c r="CM58" s="286"/>
      <c r="CN58" s="286"/>
      <c r="CO58" s="286"/>
      <c r="CP58" s="286"/>
      <c r="CQ58" s="286"/>
      <c r="CR58" s="286"/>
      <c r="CS58" s="286"/>
      <c r="CT58" s="286"/>
      <c r="CU58" s="286"/>
      <c r="CV58" s="286"/>
      <c r="CW58" s="286"/>
      <c r="CX58" s="286"/>
      <c r="CY58" s="286"/>
      <c r="CZ58" s="286"/>
      <c r="DA58" s="286"/>
      <c r="DB58" s="286"/>
      <c r="DC58" s="286"/>
      <c r="DD58" s="286"/>
      <c r="DE58" s="286"/>
      <c r="DF58" s="286"/>
      <c r="DG58" s="286"/>
      <c r="DH58" s="286"/>
      <c r="DI58" s="286"/>
      <c r="DJ58" s="286"/>
      <c r="DK58" s="286"/>
      <c r="DL58" s="286"/>
      <c r="DM58" s="286"/>
      <c r="DN58" s="286"/>
      <c r="DO58" s="286"/>
      <c r="DP58" s="286"/>
      <c r="DR58" s="58" t="str">
        <f>IF(ISNUMBER(MATCH(#REF!,'Audit Characteristic Mapping'!$B$3:$B$500,0)),"Y","")</f>
        <v/>
      </c>
      <c r="DS58" s="58" t="str">
        <f>IF(ISNUMBER(MATCH(#REF!,'Audit Characteristic Mapping'!$C$3:$C$500,0)),"Y","")</f>
        <v/>
      </c>
      <c r="DT58" s="58" t="str">
        <f>IF(ISNUMBER(MATCH(#REF!,'Audit Characteristic Mapping'!$D$3:$D$500,0)),"Y","")</f>
        <v/>
      </c>
      <c r="DU58" s="58" t="str">
        <f>IF(ISNUMBER(MATCH(#REF!,'Audit Characteristic Mapping'!$E$3:$E$500,0)),"Y","")</f>
        <v/>
      </c>
      <c r="DV58" s="58" t="str">
        <f>IF(ISNUMBER(MATCH(#REF!,'Audit Characteristic Mapping'!$F$3:$F$500,0)),"Y","")</f>
        <v/>
      </c>
      <c r="DW58" s="58" t="str">
        <f>IF(ISNUMBER(MATCH(#REF!,'Audit Characteristic Mapping'!$G$3:$G$500,0)),"Y","")</f>
        <v/>
      </c>
      <c r="DX58" s="58" t="str">
        <f>IF(ISNUMBER(MATCH(#REF!,'Audit Characteristic Mapping'!$H$3:$H$500,0)),"Y","")</f>
        <v/>
      </c>
      <c r="DY58" s="58" t="str">
        <f>IF(ISNUMBER(MATCH(#REF!,'Audit Characteristic Mapping'!$I$3:$I$500,0)),"Y","")</f>
        <v/>
      </c>
      <c r="DZ58" s="58" t="str">
        <f>IF(ISNUMBER(MATCH(#REF!,'Audit Characteristic Mapping'!$J$3:$J$500,0)),"Y","")</f>
        <v/>
      </c>
      <c r="EA58" s="58" t="str">
        <f>IF(ISNUMBER(MATCH(#REF!,'Audit Characteristic Mapping'!$K$3:$K$500,0)),"Y","")</f>
        <v/>
      </c>
    </row>
    <row r="59" spans="1:131" ht="16" hidden="1" x14ac:dyDescent="0.2">
      <c r="A59" s="288">
        <v>54</v>
      </c>
      <c r="B59" s="287" t="s">
        <v>131</v>
      </c>
      <c r="C59" s="226" t="s">
        <v>174</v>
      </c>
      <c r="D59" s="170">
        <v>1</v>
      </c>
      <c r="E59" s="288">
        <v>7</v>
      </c>
      <c r="F59" s="291" t="str">
        <f>VLOOKUP(Calculation!A59,'Descriptor maps'!$A$2:$F$1658,2,0)</f>
        <v>General information</v>
      </c>
      <c r="G59" s="289" t="s">
        <v>665</v>
      </c>
      <c r="H59" s="290"/>
      <c r="I59" s="291"/>
      <c r="J59" s="292" cm="1">
        <f t="array" ref="J59">INDEX('Descriptor maps'!$I$2:$I$1658,MATCH(1,('Descriptor maps'!$A$2:$A$1658=Calculation!$A59)*('Descriptor maps'!$G$2:$G$1658=Calculation!$G59),0))</f>
        <v>0</v>
      </c>
      <c r="K59" s="226"/>
      <c r="L59" s="293"/>
      <c r="M59" s="293"/>
      <c r="N59" s="293"/>
      <c r="O59" s="293"/>
      <c r="P59" s="293"/>
      <c r="Q59" s="293"/>
      <c r="R59" s="293"/>
      <c r="S59" s="293"/>
      <c r="T59" s="293"/>
      <c r="U59" s="293"/>
      <c r="V59" s="293"/>
      <c r="W59" s="293"/>
      <c r="X59" s="293"/>
      <c r="Y59" s="293"/>
      <c r="Z59" s="293"/>
      <c r="AA59" s="293"/>
      <c r="AB59" s="293"/>
      <c r="AC59" s="293"/>
      <c r="AD59" s="293"/>
      <c r="AE59" s="293"/>
      <c r="AF59" s="293"/>
      <c r="AG59" s="293"/>
      <c r="AH59" s="293"/>
      <c r="AI59" s="293"/>
      <c r="AJ59" s="293"/>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c r="BT59" s="293"/>
      <c r="BU59" s="293"/>
      <c r="BV59" s="293"/>
      <c r="BW59" s="293"/>
      <c r="BX59" s="293"/>
      <c r="BY59" s="293"/>
      <c r="BZ59" s="293"/>
      <c r="CA59" s="285"/>
      <c r="CB59" s="286"/>
      <c r="CC59" s="286"/>
      <c r="CD59" s="286"/>
      <c r="CE59" s="286"/>
      <c r="CF59" s="286"/>
      <c r="CG59" s="286"/>
      <c r="CH59" s="286"/>
      <c r="CI59" s="286"/>
      <c r="CJ59" s="286"/>
      <c r="CK59" s="286"/>
      <c r="CL59" s="286"/>
      <c r="CM59" s="286"/>
      <c r="CN59" s="286"/>
      <c r="CO59" s="286"/>
      <c r="CP59" s="286"/>
      <c r="CQ59" s="286"/>
      <c r="CR59" s="286"/>
      <c r="CS59" s="286"/>
      <c r="CT59" s="286"/>
      <c r="CU59" s="286"/>
      <c r="CV59" s="286"/>
      <c r="CW59" s="286"/>
      <c r="CX59" s="286"/>
      <c r="CY59" s="286"/>
      <c r="CZ59" s="286"/>
      <c r="DA59" s="286"/>
      <c r="DB59" s="286"/>
      <c r="DC59" s="286"/>
      <c r="DD59" s="286"/>
      <c r="DE59" s="286"/>
      <c r="DF59" s="286"/>
      <c r="DG59" s="286"/>
      <c r="DH59" s="286"/>
      <c r="DI59" s="286"/>
      <c r="DJ59" s="286"/>
      <c r="DK59" s="286"/>
      <c r="DL59" s="286"/>
      <c r="DM59" s="286"/>
      <c r="DN59" s="286"/>
      <c r="DO59" s="286"/>
      <c r="DP59" s="286"/>
      <c r="DR59" s="58" t="str">
        <f>IF(ISNUMBER(MATCH(#REF!,'Audit Characteristic Mapping'!$B$3:$B$500,0)),"Y","")</f>
        <v/>
      </c>
      <c r="DS59" s="58" t="str">
        <f>IF(ISNUMBER(MATCH(#REF!,'Audit Characteristic Mapping'!$C$3:$C$500,0)),"Y","")</f>
        <v/>
      </c>
      <c r="DT59" s="58" t="str">
        <f>IF(ISNUMBER(MATCH(#REF!,'Audit Characteristic Mapping'!$D$3:$D$500,0)),"Y","")</f>
        <v/>
      </c>
      <c r="DU59" s="58" t="str">
        <f>IF(ISNUMBER(MATCH(#REF!,'Audit Characteristic Mapping'!$E$3:$E$500,0)),"Y","")</f>
        <v/>
      </c>
      <c r="DV59" s="58" t="str">
        <f>IF(ISNUMBER(MATCH(#REF!,'Audit Characteristic Mapping'!$F$3:$F$500,0)),"Y","")</f>
        <v/>
      </c>
      <c r="DW59" s="58" t="str">
        <f>IF(ISNUMBER(MATCH(#REF!,'Audit Characteristic Mapping'!$G$3:$G$500,0)),"Y","")</f>
        <v/>
      </c>
      <c r="DX59" s="58" t="str">
        <f>IF(ISNUMBER(MATCH(#REF!,'Audit Characteristic Mapping'!$H$3:$H$500,0)),"Y","")</f>
        <v/>
      </c>
      <c r="DY59" s="58" t="str">
        <f>IF(ISNUMBER(MATCH(#REF!,'Audit Characteristic Mapping'!$I$3:$I$500,0)),"Y","")</f>
        <v/>
      </c>
      <c r="DZ59" s="58" t="str">
        <f>IF(ISNUMBER(MATCH(#REF!,'Audit Characteristic Mapping'!$J$3:$J$500,0)),"Y","")</f>
        <v/>
      </c>
      <c r="EA59" s="58" t="str">
        <f>IF(ISNUMBER(MATCH(#REF!,'Audit Characteristic Mapping'!$K$3:$K$500,0)),"Y","")</f>
        <v/>
      </c>
    </row>
    <row r="60" spans="1:131" ht="16" hidden="1" x14ac:dyDescent="0.2">
      <c r="A60" s="288">
        <v>55</v>
      </c>
      <c r="B60" s="287" t="s">
        <v>131</v>
      </c>
      <c r="C60" s="226" t="s">
        <v>174</v>
      </c>
      <c r="D60" s="170">
        <v>1</v>
      </c>
      <c r="E60" s="288">
        <v>7</v>
      </c>
      <c r="F60" s="291" t="str">
        <f>VLOOKUP(Calculation!A60,'Descriptor maps'!$A$2:$F$1658,2,0)</f>
        <v>General information</v>
      </c>
      <c r="G60" s="289" t="s">
        <v>665</v>
      </c>
      <c r="H60" s="290"/>
      <c r="I60" s="291"/>
      <c r="J60" s="292" cm="1">
        <f t="array" ref="J60">INDEX('Descriptor maps'!$I$2:$I$1658,MATCH(1,('Descriptor maps'!$A$2:$A$1658=Calculation!$A60)*('Descriptor maps'!$G$2:$G$1658=Calculation!$G60),0))</f>
        <v>0</v>
      </c>
      <c r="K60" s="226"/>
      <c r="L60" s="293"/>
      <c r="M60" s="293"/>
      <c r="N60" s="293"/>
      <c r="O60" s="293"/>
      <c r="P60" s="293"/>
      <c r="Q60" s="293"/>
      <c r="R60" s="293"/>
      <c r="S60" s="293"/>
      <c r="T60" s="293"/>
      <c r="U60" s="293"/>
      <c r="V60" s="293"/>
      <c r="W60" s="293"/>
      <c r="X60" s="293"/>
      <c r="Y60" s="293"/>
      <c r="Z60" s="293"/>
      <c r="AA60" s="293"/>
      <c r="AB60" s="293"/>
      <c r="AC60" s="293"/>
      <c r="AD60" s="293"/>
      <c r="AE60" s="293"/>
      <c r="AF60" s="293"/>
      <c r="AG60" s="293"/>
      <c r="AH60" s="293"/>
      <c r="AI60" s="293"/>
      <c r="AJ60" s="293"/>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c r="BT60" s="293"/>
      <c r="BU60" s="293"/>
      <c r="BV60" s="293"/>
      <c r="BW60" s="293"/>
      <c r="BX60" s="293"/>
      <c r="BY60" s="293"/>
      <c r="BZ60" s="293"/>
      <c r="CA60" s="285"/>
      <c r="CB60" s="286"/>
      <c r="CC60" s="286"/>
      <c r="CD60" s="286"/>
      <c r="CE60" s="286"/>
      <c r="CF60" s="286"/>
      <c r="CG60" s="286"/>
      <c r="CH60" s="286"/>
      <c r="CI60" s="286"/>
      <c r="CJ60" s="286"/>
      <c r="CK60" s="286"/>
      <c r="CL60" s="286"/>
      <c r="CM60" s="286"/>
      <c r="CN60" s="286"/>
      <c r="CO60" s="286"/>
      <c r="CP60" s="286"/>
      <c r="CQ60" s="286"/>
      <c r="CR60" s="286"/>
      <c r="CS60" s="286"/>
      <c r="CT60" s="286"/>
      <c r="CU60" s="286"/>
      <c r="CV60" s="286"/>
      <c r="CW60" s="286"/>
      <c r="CX60" s="286"/>
      <c r="CY60" s="286"/>
      <c r="CZ60" s="286"/>
      <c r="DA60" s="286"/>
      <c r="DB60" s="286"/>
      <c r="DC60" s="286"/>
      <c r="DD60" s="286"/>
      <c r="DE60" s="286"/>
      <c r="DF60" s="286"/>
      <c r="DG60" s="286"/>
      <c r="DH60" s="286"/>
      <c r="DI60" s="286"/>
      <c r="DJ60" s="286"/>
      <c r="DK60" s="286"/>
      <c r="DL60" s="286"/>
      <c r="DM60" s="286"/>
      <c r="DN60" s="286"/>
      <c r="DO60" s="286"/>
      <c r="DP60" s="286"/>
      <c r="DR60" s="58" t="str">
        <f>IF(ISNUMBER(MATCH(#REF!,'Audit Characteristic Mapping'!$B$3:$B$500,0)),"Y","")</f>
        <v/>
      </c>
      <c r="DS60" s="58" t="str">
        <f>IF(ISNUMBER(MATCH(#REF!,'Audit Characteristic Mapping'!$C$3:$C$500,0)),"Y","")</f>
        <v/>
      </c>
      <c r="DT60" s="58" t="str">
        <f>IF(ISNUMBER(MATCH(#REF!,'Audit Characteristic Mapping'!$D$3:$D$500,0)),"Y","")</f>
        <v/>
      </c>
      <c r="DU60" s="58" t="str">
        <f>IF(ISNUMBER(MATCH(#REF!,'Audit Characteristic Mapping'!$E$3:$E$500,0)),"Y","")</f>
        <v/>
      </c>
      <c r="DV60" s="58" t="str">
        <f>IF(ISNUMBER(MATCH(#REF!,'Audit Characteristic Mapping'!$F$3:$F$500,0)),"Y","")</f>
        <v/>
      </c>
      <c r="DW60" s="58" t="str">
        <f>IF(ISNUMBER(MATCH(#REF!,'Audit Characteristic Mapping'!$G$3:$G$500,0)),"Y","")</f>
        <v/>
      </c>
      <c r="DX60" s="58" t="str">
        <f>IF(ISNUMBER(MATCH(#REF!,'Audit Characteristic Mapping'!$H$3:$H$500,0)),"Y","")</f>
        <v/>
      </c>
      <c r="DY60" s="58" t="str">
        <f>IF(ISNUMBER(MATCH(#REF!,'Audit Characteristic Mapping'!$I$3:$I$500,0)),"Y","")</f>
        <v/>
      </c>
      <c r="DZ60" s="58" t="str">
        <f>IF(ISNUMBER(MATCH(#REF!,'Audit Characteristic Mapping'!$J$3:$J$500,0)),"Y","")</f>
        <v/>
      </c>
      <c r="EA60" s="58" t="str">
        <f>IF(ISNUMBER(MATCH(#REF!,'Audit Characteristic Mapping'!$K$3:$K$500,0)),"Y","")</f>
        <v/>
      </c>
    </row>
    <row r="61" spans="1:131" ht="16" hidden="1" x14ac:dyDescent="0.2">
      <c r="A61" s="288">
        <v>56</v>
      </c>
      <c r="B61" s="287" t="s">
        <v>131</v>
      </c>
      <c r="C61" s="226" t="s">
        <v>174</v>
      </c>
      <c r="D61" s="170">
        <v>1</v>
      </c>
      <c r="E61" s="288">
        <v>7</v>
      </c>
      <c r="F61" s="291" t="str">
        <f>VLOOKUP(Calculation!A61,'Descriptor maps'!$A$2:$F$1658,2,0)</f>
        <v>General information</v>
      </c>
      <c r="G61" s="289"/>
      <c r="H61" s="290"/>
      <c r="I61" s="291"/>
      <c r="J61" s="292" t="e" cm="1">
        <f t="array" ref="J61">INDEX('Descriptor maps'!$I$2:$I$1658,MATCH(1,('Descriptor maps'!$A$2:$A$1658=Calculation!$A61)*('Descriptor maps'!$G$2:$G$1658=Calculation!$G61),0))</f>
        <v>#N/A</v>
      </c>
      <c r="K61" s="226"/>
      <c r="L61" s="293"/>
      <c r="M61" s="293"/>
      <c r="N61" s="293"/>
      <c r="O61" s="293"/>
      <c r="P61" s="293"/>
      <c r="Q61" s="293"/>
      <c r="R61" s="293"/>
      <c r="S61" s="293"/>
      <c r="T61" s="293"/>
      <c r="U61" s="293"/>
      <c r="V61" s="293"/>
      <c r="W61" s="293"/>
      <c r="X61" s="293"/>
      <c r="Y61" s="293"/>
      <c r="Z61" s="293"/>
      <c r="AA61" s="293"/>
      <c r="AB61" s="293"/>
      <c r="AC61" s="293"/>
      <c r="AD61" s="293"/>
      <c r="AE61" s="293"/>
      <c r="AF61" s="293"/>
      <c r="AG61" s="293"/>
      <c r="AH61" s="293"/>
      <c r="AI61" s="293"/>
      <c r="AJ61" s="293"/>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c r="BT61" s="293"/>
      <c r="BU61" s="293"/>
      <c r="BV61" s="293"/>
      <c r="BW61" s="293"/>
      <c r="BX61" s="293"/>
      <c r="BY61" s="293"/>
      <c r="BZ61" s="293"/>
      <c r="CA61" s="285"/>
      <c r="CB61" s="286"/>
      <c r="CC61" s="286"/>
      <c r="CD61" s="286"/>
      <c r="CE61" s="286"/>
      <c r="CF61" s="286"/>
      <c r="CG61" s="286"/>
      <c r="CH61" s="286"/>
      <c r="CI61" s="286"/>
      <c r="CJ61" s="286"/>
      <c r="CK61" s="286"/>
      <c r="CL61" s="286"/>
      <c r="CM61" s="286"/>
      <c r="CN61" s="286"/>
      <c r="CO61" s="286"/>
      <c r="CP61" s="286"/>
      <c r="CQ61" s="286"/>
      <c r="CR61" s="286"/>
      <c r="CS61" s="286"/>
      <c r="CT61" s="286"/>
      <c r="CU61" s="286"/>
      <c r="CV61" s="286"/>
      <c r="CW61" s="286"/>
      <c r="CX61" s="286"/>
      <c r="CY61" s="286"/>
      <c r="CZ61" s="286"/>
      <c r="DA61" s="286"/>
      <c r="DB61" s="286"/>
      <c r="DC61" s="286"/>
      <c r="DD61" s="286"/>
      <c r="DE61" s="286"/>
      <c r="DF61" s="286"/>
      <c r="DG61" s="286"/>
      <c r="DH61" s="286"/>
      <c r="DI61" s="286"/>
      <c r="DJ61" s="286"/>
      <c r="DK61" s="286"/>
      <c r="DL61" s="286"/>
      <c r="DM61" s="286"/>
      <c r="DN61" s="286"/>
      <c r="DO61" s="286"/>
      <c r="DP61" s="286"/>
      <c r="DR61" s="58" t="str">
        <f>IF(ISNUMBER(MATCH(#REF!,'Audit Characteristic Mapping'!$B$3:$B$500,0)),"Y","")</f>
        <v/>
      </c>
      <c r="DS61" s="58" t="str">
        <f>IF(ISNUMBER(MATCH(#REF!,'Audit Characteristic Mapping'!$C$3:$C$500,0)),"Y","")</f>
        <v/>
      </c>
      <c r="DT61" s="58" t="str">
        <f>IF(ISNUMBER(MATCH(#REF!,'Audit Characteristic Mapping'!$D$3:$D$500,0)),"Y","")</f>
        <v/>
      </c>
      <c r="DU61" s="58" t="str">
        <f>IF(ISNUMBER(MATCH(#REF!,'Audit Characteristic Mapping'!$E$3:$E$500,0)),"Y","")</f>
        <v/>
      </c>
      <c r="DV61" s="58" t="str">
        <f>IF(ISNUMBER(MATCH(#REF!,'Audit Characteristic Mapping'!$F$3:$F$500,0)),"Y","")</f>
        <v/>
      </c>
      <c r="DW61" s="58" t="str">
        <f>IF(ISNUMBER(MATCH(#REF!,'Audit Characteristic Mapping'!$G$3:$G$500,0)),"Y","")</f>
        <v/>
      </c>
      <c r="DX61" s="58" t="str">
        <f>IF(ISNUMBER(MATCH(#REF!,'Audit Characteristic Mapping'!$H$3:$H$500,0)),"Y","")</f>
        <v/>
      </c>
      <c r="DY61" s="58" t="str">
        <f>IF(ISNUMBER(MATCH(#REF!,'Audit Characteristic Mapping'!$I$3:$I$500,0)),"Y","")</f>
        <v/>
      </c>
      <c r="DZ61" s="58" t="str">
        <f>IF(ISNUMBER(MATCH(#REF!,'Audit Characteristic Mapping'!$J$3:$J$500,0)),"Y","")</f>
        <v/>
      </c>
      <c r="EA61" s="58" t="str">
        <f>IF(ISNUMBER(MATCH(#REF!,'Audit Characteristic Mapping'!$K$3:$K$500,0)),"Y","")</f>
        <v/>
      </c>
    </row>
    <row r="62" spans="1:131" ht="16" hidden="1" x14ac:dyDescent="0.2">
      <c r="A62" s="288">
        <v>57</v>
      </c>
      <c r="B62" s="287" t="s">
        <v>131</v>
      </c>
      <c r="C62" s="226" t="s">
        <v>174</v>
      </c>
      <c r="D62" s="170">
        <v>1</v>
      </c>
      <c r="E62" s="288">
        <v>7</v>
      </c>
      <c r="F62" s="291" t="str">
        <f>VLOOKUP(Calculation!A62,'Descriptor maps'!$A$2:$F$1658,2,0)</f>
        <v>General information</v>
      </c>
      <c r="G62" s="289"/>
      <c r="H62" s="290"/>
      <c r="I62" s="291"/>
      <c r="J62" s="292" t="e" cm="1">
        <f t="array" ref="J62">INDEX('Descriptor maps'!$I$2:$I$1658,MATCH(1,('Descriptor maps'!$A$2:$A$1658=Calculation!$A62)*('Descriptor maps'!$G$2:$G$1658=Calculation!$G62),0))</f>
        <v>#N/A</v>
      </c>
      <c r="K62" s="226"/>
      <c r="L62" s="293"/>
      <c r="M62" s="293"/>
      <c r="N62" s="293"/>
      <c r="O62" s="293"/>
      <c r="P62" s="293"/>
      <c r="Q62" s="293"/>
      <c r="R62" s="293"/>
      <c r="S62" s="293"/>
      <c r="T62" s="293"/>
      <c r="U62" s="293"/>
      <c r="V62" s="293"/>
      <c r="W62" s="293"/>
      <c r="X62" s="293"/>
      <c r="Y62" s="293"/>
      <c r="Z62" s="293"/>
      <c r="AA62" s="293"/>
      <c r="AB62" s="293"/>
      <c r="AC62" s="293"/>
      <c r="AD62" s="293"/>
      <c r="AE62" s="293"/>
      <c r="AF62" s="293"/>
      <c r="AG62" s="293"/>
      <c r="AH62" s="293"/>
      <c r="AI62" s="293"/>
      <c r="AJ62" s="293"/>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c r="BT62" s="293"/>
      <c r="BU62" s="293"/>
      <c r="BV62" s="293"/>
      <c r="BW62" s="293"/>
      <c r="BX62" s="293"/>
      <c r="BY62" s="293"/>
      <c r="BZ62" s="293"/>
      <c r="CA62" s="285"/>
      <c r="CB62" s="286"/>
      <c r="CC62" s="286"/>
      <c r="CD62" s="286"/>
      <c r="CE62" s="286"/>
      <c r="CF62" s="286"/>
      <c r="CG62" s="286"/>
      <c r="CH62" s="286"/>
      <c r="CI62" s="286"/>
      <c r="CJ62" s="286"/>
      <c r="CK62" s="286"/>
      <c r="CL62" s="286"/>
      <c r="CM62" s="286"/>
      <c r="CN62" s="286"/>
      <c r="CO62" s="286"/>
      <c r="CP62" s="286"/>
      <c r="CQ62" s="286"/>
      <c r="CR62" s="286"/>
      <c r="CS62" s="286"/>
      <c r="CT62" s="286"/>
      <c r="CU62" s="286"/>
      <c r="CV62" s="286"/>
      <c r="CW62" s="286"/>
      <c r="CX62" s="286"/>
      <c r="CY62" s="286"/>
      <c r="CZ62" s="286"/>
      <c r="DA62" s="286"/>
      <c r="DB62" s="286"/>
      <c r="DC62" s="286"/>
      <c r="DD62" s="286"/>
      <c r="DE62" s="286"/>
      <c r="DF62" s="286"/>
      <c r="DG62" s="286"/>
      <c r="DH62" s="286"/>
      <c r="DI62" s="286"/>
      <c r="DJ62" s="286"/>
      <c r="DK62" s="286"/>
      <c r="DL62" s="286"/>
      <c r="DM62" s="286"/>
      <c r="DN62" s="286"/>
      <c r="DO62" s="286"/>
      <c r="DP62" s="286"/>
      <c r="DR62" s="58" t="str">
        <f>IF(ISNUMBER(MATCH(#REF!,'Audit Characteristic Mapping'!$B$3:$B$500,0)),"Y","")</f>
        <v/>
      </c>
      <c r="DS62" s="58" t="str">
        <f>IF(ISNUMBER(MATCH(#REF!,'Audit Characteristic Mapping'!$C$3:$C$500,0)),"Y","")</f>
        <v/>
      </c>
      <c r="DT62" s="58" t="str">
        <f>IF(ISNUMBER(MATCH(#REF!,'Audit Characteristic Mapping'!$D$3:$D$500,0)),"Y","")</f>
        <v/>
      </c>
      <c r="DU62" s="58" t="str">
        <f>IF(ISNUMBER(MATCH(#REF!,'Audit Characteristic Mapping'!$E$3:$E$500,0)),"Y","")</f>
        <v/>
      </c>
      <c r="DV62" s="58" t="str">
        <f>IF(ISNUMBER(MATCH(#REF!,'Audit Characteristic Mapping'!$F$3:$F$500,0)),"Y","")</f>
        <v/>
      </c>
      <c r="DW62" s="58" t="str">
        <f>IF(ISNUMBER(MATCH(#REF!,'Audit Characteristic Mapping'!$G$3:$G$500,0)),"Y","")</f>
        <v/>
      </c>
      <c r="DX62" s="58" t="str">
        <f>IF(ISNUMBER(MATCH(#REF!,'Audit Characteristic Mapping'!$H$3:$H$500,0)),"Y","")</f>
        <v/>
      </c>
      <c r="DY62" s="58" t="str">
        <f>IF(ISNUMBER(MATCH(#REF!,'Audit Characteristic Mapping'!$I$3:$I$500,0)),"Y","")</f>
        <v/>
      </c>
      <c r="DZ62" s="58" t="str">
        <f>IF(ISNUMBER(MATCH(#REF!,'Audit Characteristic Mapping'!$J$3:$J$500,0)),"Y","")</f>
        <v/>
      </c>
      <c r="EA62" s="58" t="str">
        <f>IF(ISNUMBER(MATCH(#REF!,'Audit Characteristic Mapping'!$K$3:$K$500,0)),"Y","")</f>
        <v/>
      </c>
    </row>
    <row r="63" spans="1:131" ht="16" hidden="1" x14ac:dyDescent="0.2">
      <c r="A63" s="288">
        <v>58</v>
      </c>
      <c r="B63" s="287" t="s">
        <v>131</v>
      </c>
      <c r="C63" s="226" t="s">
        <v>174</v>
      </c>
      <c r="D63" s="170">
        <v>1</v>
      </c>
      <c r="E63" s="288">
        <v>7</v>
      </c>
      <c r="F63" s="291" t="str">
        <f>VLOOKUP(Calculation!A63,'Descriptor maps'!$A$2:$F$1658,2,0)</f>
        <v>Facility details</v>
      </c>
      <c r="G63" s="289" t="s">
        <v>690</v>
      </c>
      <c r="H63" s="290"/>
      <c r="I63" s="291"/>
      <c r="J63" s="292" t="e" cm="1">
        <f t="array" ref="J63">INDEX('Descriptor maps'!$I$2:$I$1658,MATCH(1,('Descriptor maps'!$A$2:$A$1658=Calculation!$A63)*('Descriptor maps'!$G$2:$G$1658=Calculation!$G63),0))</f>
        <v>#N/A</v>
      </c>
      <c r="K63" s="226"/>
      <c r="L63" s="293"/>
      <c r="M63" s="293"/>
      <c r="N63" s="293"/>
      <c r="O63" s="293"/>
      <c r="P63" s="293"/>
      <c r="Q63" s="293"/>
      <c r="R63" s="293"/>
      <c r="S63" s="293"/>
      <c r="T63" s="293"/>
      <c r="U63" s="293"/>
      <c r="V63" s="293"/>
      <c r="W63" s="293"/>
      <c r="X63" s="293"/>
      <c r="Y63" s="293"/>
      <c r="Z63" s="293"/>
      <c r="AA63" s="293"/>
      <c r="AB63" s="293"/>
      <c r="AC63" s="293"/>
      <c r="AD63" s="293"/>
      <c r="AE63" s="293"/>
      <c r="AF63" s="293"/>
      <c r="AG63" s="293"/>
      <c r="AH63" s="293"/>
      <c r="AI63" s="293"/>
      <c r="AJ63" s="293"/>
      <c r="AK63" s="293"/>
      <c r="AL63" s="293"/>
      <c r="AM63" s="293"/>
      <c r="AN63" s="293"/>
      <c r="AO63" s="293"/>
      <c r="AP63" s="293"/>
      <c r="AQ63" s="293"/>
      <c r="AR63" s="293"/>
      <c r="AS63" s="293"/>
      <c r="AT63" s="293"/>
      <c r="AU63" s="293"/>
      <c r="AV63" s="293"/>
      <c r="AW63" s="293"/>
      <c r="AX63" s="293"/>
      <c r="AY63" s="293"/>
      <c r="AZ63" s="293"/>
      <c r="BA63" s="293"/>
      <c r="BB63" s="293"/>
      <c r="BC63" s="293"/>
      <c r="BD63" s="293"/>
      <c r="BE63" s="293"/>
      <c r="BF63" s="293"/>
      <c r="BG63" s="293"/>
      <c r="BH63" s="293"/>
      <c r="BI63" s="293"/>
      <c r="BJ63" s="293"/>
      <c r="BK63" s="293"/>
      <c r="BL63" s="293"/>
      <c r="BM63" s="293"/>
      <c r="BN63" s="293"/>
      <c r="BO63" s="293"/>
      <c r="BP63" s="293"/>
      <c r="BQ63" s="293"/>
      <c r="BR63" s="293"/>
      <c r="BS63" s="293"/>
      <c r="BT63" s="293"/>
      <c r="BU63" s="293"/>
      <c r="BV63" s="293"/>
      <c r="BW63" s="293"/>
      <c r="BX63" s="293"/>
      <c r="BY63" s="293"/>
      <c r="BZ63" s="293"/>
      <c r="CA63" s="285"/>
      <c r="CB63" s="286"/>
      <c r="CC63" s="286"/>
      <c r="CD63" s="286"/>
      <c r="CE63" s="286"/>
      <c r="CF63" s="286"/>
      <c r="CG63" s="286"/>
      <c r="CH63" s="286"/>
      <c r="CI63" s="286"/>
      <c r="CJ63" s="286"/>
      <c r="CK63" s="286"/>
      <c r="CL63" s="286"/>
      <c r="CM63" s="286"/>
      <c r="CN63" s="286"/>
      <c r="CO63" s="286"/>
      <c r="CP63" s="286"/>
      <c r="CQ63" s="286"/>
      <c r="CR63" s="286"/>
      <c r="CS63" s="286"/>
      <c r="CT63" s="286"/>
      <c r="CU63" s="286"/>
      <c r="CV63" s="286"/>
      <c r="CW63" s="286"/>
      <c r="CX63" s="286"/>
      <c r="CY63" s="286"/>
      <c r="CZ63" s="286"/>
      <c r="DA63" s="286"/>
      <c r="DB63" s="286"/>
      <c r="DC63" s="286"/>
      <c r="DD63" s="286"/>
      <c r="DE63" s="286"/>
      <c r="DF63" s="286"/>
      <c r="DG63" s="286"/>
      <c r="DH63" s="286"/>
      <c r="DI63" s="286"/>
      <c r="DJ63" s="286"/>
      <c r="DK63" s="286"/>
      <c r="DL63" s="286"/>
      <c r="DM63" s="286"/>
      <c r="DN63" s="286"/>
      <c r="DO63" s="286"/>
      <c r="DP63" s="286"/>
      <c r="DR63" s="58" t="str">
        <f>IF(ISNUMBER(MATCH(#REF!,'Audit Characteristic Mapping'!$B$3:$B$500,0)),"Y","")</f>
        <v/>
      </c>
      <c r="DS63" s="58" t="str">
        <f>IF(ISNUMBER(MATCH(#REF!,'Audit Characteristic Mapping'!$C$3:$C$500,0)),"Y","")</f>
        <v/>
      </c>
      <c r="DT63" s="58" t="str">
        <f>IF(ISNUMBER(MATCH(#REF!,'Audit Characteristic Mapping'!$D$3:$D$500,0)),"Y","")</f>
        <v/>
      </c>
      <c r="DU63" s="58" t="str">
        <f>IF(ISNUMBER(MATCH(#REF!,'Audit Characteristic Mapping'!$E$3:$E$500,0)),"Y","")</f>
        <v/>
      </c>
      <c r="DV63" s="58" t="str">
        <f>IF(ISNUMBER(MATCH(#REF!,'Audit Characteristic Mapping'!$F$3:$F$500,0)),"Y","")</f>
        <v/>
      </c>
      <c r="DW63" s="58" t="str">
        <f>IF(ISNUMBER(MATCH(#REF!,'Audit Characteristic Mapping'!$G$3:$G$500,0)),"Y","")</f>
        <v/>
      </c>
      <c r="DX63" s="58" t="str">
        <f>IF(ISNUMBER(MATCH(#REF!,'Audit Characteristic Mapping'!$H$3:$H$500,0)),"Y","")</f>
        <v/>
      </c>
      <c r="DY63" s="58" t="str">
        <f>IF(ISNUMBER(MATCH(#REF!,'Audit Characteristic Mapping'!$I$3:$I$500,0)),"Y","")</f>
        <v/>
      </c>
      <c r="DZ63" s="58" t="str">
        <f>IF(ISNUMBER(MATCH(#REF!,'Audit Characteristic Mapping'!$J$3:$J$500,0)),"Y","")</f>
        <v/>
      </c>
      <c r="EA63" s="58" t="str">
        <f>IF(ISNUMBER(MATCH(#REF!,'Audit Characteristic Mapping'!$K$3:$K$500,0)),"Y","")</f>
        <v/>
      </c>
    </row>
    <row r="64" spans="1:131" ht="16" hidden="1" x14ac:dyDescent="0.2">
      <c r="A64" s="288">
        <v>59</v>
      </c>
      <c r="B64" s="287" t="s">
        <v>131</v>
      </c>
      <c r="C64" s="226" t="s">
        <v>174</v>
      </c>
      <c r="D64" s="170">
        <v>1</v>
      </c>
      <c r="E64" s="288">
        <v>7</v>
      </c>
      <c r="F64" s="291" t="str">
        <f>VLOOKUP(Calculation!A64,'Descriptor maps'!$A$2:$F$1658,2,0)</f>
        <v>Facility details</v>
      </c>
      <c r="G64" s="289">
        <v>2760</v>
      </c>
      <c r="H64" s="290"/>
      <c r="I64" s="291"/>
      <c r="J64" s="292" t="e" cm="1">
        <f t="array" ref="J64">INDEX('Descriptor maps'!$I$2:$I$1658,MATCH(1,('Descriptor maps'!$A$2:$A$1658=Calculation!$A64)*('Descriptor maps'!$G$2:$G$1658=Calculation!$G64),0))</f>
        <v>#N/A</v>
      </c>
      <c r="K64" s="226"/>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3"/>
      <c r="BG64" s="293"/>
      <c r="BH64" s="293"/>
      <c r="BI64" s="293"/>
      <c r="BJ64" s="293"/>
      <c r="BK64" s="293"/>
      <c r="BL64" s="293"/>
      <c r="BM64" s="293"/>
      <c r="BN64" s="293"/>
      <c r="BO64" s="293"/>
      <c r="BP64" s="293"/>
      <c r="BQ64" s="293"/>
      <c r="BR64" s="293"/>
      <c r="BS64" s="293"/>
      <c r="BT64" s="293"/>
      <c r="BU64" s="293"/>
      <c r="BV64" s="293"/>
      <c r="BW64" s="293"/>
      <c r="BX64" s="293"/>
      <c r="BY64" s="293"/>
      <c r="BZ64" s="293"/>
      <c r="CA64" s="285"/>
      <c r="CB64" s="286"/>
      <c r="CC64" s="286"/>
      <c r="CD64" s="286"/>
      <c r="CE64" s="286"/>
      <c r="CF64" s="286"/>
      <c r="CG64" s="286"/>
      <c r="CH64" s="286"/>
      <c r="CI64" s="286"/>
      <c r="CJ64" s="286"/>
      <c r="CK64" s="286"/>
      <c r="CL64" s="286"/>
      <c r="CM64" s="286"/>
      <c r="CN64" s="286"/>
      <c r="CO64" s="286"/>
      <c r="CP64" s="286"/>
      <c r="CQ64" s="286"/>
      <c r="CR64" s="286"/>
      <c r="CS64" s="286"/>
      <c r="CT64" s="286"/>
      <c r="CU64" s="286"/>
      <c r="CV64" s="286"/>
      <c r="CW64" s="286"/>
      <c r="CX64" s="286"/>
      <c r="CY64" s="286"/>
      <c r="CZ64" s="286"/>
      <c r="DA64" s="286"/>
      <c r="DB64" s="286"/>
      <c r="DC64" s="286"/>
      <c r="DD64" s="286"/>
      <c r="DE64" s="286"/>
      <c r="DF64" s="286"/>
      <c r="DG64" s="286"/>
      <c r="DH64" s="286"/>
      <c r="DI64" s="286"/>
      <c r="DJ64" s="286"/>
      <c r="DK64" s="286"/>
      <c r="DL64" s="286"/>
      <c r="DM64" s="286"/>
      <c r="DN64" s="286"/>
      <c r="DO64" s="286"/>
      <c r="DP64" s="286"/>
      <c r="DR64" s="58" t="str">
        <f>IF(ISNUMBER(MATCH(#REF!,'Audit Characteristic Mapping'!$B$3:$B$500,0)),"Y","")</f>
        <v/>
      </c>
      <c r="DS64" s="58" t="str">
        <f>IF(ISNUMBER(MATCH(#REF!,'Audit Characteristic Mapping'!$C$3:$C$500,0)),"Y","")</f>
        <v/>
      </c>
      <c r="DT64" s="58" t="str">
        <f>IF(ISNUMBER(MATCH(#REF!,'Audit Characteristic Mapping'!$D$3:$D$500,0)),"Y","")</f>
        <v/>
      </c>
      <c r="DU64" s="58" t="str">
        <f>IF(ISNUMBER(MATCH(#REF!,'Audit Characteristic Mapping'!$E$3:$E$500,0)),"Y","")</f>
        <v/>
      </c>
      <c r="DV64" s="58" t="str">
        <f>IF(ISNUMBER(MATCH(#REF!,'Audit Characteristic Mapping'!$F$3:$F$500,0)),"Y","")</f>
        <v/>
      </c>
      <c r="DW64" s="58" t="str">
        <f>IF(ISNUMBER(MATCH(#REF!,'Audit Characteristic Mapping'!$G$3:$G$500,0)),"Y","")</f>
        <v/>
      </c>
      <c r="DX64" s="58" t="str">
        <f>IF(ISNUMBER(MATCH(#REF!,'Audit Characteristic Mapping'!$H$3:$H$500,0)),"Y","")</f>
        <v/>
      </c>
      <c r="DY64" s="58" t="str">
        <f>IF(ISNUMBER(MATCH(#REF!,'Audit Characteristic Mapping'!$I$3:$I$500,0)),"Y","")</f>
        <v/>
      </c>
      <c r="DZ64" s="58" t="str">
        <f>IF(ISNUMBER(MATCH(#REF!,'Audit Characteristic Mapping'!$J$3:$J$500,0)),"Y","")</f>
        <v/>
      </c>
      <c r="EA64" s="58" t="str">
        <f>IF(ISNUMBER(MATCH(#REF!,'Audit Characteristic Mapping'!$K$3:$K$500,0)),"Y","")</f>
        <v/>
      </c>
    </row>
    <row r="65" spans="1:131" ht="16" hidden="1" x14ac:dyDescent="0.2">
      <c r="A65" s="288">
        <v>60</v>
      </c>
      <c r="B65" s="287" t="s">
        <v>131</v>
      </c>
      <c r="C65" s="226" t="s">
        <v>174</v>
      </c>
      <c r="D65" s="170">
        <v>1</v>
      </c>
      <c r="E65" s="288">
        <v>7</v>
      </c>
      <c r="F65" s="291" t="str">
        <f>VLOOKUP(Calculation!A65,'Descriptor maps'!$A$2:$F$1658,2,0)</f>
        <v>General information</v>
      </c>
      <c r="G65" s="289">
        <f>29*10000</f>
        <v>290000</v>
      </c>
      <c r="H65" s="290"/>
      <c r="I65" s="291"/>
      <c r="J65" s="292" t="e" cm="1">
        <f t="array" ref="J65">INDEX('Descriptor maps'!$I$2:$I$1658,MATCH(1,('Descriptor maps'!$A$2:$A$1658=Calculation!$A65)*('Descriptor maps'!$G$2:$G$1658=Calculation!$G65),0))</f>
        <v>#N/A</v>
      </c>
      <c r="K65" s="226"/>
      <c r="L65" s="293"/>
      <c r="M65" s="293"/>
      <c r="N65" s="293"/>
      <c r="O65" s="293"/>
      <c r="P65" s="293"/>
      <c r="Q65" s="293"/>
      <c r="R65" s="293"/>
      <c r="S65" s="293"/>
      <c r="T65" s="293"/>
      <c r="U65" s="293"/>
      <c r="V65" s="293"/>
      <c r="W65" s="293"/>
      <c r="X65" s="293"/>
      <c r="Y65" s="29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3"/>
      <c r="BG65" s="293"/>
      <c r="BH65" s="293"/>
      <c r="BI65" s="293"/>
      <c r="BJ65" s="293"/>
      <c r="BK65" s="293"/>
      <c r="BL65" s="293"/>
      <c r="BM65" s="293"/>
      <c r="BN65" s="293"/>
      <c r="BO65" s="293"/>
      <c r="BP65" s="293"/>
      <c r="BQ65" s="293"/>
      <c r="BR65" s="293"/>
      <c r="BS65" s="293"/>
      <c r="BT65" s="293"/>
      <c r="BU65" s="293"/>
      <c r="BV65" s="293"/>
      <c r="BW65" s="293"/>
      <c r="BX65" s="293"/>
      <c r="BY65" s="293"/>
      <c r="BZ65" s="293"/>
      <c r="CA65" s="285"/>
      <c r="CB65" s="286"/>
      <c r="CC65" s="286"/>
      <c r="CD65" s="286"/>
      <c r="CE65" s="286"/>
      <c r="CF65" s="286"/>
      <c r="CG65" s="286"/>
      <c r="CH65" s="286"/>
      <c r="CI65" s="286"/>
      <c r="CJ65" s="286"/>
      <c r="CK65" s="286"/>
      <c r="CL65" s="286"/>
      <c r="CM65" s="286"/>
      <c r="CN65" s="286"/>
      <c r="CO65" s="286"/>
      <c r="CP65" s="286"/>
      <c r="CQ65" s="286"/>
      <c r="CR65" s="286"/>
      <c r="CS65" s="286"/>
      <c r="CT65" s="286"/>
      <c r="CU65" s="286"/>
      <c r="CV65" s="286"/>
      <c r="CW65" s="286"/>
      <c r="CX65" s="286"/>
      <c r="CY65" s="286"/>
      <c r="CZ65" s="286"/>
      <c r="DA65" s="286"/>
      <c r="DB65" s="286"/>
      <c r="DC65" s="286"/>
      <c r="DD65" s="286"/>
      <c r="DE65" s="286"/>
      <c r="DF65" s="286"/>
      <c r="DG65" s="286"/>
      <c r="DH65" s="286"/>
      <c r="DI65" s="286"/>
      <c r="DJ65" s="286"/>
      <c r="DK65" s="286"/>
      <c r="DL65" s="286"/>
      <c r="DM65" s="286"/>
      <c r="DN65" s="286"/>
      <c r="DO65" s="286"/>
      <c r="DP65" s="286"/>
      <c r="DR65" s="58" t="str">
        <f>IF(ISNUMBER(MATCH(#REF!,'Audit Characteristic Mapping'!$B$3:$B$500,0)),"Y","")</f>
        <v/>
      </c>
      <c r="DS65" s="58" t="str">
        <f>IF(ISNUMBER(MATCH(#REF!,'Audit Characteristic Mapping'!$C$3:$C$500,0)),"Y","")</f>
        <v/>
      </c>
      <c r="DT65" s="58" t="str">
        <f>IF(ISNUMBER(MATCH(#REF!,'Audit Characteristic Mapping'!$D$3:$D$500,0)),"Y","")</f>
        <v/>
      </c>
      <c r="DU65" s="58" t="str">
        <f>IF(ISNUMBER(MATCH(#REF!,'Audit Characteristic Mapping'!$E$3:$E$500,0)),"Y","")</f>
        <v/>
      </c>
      <c r="DV65" s="58" t="str">
        <f>IF(ISNUMBER(MATCH(#REF!,'Audit Characteristic Mapping'!$F$3:$F$500,0)),"Y","")</f>
        <v/>
      </c>
      <c r="DW65" s="58" t="str">
        <f>IF(ISNUMBER(MATCH(#REF!,'Audit Characteristic Mapping'!$G$3:$G$500,0)),"Y","")</f>
        <v/>
      </c>
      <c r="DX65" s="58" t="str">
        <f>IF(ISNUMBER(MATCH(#REF!,'Audit Characteristic Mapping'!$H$3:$H$500,0)),"Y","")</f>
        <v/>
      </c>
      <c r="DY65" s="58" t="str">
        <f>IF(ISNUMBER(MATCH(#REF!,'Audit Characteristic Mapping'!$I$3:$I$500,0)),"Y","")</f>
        <v/>
      </c>
      <c r="DZ65" s="58" t="str">
        <f>IF(ISNUMBER(MATCH(#REF!,'Audit Characteristic Mapping'!$J$3:$J$500,0)),"Y","")</f>
        <v/>
      </c>
      <c r="EA65" s="58" t="str">
        <f>IF(ISNUMBER(MATCH(#REF!,'Audit Characteristic Mapping'!$K$3:$K$500,0)),"Y","")</f>
        <v/>
      </c>
    </row>
    <row r="66" spans="1:131" ht="16" hidden="1" x14ac:dyDescent="0.2">
      <c r="A66" s="288">
        <v>61</v>
      </c>
      <c r="B66" s="287" t="s">
        <v>131</v>
      </c>
      <c r="C66" s="226" t="s">
        <v>174</v>
      </c>
      <c r="D66" s="170">
        <v>1</v>
      </c>
      <c r="E66" s="288">
        <v>7</v>
      </c>
      <c r="F66" s="291" t="str">
        <f>VLOOKUP(Calculation!A66,'Descriptor maps'!$A$2:$F$1658,2,0)</f>
        <v>General information</v>
      </c>
      <c r="G66" s="289">
        <f>100*10000</f>
        <v>1000000</v>
      </c>
      <c r="H66" s="290"/>
      <c r="I66" s="291"/>
      <c r="J66" s="292" t="e" cm="1">
        <f t="array" ref="J66">INDEX('Descriptor maps'!$I$2:$I$1658,MATCH(1,('Descriptor maps'!$A$2:$A$1658=Calculation!$A66)*('Descriptor maps'!$G$2:$G$1658=Calculation!$G66),0))</f>
        <v>#N/A</v>
      </c>
      <c r="K66" s="226"/>
      <c r="L66" s="293"/>
      <c r="M66" s="293"/>
      <c r="N66" s="293"/>
      <c r="O66" s="293"/>
      <c r="P66" s="293"/>
      <c r="Q66" s="293"/>
      <c r="R66" s="293"/>
      <c r="S66" s="293"/>
      <c r="T66" s="293"/>
      <c r="U66" s="293"/>
      <c r="V66" s="293"/>
      <c r="W66" s="293"/>
      <c r="X66" s="293"/>
      <c r="Y66" s="293"/>
      <c r="Z66" s="293"/>
      <c r="AA66" s="293"/>
      <c r="AB66" s="293"/>
      <c r="AC66" s="293"/>
      <c r="AD66" s="293"/>
      <c r="AE66" s="293"/>
      <c r="AF66" s="293"/>
      <c r="AG66" s="293"/>
      <c r="AH66" s="293"/>
      <c r="AI66" s="293"/>
      <c r="AJ66" s="293"/>
      <c r="AK66" s="293"/>
      <c r="AL66" s="293"/>
      <c r="AM66" s="293"/>
      <c r="AN66" s="293"/>
      <c r="AO66" s="293"/>
      <c r="AP66" s="293"/>
      <c r="AQ66" s="293"/>
      <c r="AR66" s="293"/>
      <c r="AS66" s="293"/>
      <c r="AT66" s="293"/>
      <c r="AU66" s="293"/>
      <c r="AV66" s="293"/>
      <c r="AW66" s="293"/>
      <c r="AX66" s="293"/>
      <c r="AY66" s="293"/>
      <c r="AZ66" s="293"/>
      <c r="BA66" s="293"/>
      <c r="BB66" s="293"/>
      <c r="BC66" s="293"/>
      <c r="BD66" s="293"/>
      <c r="BE66" s="293"/>
      <c r="BF66" s="293"/>
      <c r="BG66" s="293"/>
      <c r="BH66" s="293"/>
      <c r="BI66" s="293"/>
      <c r="BJ66" s="293"/>
      <c r="BK66" s="293"/>
      <c r="BL66" s="293"/>
      <c r="BM66" s="293"/>
      <c r="BN66" s="293"/>
      <c r="BO66" s="293"/>
      <c r="BP66" s="293"/>
      <c r="BQ66" s="293"/>
      <c r="BR66" s="293"/>
      <c r="BS66" s="293"/>
      <c r="BT66" s="293"/>
      <c r="BU66" s="293"/>
      <c r="BV66" s="293"/>
      <c r="BW66" s="293"/>
      <c r="BX66" s="293"/>
      <c r="BY66" s="293"/>
      <c r="BZ66" s="293"/>
      <c r="CA66" s="285"/>
      <c r="CB66" s="286"/>
      <c r="CC66" s="286"/>
      <c r="CD66" s="286"/>
      <c r="CE66" s="286"/>
      <c r="CF66" s="286"/>
      <c r="CG66" s="286"/>
      <c r="CH66" s="286"/>
      <c r="CI66" s="286"/>
      <c r="CJ66" s="286"/>
      <c r="CK66" s="286"/>
      <c r="CL66" s="286"/>
      <c r="CM66" s="286"/>
      <c r="CN66" s="286"/>
      <c r="CO66" s="286"/>
      <c r="CP66" s="286"/>
      <c r="CQ66" s="286"/>
      <c r="CR66" s="286"/>
      <c r="CS66" s="286"/>
      <c r="CT66" s="286"/>
      <c r="CU66" s="286"/>
      <c r="CV66" s="286"/>
      <c r="CW66" s="286"/>
      <c r="CX66" s="286"/>
      <c r="CY66" s="286"/>
      <c r="CZ66" s="286"/>
      <c r="DA66" s="286"/>
      <c r="DB66" s="286"/>
      <c r="DC66" s="286"/>
      <c r="DD66" s="286"/>
      <c r="DE66" s="286"/>
      <c r="DF66" s="286"/>
      <c r="DG66" s="286"/>
      <c r="DH66" s="286"/>
      <c r="DI66" s="286"/>
      <c r="DJ66" s="286"/>
      <c r="DK66" s="286"/>
      <c r="DL66" s="286"/>
      <c r="DM66" s="286"/>
      <c r="DN66" s="286"/>
      <c r="DO66" s="286"/>
      <c r="DP66" s="286"/>
      <c r="DR66" s="58" t="str">
        <f>IF(ISNUMBER(MATCH(#REF!,'Audit Characteristic Mapping'!$B$3:$B$500,0)),"Y","")</f>
        <v/>
      </c>
      <c r="DS66" s="58" t="str">
        <f>IF(ISNUMBER(MATCH(#REF!,'Audit Characteristic Mapping'!$C$3:$C$500,0)),"Y","")</f>
        <v/>
      </c>
      <c r="DT66" s="58" t="str">
        <f>IF(ISNUMBER(MATCH(#REF!,'Audit Characteristic Mapping'!$D$3:$D$500,0)),"Y","")</f>
        <v/>
      </c>
      <c r="DU66" s="58" t="str">
        <f>IF(ISNUMBER(MATCH(#REF!,'Audit Characteristic Mapping'!$E$3:$E$500,0)),"Y","")</f>
        <v/>
      </c>
      <c r="DV66" s="58" t="str">
        <f>IF(ISNUMBER(MATCH(#REF!,'Audit Characteristic Mapping'!$F$3:$F$500,0)),"Y","")</f>
        <v/>
      </c>
      <c r="DW66" s="58" t="str">
        <f>IF(ISNUMBER(MATCH(#REF!,'Audit Characteristic Mapping'!$G$3:$G$500,0)),"Y","")</f>
        <v/>
      </c>
      <c r="DX66" s="58" t="str">
        <f>IF(ISNUMBER(MATCH(#REF!,'Audit Characteristic Mapping'!$H$3:$H$500,0)),"Y","")</f>
        <v/>
      </c>
      <c r="DY66" s="58" t="str">
        <f>IF(ISNUMBER(MATCH(#REF!,'Audit Characteristic Mapping'!$I$3:$I$500,0)),"Y","")</f>
        <v/>
      </c>
      <c r="DZ66" s="58" t="str">
        <f>IF(ISNUMBER(MATCH(#REF!,'Audit Characteristic Mapping'!$J$3:$J$500,0)),"Y","")</f>
        <v/>
      </c>
      <c r="EA66" s="58" t="str">
        <f>IF(ISNUMBER(MATCH(#REF!,'Audit Characteristic Mapping'!$K$3:$K$500,0)),"Y","")</f>
        <v/>
      </c>
    </row>
    <row r="67" spans="1:131" ht="16" hidden="1" x14ac:dyDescent="0.2">
      <c r="A67" s="288">
        <v>62</v>
      </c>
      <c r="B67" s="287" t="s">
        <v>131</v>
      </c>
      <c r="C67" s="226" t="s">
        <v>174</v>
      </c>
      <c r="D67" s="170">
        <v>1</v>
      </c>
      <c r="E67" s="288">
        <v>7</v>
      </c>
      <c r="F67" s="291" t="str">
        <f>VLOOKUP(Calculation!A67,'Descriptor maps'!$A$2:$F$1658,2,0)</f>
        <v>General information</v>
      </c>
      <c r="G67" s="289"/>
      <c r="H67" s="290"/>
      <c r="I67" s="291"/>
      <c r="J67" s="292" t="e" cm="1">
        <f t="array" ref="J67">INDEX('Descriptor maps'!$I$2:$I$1658,MATCH(1,('Descriptor maps'!$A$2:$A$1658=Calculation!$A67)*('Descriptor maps'!$G$2:$G$1658=Calculation!$G67),0))</f>
        <v>#N/A</v>
      </c>
      <c r="K67" s="226"/>
      <c r="L67" s="293"/>
      <c r="M67" s="293"/>
      <c r="N67" s="293"/>
      <c r="O67" s="293"/>
      <c r="P67" s="293"/>
      <c r="Q67" s="293"/>
      <c r="R67" s="293"/>
      <c r="S67" s="293"/>
      <c r="T67" s="293"/>
      <c r="U67" s="293"/>
      <c r="V67" s="293"/>
      <c r="W67" s="293"/>
      <c r="X67" s="293"/>
      <c r="Y67" s="293"/>
      <c r="Z67" s="293"/>
      <c r="AA67" s="293"/>
      <c r="AB67" s="293"/>
      <c r="AC67" s="293"/>
      <c r="AD67" s="293"/>
      <c r="AE67" s="293"/>
      <c r="AF67" s="293"/>
      <c r="AG67" s="293"/>
      <c r="AH67" s="293"/>
      <c r="AI67" s="293"/>
      <c r="AJ67" s="293"/>
      <c r="AK67" s="293"/>
      <c r="AL67" s="293"/>
      <c r="AM67" s="293"/>
      <c r="AN67" s="293"/>
      <c r="AO67" s="293"/>
      <c r="AP67" s="293"/>
      <c r="AQ67" s="293"/>
      <c r="AR67" s="293"/>
      <c r="AS67" s="293"/>
      <c r="AT67" s="293"/>
      <c r="AU67" s="293"/>
      <c r="AV67" s="293"/>
      <c r="AW67" s="293"/>
      <c r="AX67" s="293"/>
      <c r="AY67" s="293"/>
      <c r="AZ67" s="293"/>
      <c r="BA67" s="293"/>
      <c r="BB67" s="293"/>
      <c r="BC67" s="293"/>
      <c r="BD67" s="293"/>
      <c r="BE67" s="293"/>
      <c r="BF67" s="293"/>
      <c r="BG67" s="293"/>
      <c r="BH67" s="293"/>
      <c r="BI67" s="293"/>
      <c r="BJ67" s="293"/>
      <c r="BK67" s="293"/>
      <c r="BL67" s="293"/>
      <c r="BM67" s="293"/>
      <c r="BN67" s="293"/>
      <c r="BO67" s="293"/>
      <c r="BP67" s="293"/>
      <c r="BQ67" s="293"/>
      <c r="BR67" s="293"/>
      <c r="BS67" s="293"/>
      <c r="BT67" s="293"/>
      <c r="BU67" s="293"/>
      <c r="BV67" s="293"/>
      <c r="BW67" s="293"/>
      <c r="BX67" s="293"/>
      <c r="BY67" s="293"/>
      <c r="BZ67" s="293"/>
      <c r="CA67" s="285"/>
      <c r="CB67" s="286"/>
      <c r="CC67" s="286"/>
      <c r="CD67" s="286"/>
      <c r="CE67" s="286"/>
      <c r="CF67" s="286"/>
      <c r="CG67" s="286"/>
      <c r="CH67" s="286"/>
      <c r="CI67" s="286"/>
      <c r="CJ67" s="286"/>
      <c r="CK67" s="286"/>
      <c r="CL67" s="286"/>
      <c r="CM67" s="286"/>
      <c r="CN67" s="286"/>
      <c r="CO67" s="286"/>
      <c r="CP67" s="286"/>
      <c r="CQ67" s="286"/>
      <c r="CR67" s="286"/>
      <c r="CS67" s="286"/>
      <c r="CT67" s="286"/>
      <c r="CU67" s="286"/>
      <c r="CV67" s="286"/>
      <c r="CW67" s="286"/>
      <c r="CX67" s="286"/>
      <c r="CY67" s="286"/>
      <c r="CZ67" s="286"/>
      <c r="DA67" s="286"/>
      <c r="DB67" s="286"/>
      <c r="DC67" s="286"/>
      <c r="DD67" s="286"/>
      <c r="DE67" s="286"/>
      <c r="DF67" s="286"/>
      <c r="DG67" s="286"/>
      <c r="DH67" s="286"/>
      <c r="DI67" s="286"/>
      <c r="DJ67" s="286"/>
      <c r="DK67" s="286"/>
      <c r="DL67" s="286"/>
      <c r="DM67" s="286"/>
      <c r="DN67" s="286"/>
      <c r="DO67" s="286"/>
      <c r="DP67" s="286"/>
      <c r="DR67" s="58" t="str">
        <f>IF(ISNUMBER(MATCH(#REF!,'Audit Characteristic Mapping'!$B$3:$B$500,0)),"Y","")</f>
        <v/>
      </c>
      <c r="DS67" s="58" t="str">
        <f>IF(ISNUMBER(MATCH(#REF!,'Audit Characteristic Mapping'!$C$3:$C$500,0)),"Y","")</f>
        <v/>
      </c>
      <c r="DT67" s="58" t="str">
        <f>IF(ISNUMBER(MATCH(#REF!,'Audit Characteristic Mapping'!$D$3:$D$500,0)),"Y","")</f>
        <v/>
      </c>
      <c r="DU67" s="58" t="str">
        <f>IF(ISNUMBER(MATCH(#REF!,'Audit Characteristic Mapping'!$E$3:$E$500,0)),"Y","")</f>
        <v/>
      </c>
      <c r="DV67" s="58" t="str">
        <f>IF(ISNUMBER(MATCH(#REF!,'Audit Characteristic Mapping'!$F$3:$F$500,0)),"Y","")</f>
        <v/>
      </c>
      <c r="DW67" s="58" t="str">
        <f>IF(ISNUMBER(MATCH(#REF!,'Audit Characteristic Mapping'!$G$3:$G$500,0)),"Y","")</f>
        <v/>
      </c>
      <c r="DX67" s="58" t="str">
        <f>IF(ISNUMBER(MATCH(#REF!,'Audit Characteristic Mapping'!$H$3:$H$500,0)),"Y","")</f>
        <v/>
      </c>
      <c r="DY67" s="58" t="str">
        <f>IF(ISNUMBER(MATCH(#REF!,'Audit Characteristic Mapping'!$I$3:$I$500,0)),"Y","")</f>
        <v/>
      </c>
      <c r="DZ67" s="58" t="str">
        <f>IF(ISNUMBER(MATCH(#REF!,'Audit Characteristic Mapping'!$J$3:$J$500,0)),"Y","")</f>
        <v/>
      </c>
      <c r="EA67" s="58" t="str">
        <f>IF(ISNUMBER(MATCH(#REF!,'Audit Characteristic Mapping'!$K$3:$K$500,0)),"Y","")</f>
        <v/>
      </c>
    </row>
    <row r="68" spans="1:131" ht="16" hidden="1" x14ac:dyDescent="0.2">
      <c r="A68" s="288">
        <v>63</v>
      </c>
      <c r="B68" s="287" t="s">
        <v>131</v>
      </c>
      <c r="C68" s="226" t="s">
        <v>174</v>
      </c>
      <c r="D68" s="170">
        <v>1</v>
      </c>
      <c r="E68" s="288">
        <v>7</v>
      </c>
      <c r="F68" s="291" t="str">
        <f>VLOOKUP(Calculation!A68,'Descriptor maps'!$A$2:$F$1658,2,0)</f>
        <v>General information</v>
      </c>
      <c r="G68" s="289"/>
      <c r="H68" s="290"/>
      <c r="I68" s="291"/>
      <c r="J68" s="292" t="e" cm="1">
        <f t="array" ref="J68">INDEX('Descriptor maps'!$I$2:$I$1658,MATCH(1,('Descriptor maps'!$A$2:$A$1658=Calculation!$A68)*('Descriptor maps'!$G$2:$G$1658=Calculation!$G68),0))</f>
        <v>#N/A</v>
      </c>
      <c r="K68" s="226"/>
      <c r="L68" s="293"/>
      <c r="M68" s="293"/>
      <c r="N68" s="293"/>
      <c r="O68" s="293"/>
      <c r="P68" s="293"/>
      <c r="Q68" s="293"/>
      <c r="R68" s="293"/>
      <c r="S68" s="293"/>
      <c r="T68" s="293"/>
      <c r="U68" s="293"/>
      <c r="V68" s="293"/>
      <c r="W68" s="293"/>
      <c r="X68" s="293"/>
      <c r="Y68" s="293"/>
      <c r="Z68" s="293"/>
      <c r="AA68" s="293"/>
      <c r="AB68" s="293"/>
      <c r="AC68" s="293"/>
      <c r="AD68" s="293"/>
      <c r="AE68" s="293"/>
      <c r="AF68" s="293"/>
      <c r="AG68" s="293"/>
      <c r="AH68" s="293"/>
      <c r="AI68" s="293"/>
      <c r="AJ68" s="293"/>
      <c r="AK68" s="293"/>
      <c r="AL68" s="293"/>
      <c r="AM68" s="293"/>
      <c r="AN68" s="293"/>
      <c r="AO68" s="293"/>
      <c r="AP68" s="293"/>
      <c r="AQ68" s="293"/>
      <c r="AR68" s="293"/>
      <c r="AS68" s="293"/>
      <c r="AT68" s="293"/>
      <c r="AU68" s="293"/>
      <c r="AV68" s="293"/>
      <c r="AW68" s="293"/>
      <c r="AX68" s="293"/>
      <c r="AY68" s="293"/>
      <c r="AZ68" s="293"/>
      <c r="BA68" s="293"/>
      <c r="BB68" s="293"/>
      <c r="BC68" s="293"/>
      <c r="BD68" s="293"/>
      <c r="BE68" s="293"/>
      <c r="BF68" s="293"/>
      <c r="BG68" s="293"/>
      <c r="BH68" s="293"/>
      <c r="BI68" s="293"/>
      <c r="BJ68" s="293"/>
      <c r="BK68" s="293"/>
      <c r="BL68" s="293"/>
      <c r="BM68" s="293"/>
      <c r="BN68" s="293"/>
      <c r="BO68" s="293"/>
      <c r="BP68" s="293"/>
      <c r="BQ68" s="293"/>
      <c r="BR68" s="293"/>
      <c r="BS68" s="293"/>
      <c r="BT68" s="293"/>
      <c r="BU68" s="293"/>
      <c r="BV68" s="293"/>
      <c r="BW68" s="293"/>
      <c r="BX68" s="293"/>
      <c r="BY68" s="293"/>
      <c r="BZ68" s="293"/>
      <c r="CA68" s="285"/>
      <c r="CB68" s="286"/>
      <c r="CC68" s="286"/>
      <c r="CD68" s="286"/>
      <c r="CE68" s="286"/>
      <c r="CF68" s="286"/>
      <c r="CG68" s="286"/>
      <c r="CH68" s="286"/>
      <c r="CI68" s="286"/>
      <c r="CJ68" s="286"/>
      <c r="CK68" s="286"/>
      <c r="CL68" s="286"/>
      <c r="CM68" s="286"/>
      <c r="CN68" s="286"/>
      <c r="CO68" s="286"/>
      <c r="CP68" s="286"/>
      <c r="CQ68" s="286"/>
      <c r="CR68" s="286"/>
      <c r="CS68" s="286"/>
      <c r="CT68" s="286"/>
      <c r="CU68" s="286"/>
      <c r="CV68" s="286"/>
      <c r="CW68" s="286"/>
      <c r="CX68" s="286"/>
      <c r="CY68" s="286"/>
      <c r="CZ68" s="286"/>
      <c r="DA68" s="286"/>
      <c r="DB68" s="286"/>
      <c r="DC68" s="286"/>
      <c r="DD68" s="286"/>
      <c r="DE68" s="286"/>
      <c r="DF68" s="286"/>
      <c r="DG68" s="286"/>
      <c r="DH68" s="286"/>
      <c r="DI68" s="286"/>
      <c r="DJ68" s="286"/>
      <c r="DK68" s="286"/>
      <c r="DL68" s="286"/>
      <c r="DM68" s="286"/>
      <c r="DN68" s="286"/>
      <c r="DO68" s="286"/>
      <c r="DP68" s="286"/>
      <c r="DR68" s="58" t="str">
        <f>IF(ISNUMBER(MATCH(#REF!,'Audit Characteristic Mapping'!$B$3:$B$500,0)),"Y","")</f>
        <v/>
      </c>
      <c r="DS68" s="58" t="str">
        <f>IF(ISNUMBER(MATCH(#REF!,'Audit Characteristic Mapping'!$C$3:$C$500,0)),"Y","")</f>
        <v/>
      </c>
      <c r="DT68" s="58" t="str">
        <f>IF(ISNUMBER(MATCH(#REF!,'Audit Characteristic Mapping'!$D$3:$D$500,0)),"Y","")</f>
        <v/>
      </c>
      <c r="DU68" s="58" t="str">
        <f>IF(ISNUMBER(MATCH(#REF!,'Audit Characteristic Mapping'!$E$3:$E$500,0)),"Y","")</f>
        <v/>
      </c>
      <c r="DV68" s="58" t="str">
        <f>IF(ISNUMBER(MATCH(#REF!,'Audit Characteristic Mapping'!$F$3:$F$500,0)),"Y","")</f>
        <v/>
      </c>
      <c r="DW68" s="58" t="str">
        <f>IF(ISNUMBER(MATCH(#REF!,'Audit Characteristic Mapping'!$G$3:$G$500,0)),"Y","")</f>
        <v/>
      </c>
      <c r="DX68" s="58" t="str">
        <f>IF(ISNUMBER(MATCH(#REF!,'Audit Characteristic Mapping'!$H$3:$H$500,0)),"Y","")</f>
        <v/>
      </c>
      <c r="DY68" s="58" t="str">
        <f>IF(ISNUMBER(MATCH(#REF!,'Audit Characteristic Mapping'!$I$3:$I$500,0)),"Y","")</f>
        <v/>
      </c>
      <c r="DZ68" s="58" t="str">
        <f>IF(ISNUMBER(MATCH(#REF!,'Audit Characteristic Mapping'!$J$3:$J$500,0)),"Y","")</f>
        <v/>
      </c>
      <c r="EA68" s="58" t="str">
        <f>IF(ISNUMBER(MATCH(#REF!,'Audit Characteristic Mapping'!$K$3:$K$500,0)),"Y","")</f>
        <v/>
      </c>
    </row>
    <row r="69" spans="1:131" ht="16" hidden="1" x14ac:dyDescent="0.2">
      <c r="A69" s="288">
        <v>65</v>
      </c>
      <c r="B69" s="287" t="s">
        <v>174</v>
      </c>
      <c r="C69" s="226" t="s">
        <v>191</v>
      </c>
      <c r="D69" s="170">
        <v>2</v>
      </c>
      <c r="E69" s="288">
        <v>8</v>
      </c>
      <c r="F69" s="291" t="str">
        <f>VLOOKUP(Calculation!A69,'Descriptor maps'!$A$2:$F$1658,2,0)</f>
        <v>Facility details</v>
      </c>
      <c r="G69" s="289" t="s">
        <v>666</v>
      </c>
      <c r="H69" s="290"/>
      <c r="I69" s="291"/>
      <c r="J69" s="292" cm="1">
        <f t="array" ref="J69">INDEX('Descriptor maps'!$I$2:$I$1658,MATCH(1,('Descriptor maps'!$A$2:$A$1658=Calculation!$A69)*('Descriptor maps'!$G$2:$G$1658=Calculation!$G69),0))</f>
        <v>3</v>
      </c>
      <c r="K69" s="226"/>
      <c r="L69" s="293"/>
      <c r="M69" s="293"/>
      <c r="N69" s="293"/>
      <c r="O69" s="293"/>
      <c r="P69" s="293"/>
      <c r="Q69" s="293"/>
      <c r="R69" s="293"/>
      <c r="S69" s="293"/>
      <c r="T69" s="293"/>
      <c r="U69" s="293"/>
      <c r="V69" s="293"/>
      <c r="W69" s="293"/>
      <c r="X69" s="293"/>
      <c r="Y69" s="293"/>
      <c r="Z69" s="293"/>
      <c r="AA69" s="293"/>
      <c r="AB69" s="293"/>
      <c r="AC69" s="293"/>
      <c r="AD69" s="293"/>
      <c r="AE69" s="293"/>
      <c r="AF69" s="293"/>
      <c r="AG69" s="293"/>
      <c r="AH69" s="293"/>
      <c r="AI69" s="293"/>
      <c r="AJ69" s="293"/>
      <c r="AK69" s="293"/>
      <c r="AL69" s="293"/>
      <c r="AM69" s="293"/>
      <c r="AN69" s="293"/>
      <c r="AO69" s="293"/>
      <c r="AP69" s="293"/>
      <c r="AQ69" s="293"/>
      <c r="AR69" s="293"/>
      <c r="AS69" s="293"/>
      <c r="AT69" s="293"/>
      <c r="AU69" s="293"/>
      <c r="AV69" s="293"/>
      <c r="AW69" s="293"/>
      <c r="AX69" s="293"/>
      <c r="AY69" s="293"/>
      <c r="AZ69" s="293"/>
      <c r="BA69" s="293"/>
      <c r="BB69" s="293"/>
      <c r="BC69" s="293"/>
      <c r="BD69" s="293"/>
      <c r="BE69" s="293"/>
      <c r="BF69" s="293"/>
      <c r="BG69" s="293"/>
      <c r="BH69" s="293"/>
      <c r="BI69" s="293"/>
      <c r="BJ69" s="293"/>
      <c r="BK69" s="293"/>
      <c r="BL69" s="293"/>
      <c r="BM69" s="293"/>
      <c r="BN69" s="293"/>
      <c r="BO69" s="293"/>
      <c r="BP69" s="293"/>
      <c r="BQ69" s="293"/>
      <c r="BR69" s="293"/>
      <c r="BS69" s="293"/>
      <c r="BT69" s="293"/>
      <c r="BU69" s="293"/>
      <c r="BV69" s="293"/>
      <c r="BW69" s="293"/>
      <c r="BX69" s="293"/>
      <c r="BY69" s="293"/>
      <c r="BZ69" s="293"/>
      <c r="CA69" s="285"/>
      <c r="CB69" s="286"/>
      <c r="CC69" s="286"/>
      <c r="CD69" s="286"/>
      <c r="CE69" s="286"/>
      <c r="CF69" s="286"/>
      <c r="CG69" s="286"/>
      <c r="CH69" s="286"/>
      <c r="CI69" s="286"/>
      <c r="CJ69" s="286"/>
      <c r="CK69" s="286"/>
      <c r="CL69" s="286"/>
      <c r="CM69" s="286"/>
      <c r="CN69" s="286"/>
      <c r="CO69" s="286"/>
      <c r="CP69" s="286"/>
      <c r="CQ69" s="286"/>
      <c r="CR69" s="286"/>
      <c r="CS69" s="286"/>
      <c r="CT69" s="286"/>
      <c r="CU69" s="286"/>
      <c r="CV69" s="286"/>
      <c r="CW69" s="286"/>
      <c r="CX69" s="286"/>
      <c r="CY69" s="286"/>
      <c r="CZ69" s="286"/>
      <c r="DA69" s="286"/>
      <c r="DB69" s="286"/>
      <c r="DC69" s="286"/>
      <c r="DD69" s="286"/>
      <c r="DE69" s="286"/>
      <c r="DF69" s="286"/>
      <c r="DG69" s="286"/>
      <c r="DH69" s="286"/>
      <c r="DI69" s="286"/>
      <c r="DJ69" s="286"/>
      <c r="DK69" s="286"/>
      <c r="DL69" s="286"/>
      <c r="DM69" s="286"/>
      <c r="DN69" s="286"/>
      <c r="DO69" s="286"/>
      <c r="DP69" s="286"/>
      <c r="DR69" s="58" t="str">
        <f>IF(ISNUMBER(MATCH(#REF!,'Audit Characteristic Mapping'!$B$3:$B$500,0)),"Y","")</f>
        <v/>
      </c>
      <c r="DS69" s="58" t="str">
        <f>IF(ISNUMBER(MATCH(#REF!,'Audit Characteristic Mapping'!$C$3:$C$500,0)),"Y","")</f>
        <v/>
      </c>
      <c r="DT69" s="58" t="str">
        <f>IF(ISNUMBER(MATCH(#REF!,'Audit Characteristic Mapping'!$D$3:$D$500,0)),"Y","")</f>
        <v/>
      </c>
      <c r="DU69" s="58" t="str">
        <f>IF(ISNUMBER(MATCH(#REF!,'Audit Characteristic Mapping'!$E$3:$E$500,0)),"Y","")</f>
        <v/>
      </c>
      <c r="DV69" s="58" t="str">
        <f>IF(ISNUMBER(MATCH(#REF!,'Audit Characteristic Mapping'!$F$3:$F$500,0)),"Y","")</f>
        <v/>
      </c>
      <c r="DW69" s="58" t="str">
        <f>IF(ISNUMBER(MATCH(#REF!,'Audit Characteristic Mapping'!$G$3:$G$500,0)),"Y","")</f>
        <v/>
      </c>
      <c r="DX69" s="58" t="str">
        <f>IF(ISNUMBER(MATCH(#REF!,'Audit Characteristic Mapping'!$H$3:$H$500,0)),"Y","")</f>
        <v/>
      </c>
      <c r="DY69" s="58" t="str">
        <f>IF(ISNUMBER(MATCH(#REF!,'Audit Characteristic Mapping'!$I$3:$I$500,0)),"Y","")</f>
        <v/>
      </c>
      <c r="DZ69" s="58" t="str">
        <f>IF(ISNUMBER(MATCH(#REF!,'Audit Characteristic Mapping'!$J$3:$J$500,0)),"Y","")</f>
        <v/>
      </c>
      <c r="EA69" s="58" t="str">
        <f>IF(ISNUMBER(MATCH(#REF!,'Audit Characteristic Mapping'!$K$3:$K$500,0)),"Y","")</f>
        <v/>
      </c>
    </row>
    <row r="70" spans="1:131" ht="16" x14ac:dyDescent="0.2">
      <c r="A70" s="294">
        <v>66</v>
      </c>
      <c r="B70" s="287" t="s">
        <v>174</v>
      </c>
      <c r="C70" s="226" t="s">
        <v>191</v>
      </c>
      <c r="D70" s="170">
        <v>2</v>
      </c>
      <c r="E70" s="288">
        <v>8</v>
      </c>
      <c r="F70" s="291" t="str">
        <f>VLOOKUP(Calculation!A70,'Descriptor maps'!$A$2:$F$1658,6,0)</f>
        <v>Embankment Type</v>
      </c>
      <c r="G70" s="289" t="s">
        <v>788</v>
      </c>
      <c r="H70" s="291"/>
      <c r="I70" s="291" cm="1">
        <f t="array" ref="I70">INDEX('Descriptor maps'!$H$2:$H$1658,MATCH(1,('Descriptor maps'!$A$2:$A$1658=Calculation!$A70)*('Descriptor maps'!$G$2:$G$1658=Calculation!$G70),0))</f>
        <v>0</v>
      </c>
      <c r="J70" s="389" cm="1">
        <f t="array" ref="J70">IF(J21=0,INDEX('Descriptor maps'!$I$2:$I$1658,MATCH(1,('Descriptor maps'!$A$2:$A$1658=Calculation!$A70)*('Descriptor maps'!$G$2:$G$1658=Calculation!$G70),0)),INDEX('Descriptor maps'!$J$2:$J$1658,MATCH(1,('Descriptor maps'!$A$2:$A$1658=Calculation!$A70)*('Descriptor maps'!$G$2:$G$1658=Calculation!$G70),0)))</f>
        <v>190</v>
      </c>
      <c r="K70" s="226"/>
      <c r="L70" s="293"/>
      <c r="M70" s="293"/>
      <c r="N70" s="293"/>
      <c r="O70" s="293"/>
      <c r="P70" s="293"/>
      <c r="Q70" s="293"/>
      <c r="R70" s="293"/>
      <c r="S70" s="293"/>
      <c r="T70" s="293"/>
      <c r="U70" s="293"/>
      <c r="V70" s="293"/>
      <c r="W70" s="293"/>
      <c r="X70" s="293"/>
      <c r="Y70" s="293"/>
      <c r="Z70" s="293"/>
      <c r="AA70" s="293"/>
      <c r="AB70" s="293"/>
      <c r="AC70" s="293"/>
      <c r="AD70" s="293"/>
      <c r="AE70" s="293"/>
      <c r="AF70" s="293"/>
      <c r="AG70" s="293"/>
      <c r="AH70" s="293"/>
      <c r="AI70" s="293"/>
      <c r="AJ70" s="293"/>
      <c r="AK70" s="293"/>
      <c r="AL70" s="293"/>
      <c r="AM70" s="293"/>
      <c r="AN70" s="293"/>
      <c r="AO70" s="293"/>
      <c r="AP70" s="293"/>
      <c r="AQ70" s="293">
        <f>1*$J70</f>
        <v>190</v>
      </c>
      <c r="AR70" s="293"/>
      <c r="AS70" s="293"/>
      <c r="AT70" s="293"/>
      <c r="AU70" s="293"/>
      <c r="AV70" s="293"/>
      <c r="AW70" s="293"/>
      <c r="AX70" s="293"/>
      <c r="AY70" s="293"/>
      <c r="AZ70" s="293"/>
      <c r="BA70" s="293"/>
      <c r="BB70" s="293"/>
      <c r="BC70" s="293"/>
      <c r="BD70" s="293"/>
      <c r="BE70" s="293"/>
      <c r="BF70" s="293"/>
      <c r="BG70" s="293"/>
      <c r="BH70" s="293"/>
      <c r="BI70" s="293"/>
      <c r="BJ70" s="293"/>
      <c r="BK70" s="293"/>
      <c r="BL70" s="293"/>
      <c r="BM70" s="293"/>
      <c r="BN70" s="293"/>
      <c r="BO70" s="293"/>
      <c r="BP70" s="293"/>
      <c r="BQ70" s="293"/>
      <c r="BR70" s="293"/>
      <c r="BS70" s="293"/>
      <c r="BT70" s="293"/>
      <c r="BU70" s="293"/>
      <c r="BV70" s="293"/>
      <c r="BW70" s="293"/>
      <c r="BX70" s="293"/>
      <c r="BY70" s="293"/>
      <c r="BZ70" s="293"/>
      <c r="CA70" s="285"/>
      <c r="CB70" s="286"/>
      <c r="CC70" s="286"/>
      <c r="CD70" s="286"/>
      <c r="CE70" s="286"/>
      <c r="CF70" s="286"/>
      <c r="CG70" s="286"/>
      <c r="CH70" s="286"/>
      <c r="CI70" s="286"/>
      <c r="CJ70" s="286"/>
      <c r="CK70" s="286"/>
      <c r="CL70" s="286"/>
      <c r="CM70" s="286"/>
      <c r="CN70" s="286"/>
      <c r="CO70" s="286"/>
      <c r="CP70" s="286"/>
      <c r="CQ70" s="286"/>
      <c r="CR70" s="286"/>
      <c r="CS70" s="286"/>
      <c r="CT70" s="286"/>
      <c r="CU70" s="286"/>
      <c r="CV70" s="286"/>
      <c r="CW70" s="286"/>
      <c r="CX70" s="286"/>
      <c r="CY70" s="286"/>
      <c r="CZ70" s="286"/>
      <c r="DA70" s="286"/>
      <c r="DB70" s="286"/>
      <c r="DC70" s="286"/>
      <c r="DD70" s="286"/>
      <c r="DE70" s="286"/>
      <c r="DF70" s="286"/>
      <c r="DG70" s="286"/>
      <c r="DH70" s="286"/>
      <c r="DI70" s="286"/>
      <c r="DJ70" s="286"/>
      <c r="DK70" s="286"/>
      <c r="DL70" s="286"/>
      <c r="DM70" s="286"/>
      <c r="DN70" s="286"/>
      <c r="DO70" s="286"/>
      <c r="DP70" s="286"/>
      <c r="DR70" s="58" t="str">
        <f>IF(ISNUMBER(MATCH(#REF!,'Audit Characteristic Mapping'!$B$3:$B$500,0)),"Y","")</f>
        <v/>
      </c>
      <c r="DS70" s="58" t="str">
        <f>IF(ISNUMBER(MATCH(#REF!,'Audit Characteristic Mapping'!$C$3:$C$500,0)),"Y","")</f>
        <v/>
      </c>
      <c r="DT70" s="58" t="str">
        <f>IF(ISNUMBER(MATCH(#REF!,'Audit Characteristic Mapping'!$D$3:$D$500,0)),"Y","")</f>
        <v/>
      </c>
      <c r="DU70" s="58" t="str">
        <f>IF(ISNUMBER(MATCH(#REF!,'Audit Characteristic Mapping'!$E$3:$E$500,0)),"Y","")</f>
        <v/>
      </c>
      <c r="DV70" s="58" t="str">
        <f>IF(ISNUMBER(MATCH(#REF!,'Audit Characteristic Mapping'!$F$3:$F$500,0)),"Y","")</f>
        <v/>
      </c>
      <c r="DW70" s="58" t="str">
        <f>IF(ISNUMBER(MATCH(#REF!,'Audit Characteristic Mapping'!$G$3:$G$500,0)),"Y","")</f>
        <v/>
      </c>
      <c r="DX70" s="58" t="str">
        <f>IF(ISNUMBER(MATCH(#REF!,'Audit Characteristic Mapping'!$H$3:$H$500,0)),"Y","")</f>
        <v/>
      </c>
      <c r="DY70" s="58" t="str">
        <f>IF(ISNUMBER(MATCH(#REF!,'Audit Characteristic Mapping'!$I$3:$I$500,0)),"Y","")</f>
        <v/>
      </c>
      <c r="DZ70" s="58" t="str">
        <f>IF(ISNUMBER(MATCH(#REF!,'Audit Characteristic Mapping'!$J$3:$J$500,0)),"Y","")</f>
        <v/>
      </c>
      <c r="EA70" s="58" t="str">
        <f>IF(ISNUMBER(MATCH(#REF!,'Audit Characteristic Mapping'!$K$3:$K$500,0)),"Y","")</f>
        <v/>
      </c>
    </row>
    <row r="71" spans="1:131" ht="16" hidden="1" x14ac:dyDescent="0.2">
      <c r="A71" s="288">
        <v>67</v>
      </c>
      <c r="B71" s="287" t="s">
        <v>174</v>
      </c>
      <c r="C71" s="226" t="s">
        <v>191</v>
      </c>
      <c r="D71" s="170">
        <v>2</v>
      </c>
      <c r="E71" s="288">
        <v>8</v>
      </c>
      <c r="F71" s="291" t="str">
        <f>VLOOKUP(Calculation!A71,'Descriptor maps'!$A$2:$F$1658,2,0)</f>
        <v>Facility details</v>
      </c>
      <c r="G71" s="289"/>
      <c r="H71" s="290"/>
      <c r="I71" s="291"/>
      <c r="J71" s="292" t="e" cm="1">
        <f t="array" ref="J71">INDEX('Descriptor maps'!$I$2:$I$1658,MATCH(1,('Descriptor maps'!$A$2:$A$1658=Calculation!$A71)*('Descriptor maps'!$G$2:$G$1658=Calculation!$G71),0))</f>
        <v>#N/A</v>
      </c>
      <c r="K71" s="226"/>
      <c r="L71" s="293"/>
      <c r="M71" s="293"/>
      <c r="N71" s="293"/>
      <c r="O71" s="293"/>
      <c r="P71" s="293"/>
      <c r="Q71" s="293"/>
      <c r="R71" s="293"/>
      <c r="S71" s="293"/>
      <c r="T71" s="293"/>
      <c r="U71" s="293"/>
      <c r="V71" s="293"/>
      <c r="W71" s="293"/>
      <c r="X71" s="293"/>
      <c r="Y71" s="293"/>
      <c r="Z71" s="293"/>
      <c r="AA71" s="293"/>
      <c r="AB71" s="293"/>
      <c r="AC71" s="293"/>
      <c r="AD71" s="293"/>
      <c r="AE71" s="293"/>
      <c r="AF71" s="293"/>
      <c r="AG71" s="293"/>
      <c r="AH71" s="293"/>
      <c r="AI71" s="293"/>
      <c r="AJ71" s="293"/>
      <c r="AK71" s="293"/>
      <c r="AL71" s="293"/>
      <c r="AM71" s="293"/>
      <c r="AN71" s="293"/>
      <c r="AO71" s="293"/>
      <c r="AP71" s="293"/>
      <c r="AQ71" s="293"/>
      <c r="AR71" s="293"/>
      <c r="AS71" s="293"/>
      <c r="AT71" s="293"/>
      <c r="AU71" s="293"/>
      <c r="AV71" s="293"/>
      <c r="AW71" s="293"/>
      <c r="AX71" s="293"/>
      <c r="AY71" s="293"/>
      <c r="AZ71" s="293"/>
      <c r="BA71" s="293"/>
      <c r="BB71" s="293"/>
      <c r="BC71" s="293"/>
      <c r="BD71" s="293"/>
      <c r="BE71" s="293"/>
      <c r="BF71" s="293"/>
      <c r="BG71" s="293"/>
      <c r="BH71" s="293"/>
      <c r="BI71" s="293"/>
      <c r="BJ71" s="293"/>
      <c r="BK71" s="293"/>
      <c r="BL71" s="293"/>
      <c r="BM71" s="293"/>
      <c r="BN71" s="293"/>
      <c r="BO71" s="293"/>
      <c r="BP71" s="293"/>
      <c r="BQ71" s="293"/>
      <c r="BR71" s="293"/>
      <c r="BS71" s="293"/>
      <c r="BT71" s="293"/>
      <c r="BU71" s="293"/>
      <c r="BV71" s="293"/>
      <c r="BW71" s="293"/>
      <c r="BX71" s="293"/>
      <c r="BY71" s="293"/>
      <c r="BZ71" s="293"/>
      <c r="CA71" s="285"/>
      <c r="CB71" s="286"/>
      <c r="CC71" s="286"/>
      <c r="CD71" s="286"/>
      <c r="CE71" s="286"/>
      <c r="CF71" s="286"/>
      <c r="CG71" s="286"/>
      <c r="CH71" s="286"/>
      <c r="CI71" s="286"/>
      <c r="CJ71" s="286"/>
      <c r="CK71" s="286"/>
      <c r="CL71" s="286"/>
      <c r="CM71" s="286"/>
      <c r="CN71" s="286"/>
      <c r="CO71" s="286"/>
      <c r="CP71" s="286"/>
      <c r="CQ71" s="286"/>
      <c r="CR71" s="286"/>
      <c r="CS71" s="286"/>
      <c r="CT71" s="286"/>
      <c r="CU71" s="286"/>
      <c r="CV71" s="286"/>
      <c r="CW71" s="286"/>
      <c r="CX71" s="286"/>
      <c r="CY71" s="286"/>
      <c r="CZ71" s="286"/>
      <c r="DA71" s="286"/>
      <c r="DB71" s="286"/>
      <c r="DC71" s="286"/>
      <c r="DD71" s="286"/>
      <c r="DE71" s="286"/>
      <c r="DF71" s="286"/>
      <c r="DG71" s="286"/>
      <c r="DH71" s="286"/>
      <c r="DI71" s="286"/>
      <c r="DJ71" s="286"/>
      <c r="DK71" s="286"/>
      <c r="DL71" s="286"/>
      <c r="DM71" s="286"/>
      <c r="DN71" s="286"/>
      <c r="DO71" s="286"/>
      <c r="DP71" s="286"/>
      <c r="DR71" s="58" t="str">
        <f>IF(ISNUMBER(MATCH(#REF!,'Audit Characteristic Mapping'!$B$3:$B$500,0)),"Y","")</f>
        <v/>
      </c>
      <c r="DS71" s="58" t="str">
        <f>IF(ISNUMBER(MATCH(#REF!,'Audit Characteristic Mapping'!$C$3:$C$500,0)),"Y","")</f>
        <v/>
      </c>
      <c r="DT71" s="58" t="str">
        <f>IF(ISNUMBER(MATCH(#REF!,'Audit Characteristic Mapping'!$D$3:$D$500,0)),"Y","")</f>
        <v/>
      </c>
      <c r="DU71" s="58" t="str">
        <f>IF(ISNUMBER(MATCH(#REF!,'Audit Characteristic Mapping'!$E$3:$E$500,0)),"Y","")</f>
        <v/>
      </c>
      <c r="DV71" s="58" t="str">
        <f>IF(ISNUMBER(MATCH(#REF!,'Audit Characteristic Mapping'!$F$3:$F$500,0)),"Y","")</f>
        <v/>
      </c>
      <c r="DW71" s="58" t="str">
        <f>IF(ISNUMBER(MATCH(#REF!,'Audit Characteristic Mapping'!$G$3:$G$500,0)),"Y","")</f>
        <v/>
      </c>
      <c r="DX71" s="58" t="str">
        <f>IF(ISNUMBER(MATCH(#REF!,'Audit Characteristic Mapping'!$H$3:$H$500,0)),"Y","")</f>
        <v/>
      </c>
      <c r="DY71" s="58" t="str">
        <f>IF(ISNUMBER(MATCH(#REF!,'Audit Characteristic Mapping'!$I$3:$I$500,0)),"Y","")</f>
        <v/>
      </c>
      <c r="DZ71" s="58" t="str">
        <f>IF(ISNUMBER(MATCH(#REF!,'Audit Characteristic Mapping'!$J$3:$J$500,0)),"Y","")</f>
        <v/>
      </c>
      <c r="EA71" s="58" t="str">
        <f>IF(ISNUMBER(MATCH(#REF!,'Audit Characteristic Mapping'!$K$3:$K$500,0)),"Y","")</f>
        <v/>
      </c>
    </row>
    <row r="72" spans="1:131" ht="16" x14ac:dyDescent="0.2">
      <c r="A72" s="294">
        <v>68</v>
      </c>
      <c r="B72" s="287" t="s">
        <v>174</v>
      </c>
      <c r="C72" s="226" t="s">
        <v>191</v>
      </c>
      <c r="D72" s="170">
        <v>2</v>
      </c>
      <c r="E72" s="288">
        <v>8</v>
      </c>
      <c r="F72" s="291" t="str">
        <f>VLOOKUP(Calculation!A72,'Descriptor maps'!$A$2:$F$1658,6,0)</f>
        <v>Raise Method</v>
      </c>
      <c r="G72" s="289" t="s">
        <v>1078</v>
      </c>
      <c r="H72" s="290"/>
      <c r="I72" s="291" cm="1">
        <f t="array" ref="I72">INDEX('Descriptor maps'!$H$2:$H$1658,MATCH(1,('Descriptor maps'!$A$2:$A$1658=Calculation!$A72)*('Descriptor maps'!$G$2:$G$1658=Calculation!$G72),0))</f>
        <v>4</v>
      </c>
      <c r="J72" s="353" cm="1">
        <f t="array" ref="J72">INDEX('Descriptor maps'!$I$2:$I$1658,MATCH(1,('Descriptor maps'!$A$2:$A$1658=Calculation!$A72)*('Descriptor maps'!$G$2:$G$1658=Calculation!$G72),0))</f>
        <v>4</v>
      </c>
      <c r="K72" s="226"/>
      <c r="L72" s="293"/>
      <c r="M72" s="293"/>
      <c r="N72" s="293"/>
      <c r="O72" s="293"/>
      <c r="P72" s="293"/>
      <c r="Q72" s="293"/>
      <c r="R72" s="293"/>
      <c r="S72" s="293"/>
      <c r="T72" s="293"/>
      <c r="U72" s="293"/>
      <c r="V72" s="293"/>
      <c r="W72" s="293"/>
      <c r="X72" s="293">
        <f>1*$J72</f>
        <v>4</v>
      </c>
      <c r="Y72" s="293"/>
      <c r="Z72" s="293"/>
      <c r="AA72" s="293"/>
      <c r="AB72" s="293"/>
      <c r="AC72" s="293"/>
      <c r="AD72" s="293"/>
      <c r="AE72" s="293">
        <f>1*$J72</f>
        <v>4</v>
      </c>
      <c r="AF72" s="293"/>
      <c r="AG72" s="293"/>
      <c r="AH72" s="293"/>
      <c r="AI72" s="293"/>
      <c r="AJ72" s="293"/>
      <c r="AK72" s="293"/>
      <c r="AL72" s="293"/>
      <c r="AM72" s="293"/>
      <c r="AN72" s="293"/>
      <c r="AO72" s="293"/>
      <c r="AP72" s="293"/>
      <c r="AQ72" s="293"/>
      <c r="AR72" s="293"/>
      <c r="AS72" s="293"/>
      <c r="AT72" s="293"/>
      <c r="AU72" s="293"/>
      <c r="AV72" s="293"/>
      <c r="AW72" s="293"/>
      <c r="AX72" s="293"/>
      <c r="AY72" s="293"/>
      <c r="AZ72" s="293"/>
      <c r="BA72" s="293"/>
      <c r="BB72" s="293"/>
      <c r="BC72" s="293"/>
      <c r="BD72" s="293"/>
      <c r="BE72" s="293"/>
      <c r="BF72" s="293"/>
      <c r="BG72" s="293"/>
      <c r="BH72" s="293"/>
      <c r="BI72" s="293"/>
      <c r="BJ72" s="293"/>
      <c r="BK72" s="293"/>
      <c r="BL72" s="293"/>
      <c r="BM72" s="293"/>
      <c r="BN72" s="293"/>
      <c r="BO72" s="293"/>
      <c r="BP72" s="293"/>
      <c r="BQ72" s="293"/>
      <c r="BR72" s="293"/>
      <c r="BS72" s="293"/>
      <c r="BT72" s="293"/>
      <c r="BU72" s="293"/>
      <c r="BV72" s="293"/>
      <c r="BW72" s="293"/>
      <c r="BX72" s="293"/>
      <c r="BY72" s="293"/>
      <c r="BZ72" s="293"/>
      <c r="CA72" s="285"/>
      <c r="CB72" s="286"/>
      <c r="CC72" s="286"/>
      <c r="CD72" s="286"/>
      <c r="CE72" s="286"/>
      <c r="CF72" s="286"/>
      <c r="CG72" s="286"/>
      <c r="CH72" s="286"/>
      <c r="CI72" s="286"/>
      <c r="CJ72" s="286"/>
      <c r="CK72" s="286"/>
      <c r="CL72" s="286"/>
      <c r="CM72" s="286"/>
      <c r="CN72" s="286"/>
      <c r="CO72" s="286"/>
      <c r="CP72" s="286"/>
      <c r="CQ72" s="286"/>
      <c r="CR72" s="286"/>
      <c r="CS72" s="286"/>
      <c r="CT72" s="286"/>
      <c r="CU72" s="286"/>
      <c r="CV72" s="286"/>
      <c r="CW72" s="286"/>
      <c r="CX72" s="286"/>
      <c r="CY72" s="286"/>
      <c r="CZ72" s="286"/>
      <c r="DA72" s="286"/>
      <c r="DB72" s="286"/>
      <c r="DC72" s="286"/>
      <c r="DD72" s="286"/>
      <c r="DE72" s="286"/>
      <c r="DF72" s="286"/>
      <c r="DG72" s="286"/>
      <c r="DH72" s="286"/>
      <c r="DI72" s="286"/>
      <c r="DJ72" s="286"/>
      <c r="DK72" s="286"/>
      <c r="DL72" s="286"/>
      <c r="DM72" s="286"/>
      <c r="DN72" s="286"/>
      <c r="DO72" s="286"/>
      <c r="DP72" s="286"/>
      <c r="DR72" s="58" t="str">
        <f>IF(ISNUMBER(MATCH(#REF!,'Audit Characteristic Mapping'!$B$3:$B$500,0)),"Y","")</f>
        <v/>
      </c>
      <c r="DS72" s="58" t="str">
        <f>IF(ISNUMBER(MATCH(#REF!,'Audit Characteristic Mapping'!$C$3:$C$500,0)),"Y","")</f>
        <v/>
      </c>
      <c r="DT72" s="58" t="str">
        <f>IF(ISNUMBER(MATCH(#REF!,'Audit Characteristic Mapping'!$D$3:$D$500,0)),"Y","")</f>
        <v/>
      </c>
      <c r="DU72" s="58" t="str">
        <f>IF(ISNUMBER(MATCH(#REF!,'Audit Characteristic Mapping'!$E$3:$E$500,0)),"Y","")</f>
        <v/>
      </c>
      <c r="DV72" s="58" t="str">
        <f>IF(ISNUMBER(MATCH(#REF!,'Audit Characteristic Mapping'!$F$3:$F$500,0)),"Y","")</f>
        <v/>
      </c>
      <c r="DW72" s="58" t="str">
        <f>IF(ISNUMBER(MATCH(#REF!,'Audit Characteristic Mapping'!$G$3:$G$500,0)),"Y","")</f>
        <v/>
      </c>
      <c r="DX72" s="58" t="str">
        <f>IF(ISNUMBER(MATCH(#REF!,'Audit Characteristic Mapping'!$H$3:$H$500,0)),"Y","")</f>
        <v/>
      </c>
      <c r="DY72" s="58" t="str">
        <f>IF(ISNUMBER(MATCH(#REF!,'Audit Characteristic Mapping'!$I$3:$I$500,0)),"Y","")</f>
        <v/>
      </c>
      <c r="DZ72" s="58" t="str">
        <f>IF(ISNUMBER(MATCH(#REF!,'Audit Characteristic Mapping'!$J$3:$J$500,0)),"Y","")</f>
        <v/>
      </c>
      <c r="EA72" s="58" t="str">
        <f>IF(ISNUMBER(MATCH(#REF!,'Audit Characteristic Mapping'!$K$3:$K$500,0)),"Y","")</f>
        <v/>
      </c>
    </row>
    <row r="73" spans="1:131" ht="16" hidden="1" x14ac:dyDescent="0.2">
      <c r="A73" s="288">
        <v>460</v>
      </c>
      <c r="B73" s="287" t="s">
        <v>174</v>
      </c>
      <c r="C73" s="226" t="s">
        <v>191</v>
      </c>
      <c r="D73" s="170">
        <v>2</v>
      </c>
      <c r="E73" s="288">
        <v>8</v>
      </c>
      <c r="F73" s="291" t="str">
        <f>VLOOKUP(Calculation!A73,'Descriptor maps'!$A$2:$F$1658,2,0)</f>
        <v>Facility details</v>
      </c>
      <c r="G73" s="289" t="s">
        <v>691</v>
      </c>
      <c r="H73" s="290"/>
      <c r="I73" s="291"/>
      <c r="J73" s="292" cm="1">
        <f t="array" ref="J73">INDEX('Descriptor maps'!$I$2:$I$1658,MATCH(1,('Descriptor maps'!$A$2:$A$1658=Calculation!$A73)*('Descriptor maps'!$G$2:$G$1658=Calculation!$G73),0))</f>
        <v>3</v>
      </c>
      <c r="K73" s="226"/>
      <c r="L73" s="293"/>
      <c r="M73" s="293"/>
      <c r="N73" s="293"/>
      <c r="O73" s="293"/>
      <c r="P73" s="293"/>
      <c r="Q73" s="293"/>
      <c r="R73" s="293"/>
      <c r="S73" s="293"/>
      <c r="T73" s="293"/>
      <c r="U73" s="293"/>
      <c r="V73" s="293"/>
      <c r="W73" s="293"/>
      <c r="X73" s="293"/>
      <c r="Y73" s="293"/>
      <c r="Z73" s="293"/>
      <c r="AA73" s="293"/>
      <c r="AB73" s="293"/>
      <c r="AC73" s="293"/>
      <c r="AD73" s="293"/>
      <c r="AE73" s="293"/>
      <c r="AF73" s="293"/>
      <c r="AG73" s="293"/>
      <c r="AH73" s="293"/>
      <c r="AI73" s="293"/>
      <c r="AJ73" s="293"/>
      <c r="AK73" s="293"/>
      <c r="AL73" s="293"/>
      <c r="AM73" s="293"/>
      <c r="AN73" s="293"/>
      <c r="AO73" s="293"/>
      <c r="AP73" s="293"/>
      <c r="AQ73" s="293"/>
      <c r="AR73" s="293"/>
      <c r="AS73" s="293"/>
      <c r="AT73" s="293"/>
      <c r="AU73" s="293"/>
      <c r="AV73" s="293"/>
      <c r="AW73" s="293"/>
      <c r="AX73" s="293"/>
      <c r="AY73" s="293"/>
      <c r="AZ73" s="293"/>
      <c r="BA73" s="293"/>
      <c r="BB73" s="293"/>
      <c r="BC73" s="293"/>
      <c r="BD73" s="293"/>
      <c r="BE73" s="293"/>
      <c r="BF73" s="293"/>
      <c r="BG73" s="293"/>
      <c r="BH73" s="293"/>
      <c r="BI73" s="293"/>
      <c r="BJ73" s="293"/>
      <c r="BK73" s="293"/>
      <c r="BL73" s="293"/>
      <c r="BM73" s="293"/>
      <c r="BN73" s="293"/>
      <c r="BO73" s="293"/>
      <c r="BP73" s="293"/>
      <c r="BQ73" s="293"/>
      <c r="BR73" s="293"/>
      <c r="BS73" s="293"/>
      <c r="BT73" s="293"/>
      <c r="BU73" s="293"/>
      <c r="BV73" s="293"/>
      <c r="BW73" s="293"/>
      <c r="BX73" s="293"/>
      <c r="BY73" s="293"/>
      <c r="BZ73" s="293"/>
      <c r="CA73" s="285"/>
      <c r="CB73" s="286"/>
      <c r="CC73" s="286"/>
      <c r="CD73" s="286"/>
      <c r="CE73" s="286"/>
      <c r="CF73" s="286"/>
      <c r="CG73" s="286"/>
      <c r="CH73" s="286"/>
      <c r="CI73" s="286"/>
      <c r="CJ73" s="286"/>
      <c r="CK73" s="286"/>
      <c r="CL73" s="286"/>
      <c r="CM73" s="286"/>
      <c r="CN73" s="286"/>
      <c r="CO73" s="286"/>
      <c r="CP73" s="286"/>
      <c r="CQ73" s="286"/>
      <c r="CR73" s="286"/>
      <c r="CS73" s="286"/>
      <c r="CT73" s="286"/>
      <c r="CU73" s="286"/>
      <c r="CV73" s="286"/>
      <c r="CW73" s="286"/>
      <c r="CX73" s="286"/>
      <c r="CY73" s="286"/>
      <c r="CZ73" s="286"/>
      <c r="DA73" s="286"/>
      <c r="DB73" s="286"/>
      <c r="DC73" s="286"/>
      <c r="DD73" s="286"/>
      <c r="DE73" s="286"/>
      <c r="DF73" s="286"/>
      <c r="DG73" s="286"/>
      <c r="DH73" s="286"/>
      <c r="DI73" s="286"/>
      <c r="DJ73" s="286"/>
      <c r="DK73" s="286"/>
      <c r="DL73" s="286"/>
      <c r="DM73" s="286"/>
      <c r="DN73" s="286"/>
      <c r="DO73" s="286"/>
      <c r="DP73" s="286"/>
      <c r="DR73" s="58" t="str">
        <f>IF(ISNUMBER(MATCH(#REF!,'Audit Characteristic Mapping'!$B$3:$B$500,0)),"Y","")</f>
        <v/>
      </c>
      <c r="DS73" s="58" t="str">
        <f>IF(ISNUMBER(MATCH(#REF!,'Audit Characteristic Mapping'!$C$3:$C$500,0)),"Y","")</f>
        <v/>
      </c>
      <c r="DT73" s="58" t="str">
        <f>IF(ISNUMBER(MATCH(#REF!,'Audit Characteristic Mapping'!$D$3:$D$500,0)),"Y","")</f>
        <v/>
      </c>
      <c r="DU73" s="58" t="str">
        <f>IF(ISNUMBER(MATCH(#REF!,'Audit Characteristic Mapping'!$E$3:$E$500,0)),"Y","")</f>
        <v/>
      </c>
      <c r="DV73" s="58" t="str">
        <f>IF(ISNUMBER(MATCH(#REF!,'Audit Characteristic Mapping'!$F$3:$F$500,0)),"Y","")</f>
        <v/>
      </c>
      <c r="DW73" s="58" t="str">
        <f>IF(ISNUMBER(MATCH(#REF!,'Audit Characteristic Mapping'!$G$3:$G$500,0)),"Y","")</f>
        <v/>
      </c>
      <c r="DX73" s="58" t="str">
        <f>IF(ISNUMBER(MATCH(#REF!,'Audit Characteristic Mapping'!$H$3:$H$500,0)),"Y","")</f>
        <v/>
      </c>
      <c r="DY73" s="58" t="str">
        <f>IF(ISNUMBER(MATCH(#REF!,'Audit Characteristic Mapping'!$I$3:$I$500,0)),"Y","")</f>
        <v/>
      </c>
      <c r="DZ73" s="58" t="str">
        <f>IF(ISNUMBER(MATCH(#REF!,'Audit Characteristic Mapping'!$J$3:$J$500,0)),"Y","")</f>
        <v/>
      </c>
      <c r="EA73" s="58" t="str">
        <f>IF(ISNUMBER(MATCH(#REF!,'Audit Characteristic Mapping'!$K$3:$K$500,0)),"Y","")</f>
        <v/>
      </c>
    </row>
    <row r="74" spans="1:131" ht="16" x14ac:dyDescent="0.2">
      <c r="A74" s="294">
        <v>69</v>
      </c>
      <c r="B74" s="287" t="s">
        <v>174</v>
      </c>
      <c r="C74" s="226" t="s">
        <v>191</v>
      </c>
      <c r="D74" s="170">
        <v>2</v>
      </c>
      <c r="E74" s="288">
        <v>8</v>
      </c>
      <c r="F74" s="291" t="str">
        <f>VLOOKUP(Calculation!A74,'Descriptor maps'!$A$2:$F$1658,6,0)</f>
        <v>Maximum embankment height above ground level (m)</v>
      </c>
      <c r="G74" s="289">
        <v>22</v>
      </c>
      <c r="H74" s="290"/>
      <c r="I74" s="291" t="e" cm="1">
        <f t="array" ref="I74">INDEX('Descriptor maps'!$H$2:$H$1658,MATCH(1,('Descriptor maps'!$A$2:$A$1658=Calculation!$A74)*('Descriptor maps'!$G$2:$G$1658=Calculation!$G74),0))</f>
        <v>#N/A</v>
      </c>
      <c r="J74" s="292">
        <f>G74</f>
        <v>22</v>
      </c>
      <c r="K74" s="226"/>
      <c r="L74" s="293"/>
      <c r="M74" s="293"/>
      <c r="N74" s="293"/>
      <c r="O74" s="293"/>
      <c r="P74" s="293"/>
      <c r="Q74" s="293"/>
      <c r="R74" s="293"/>
      <c r="S74" s="293"/>
      <c r="T74" s="293"/>
      <c r="U74" s="293"/>
      <c r="V74" s="293"/>
      <c r="W74" s="293"/>
      <c r="X74" s="293"/>
      <c r="Y74" s="293"/>
      <c r="Z74" s="293"/>
      <c r="AA74" s="293"/>
      <c r="AB74" s="293"/>
      <c r="AC74" s="293"/>
      <c r="AD74" s="293"/>
      <c r="AE74" s="293"/>
      <c r="AF74" s="293"/>
      <c r="AG74" s="293"/>
      <c r="AH74" s="293">
        <f>1*G74</f>
        <v>22</v>
      </c>
      <c r="AI74" s="293"/>
      <c r="AJ74" s="293"/>
      <c r="AK74" s="293"/>
      <c r="AL74" s="293"/>
      <c r="AM74" s="293"/>
      <c r="AN74" s="293"/>
      <c r="AO74" s="293"/>
      <c r="AP74" s="293"/>
      <c r="AQ74" s="293"/>
      <c r="AR74" s="293"/>
      <c r="AS74" s="293"/>
      <c r="AT74" s="293"/>
      <c r="AU74" s="293"/>
      <c r="AV74" s="293"/>
      <c r="AW74" s="293"/>
      <c r="AX74" s="293"/>
      <c r="AY74" s="293"/>
      <c r="AZ74" s="293"/>
      <c r="BA74" s="293"/>
      <c r="BB74" s="293"/>
      <c r="BC74" s="293"/>
      <c r="BD74" s="293"/>
      <c r="BE74" s="293"/>
      <c r="BF74" s="293"/>
      <c r="BG74" s="293"/>
      <c r="BH74" s="293"/>
      <c r="BI74" s="293"/>
      <c r="BJ74" s="293"/>
      <c r="BK74" s="293"/>
      <c r="BL74" s="293"/>
      <c r="BM74" s="293"/>
      <c r="BN74" s="293"/>
      <c r="BO74" s="293"/>
      <c r="BP74" s="293"/>
      <c r="BQ74" s="293"/>
      <c r="BR74" s="293"/>
      <c r="BS74" s="293"/>
      <c r="BT74" s="293"/>
      <c r="BU74" s="293"/>
      <c r="BV74" s="293"/>
      <c r="BW74" s="293"/>
      <c r="BX74" s="293"/>
      <c r="BY74" s="293"/>
      <c r="BZ74" s="293"/>
      <c r="CA74" s="285"/>
      <c r="CB74" s="286"/>
      <c r="CC74" s="286"/>
      <c r="CD74" s="286"/>
      <c r="CE74" s="286"/>
      <c r="CF74" s="286"/>
      <c r="CG74" s="286"/>
      <c r="CH74" s="286"/>
      <c r="CI74" s="286"/>
      <c r="CJ74" s="286"/>
      <c r="CK74" s="286"/>
      <c r="CL74" s="286"/>
      <c r="CM74" s="286"/>
      <c r="CN74" s="286"/>
      <c r="CO74" s="286"/>
      <c r="CP74" s="286"/>
      <c r="CQ74" s="286"/>
      <c r="CR74" s="286"/>
      <c r="CS74" s="286"/>
      <c r="CT74" s="286"/>
      <c r="CU74" s="286"/>
      <c r="CV74" s="286"/>
      <c r="CW74" s="286"/>
      <c r="CX74" s="286"/>
      <c r="CY74" s="286"/>
      <c r="CZ74" s="286"/>
      <c r="DA74" s="286"/>
      <c r="DB74" s="286"/>
      <c r="DC74" s="286"/>
      <c r="DD74" s="286"/>
      <c r="DE74" s="286"/>
      <c r="DF74" s="286"/>
      <c r="DG74" s="286"/>
      <c r="DH74" s="286"/>
      <c r="DI74" s="286"/>
      <c r="DJ74" s="286"/>
      <c r="DK74" s="286"/>
      <c r="DL74" s="286"/>
      <c r="DM74" s="286"/>
      <c r="DN74" s="286"/>
      <c r="DO74" s="286"/>
      <c r="DP74" s="286"/>
      <c r="DR74" s="58" t="str">
        <f>IF(ISNUMBER(MATCH(#REF!,'Audit Characteristic Mapping'!$B$3:$B$500,0)),"Y","")</f>
        <v/>
      </c>
      <c r="DS74" s="58" t="str">
        <f>IF(ISNUMBER(MATCH(#REF!,'Audit Characteristic Mapping'!$C$3:$C$500,0)),"Y","")</f>
        <v/>
      </c>
      <c r="DT74" s="58" t="str">
        <f>IF(ISNUMBER(MATCH(#REF!,'Audit Characteristic Mapping'!$D$3:$D$500,0)),"Y","")</f>
        <v/>
      </c>
      <c r="DU74" s="58" t="str">
        <f>IF(ISNUMBER(MATCH(#REF!,'Audit Characteristic Mapping'!$E$3:$E$500,0)),"Y","")</f>
        <v/>
      </c>
      <c r="DV74" s="58" t="str">
        <f>IF(ISNUMBER(MATCH(#REF!,'Audit Characteristic Mapping'!$F$3:$F$500,0)),"Y","")</f>
        <v/>
      </c>
      <c r="DW74" s="58" t="str">
        <f>IF(ISNUMBER(MATCH(#REF!,'Audit Characteristic Mapping'!$G$3:$G$500,0)),"Y","")</f>
        <v/>
      </c>
      <c r="DX74" s="58" t="str">
        <f>IF(ISNUMBER(MATCH(#REF!,'Audit Characteristic Mapping'!$H$3:$H$500,0)),"Y","")</f>
        <v/>
      </c>
      <c r="DY74" s="58" t="str">
        <f>IF(ISNUMBER(MATCH(#REF!,'Audit Characteristic Mapping'!$I$3:$I$500,0)),"Y","")</f>
        <v/>
      </c>
      <c r="DZ74" s="58" t="str">
        <f>IF(ISNUMBER(MATCH(#REF!,'Audit Characteristic Mapping'!$J$3:$J$500,0)),"Y","")</f>
        <v/>
      </c>
      <c r="EA74" s="58" t="str">
        <f>IF(ISNUMBER(MATCH(#REF!,'Audit Characteristic Mapping'!$K$3:$K$500,0)),"Y","")</f>
        <v/>
      </c>
    </row>
    <row r="75" spans="1:131" ht="16" hidden="1" x14ac:dyDescent="0.2">
      <c r="A75" s="288">
        <v>70</v>
      </c>
      <c r="B75" s="287" t="s">
        <v>174</v>
      </c>
      <c r="C75" s="226" t="s">
        <v>191</v>
      </c>
      <c r="D75" s="170">
        <v>2</v>
      </c>
      <c r="E75" s="288">
        <v>8</v>
      </c>
      <c r="F75" s="291" t="str">
        <f>VLOOKUP(Calculation!A75,'Descriptor maps'!$A$2:$F$1658,2,0)</f>
        <v>Facility details</v>
      </c>
      <c r="G75" s="289">
        <v>35</v>
      </c>
      <c r="H75" s="290"/>
      <c r="I75" s="291"/>
      <c r="J75" s="292" t="e" cm="1">
        <f t="array" ref="J75">INDEX('Descriptor maps'!$I$2:$I$1658,MATCH(1,('Descriptor maps'!$A$2:$A$1658=Calculation!$A75)*('Descriptor maps'!$G$2:$G$1658=Calculation!$G75),0))</f>
        <v>#N/A</v>
      </c>
      <c r="K75" s="226"/>
      <c r="L75" s="293"/>
      <c r="M75" s="293"/>
      <c r="N75" s="293"/>
      <c r="O75" s="293"/>
      <c r="P75" s="293"/>
      <c r="Q75" s="293"/>
      <c r="R75" s="293"/>
      <c r="S75" s="293"/>
      <c r="T75" s="293"/>
      <c r="U75" s="293"/>
      <c r="V75" s="293"/>
      <c r="W75" s="293"/>
      <c r="X75" s="293"/>
      <c r="Y75" s="29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c r="AW75" s="293"/>
      <c r="AX75" s="293"/>
      <c r="AY75" s="293"/>
      <c r="AZ75" s="293"/>
      <c r="BA75" s="293"/>
      <c r="BB75" s="293"/>
      <c r="BC75" s="293"/>
      <c r="BD75" s="293"/>
      <c r="BE75" s="293"/>
      <c r="BF75" s="293"/>
      <c r="BG75" s="293"/>
      <c r="BH75" s="293"/>
      <c r="BI75" s="293"/>
      <c r="BJ75" s="293"/>
      <c r="BK75" s="293"/>
      <c r="BL75" s="293"/>
      <c r="BM75" s="293"/>
      <c r="BN75" s="293"/>
      <c r="BO75" s="293"/>
      <c r="BP75" s="293"/>
      <c r="BQ75" s="293"/>
      <c r="BR75" s="293"/>
      <c r="BS75" s="293"/>
      <c r="BT75" s="293"/>
      <c r="BU75" s="293"/>
      <c r="BV75" s="293"/>
      <c r="BW75" s="293"/>
      <c r="BX75" s="293"/>
      <c r="BY75" s="293"/>
      <c r="BZ75" s="293"/>
      <c r="CA75" s="285"/>
      <c r="CB75" s="286"/>
      <c r="CC75" s="286"/>
      <c r="CD75" s="286"/>
      <c r="CE75" s="286"/>
      <c r="CF75" s="286"/>
      <c r="CG75" s="286"/>
      <c r="CH75" s="286"/>
      <c r="CI75" s="286"/>
      <c r="CJ75" s="286"/>
      <c r="CK75" s="286"/>
      <c r="CL75" s="286"/>
      <c r="CM75" s="286"/>
      <c r="CN75" s="286"/>
      <c r="CO75" s="286"/>
      <c r="CP75" s="286"/>
      <c r="CQ75" s="286"/>
      <c r="CR75" s="286"/>
      <c r="CS75" s="286"/>
      <c r="CT75" s="286"/>
      <c r="CU75" s="286"/>
      <c r="CV75" s="286"/>
      <c r="CW75" s="286"/>
      <c r="CX75" s="286"/>
      <c r="CY75" s="286"/>
      <c r="CZ75" s="286"/>
      <c r="DA75" s="286"/>
      <c r="DB75" s="286"/>
      <c r="DC75" s="286"/>
      <c r="DD75" s="286"/>
      <c r="DE75" s="286"/>
      <c r="DF75" s="286"/>
      <c r="DG75" s="286"/>
      <c r="DH75" s="286"/>
      <c r="DI75" s="286"/>
      <c r="DJ75" s="286"/>
      <c r="DK75" s="286"/>
      <c r="DL75" s="286"/>
      <c r="DM75" s="286"/>
      <c r="DN75" s="286"/>
      <c r="DO75" s="286"/>
      <c r="DP75" s="286"/>
      <c r="DR75" s="58" t="str">
        <f>IF(ISNUMBER(MATCH(#REF!,'Audit Characteristic Mapping'!$B$3:$B$500,0)),"Y","")</f>
        <v/>
      </c>
      <c r="DS75" s="58" t="str">
        <f>IF(ISNUMBER(MATCH(#REF!,'Audit Characteristic Mapping'!$C$3:$C$500,0)),"Y","")</f>
        <v/>
      </c>
      <c r="DT75" s="58" t="str">
        <f>IF(ISNUMBER(MATCH(#REF!,'Audit Characteristic Mapping'!$D$3:$D$500,0)),"Y","")</f>
        <v/>
      </c>
      <c r="DU75" s="58" t="str">
        <f>IF(ISNUMBER(MATCH(#REF!,'Audit Characteristic Mapping'!$E$3:$E$500,0)),"Y","")</f>
        <v/>
      </c>
      <c r="DV75" s="58" t="str">
        <f>IF(ISNUMBER(MATCH(#REF!,'Audit Characteristic Mapping'!$F$3:$F$500,0)),"Y","")</f>
        <v/>
      </c>
      <c r="DW75" s="58" t="str">
        <f>IF(ISNUMBER(MATCH(#REF!,'Audit Characteristic Mapping'!$G$3:$G$500,0)),"Y","")</f>
        <v/>
      </c>
      <c r="DX75" s="58" t="str">
        <f>IF(ISNUMBER(MATCH(#REF!,'Audit Characteristic Mapping'!$H$3:$H$500,0)),"Y","")</f>
        <v/>
      </c>
      <c r="DY75" s="58" t="str">
        <f>IF(ISNUMBER(MATCH(#REF!,'Audit Characteristic Mapping'!$I$3:$I$500,0)),"Y","")</f>
        <v/>
      </c>
      <c r="DZ75" s="58" t="str">
        <f>IF(ISNUMBER(MATCH(#REF!,'Audit Characteristic Mapping'!$J$3:$J$500,0)),"Y","")</f>
        <v/>
      </c>
      <c r="EA75" s="58" t="str">
        <f>IF(ISNUMBER(MATCH(#REF!,'Audit Characteristic Mapping'!$K$3:$K$500,0)),"Y","")</f>
        <v/>
      </c>
    </row>
    <row r="76" spans="1:131" ht="16" hidden="1" x14ac:dyDescent="0.2">
      <c r="A76" s="288">
        <v>71</v>
      </c>
      <c r="B76" s="287" t="s">
        <v>174</v>
      </c>
      <c r="C76" s="226" t="s">
        <v>191</v>
      </c>
      <c r="D76" s="170">
        <v>2</v>
      </c>
      <c r="E76" s="288">
        <v>8</v>
      </c>
      <c r="F76" s="291" t="str">
        <f>VLOOKUP(Calculation!A76,'Descriptor maps'!$A$2:$F$1658,2,0)</f>
        <v>Facility details</v>
      </c>
      <c r="G76" s="289"/>
      <c r="H76" s="290"/>
      <c r="I76" s="291"/>
      <c r="J76" s="292" t="e" cm="1">
        <f t="array" ref="J76">INDEX('Descriptor maps'!$I$2:$I$1658,MATCH(1,('Descriptor maps'!$A$2:$A$1658=Calculation!$A76)*('Descriptor maps'!$G$2:$G$1658=Calculation!$G76),0))</f>
        <v>#N/A</v>
      </c>
      <c r="K76" s="226"/>
      <c r="L76" s="293"/>
      <c r="M76" s="293"/>
      <c r="N76" s="293"/>
      <c r="O76" s="29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3"/>
      <c r="BG76" s="293"/>
      <c r="BH76" s="293"/>
      <c r="BI76" s="293"/>
      <c r="BJ76" s="293"/>
      <c r="BK76" s="293"/>
      <c r="BL76" s="293"/>
      <c r="BM76" s="293"/>
      <c r="BN76" s="293"/>
      <c r="BO76" s="293"/>
      <c r="BP76" s="293"/>
      <c r="BQ76" s="293"/>
      <c r="BR76" s="293"/>
      <c r="BS76" s="293"/>
      <c r="BT76" s="293"/>
      <c r="BU76" s="293"/>
      <c r="BV76" s="293"/>
      <c r="BW76" s="293"/>
      <c r="BX76" s="293"/>
      <c r="BY76" s="293"/>
      <c r="BZ76" s="293"/>
      <c r="CA76" s="285"/>
      <c r="CB76" s="286"/>
      <c r="CC76" s="286"/>
      <c r="CD76" s="286"/>
      <c r="CE76" s="286"/>
      <c r="CF76" s="286"/>
      <c r="CG76" s="286"/>
      <c r="CH76" s="286"/>
      <c r="CI76" s="286"/>
      <c r="CJ76" s="286"/>
      <c r="CK76" s="286"/>
      <c r="CL76" s="286"/>
      <c r="CM76" s="286"/>
      <c r="CN76" s="286"/>
      <c r="CO76" s="286"/>
      <c r="CP76" s="286"/>
      <c r="CQ76" s="286"/>
      <c r="CR76" s="286"/>
      <c r="CS76" s="286"/>
      <c r="CT76" s="286"/>
      <c r="CU76" s="286"/>
      <c r="CV76" s="286"/>
      <c r="CW76" s="286"/>
      <c r="CX76" s="286"/>
      <c r="CY76" s="286"/>
      <c r="CZ76" s="286"/>
      <c r="DA76" s="286"/>
      <c r="DB76" s="286"/>
      <c r="DC76" s="286"/>
      <c r="DD76" s="286"/>
      <c r="DE76" s="286"/>
      <c r="DF76" s="286"/>
      <c r="DG76" s="286"/>
      <c r="DH76" s="286"/>
      <c r="DI76" s="286"/>
      <c r="DJ76" s="286"/>
      <c r="DK76" s="286"/>
      <c r="DL76" s="286"/>
      <c r="DM76" s="286"/>
      <c r="DN76" s="286"/>
      <c r="DO76" s="286"/>
      <c r="DP76" s="286"/>
      <c r="DR76" s="58" t="str">
        <f>IF(ISNUMBER(MATCH(#REF!,'Audit Characteristic Mapping'!$B$3:$B$500,0)),"Y","")</f>
        <v/>
      </c>
      <c r="DS76" s="58" t="str">
        <f>IF(ISNUMBER(MATCH(#REF!,'Audit Characteristic Mapping'!$C$3:$C$500,0)),"Y","")</f>
        <v/>
      </c>
      <c r="DT76" s="58" t="str">
        <f>IF(ISNUMBER(MATCH(#REF!,'Audit Characteristic Mapping'!$D$3:$D$500,0)),"Y","")</f>
        <v/>
      </c>
      <c r="DU76" s="58" t="str">
        <f>IF(ISNUMBER(MATCH(#REF!,'Audit Characteristic Mapping'!$E$3:$E$500,0)),"Y","")</f>
        <v/>
      </c>
      <c r="DV76" s="58" t="str">
        <f>IF(ISNUMBER(MATCH(#REF!,'Audit Characteristic Mapping'!$F$3:$F$500,0)),"Y","")</f>
        <v/>
      </c>
      <c r="DW76" s="58" t="str">
        <f>IF(ISNUMBER(MATCH(#REF!,'Audit Characteristic Mapping'!$G$3:$G$500,0)),"Y","")</f>
        <v/>
      </c>
      <c r="DX76" s="58" t="str">
        <f>IF(ISNUMBER(MATCH(#REF!,'Audit Characteristic Mapping'!$H$3:$H$500,0)),"Y","")</f>
        <v/>
      </c>
      <c r="DY76" s="58" t="str">
        <f>IF(ISNUMBER(MATCH(#REF!,'Audit Characteristic Mapping'!$I$3:$I$500,0)),"Y","")</f>
        <v/>
      </c>
      <c r="DZ76" s="58" t="str">
        <f>IF(ISNUMBER(MATCH(#REF!,'Audit Characteristic Mapping'!$J$3:$J$500,0)),"Y","")</f>
        <v/>
      </c>
      <c r="EA76" s="58" t="str">
        <f>IF(ISNUMBER(MATCH(#REF!,'Audit Characteristic Mapping'!$K$3:$K$500,0)),"Y","")</f>
        <v/>
      </c>
    </row>
    <row r="77" spans="1:131" ht="16" hidden="1" x14ac:dyDescent="0.2">
      <c r="A77" s="288">
        <v>72</v>
      </c>
      <c r="B77" s="287" t="s">
        <v>174</v>
      </c>
      <c r="C77" s="226" t="s">
        <v>191</v>
      </c>
      <c r="D77" s="170">
        <v>2</v>
      </c>
      <c r="E77" s="288">
        <v>8</v>
      </c>
      <c r="F77" s="291" t="str">
        <f>VLOOKUP(Calculation!A77,'Descriptor maps'!$A$2:$F$1658,2,0)</f>
        <v>Facility details</v>
      </c>
      <c r="G77" s="289"/>
      <c r="H77" s="290"/>
      <c r="I77" s="291"/>
      <c r="J77" s="292" t="e" cm="1">
        <f t="array" ref="J77">INDEX('Descriptor maps'!$I$2:$I$1658,MATCH(1,('Descriptor maps'!$A$2:$A$1658=Calculation!$A77)*('Descriptor maps'!$G$2:$G$1658=Calculation!$G77),0))</f>
        <v>#N/A</v>
      </c>
      <c r="K77" s="226"/>
      <c r="L77" s="293"/>
      <c r="M77" s="293"/>
      <c r="N77" s="293"/>
      <c r="O77" s="293"/>
      <c r="P77" s="293"/>
      <c r="Q77" s="293"/>
      <c r="R77" s="293"/>
      <c r="S77" s="293"/>
      <c r="T77" s="293"/>
      <c r="U77" s="293"/>
      <c r="V77" s="293"/>
      <c r="W77" s="293"/>
      <c r="X77" s="293"/>
      <c r="Y77" s="29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c r="AW77" s="293"/>
      <c r="AX77" s="293"/>
      <c r="AY77" s="293"/>
      <c r="AZ77" s="293"/>
      <c r="BA77" s="293"/>
      <c r="BB77" s="293"/>
      <c r="BC77" s="293"/>
      <c r="BD77" s="293"/>
      <c r="BE77" s="293"/>
      <c r="BF77" s="293"/>
      <c r="BG77" s="293"/>
      <c r="BH77" s="293"/>
      <c r="BI77" s="293"/>
      <c r="BJ77" s="293"/>
      <c r="BK77" s="293"/>
      <c r="BL77" s="293"/>
      <c r="BM77" s="293"/>
      <c r="BN77" s="293"/>
      <c r="BO77" s="293"/>
      <c r="BP77" s="293"/>
      <c r="BQ77" s="293"/>
      <c r="BR77" s="293"/>
      <c r="BS77" s="293"/>
      <c r="BT77" s="293"/>
      <c r="BU77" s="293"/>
      <c r="BV77" s="293"/>
      <c r="BW77" s="293"/>
      <c r="BX77" s="293"/>
      <c r="BY77" s="293"/>
      <c r="BZ77" s="293"/>
      <c r="CA77" s="285"/>
      <c r="CB77" s="286"/>
      <c r="CC77" s="286"/>
      <c r="CD77" s="286"/>
      <c r="CE77" s="286"/>
      <c r="CF77" s="286"/>
      <c r="CG77" s="286"/>
      <c r="CH77" s="286"/>
      <c r="CI77" s="286"/>
      <c r="CJ77" s="286"/>
      <c r="CK77" s="286"/>
      <c r="CL77" s="286"/>
      <c r="CM77" s="286"/>
      <c r="CN77" s="286"/>
      <c r="CO77" s="286"/>
      <c r="CP77" s="286"/>
      <c r="CQ77" s="286"/>
      <c r="CR77" s="286"/>
      <c r="CS77" s="286"/>
      <c r="CT77" s="286"/>
      <c r="CU77" s="286"/>
      <c r="CV77" s="286"/>
      <c r="CW77" s="286"/>
      <c r="CX77" s="286"/>
      <c r="CY77" s="286"/>
      <c r="CZ77" s="286"/>
      <c r="DA77" s="286"/>
      <c r="DB77" s="286"/>
      <c r="DC77" s="286"/>
      <c r="DD77" s="286"/>
      <c r="DE77" s="286"/>
      <c r="DF77" s="286"/>
      <c r="DG77" s="286"/>
      <c r="DH77" s="286"/>
      <c r="DI77" s="286"/>
      <c r="DJ77" s="286"/>
      <c r="DK77" s="286"/>
      <c r="DL77" s="286"/>
      <c r="DM77" s="286"/>
      <c r="DN77" s="286"/>
      <c r="DO77" s="286"/>
      <c r="DP77" s="286"/>
      <c r="DR77" s="58" t="str">
        <f>IF(ISNUMBER(MATCH(#REF!,'Audit Characteristic Mapping'!$B$3:$B$500,0)),"Y","")</f>
        <v/>
      </c>
      <c r="DS77" s="58" t="str">
        <f>IF(ISNUMBER(MATCH(#REF!,'Audit Characteristic Mapping'!$C$3:$C$500,0)),"Y","")</f>
        <v/>
      </c>
      <c r="DT77" s="58" t="str">
        <f>IF(ISNUMBER(MATCH(#REF!,'Audit Characteristic Mapping'!$D$3:$D$500,0)),"Y","")</f>
        <v/>
      </c>
      <c r="DU77" s="58" t="str">
        <f>IF(ISNUMBER(MATCH(#REF!,'Audit Characteristic Mapping'!$E$3:$E$500,0)),"Y","")</f>
        <v/>
      </c>
      <c r="DV77" s="58" t="str">
        <f>IF(ISNUMBER(MATCH(#REF!,'Audit Characteristic Mapping'!$F$3:$F$500,0)),"Y","")</f>
        <v/>
      </c>
      <c r="DW77" s="58" t="str">
        <f>IF(ISNUMBER(MATCH(#REF!,'Audit Characteristic Mapping'!$G$3:$G$500,0)),"Y","")</f>
        <v/>
      </c>
      <c r="DX77" s="58" t="str">
        <f>IF(ISNUMBER(MATCH(#REF!,'Audit Characteristic Mapping'!$H$3:$H$500,0)),"Y","")</f>
        <v/>
      </c>
      <c r="DY77" s="58" t="str">
        <f>IF(ISNUMBER(MATCH(#REF!,'Audit Characteristic Mapping'!$I$3:$I$500,0)),"Y","")</f>
        <v/>
      </c>
      <c r="DZ77" s="58" t="str">
        <f>IF(ISNUMBER(MATCH(#REF!,'Audit Characteristic Mapping'!$J$3:$J$500,0)),"Y","")</f>
        <v/>
      </c>
      <c r="EA77" s="58" t="str">
        <f>IF(ISNUMBER(MATCH(#REF!,'Audit Characteristic Mapping'!$K$3:$K$500,0)),"Y","")</f>
        <v/>
      </c>
    </row>
    <row r="78" spans="1:131" ht="16" hidden="1" x14ac:dyDescent="0.2">
      <c r="A78" s="288">
        <v>73</v>
      </c>
      <c r="B78" s="287" t="s">
        <v>174</v>
      </c>
      <c r="C78" s="226" t="s">
        <v>191</v>
      </c>
      <c r="D78" s="170">
        <v>2</v>
      </c>
      <c r="E78" s="288">
        <v>8</v>
      </c>
      <c r="F78" s="291" t="str">
        <f>VLOOKUP(Calculation!A78,'Descriptor maps'!$A$2:$F$1658,2,0)</f>
        <v>Facility details</v>
      </c>
      <c r="G78" s="289"/>
      <c r="H78" s="290"/>
      <c r="I78" s="291"/>
      <c r="J78" s="292" t="e" cm="1">
        <f t="array" ref="J78">INDEX('Descriptor maps'!$I$2:$I$1658,MATCH(1,('Descriptor maps'!$A$2:$A$1658=Calculation!$A78)*('Descriptor maps'!$G$2:$G$1658=Calculation!$G78),0))</f>
        <v>#N/A</v>
      </c>
      <c r="K78" s="226"/>
      <c r="L78" s="293"/>
      <c r="M78" s="293"/>
      <c r="N78" s="293"/>
      <c r="O78" s="293"/>
      <c r="P78" s="293"/>
      <c r="Q78" s="293"/>
      <c r="R78" s="293"/>
      <c r="S78" s="293"/>
      <c r="T78" s="293"/>
      <c r="U78" s="293"/>
      <c r="V78" s="293"/>
      <c r="W78" s="293"/>
      <c r="X78" s="293"/>
      <c r="Y78" s="293"/>
      <c r="Z78" s="293"/>
      <c r="AA78" s="293"/>
      <c r="AB78" s="293"/>
      <c r="AC78" s="293"/>
      <c r="AD78" s="293"/>
      <c r="AE78" s="293"/>
      <c r="AF78" s="293"/>
      <c r="AG78" s="293"/>
      <c r="AH78" s="293"/>
      <c r="AI78" s="293"/>
      <c r="AJ78" s="293"/>
      <c r="AK78" s="293"/>
      <c r="AL78" s="293"/>
      <c r="AM78" s="293"/>
      <c r="AN78" s="293"/>
      <c r="AO78" s="293"/>
      <c r="AP78" s="293"/>
      <c r="AQ78" s="293"/>
      <c r="AR78" s="293"/>
      <c r="AS78" s="293"/>
      <c r="AT78" s="293"/>
      <c r="AU78" s="293"/>
      <c r="AV78" s="293"/>
      <c r="AW78" s="293"/>
      <c r="AX78" s="293"/>
      <c r="AY78" s="293"/>
      <c r="AZ78" s="293"/>
      <c r="BA78" s="293"/>
      <c r="BB78" s="293"/>
      <c r="BC78" s="293"/>
      <c r="BD78" s="293"/>
      <c r="BE78" s="293"/>
      <c r="BF78" s="293"/>
      <c r="BG78" s="293"/>
      <c r="BH78" s="293"/>
      <c r="BI78" s="293"/>
      <c r="BJ78" s="293"/>
      <c r="BK78" s="293"/>
      <c r="BL78" s="293"/>
      <c r="BM78" s="293"/>
      <c r="BN78" s="293"/>
      <c r="BO78" s="293"/>
      <c r="BP78" s="293"/>
      <c r="BQ78" s="293"/>
      <c r="BR78" s="293"/>
      <c r="BS78" s="293"/>
      <c r="BT78" s="293"/>
      <c r="BU78" s="293"/>
      <c r="BV78" s="293"/>
      <c r="BW78" s="293"/>
      <c r="BX78" s="293"/>
      <c r="BY78" s="293"/>
      <c r="BZ78" s="293"/>
      <c r="CA78" s="285"/>
      <c r="CB78" s="286"/>
      <c r="CC78" s="286"/>
      <c r="CD78" s="286"/>
      <c r="CE78" s="286"/>
      <c r="CF78" s="286"/>
      <c r="CG78" s="286"/>
      <c r="CH78" s="286"/>
      <c r="CI78" s="286"/>
      <c r="CJ78" s="286"/>
      <c r="CK78" s="286"/>
      <c r="CL78" s="286"/>
      <c r="CM78" s="286"/>
      <c r="CN78" s="286"/>
      <c r="CO78" s="286"/>
      <c r="CP78" s="286"/>
      <c r="CQ78" s="286"/>
      <c r="CR78" s="286"/>
      <c r="CS78" s="286"/>
      <c r="CT78" s="286"/>
      <c r="CU78" s="286"/>
      <c r="CV78" s="286"/>
      <c r="CW78" s="286"/>
      <c r="CX78" s="286"/>
      <c r="CY78" s="286"/>
      <c r="CZ78" s="286"/>
      <c r="DA78" s="286"/>
      <c r="DB78" s="286"/>
      <c r="DC78" s="286"/>
      <c r="DD78" s="286"/>
      <c r="DE78" s="286"/>
      <c r="DF78" s="286"/>
      <c r="DG78" s="286"/>
      <c r="DH78" s="286"/>
      <c r="DI78" s="286"/>
      <c r="DJ78" s="286"/>
      <c r="DK78" s="286"/>
      <c r="DL78" s="286"/>
      <c r="DM78" s="286"/>
      <c r="DN78" s="286"/>
      <c r="DO78" s="286"/>
      <c r="DP78" s="286"/>
      <c r="DR78" s="58" t="str">
        <f>IF(ISNUMBER(MATCH(#REF!,'Audit Characteristic Mapping'!$B$3:$B$500,0)),"Y","")</f>
        <v/>
      </c>
      <c r="DS78" s="58" t="str">
        <f>IF(ISNUMBER(MATCH(#REF!,'Audit Characteristic Mapping'!$C$3:$C$500,0)),"Y","")</f>
        <v/>
      </c>
      <c r="DT78" s="58" t="str">
        <f>IF(ISNUMBER(MATCH(#REF!,'Audit Characteristic Mapping'!$D$3:$D$500,0)),"Y","")</f>
        <v/>
      </c>
      <c r="DU78" s="58" t="str">
        <f>IF(ISNUMBER(MATCH(#REF!,'Audit Characteristic Mapping'!$E$3:$E$500,0)),"Y","")</f>
        <v/>
      </c>
      <c r="DV78" s="58" t="str">
        <f>IF(ISNUMBER(MATCH(#REF!,'Audit Characteristic Mapping'!$F$3:$F$500,0)),"Y","")</f>
        <v/>
      </c>
      <c r="DW78" s="58" t="str">
        <f>IF(ISNUMBER(MATCH(#REF!,'Audit Characteristic Mapping'!$G$3:$G$500,0)),"Y","")</f>
        <v/>
      </c>
      <c r="DX78" s="58" t="str">
        <f>IF(ISNUMBER(MATCH(#REF!,'Audit Characteristic Mapping'!$H$3:$H$500,0)),"Y","")</f>
        <v/>
      </c>
      <c r="DY78" s="58" t="str">
        <f>IF(ISNUMBER(MATCH(#REF!,'Audit Characteristic Mapping'!$I$3:$I$500,0)),"Y","")</f>
        <v/>
      </c>
      <c r="DZ78" s="58" t="str">
        <f>IF(ISNUMBER(MATCH(#REF!,'Audit Characteristic Mapping'!$J$3:$J$500,0)),"Y","")</f>
        <v/>
      </c>
      <c r="EA78" s="58" t="str">
        <f>IF(ISNUMBER(MATCH(#REF!,'Audit Characteristic Mapping'!$K$3:$K$500,0)),"Y","")</f>
        <v/>
      </c>
    </row>
    <row r="79" spans="1:131" ht="16" hidden="1" x14ac:dyDescent="0.2">
      <c r="A79" s="288">
        <v>74</v>
      </c>
      <c r="B79" s="287" t="s">
        <v>174</v>
      </c>
      <c r="C79" s="226" t="s">
        <v>191</v>
      </c>
      <c r="D79" s="170">
        <v>2</v>
      </c>
      <c r="E79" s="288">
        <v>8</v>
      </c>
      <c r="F79" s="291" t="str">
        <f>VLOOKUP(Calculation!A79,'Descriptor maps'!$A$2:$F$1658,2,0)</f>
        <v>Facility details</v>
      </c>
      <c r="G79" s="289"/>
      <c r="H79" s="290"/>
      <c r="I79" s="291"/>
      <c r="J79" s="292" t="e" cm="1">
        <f t="array" ref="J79">INDEX('Descriptor maps'!$I$2:$I$1658,MATCH(1,('Descriptor maps'!$A$2:$A$1658=Calculation!$A79)*('Descriptor maps'!$G$2:$G$1658=Calculation!$G79),0))</f>
        <v>#N/A</v>
      </c>
      <c r="K79" s="226"/>
      <c r="L79" s="293"/>
      <c r="M79" s="293"/>
      <c r="N79" s="293"/>
      <c r="O79" s="293"/>
      <c r="P79" s="293"/>
      <c r="Q79" s="293"/>
      <c r="R79" s="293"/>
      <c r="S79" s="293"/>
      <c r="T79" s="293"/>
      <c r="U79" s="293"/>
      <c r="V79" s="293"/>
      <c r="W79" s="293"/>
      <c r="X79" s="293"/>
      <c r="Y79" s="293"/>
      <c r="Z79" s="293"/>
      <c r="AA79" s="293"/>
      <c r="AB79" s="293"/>
      <c r="AC79" s="293"/>
      <c r="AD79" s="293"/>
      <c r="AE79" s="293"/>
      <c r="AF79" s="293"/>
      <c r="AG79" s="293"/>
      <c r="AH79" s="293"/>
      <c r="AI79" s="293"/>
      <c r="AJ79" s="293"/>
      <c r="AK79" s="293"/>
      <c r="AL79" s="293"/>
      <c r="AM79" s="293"/>
      <c r="AN79" s="293"/>
      <c r="AO79" s="293"/>
      <c r="AP79" s="293"/>
      <c r="AQ79" s="293"/>
      <c r="AR79" s="293"/>
      <c r="AS79" s="293"/>
      <c r="AT79" s="293"/>
      <c r="AU79" s="293"/>
      <c r="AV79" s="293"/>
      <c r="AW79" s="293"/>
      <c r="AX79" s="293"/>
      <c r="AY79" s="293"/>
      <c r="AZ79" s="293"/>
      <c r="BA79" s="293"/>
      <c r="BB79" s="293"/>
      <c r="BC79" s="293"/>
      <c r="BD79" s="293"/>
      <c r="BE79" s="293"/>
      <c r="BF79" s="293"/>
      <c r="BG79" s="293"/>
      <c r="BH79" s="293"/>
      <c r="BI79" s="293"/>
      <c r="BJ79" s="293"/>
      <c r="BK79" s="293"/>
      <c r="BL79" s="293"/>
      <c r="BM79" s="293"/>
      <c r="BN79" s="293"/>
      <c r="BO79" s="293"/>
      <c r="BP79" s="293"/>
      <c r="BQ79" s="293"/>
      <c r="BR79" s="293"/>
      <c r="BS79" s="293"/>
      <c r="BT79" s="293"/>
      <c r="BU79" s="293"/>
      <c r="BV79" s="293"/>
      <c r="BW79" s="293"/>
      <c r="BX79" s="293"/>
      <c r="BY79" s="293"/>
      <c r="BZ79" s="293"/>
      <c r="CA79" s="285"/>
      <c r="CB79" s="286"/>
      <c r="CC79" s="286"/>
      <c r="CD79" s="286"/>
      <c r="CE79" s="286"/>
      <c r="CF79" s="286"/>
      <c r="CG79" s="286"/>
      <c r="CH79" s="286"/>
      <c r="CI79" s="286"/>
      <c r="CJ79" s="286"/>
      <c r="CK79" s="286"/>
      <c r="CL79" s="286"/>
      <c r="CM79" s="286"/>
      <c r="CN79" s="286"/>
      <c r="CO79" s="286"/>
      <c r="CP79" s="286"/>
      <c r="CQ79" s="286"/>
      <c r="CR79" s="286"/>
      <c r="CS79" s="286"/>
      <c r="CT79" s="286"/>
      <c r="CU79" s="286"/>
      <c r="CV79" s="286"/>
      <c r="CW79" s="286"/>
      <c r="CX79" s="286"/>
      <c r="CY79" s="286"/>
      <c r="CZ79" s="286"/>
      <c r="DA79" s="286"/>
      <c r="DB79" s="286"/>
      <c r="DC79" s="286"/>
      <c r="DD79" s="286"/>
      <c r="DE79" s="286"/>
      <c r="DF79" s="286"/>
      <c r="DG79" s="286"/>
      <c r="DH79" s="286"/>
      <c r="DI79" s="286"/>
      <c r="DJ79" s="286"/>
      <c r="DK79" s="286"/>
      <c r="DL79" s="286"/>
      <c r="DM79" s="286"/>
      <c r="DN79" s="286"/>
      <c r="DO79" s="286"/>
      <c r="DP79" s="286"/>
      <c r="DR79" s="58" t="str">
        <f>IF(ISNUMBER(MATCH(#REF!,'Audit Characteristic Mapping'!$B$3:$B$500,0)),"Y","")</f>
        <v/>
      </c>
      <c r="DS79" s="58" t="str">
        <f>IF(ISNUMBER(MATCH(#REF!,'Audit Characteristic Mapping'!$C$3:$C$500,0)),"Y","")</f>
        <v/>
      </c>
      <c r="DT79" s="58" t="str">
        <f>IF(ISNUMBER(MATCH(#REF!,'Audit Characteristic Mapping'!$D$3:$D$500,0)),"Y","")</f>
        <v/>
      </c>
      <c r="DU79" s="58" t="str">
        <f>IF(ISNUMBER(MATCH(#REF!,'Audit Characteristic Mapping'!$E$3:$E$500,0)),"Y","")</f>
        <v/>
      </c>
      <c r="DV79" s="58" t="str">
        <f>IF(ISNUMBER(MATCH(#REF!,'Audit Characteristic Mapping'!$F$3:$F$500,0)),"Y","")</f>
        <v/>
      </c>
      <c r="DW79" s="58" t="str">
        <f>IF(ISNUMBER(MATCH(#REF!,'Audit Characteristic Mapping'!$G$3:$G$500,0)),"Y","")</f>
        <v/>
      </c>
      <c r="DX79" s="58" t="str">
        <f>IF(ISNUMBER(MATCH(#REF!,'Audit Characteristic Mapping'!$H$3:$H$500,0)),"Y","")</f>
        <v/>
      </c>
      <c r="DY79" s="58" t="str">
        <f>IF(ISNUMBER(MATCH(#REF!,'Audit Characteristic Mapping'!$I$3:$I$500,0)),"Y","")</f>
        <v/>
      </c>
      <c r="DZ79" s="58" t="str">
        <f>IF(ISNUMBER(MATCH(#REF!,'Audit Characteristic Mapping'!$J$3:$J$500,0)),"Y","")</f>
        <v/>
      </c>
      <c r="EA79" s="58" t="str">
        <f>IF(ISNUMBER(MATCH(#REF!,'Audit Characteristic Mapping'!$K$3:$K$500,0)),"Y","")</f>
        <v/>
      </c>
    </row>
    <row r="80" spans="1:131" ht="48" x14ac:dyDescent="0.2">
      <c r="A80" s="294">
        <v>75</v>
      </c>
      <c r="B80" s="287" t="s">
        <v>174</v>
      </c>
      <c r="C80" s="226" t="s">
        <v>191</v>
      </c>
      <c r="D80" s="170">
        <v>2</v>
      </c>
      <c r="E80" s="288">
        <v>8</v>
      </c>
      <c r="F80" s="291" t="str">
        <f>VLOOKUP(Calculation!A80,'Descriptor maps'!$A$2:$F$1658,6,0)</f>
        <v xml:space="preserve">Based on the latest assessment, what is the slope stability FoS considering drained shear strength of materials along a slip surface, movement of which would result in release of stored materials. </v>
      </c>
      <c r="G80" s="289">
        <v>1.7</v>
      </c>
      <c r="H80" s="291"/>
      <c r="I80" s="291" t="e" cm="1">
        <f t="array" ref="I80">INDEX('Descriptor maps'!$H$2:$H$1658,MATCH(1,('Descriptor maps'!$A$2:$A$1658=Calculation!$A80)*('Descriptor maps'!$G$2:$G$1658=Calculation!$G80),0))</f>
        <v>#N/A</v>
      </c>
      <c r="J80" s="292">
        <f>G80</f>
        <v>1.7</v>
      </c>
      <c r="K80" s="226"/>
      <c r="L80" s="293"/>
      <c r="M80" s="293"/>
      <c r="N80" s="293"/>
      <c r="O80" s="293"/>
      <c r="P80" s="293"/>
      <c r="Q80" s="293"/>
      <c r="R80" s="293">
        <f>1*G80</f>
        <v>1.7</v>
      </c>
      <c r="S80" s="293"/>
      <c r="T80" s="293"/>
      <c r="U80" s="293"/>
      <c r="V80" s="293"/>
      <c r="W80" s="293"/>
      <c r="X80" s="293"/>
      <c r="Y80" s="29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c r="AW80" s="293"/>
      <c r="AX80" s="293"/>
      <c r="AY80" s="293"/>
      <c r="AZ80" s="293"/>
      <c r="BA80" s="293"/>
      <c r="BB80" s="293"/>
      <c r="BC80" s="293"/>
      <c r="BD80" s="293"/>
      <c r="BE80" s="293"/>
      <c r="BF80" s="293"/>
      <c r="BG80" s="293"/>
      <c r="BH80" s="293"/>
      <c r="BI80" s="293"/>
      <c r="BJ80" s="293"/>
      <c r="BK80" s="293"/>
      <c r="BL80" s="293"/>
      <c r="BM80" s="293"/>
      <c r="BN80" s="293"/>
      <c r="BO80" s="293"/>
      <c r="BP80" s="293"/>
      <c r="BQ80" s="293"/>
      <c r="BR80" s="293"/>
      <c r="BS80" s="293"/>
      <c r="BT80" s="293"/>
      <c r="BU80" s="293"/>
      <c r="BV80" s="293"/>
      <c r="BW80" s="293"/>
      <c r="BX80" s="293"/>
      <c r="BY80" s="293"/>
      <c r="BZ80" s="293"/>
      <c r="CA80" s="285"/>
      <c r="CB80" s="286"/>
      <c r="CC80" s="286"/>
      <c r="CD80" s="286"/>
      <c r="CE80" s="286"/>
      <c r="CF80" s="286"/>
      <c r="CG80" s="286"/>
      <c r="CH80" s="286"/>
      <c r="CI80" s="286"/>
      <c r="CJ80" s="286"/>
      <c r="CK80" s="286"/>
      <c r="CL80" s="286"/>
      <c r="CM80" s="286"/>
      <c r="CN80" s="286"/>
      <c r="CO80" s="286"/>
      <c r="CP80" s="286"/>
      <c r="CQ80" s="286"/>
      <c r="CR80" s="286"/>
      <c r="CS80" s="286"/>
      <c r="CT80" s="286"/>
      <c r="CU80" s="286"/>
      <c r="CV80" s="286"/>
      <c r="CW80" s="286"/>
      <c r="CX80" s="286"/>
      <c r="CY80" s="286"/>
      <c r="CZ80" s="286"/>
      <c r="DA80" s="286"/>
      <c r="DB80" s="286"/>
      <c r="DC80" s="286"/>
      <c r="DD80" s="286"/>
      <c r="DE80" s="286"/>
      <c r="DF80" s="286"/>
      <c r="DG80" s="286"/>
      <c r="DH80" s="286"/>
      <c r="DI80" s="286"/>
      <c r="DJ80" s="286"/>
      <c r="DK80" s="286"/>
      <c r="DL80" s="286"/>
      <c r="DM80" s="286"/>
      <c r="DN80" s="286"/>
      <c r="DO80" s="286"/>
      <c r="DP80" s="286"/>
      <c r="DR80" s="58" t="str">
        <f>IF(ISNUMBER(MATCH(#REF!,'Audit Characteristic Mapping'!$B$3:$B$500,0)),"Y","")</f>
        <v/>
      </c>
      <c r="DS80" s="58" t="str">
        <f>IF(ISNUMBER(MATCH(#REF!,'Audit Characteristic Mapping'!$C$3:$C$500,0)),"Y","")</f>
        <v/>
      </c>
      <c r="DT80" s="58" t="str">
        <f>IF(ISNUMBER(MATCH(#REF!,'Audit Characteristic Mapping'!$D$3:$D$500,0)),"Y","")</f>
        <v/>
      </c>
      <c r="DU80" s="58" t="str">
        <f>IF(ISNUMBER(MATCH(#REF!,'Audit Characteristic Mapping'!$E$3:$E$500,0)),"Y","")</f>
        <v/>
      </c>
      <c r="DV80" s="58" t="str">
        <f>IF(ISNUMBER(MATCH(#REF!,'Audit Characteristic Mapping'!$F$3:$F$500,0)),"Y","")</f>
        <v/>
      </c>
      <c r="DW80" s="58" t="str">
        <f>IF(ISNUMBER(MATCH(#REF!,'Audit Characteristic Mapping'!$G$3:$G$500,0)),"Y","")</f>
        <v/>
      </c>
      <c r="DX80" s="58" t="str">
        <f>IF(ISNUMBER(MATCH(#REF!,'Audit Characteristic Mapping'!$H$3:$H$500,0)),"Y","")</f>
        <v/>
      </c>
      <c r="DY80" s="58" t="str">
        <f>IF(ISNUMBER(MATCH(#REF!,'Audit Characteristic Mapping'!$I$3:$I$500,0)),"Y","")</f>
        <v/>
      </c>
      <c r="DZ80" s="58" t="str">
        <f>IF(ISNUMBER(MATCH(#REF!,'Audit Characteristic Mapping'!$J$3:$J$500,0)),"Y","")</f>
        <v/>
      </c>
      <c r="EA80" s="58" t="str">
        <f>IF(ISNUMBER(MATCH(#REF!,'Audit Characteristic Mapping'!$K$3:$K$500,0)),"Y","")</f>
        <v/>
      </c>
    </row>
    <row r="81" spans="1:131" ht="48" x14ac:dyDescent="0.2">
      <c r="A81" s="294">
        <v>76</v>
      </c>
      <c r="B81" s="287" t="s">
        <v>174</v>
      </c>
      <c r="C81" s="226" t="s">
        <v>191</v>
      </c>
      <c r="D81" s="170">
        <v>2</v>
      </c>
      <c r="E81" s="288">
        <v>8</v>
      </c>
      <c r="F81" s="291" t="str">
        <f>VLOOKUP(Calculation!A81,'Descriptor maps'!$A$2:$F$1658,6,0)</f>
        <v xml:space="preserve">Based on the latest assessment, what is the slope stability FoS considering undrained shear strength of materials along a slip surface, movement of which would result in release of stored materials. </v>
      </c>
      <c r="G81" s="289">
        <v>1.7</v>
      </c>
      <c r="H81" s="291"/>
      <c r="I81" s="291" t="e" cm="1">
        <f t="array" ref="I81">INDEX('Descriptor maps'!$H$2:$H$1658,MATCH(1,('Descriptor maps'!$A$2:$A$1658=Calculation!$A81)*('Descriptor maps'!$G$2:$G$1658=Calculation!$G81),0))</f>
        <v>#N/A</v>
      </c>
      <c r="J81" s="292">
        <f>G81</f>
        <v>1.7</v>
      </c>
      <c r="K81" s="226"/>
      <c r="L81" s="293"/>
      <c r="M81" s="293"/>
      <c r="N81" s="293"/>
      <c r="O81" s="293"/>
      <c r="P81" s="293"/>
      <c r="Q81" s="293"/>
      <c r="R81" s="293"/>
      <c r="S81" s="293"/>
      <c r="T81" s="293"/>
      <c r="U81" s="293"/>
      <c r="V81" s="293"/>
      <c r="W81" s="293"/>
      <c r="X81" s="293"/>
      <c r="Y81" s="293">
        <f>1*G81</f>
        <v>1.7</v>
      </c>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c r="AW81" s="293"/>
      <c r="AX81" s="293"/>
      <c r="AY81" s="293"/>
      <c r="AZ81" s="293"/>
      <c r="BA81" s="293"/>
      <c r="BB81" s="293"/>
      <c r="BC81" s="293"/>
      <c r="BD81" s="293"/>
      <c r="BE81" s="293"/>
      <c r="BF81" s="293"/>
      <c r="BG81" s="293"/>
      <c r="BH81" s="293"/>
      <c r="BI81" s="293"/>
      <c r="BJ81" s="293"/>
      <c r="BK81" s="293"/>
      <c r="BL81" s="293"/>
      <c r="BM81" s="293"/>
      <c r="BN81" s="293"/>
      <c r="BO81" s="293"/>
      <c r="BP81" s="293"/>
      <c r="BQ81" s="293"/>
      <c r="BR81" s="293"/>
      <c r="BS81" s="293"/>
      <c r="BT81" s="293"/>
      <c r="BU81" s="293"/>
      <c r="BV81" s="293"/>
      <c r="BW81" s="293"/>
      <c r="BX81" s="293"/>
      <c r="BY81" s="293"/>
      <c r="BZ81" s="293"/>
      <c r="CA81" s="285"/>
      <c r="CB81" s="286"/>
      <c r="CC81" s="286"/>
      <c r="CD81" s="286"/>
      <c r="CE81" s="286"/>
      <c r="CF81" s="286"/>
      <c r="CG81" s="286"/>
      <c r="CH81" s="286"/>
      <c r="CI81" s="286"/>
      <c r="CJ81" s="286"/>
      <c r="CK81" s="286"/>
      <c r="CL81" s="286"/>
      <c r="CM81" s="286"/>
      <c r="CN81" s="286"/>
      <c r="CO81" s="286"/>
      <c r="CP81" s="286"/>
      <c r="CQ81" s="286"/>
      <c r="CR81" s="286"/>
      <c r="CS81" s="286"/>
      <c r="CT81" s="286"/>
      <c r="CU81" s="286"/>
      <c r="CV81" s="286"/>
      <c r="CW81" s="286"/>
      <c r="CX81" s="286"/>
      <c r="CY81" s="286"/>
      <c r="CZ81" s="286"/>
      <c r="DA81" s="286"/>
      <c r="DB81" s="286"/>
      <c r="DC81" s="286"/>
      <c r="DD81" s="286"/>
      <c r="DE81" s="286"/>
      <c r="DF81" s="286"/>
      <c r="DG81" s="286"/>
      <c r="DH81" s="286"/>
      <c r="DI81" s="286"/>
      <c r="DJ81" s="286"/>
      <c r="DK81" s="286"/>
      <c r="DL81" s="286"/>
      <c r="DM81" s="286"/>
      <c r="DN81" s="286"/>
      <c r="DO81" s="286"/>
      <c r="DP81" s="286"/>
      <c r="DR81" s="58" t="str">
        <f>IF(ISNUMBER(MATCH(#REF!,'Audit Characteristic Mapping'!$B$3:$B$500,0)),"Y","")</f>
        <v/>
      </c>
      <c r="DS81" s="58" t="str">
        <f>IF(ISNUMBER(MATCH(#REF!,'Audit Characteristic Mapping'!$C$3:$C$500,0)),"Y","")</f>
        <v/>
      </c>
      <c r="DT81" s="58" t="str">
        <f>IF(ISNUMBER(MATCH(#REF!,'Audit Characteristic Mapping'!$D$3:$D$500,0)),"Y","")</f>
        <v/>
      </c>
      <c r="DU81" s="58" t="str">
        <f>IF(ISNUMBER(MATCH(#REF!,'Audit Characteristic Mapping'!$E$3:$E$500,0)),"Y","")</f>
        <v/>
      </c>
      <c r="DV81" s="58" t="str">
        <f>IF(ISNUMBER(MATCH(#REF!,'Audit Characteristic Mapping'!$F$3:$F$500,0)),"Y","")</f>
        <v/>
      </c>
      <c r="DW81" s="58" t="str">
        <f>IF(ISNUMBER(MATCH(#REF!,'Audit Characteristic Mapping'!$G$3:$G$500,0)),"Y","")</f>
        <v/>
      </c>
      <c r="DX81" s="58" t="str">
        <f>IF(ISNUMBER(MATCH(#REF!,'Audit Characteristic Mapping'!$H$3:$H$500,0)),"Y","")</f>
        <v/>
      </c>
      <c r="DY81" s="58" t="str">
        <f>IF(ISNUMBER(MATCH(#REF!,'Audit Characteristic Mapping'!$I$3:$I$500,0)),"Y","")</f>
        <v/>
      </c>
      <c r="DZ81" s="58" t="str">
        <f>IF(ISNUMBER(MATCH(#REF!,'Audit Characteristic Mapping'!$J$3:$J$500,0)),"Y","")</f>
        <v/>
      </c>
      <c r="EA81" s="58" t="str">
        <f>IF(ISNUMBER(MATCH(#REF!,'Audit Characteristic Mapping'!$K$3:$K$500,0)),"Y","")</f>
        <v/>
      </c>
    </row>
    <row r="82" spans="1:131" ht="48" x14ac:dyDescent="0.2">
      <c r="A82" s="294">
        <v>77</v>
      </c>
      <c r="B82" s="287" t="s">
        <v>174</v>
      </c>
      <c r="C82" s="226" t="s">
        <v>191</v>
      </c>
      <c r="D82" s="170">
        <v>2</v>
      </c>
      <c r="E82" s="288">
        <v>8</v>
      </c>
      <c r="F82" s="291" t="str">
        <f>VLOOKUP(Calculation!A82,'Descriptor maps'!$A$2:$F$1658,6,0)</f>
        <v xml:space="preserve">Based on the latest assessment, what is the slope stability FoS considering post-seismic shear strength of materials along a slip surface, movement of which would result in release of stored materials. </v>
      </c>
      <c r="G82" s="289">
        <v>1.7</v>
      </c>
      <c r="H82" s="291"/>
      <c r="I82" s="291" t="e" cm="1">
        <f t="array" ref="I82">INDEX('Descriptor maps'!$H$2:$H$1658,MATCH(1,('Descriptor maps'!$A$2:$A$1658=Calculation!$A82)*('Descriptor maps'!$G$2:$G$1658=Calculation!$G82),0))</f>
        <v>#N/A</v>
      </c>
      <c r="J82" s="292">
        <f>G82</f>
        <v>1.7</v>
      </c>
      <c r="K82" s="226"/>
      <c r="L82" s="293"/>
      <c r="M82" s="293"/>
      <c r="N82" s="293"/>
      <c r="O82" s="293"/>
      <c r="P82" s="293"/>
      <c r="Q82" s="293"/>
      <c r="R82" s="293"/>
      <c r="S82" s="293"/>
      <c r="T82" s="293"/>
      <c r="U82" s="293"/>
      <c r="V82" s="293"/>
      <c r="W82" s="293"/>
      <c r="X82" s="293"/>
      <c r="Y82" s="293"/>
      <c r="Z82" s="293"/>
      <c r="AA82" s="293"/>
      <c r="AB82" s="293"/>
      <c r="AC82" s="293"/>
      <c r="AD82" s="293"/>
      <c r="AE82" s="293"/>
      <c r="AF82" s="293">
        <f>1*G82</f>
        <v>1.7</v>
      </c>
      <c r="AG82" s="293"/>
      <c r="AH82" s="293"/>
      <c r="AI82" s="293"/>
      <c r="AJ82" s="293"/>
      <c r="AK82" s="293"/>
      <c r="AL82" s="293"/>
      <c r="AM82" s="293"/>
      <c r="AN82" s="293"/>
      <c r="AO82" s="293"/>
      <c r="AP82" s="293"/>
      <c r="AQ82" s="293"/>
      <c r="AR82" s="293"/>
      <c r="AS82" s="293"/>
      <c r="AT82" s="293"/>
      <c r="AU82" s="293"/>
      <c r="AV82" s="293"/>
      <c r="AW82" s="293"/>
      <c r="AX82" s="293"/>
      <c r="AY82" s="293"/>
      <c r="AZ82" s="293"/>
      <c r="BA82" s="293"/>
      <c r="BB82" s="293"/>
      <c r="BC82" s="293"/>
      <c r="BD82" s="293"/>
      <c r="BE82" s="293"/>
      <c r="BF82" s="293"/>
      <c r="BG82" s="293"/>
      <c r="BH82" s="293"/>
      <c r="BI82" s="293"/>
      <c r="BJ82" s="293"/>
      <c r="BK82" s="293"/>
      <c r="BL82" s="293"/>
      <c r="BM82" s="293"/>
      <c r="BN82" s="293"/>
      <c r="BO82" s="293"/>
      <c r="BP82" s="293"/>
      <c r="BQ82" s="293"/>
      <c r="BR82" s="293"/>
      <c r="BS82" s="293"/>
      <c r="BT82" s="293"/>
      <c r="BU82" s="293"/>
      <c r="BV82" s="293"/>
      <c r="BW82" s="293"/>
      <c r="BX82" s="293"/>
      <c r="BY82" s="293"/>
      <c r="BZ82" s="293"/>
      <c r="CA82" s="285"/>
      <c r="CB82" s="286"/>
      <c r="CC82" s="286"/>
      <c r="CD82" s="286"/>
      <c r="CE82" s="286"/>
      <c r="CF82" s="286"/>
      <c r="CG82" s="286"/>
      <c r="CH82" s="286"/>
      <c r="CI82" s="286"/>
      <c r="CJ82" s="286"/>
      <c r="CK82" s="286"/>
      <c r="CL82" s="286"/>
      <c r="CM82" s="286"/>
      <c r="CN82" s="286"/>
      <c r="CO82" s="286"/>
      <c r="CP82" s="286"/>
      <c r="CQ82" s="286"/>
      <c r="CR82" s="286"/>
      <c r="CS82" s="286"/>
      <c r="CT82" s="286"/>
      <c r="CU82" s="286"/>
      <c r="CV82" s="286"/>
      <c r="CW82" s="286"/>
      <c r="CX82" s="286"/>
      <c r="CY82" s="286"/>
      <c r="CZ82" s="286"/>
      <c r="DA82" s="286"/>
      <c r="DB82" s="286"/>
      <c r="DC82" s="286"/>
      <c r="DD82" s="286"/>
      <c r="DE82" s="286"/>
      <c r="DF82" s="286"/>
      <c r="DG82" s="286"/>
      <c r="DH82" s="286"/>
      <c r="DI82" s="286"/>
      <c r="DJ82" s="286"/>
      <c r="DK82" s="286"/>
      <c r="DL82" s="286"/>
      <c r="DM82" s="286"/>
      <c r="DN82" s="286"/>
      <c r="DO82" s="286"/>
      <c r="DP82" s="286"/>
      <c r="DR82" s="58" t="str">
        <f>IF(ISNUMBER(MATCH(#REF!,'Audit Characteristic Mapping'!$B$3:$B$500,0)),"Y","")</f>
        <v/>
      </c>
      <c r="DS82" s="58" t="str">
        <f>IF(ISNUMBER(MATCH(#REF!,'Audit Characteristic Mapping'!$C$3:$C$500,0)),"Y","")</f>
        <v/>
      </c>
      <c r="DT82" s="58" t="str">
        <f>IF(ISNUMBER(MATCH(#REF!,'Audit Characteristic Mapping'!$D$3:$D$500,0)),"Y","")</f>
        <v/>
      </c>
      <c r="DU82" s="58" t="str">
        <f>IF(ISNUMBER(MATCH(#REF!,'Audit Characteristic Mapping'!$E$3:$E$500,0)),"Y","")</f>
        <v/>
      </c>
      <c r="DV82" s="58" t="str">
        <f>IF(ISNUMBER(MATCH(#REF!,'Audit Characteristic Mapping'!$F$3:$F$500,0)),"Y","")</f>
        <v/>
      </c>
      <c r="DW82" s="58" t="str">
        <f>IF(ISNUMBER(MATCH(#REF!,'Audit Characteristic Mapping'!$G$3:$G$500,0)),"Y","")</f>
        <v/>
      </c>
      <c r="DX82" s="58" t="str">
        <f>IF(ISNUMBER(MATCH(#REF!,'Audit Characteristic Mapping'!$H$3:$H$500,0)),"Y","")</f>
        <v/>
      </c>
      <c r="DY82" s="58" t="str">
        <f>IF(ISNUMBER(MATCH(#REF!,'Audit Characteristic Mapping'!$I$3:$I$500,0)),"Y","")</f>
        <v/>
      </c>
      <c r="DZ82" s="58" t="str">
        <f>IF(ISNUMBER(MATCH(#REF!,'Audit Characteristic Mapping'!$J$3:$J$500,0)),"Y","")</f>
        <v/>
      </c>
      <c r="EA82" s="58" t="str">
        <f>IF(ISNUMBER(MATCH(#REF!,'Audit Characteristic Mapping'!$K$3:$K$500,0)),"Y","")</f>
        <v/>
      </c>
    </row>
    <row r="83" spans="1:131" ht="16" x14ac:dyDescent="0.2">
      <c r="A83" s="294">
        <v>78</v>
      </c>
      <c r="B83" s="287" t="s">
        <v>174</v>
      </c>
      <c r="C83" s="226" t="s">
        <v>191</v>
      </c>
      <c r="D83" s="170">
        <v>2</v>
      </c>
      <c r="E83" s="288">
        <v>8</v>
      </c>
      <c r="F83" s="291" t="str">
        <f>VLOOKUP(Calculation!A83,'Descriptor maps'!$A$2:$F$1658,6,0)</f>
        <v>Is there a documented evidence that an embankment chimney filter is present?</v>
      </c>
      <c r="G83" s="289" t="s">
        <v>7</v>
      </c>
      <c r="H83" s="290"/>
      <c r="I83" s="291" cm="1">
        <f t="array" ref="I83">INDEX('Descriptor maps'!$H$2:$H$1658,MATCH(1,('Descriptor maps'!$A$2:$A$1658=Calculation!$A83)*('Descriptor maps'!$G$2:$G$1658=Calculation!$G83),0))</f>
        <v>1</v>
      </c>
      <c r="J83" s="292" cm="1">
        <f t="array" ref="J83">INDEX('Descriptor maps'!$I$2:$I$1658,MATCH(1,('Descriptor maps'!$A$2:$A$1658=Calculation!$A83)*('Descriptor maps'!$G$2:$G$1658=Calculation!$G83),0))</f>
        <v>1</v>
      </c>
      <c r="K83" s="226"/>
      <c r="L83" s="293"/>
      <c r="M83" s="293"/>
      <c r="N83" s="293"/>
      <c r="O83" s="293"/>
      <c r="P83" s="293"/>
      <c r="Q83" s="293"/>
      <c r="R83" s="293"/>
      <c r="S83" s="293"/>
      <c r="T83" s="293"/>
      <c r="U83" s="293"/>
      <c r="V83" s="293"/>
      <c r="W83" s="293"/>
      <c r="X83" s="293"/>
      <c r="Y83" s="293"/>
      <c r="Z83" s="293"/>
      <c r="AA83" s="293"/>
      <c r="AB83" s="293"/>
      <c r="AC83" s="293"/>
      <c r="AD83" s="293"/>
      <c r="AE83" s="293"/>
      <c r="AF83" s="293"/>
      <c r="AG83" s="293"/>
      <c r="AH83" s="293"/>
      <c r="AI83" s="293">
        <f>1*$J83</f>
        <v>1</v>
      </c>
      <c r="AJ83" s="293"/>
      <c r="AK83" s="293"/>
      <c r="AL83" s="293"/>
      <c r="AM83" s="293"/>
      <c r="AN83" s="293"/>
      <c r="AO83" s="293"/>
      <c r="AP83" s="293"/>
      <c r="AQ83" s="293"/>
      <c r="AR83" s="293"/>
      <c r="AS83" s="293"/>
      <c r="AT83" s="293"/>
      <c r="AU83" s="293"/>
      <c r="AV83" s="293"/>
      <c r="AW83" s="293"/>
      <c r="AX83" s="293"/>
      <c r="AY83" s="293"/>
      <c r="AZ83" s="293"/>
      <c r="BA83" s="293"/>
      <c r="BB83" s="293"/>
      <c r="BC83" s="293"/>
      <c r="BD83" s="293"/>
      <c r="BE83" s="293"/>
      <c r="BF83" s="293"/>
      <c r="BG83" s="293"/>
      <c r="BH83" s="293"/>
      <c r="BI83" s="293"/>
      <c r="BJ83" s="293"/>
      <c r="BK83" s="293"/>
      <c r="BL83" s="293"/>
      <c r="BM83" s="293"/>
      <c r="BN83" s="293"/>
      <c r="BO83" s="293"/>
      <c r="BP83" s="293"/>
      <c r="BQ83" s="293"/>
      <c r="BR83" s="293"/>
      <c r="BS83" s="293"/>
      <c r="BT83" s="293"/>
      <c r="BU83" s="293"/>
      <c r="BV83" s="293"/>
      <c r="BW83" s="293"/>
      <c r="BX83" s="293"/>
      <c r="BY83" s="293"/>
      <c r="BZ83" s="293"/>
      <c r="CA83" s="285"/>
      <c r="CB83" s="286"/>
      <c r="CC83" s="286"/>
      <c r="CD83" s="286"/>
      <c r="CE83" s="286"/>
      <c r="CF83" s="286"/>
      <c r="CG83" s="286"/>
      <c r="CH83" s="286"/>
      <c r="CI83" s="286"/>
      <c r="CJ83" s="286"/>
      <c r="CK83" s="286"/>
      <c r="CL83" s="286"/>
      <c r="CM83" s="286"/>
      <c r="CN83" s="286"/>
      <c r="CO83" s="286"/>
      <c r="CP83" s="286"/>
      <c r="CQ83" s="286"/>
      <c r="CR83" s="286"/>
      <c r="CS83" s="286"/>
      <c r="CT83" s="286"/>
      <c r="CU83" s="286"/>
      <c r="CV83" s="286"/>
      <c r="CW83" s="286">
        <v>1</v>
      </c>
      <c r="CX83" s="286"/>
      <c r="CY83" s="286"/>
      <c r="CZ83" s="286"/>
      <c r="DA83" s="286"/>
      <c r="DB83" s="286"/>
      <c r="DC83" s="286"/>
      <c r="DD83" s="286"/>
      <c r="DE83" s="286"/>
      <c r="DF83" s="286"/>
      <c r="DG83" s="286"/>
      <c r="DH83" s="286"/>
      <c r="DI83" s="286"/>
      <c r="DJ83" s="286"/>
      <c r="DK83" s="286"/>
      <c r="DL83" s="286"/>
      <c r="DM83" s="286"/>
      <c r="DN83" s="286"/>
      <c r="DO83" s="286"/>
      <c r="DP83" s="286"/>
      <c r="DR83" s="58" t="str">
        <f>IF(ISNUMBER(MATCH(#REF!,'Audit Characteristic Mapping'!$B$3:$B$500,0)),"Y","")</f>
        <v/>
      </c>
      <c r="DS83" s="58" t="str">
        <f>IF(ISNUMBER(MATCH(#REF!,'Audit Characteristic Mapping'!$C$3:$C$500,0)),"Y","")</f>
        <v/>
      </c>
      <c r="DT83" s="58" t="str">
        <f>IF(ISNUMBER(MATCH(#REF!,'Audit Characteristic Mapping'!$D$3:$D$500,0)),"Y","")</f>
        <v/>
      </c>
      <c r="DU83" s="58" t="str">
        <f>IF(ISNUMBER(MATCH(#REF!,'Audit Characteristic Mapping'!$E$3:$E$500,0)),"Y","")</f>
        <v/>
      </c>
      <c r="DV83" s="58" t="str">
        <f>IF(ISNUMBER(MATCH(#REF!,'Audit Characteristic Mapping'!$F$3:$F$500,0)),"Y","")</f>
        <v/>
      </c>
      <c r="DW83" s="58" t="str">
        <f>IF(ISNUMBER(MATCH(#REF!,'Audit Characteristic Mapping'!$G$3:$G$500,0)),"Y","")</f>
        <v/>
      </c>
      <c r="DX83" s="58" t="str">
        <f>IF(ISNUMBER(MATCH(#REF!,'Audit Characteristic Mapping'!$H$3:$H$500,0)),"Y","")</f>
        <v/>
      </c>
      <c r="DY83" s="58" t="str">
        <f>IF(ISNUMBER(MATCH(#REF!,'Audit Characteristic Mapping'!$I$3:$I$500,0)),"Y","")</f>
        <v/>
      </c>
      <c r="DZ83" s="58" t="str">
        <f>IF(ISNUMBER(MATCH(#REF!,'Audit Characteristic Mapping'!$J$3:$J$500,0)),"Y","")</f>
        <v/>
      </c>
      <c r="EA83" s="58" t="str">
        <f>IF(ISNUMBER(MATCH(#REF!,'Audit Characteristic Mapping'!$K$3:$K$500,0)),"Y","")</f>
        <v/>
      </c>
    </row>
    <row r="84" spans="1:131" ht="16" x14ac:dyDescent="0.2">
      <c r="A84" s="294">
        <v>79</v>
      </c>
      <c r="B84" s="287" t="s">
        <v>174</v>
      </c>
      <c r="C84" s="226" t="s">
        <v>191</v>
      </c>
      <c r="D84" s="170">
        <v>2</v>
      </c>
      <c r="E84" s="288">
        <v>8</v>
      </c>
      <c r="F84" s="291" t="str">
        <f>VLOOKUP(Calculation!A84,'Descriptor maps'!$A$2:$F$1658,6,0)</f>
        <v>Is there a documented evidence that a blanket filter is present?</v>
      </c>
      <c r="G84" s="289" t="s">
        <v>8</v>
      </c>
      <c r="H84" s="291"/>
      <c r="I84" s="291" cm="1">
        <f t="array" ref="I84">INDEX('Descriptor maps'!$H$2:$H$1658,MATCH(1,('Descriptor maps'!$A$2:$A$1658=Calculation!$A84)*('Descriptor maps'!$G$2:$G$1658=Calculation!$G84),0))</f>
        <v>4</v>
      </c>
      <c r="J84" s="292" cm="1">
        <f t="array" ref="J84">INDEX('Descriptor maps'!$I$2:$I$1658,MATCH(1,('Descriptor maps'!$A$2:$A$1658=Calculation!$A84)*('Descriptor maps'!$G$2:$G$1658=Calculation!$G84),0))</f>
        <v>0</v>
      </c>
      <c r="K84" s="226"/>
      <c r="L84" s="293"/>
      <c r="M84" s="293"/>
      <c r="N84" s="293"/>
      <c r="O84" s="293"/>
      <c r="P84" s="293"/>
      <c r="Q84" s="293"/>
      <c r="R84" s="293"/>
      <c r="S84" s="293"/>
      <c r="T84" s="293"/>
      <c r="U84" s="293"/>
      <c r="V84" s="293"/>
      <c r="W84" s="293"/>
      <c r="X84" s="293"/>
      <c r="Y84" s="293"/>
      <c r="Z84" s="293"/>
      <c r="AA84" s="293"/>
      <c r="AB84" s="293"/>
      <c r="AC84" s="293"/>
      <c r="AD84" s="293"/>
      <c r="AE84" s="293"/>
      <c r="AF84" s="293"/>
      <c r="AG84" s="293"/>
      <c r="AH84" s="293"/>
      <c r="AI84" s="293"/>
      <c r="AJ84" s="293"/>
      <c r="AK84" s="293"/>
      <c r="AL84" s="293"/>
      <c r="AM84" s="293"/>
      <c r="AN84" s="293"/>
      <c r="AO84" s="293"/>
      <c r="AP84" s="293"/>
      <c r="AQ84" s="293"/>
      <c r="AR84" s="293"/>
      <c r="AS84" s="293">
        <f>1*$J84</f>
        <v>0</v>
      </c>
      <c r="AT84" s="293"/>
      <c r="AU84" s="293"/>
      <c r="AV84" s="293"/>
      <c r="AW84" s="293"/>
      <c r="AX84" s="293"/>
      <c r="AY84" s="293"/>
      <c r="AZ84" s="293"/>
      <c r="BA84" s="293"/>
      <c r="BB84" s="293"/>
      <c r="BC84" s="293"/>
      <c r="BD84" s="293"/>
      <c r="BE84" s="293"/>
      <c r="BF84" s="293"/>
      <c r="BG84" s="293"/>
      <c r="BH84" s="293"/>
      <c r="BI84" s="293"/>
      <c r="BJ84" s="293"/>
      <c r="BK84" s="293"/>
      <c r="BL84" s="293"/>
      <c r="BM84" s="293"/>
      <c r="BN84" s="293"/>
      <c r="BO84" s="293"/>
      <c r="BP84" s="293"/>
      <c r="BQ84" s="293"/>
      <c r="BR84" s="293"/>
      <c r="BS84" s="293"/>
      <c r="BT84" s="293"/>
      <c r="BU84" s="293"/>
      <c r="BV84" s="293"/>
      <c r="BW84" s="293"/>
      <c r="BX84" s="293"/>
      <c r="BY84" s="293"/>
      <c r="BZ84" s="293"/>
      <c r="CA84" s="285"/>
      <c r="CB84" s="286"/>
      <c r="CC84" s="286"/>
      <c r="CD84" s="286"/>
      <c r="CE84" s="286"/>
      <c r="CF84" s="286"/>
      <c r="CG84" s="286"/>
      <c r="CH84" s="286"/>
      <c r="CI84" s="286"/>
      <c r="CJ84" s="286"/>
      <c r="CK84" s="286"/>
      <c r="CL84" s="286"/>
      <c r="CM84" s="286"/>
      <c r="CN84" s="286"/>
      <c r="CO84" s="286"/>
      <c r="CP84" s="286"/>
      <c r="CQ84" s="286"/>
      <c r="CR84" s="286"/>
      <c r="CS84" s="286"/>
      <c r="CT84" s="286"/>
      <c r="CU84" s="286"/>
      <c r="CV84" s="286"/>
      <c r="CW84" s="286"/>
      <c r="CX84" s="286"/>
      <c r="CY84" s="286"/>
      <c r="CZ84" s="286"/>
      <c r="DA84" s="286"/>
      <c r="DB84" s="286"/>
      <c r="DC84" s="286"/>
      <c r="DD84" s="286"/>
      <c r="DE84" s="286"/>
      <c r="DF84" s="286">
        <v>1</v>
      </c>
      <c r="DG84" s="286"/>
      <c r="DH84" s="286"/>
      <c r="DI84" s="286"/>
      <c r="DJ84" s="286"/>
      <c r="DK84" s="286"/>
      <c r="DL84" s="286"/>
      <c r="DM84" s="286"/>
      <c r="DN84" s="286"/>
      <c r="DO84" s="286"/>
      <c r="DP84" s="286"/>
      <c r="DR84" s="58" t="str">
        <f>IF(ISNUMBER(MATCH(#REF!,'Audit Characteristic Mapping'!$B$3:$B$500,0)),"Y","")</f>
        <v/>
      </c>
      <c r="DS84" s="58" t="str">
        <f>IF(ISNUMBER(MATCH(#REF!,'Audit Characteristic Mapping'!$C$3:$C$500,0)),"Y","")</f>
        <v/>
      </c>
      <c r="DT84" s="58" t="str">
        <f>IF(ISNUMBER(MATCH(#REF!,'Audit Characteristic Mapping'!$D$3:$D$500,0)),"Y","")</f>
        <v/>
      </c>
      <c r="DU84" s="58" t="str">
        <f>IF(ISNUMBER(MATCH(#REF!,'Audit Characteristic Mapping'!$E$3:$E$500,0)),"Y","")</f>
        <v/>
      </c>
      <c r="DV84" s="58" t="str">
        <f>IF(ISNUMBER(MATCH(#REF!,'Audit Characteristic Mapping'!$F$3:$F$500,0)),"Y","")</f>
        <v/>
      </c>
      <c r="DW84" s="58" t="str">
        <f>IF(ISNUMBER(MATCH(#REF!,'Audit Characteristic Mapping'!$G$3:$G$500,0)),"Y","")</f>
        <v/>
      </c>
      <c r="DX84" s="58" t="str">
        <f>IF(ISNUMBER(MATCH(#REF!,'Audit Characteristic Mapping'!$H$3:$H$500,0)),"Y","")</f>
        <v/>
      </c>
      <c r="DY84" s="58" t="str">
        <f>IF(ISNUMBER(MATCH(#REF!,'Audit Characteristic Mapping'!$I$3:$I$500,0)),"Y","")</f>
        <v/>
      </c>
      <c r="DZ84" s="58" t="str">
        <f>IF(ISNUMBER(MATCH(#REF!,'Audit Characteristic Mapping'!$J$3:$J$500,0)),"Y","")</f>
        <v/>
      </c>
      <c r="EA84" s="58" t="str">
        <f>IF(ISNUMBER(MATCH(#REF!,'Audit Characteristic Mapping'!$K$3:$K$500,0)),"Y","")</f>
        <v/>
      </c>
    </row>
    <row r="85" spans="1:131" ht="16" x14ac:dyDescent="0.2">
      <c r="A85" s="294">
        <v>80</v>
      </c>
      <c r="B85" s="287" t="s">
        <v>174</v>
      </c>
      <c r="C85" s="226" t="s">
        <v>191</v>
      </c>
      <c r="D85" s="170">
        <v>2</v>
      </c>
      <c r="E85" s="288">
        <v>8</v>
      </c>
      <c r="F85" s="291" t="str">
        <f>VLOOKUP(Calculation!A85,'Descriptor maps'!$A$2:$F$1658,6,0)</f>
        <v>What is the geological origin of the embankment core material?</v>
      </c>
      <c r="G85" s="289" t="s">
        <v>692</v>
      </c>
      <c r="H85" s="291"/>
      <c r="I85" s="291" cm="1">
        <f t="array" ref="I85">INDEX('Descriptor maps'!$H$2:$H$1658,MATCH(1,('Descriptor maps'!$A$2:$A$1658=Calculation!$A85)*('Descriptor maps'!$G$2:$G$1658=Calculation!$G85),0))</f>
        <v>0</v>
      </c>
      <c r="J85" s="292" cm="1">
        <f t="array" ref="J85">INDEX('Descriptor maps'!$I$2:$I$1658,MATCH(1,('Descriptor maps'!$A$2:$A$1658=Calculation!$A85)*('Descriptor maps'!$G$2:$G$1658=Calculation!$G85),0))</f>
        <v>1</v>
      </c>
      <c r="K85" s="226"/>
      <c r="L85" s="293"/>
      <c r="M85" s="293"/>
      <c r="N85" s="293"/>
      <c r="O85" s="293"/>
      <c r="P85" s="293"/>
      <c r="Q85" s="293"/>
      <c r="R85" s="293"/>
      <c r="S85" s="293"/>
      <c r="T85" s="293"/>
      <c r="U85" s="293"/>
      <c r="V85" s="293"/>
      <c r="W85" s="293"/>
      <c r="X85" s="293"/>
      <c r="Y85" s="293"/>
      <c r="Z85" s="293"/>
      <c r="AA85" s="293"/>
      <c r="AB85" s="293"/>
      <c r="AC85" s="293"/>
      <c r="AD85" s="293"/>
      <c r="AE85" s="293"/>
      <c r="AF85" s="293"/>
      <c r="AG85" s="293"/>
      <c r="AH85" s="293"/>
      <c r="AI85" s="293"/>
      <c r="AJ85" s="293">
        <f>1*$J85</f>
        <v>1</v>
      </c>
      <c r="AK85" s="293"/>
      <c r="AL85" s="293"/>
      <c r="AM85" s="293"/>
      <c r="AN85" s="293"/>
      <c r="AO85" s="293"/>
      <c r="AP85" s="293"/>
      <c r="AQ85" s="293"/>
      <c r="AR85" s="293"/>
      <c r="AS85" s="293"/>
      <c r="AT85" s="293"/>
      <c r="AU85" s="293"/>
      <c r="AV85" s="293"/>
      <c r="AW85" s="293"/>
      <c r="AX85" s="293"/>
      <c r="AY85" s="293"/>
      <c r="AZ85" s="293"/>
      <c r="BA85" s="293"/>
      <c r="BB85" s="293"/>
      <c r="BC85" s="293"/>
      <c r="BD85" s="293"/>
      <c r="BE85" s="293"/>
      <c r="BF85" s="293"/>
      <c r="BG85" s="293"/>
      <c r="BH85" s="293"/>
      <c r="BI85" s="293"/>
      <c r="BJ85" s="293">
        <f>1*$J85</f>
        <v>1</v>
      </c>
      <c r="BK85" s="293"/>
      <c r="BL85" s="293"/>
      <c r="BM85" s="293"/>
      <c r="BN85" s="293"/>
      <c r="BO85" s="293"/>
      <c r="BP85" s="293"/>
      <c r="BQ85" s="293"/>
      <c r="BR85" s="293"/>
      <c r="BS85" s="293"/>
      <c r="BT85" s="293"/>
      <c r="BU85" s="293"/>
      <c r="BV85" s="293"/>
      <c r="BW85" s="293"/>
      <c r="BX85" s="293"/>
      <c r="BY85" s="293"/>
      <c r="BZ85" s="293"/>
      <c r="CA85" s="285"/>
      <c r="CB85" s="286"/>
      <c r="CC85" s="286"/>
      <c r="CD85" s="286"/>
      <c r="CE85" s="286"/>
      <c r="CF85" s="286"/>
      <c r="CG85" s="286"/>
      <c r="CH85" s="286"/>
      <c r="CI85" s="286"/>
      <c r="CJ85" s="286"/>
      <c r="CK85" s="286"/>
      <c r="CL85" s="286"/>
      <c r="CM85" s="286"/>
      <c r="CN85" s="286"/>
      <c r="CO85" s="286"/>
      <c r="CP85" s="286"/>
      <c r="CQ85" s="286"/>
      <c r="CR85" s="286"/>
      <c r="CS85" s="286"/>
      <c r="CT85" s="286"/>
      <c r="CU85" s="286"/>
      <c r="CV85" s="286"/>
      <c r="CW85" s="286"/>
      <c r="CX85" s="286"/>
      <c r="CY85" s="286"/>
      <c r="CZ85" s="286"/>
      <c r="DA85" s="286"/>
      <c r="DB85" s="286"/>
      <c r="DC85" s="286"/>
      <c r="DD85" s="286"/>
      <c r="DE85" s="286"/>
      <c r="DF85" s="286"/>
      <c r="DG85" s="286"/>
      <c r="DH85" s="286"/>
      <c r="DI85" s="286"/>
      <c r="DJ85" s="286"/>
      <c r="DK85" s="286"/>
      <c r="DL85" s="286"/>
      <c r="DM85" s="286"/>
      <c r="DN85" s="286"/>
      <c r="DO85" s="286"/>
      <c r="DP85" s="286"/>
      <c r="DR85" s="58" t="str">
        <f>IF(ISNUMBER(MATCH(#REF!,'Audit Characteristic Mapping'!$B$3:$B$500,0)),"Y","")</f>
        <v/>
      </c>
      <c r="DS85" s="58" t="str">
        <f>IF(ISNUMBER(MATCH(#REF!,'Audit Characteristic Mapping'!$C$3:$C$500,0)),"Y","")</f>
        <v/>
      </c>
      <c r="DT85" s="58" t="str">
        <f>IF(ISNUMBER(MATCH(#REF!,'Audit Characteristic Mapping'!$D$3:$D$500,0)),"Y","")</f>
        <v/>
      </c>
      <c r="DU85" s="58" t="str">
        <f>IF(ISNUMBER(MATCH(#REF!,'Audit Characteristic Mapping'!$E$3:$E$500,0)),"Y","")</f>
        <v/>
      </c>
      <c r="DV85" s="58" t="str">
        <f>IF(ISNUMBER(MATCH(#REF!,'Audit Characteristic Mapping'!$F$3:$F$500,0)),"Y","")</f>
        <v/>
      </c>
      <c r="DW85" s="58" t="str">
        <f>IF(ISNUMBER(MATCH(#REF!,'Audit Characteristic Mapping'!$G$3:$G$500,0)),"Y","")</f>
        <v/>
      </c>
      <c r="DX85" s="58" t="str">
        <f>IF(ISNUMBER(MATCH(#REF!,'Audit Characteristic Mapping'!$H$3:$H$500,0)),"Y","")</f>
        <v/>
      </c>
      <c r="DY85" s="58" t="str">
        <f>IF(ISNUMBER(MATCH(#REF!,'Audit Characteristic Mapping'!$I$3:$I$500,0)),"Y","")</f>
        <v/>
      </c>
      <c r="DZ85" s="58" t="str">
        <f>IF(ISNUMBER(MATCH(#REF!,'Audit Characteristic Mapping'!$J$3:$J$500,0)),"Y","")</f>
        <v/>
      </c>
      <c r="EA85" s="58" t="str">
        <f>IF(ISNUMBER(MATCH(#REF!,'Audit Characteristic Mapping'!$K$3:$K$500,0)),"Y","")</f>
        <v/>
      </c>
    </row>
    <row r="86" spans="1:131" ht="16" x14ac:dyDescent="0.2">
      <c r="A86" s="294">
        <v>81</v>
      </c>
      <c r="B86" s="287" t="s">
        <v>174</v>
      </c>
      <c r="C86" s="226" t="s">
        <v>191</v>
      </c>
      <c r="D86" s="170">
        <v>2</v>
      </c>
      <c r="E86" s="288">
        <v>8</v>
      </c>
      <c r="F86" s="291" t="str">
        <f>VLOOKUP(Calculation!A86,'Descriptor maps'!$A$2:$F$1658,6,0)</f>
        <v>What is the soil type of the embankment core material?</v>
      </c>
      <c r="G86" s="289" t="s">
        <v>670</v>
      </c>
      <c r="H86" s="291"/>
      <c r="I86" s="291" cm="1">
        <f t="array" ref="I86">INDEX('Descriptor maps'!$H$2:$H$1658,MATCH(1,('Descriptor maps'!$A$2:$A$1658=Calculation!$A86)*('Descriptor maps'!$G$2:$G$1658=Calculation!$G86),0))</f>
        <v>0</v>
      </c>
      <c r="J86" s="292" cm="1">
        <f t="array" ref="J86">INDEX('Descriptor maps'!$I$2:$I$1658,MATCH(1,('Descriptor maps'!$A$2:$A$1658=Calculation!$A86)*('Descriptor maps'!$G$2:$G$1658=Calculation!$G86),0))</f>
        <v>0.8</v>
      </c>
      <c r="K86" s="226"/>
      <c r="L86" s="293"/>
      <c r="M86" s="293"/>
      <c r="N86" s="293"/>
      <c r="O86" s="293"/>
      <c r="P86" s="293"/>
      <c r="Q86" s="293"/>
      <c r="R86" s="293"/>
      <c r="S86" s="293"/>
      <c r="T86" s="293"/>
      <c r="U86" s="293"/>
      <c r="V86" s="293"/>
      <c r="W86" s="293"/>
      <c r="X86" s="293"/>
      <c r="Y86" s="293"/>
      <c r="Z86" s="293"/>
      <c r="AA86" s="293"/>
      <c r="AB86" s="293"/>
      <c r="AC86" s="293"/>
      <c r="AD86" s="293"/>
      <c r="AE86" s="293"/>
      <c r="AF86" s="293"/>
      <c r="AG86" s="293"/>
      <c r="AH86" s="293"/>
      <c r="AI86" s="293"/>
      <c r="AJ86" s="293"/>
      <c r="AK86" s="293">
        <f>1*$J86</f>
        <v>0.8</v>
      </c>
      <c r="AL86" s="293"/>
      <c r="AM86" s="293"/>
      <c r="AN86" s="293"/>
      <c r="AO86" s="293"/>
      <c r="AP86" s="293"/>
      <c r="AQ86" s="293"/>
      <c r="AR86" s="293"/>
      <c r="AS86" s="293"/>
      <c r="AT86" s="293"/>
      <c r="AU86" s="293"/>
      <c r="AV86" s="293"/>
      <c r="AW86" s="293"/>
      <c r="AX86" s="293"/>
      <c r="AY86" s="293"/>
      <c r="AZ86" s="293"/>
      <c r="BA86" s="293"/>
      <c r="BB86" s="293"/>
      <c r="BC86" s="293"/>
      <c r="BD86" s="293"/>
      <c r="BE86" s="293"/>
      <c r="BF86" s="293"/>
      <c r="BG86" s="293"/>
      <c r="BH86" s="293"/>
      <c r="BI86" s="293"/>
      <c r="BJ86" s="293"/>
      <c r="BK86" s="293">
        <f>1*$J86</f>
        <v>0.8</v>
      </c>
      <c r="BL86" s="293"/>
      <c r="BM86" s="293"/>
      <c r="BN86" s="293"/>
      <c r="BO86" s="293"/>
      <c r="BP86" s="293"/>
      <c r="BQ86" s="293"/>
      <c r="BR86" s="293"/>
      <c r="BS86" s="293"/>
      <c r="BT86" s="293"/>
      <c r="BU86" s="293"/>
      <c r="BV86" s="293"/>
      <c r="BW86" s="293"/>
      <c r="BX86" s="293"/>
      <c r="BY86" s="293"/>
      <c r="BZ86" s="293"/>
      <c r="CA86" s="285"/>
      <c r="CB86" s="286"/>
      <c r="CC86" s="286"/>
      <c r="CD86" s="286"/>
      <c r="CE86" s="286"/>
      <c r="CF86" s="286"/>
      <c r="CG86" s="286"/>
      <c r="CH86" s="286"/>
      <c r="CI86" s="286"/>
      <c r="CJ86" s="286"/>
      <c r="CK86" s="286"/>
      <c r="CL86" s="286"/>
      <c r="CM86" s="286"/>
      <c r="CN86" s="286"/>
      <c r="CO86" s="286"/>
      <c r="CP86" s="286"/>
      <c r="CQ86" s="286"/>
      <c r="CR86" s="286"/>
      <c r="CS86" s="286"/>
      <c r="CT86" s="286"/>
      <c r="CU86" s="286"/>
      <c r="CV86" s="286"/>
      <c r="CW86" s="286"/>
      <c r="CX86" s="286"/>
      <c r="CY86" s="286"/>
      <c r="CZ86" s="286"/>
      <c r="DA86" s="286"/>
      <c r="DB86" s="286"/>
      <c r="DC86" s="286"/>
      <c r="DD86" s="286"/>
      <c r="DE86" s="286"/>
      <c r="DF86" s="286"/>
      <c r="DG86" s="286"/>
      <c r="DH86" s="286"/>
      <c r="DI86" s="286"/>
      <c r="DJ86" s="286"/>
      <c r="DK86" s="286"/>
      <c r="DL86" s="286"/>
      <c r="DM86" s="286"/>
      <c r="DN86" s="286"/>
      <c r="DO86" s="286"/>
      <c r="DP86" s="286"/>
      <c r="DR86" s="58" t="str">
        <f>IF(ISNUMBER(MATCH(#REF!,'Audit Characteristic Mapping'!$B$3:$B$500,0)),"Y","")</f>
        <v/>
      </c>
      <c r="DS86" s="58" t="str">
        <f>IF(ISNUMBER(MATCH(#REF!,'Audit Characteristic Mapping'!$C$3:$C$500,0)),"Y","")</f>
        <v/>
      </c>
      <c r="DT86" s="58" t="str">
        <f>IF(ISNUMBER(MATCH(#REF!,'Audit Characteristic Mapping'!$D$3:$D$500,0)),"Y","")</f>
        <v/>
      </c>
      <c r="DU86" s="58" t="str">
        <f>IF(ISNUMBER(MATCH(#REF!,'Audit Characteristic Mapping'!$E$3:$E$500,0)),"Y","")</f>
        <v/>
      </c>
      <c r="DV86" s="58" t="str">
        <f>IF(ISNUMBER(MATCH(#REF!,'Audit Characteristic Mapping'!$F$3:$F$500,0)),"Y","")</f>
        <v/>
      </c>
      <c r="DW86" s="58" t="str">
        <f>IF(ISNUMBER(MATCH(#REF!,'Audit Characteristic Mapping'!$G$3:$G$500,0)),"Y","")</f>
        <v/>
      </c>
      <c r="DX86" s="58" t="str">
        <f>IF(ISNUMBER(MATCH(#REF!,'Audit Characteristic Mapping'!$H$3:$H$500,0)),"Y","")</f>
        <v/>
      </c>
      <c r="DY86" s="58" t="str">
        <f>IF(ISNUMBER(MATCH(#REF!,'Audit Characteristic Mapping'!$I$3:$I$500,0)),"Y","")</f>
        <v/>
      </c>
      <c r="DZ86" s="58" t="str">
        <f>IF(ISNUMBER(MATCH(#REF!,'Audit Characteristic Mapping'!$J$3:$J$500,0)),"Y","")</f>
        <v/>
      </c>
      <c r="EA86" s="58" t="str">
        <f>IF(ISNUMBER(MATCH(#REF!,'Audit Characteristic Mapping'!$K$3:$K$500,0)),"Y","")</f>
        <v/>
      </c>
    </row>
    <row r="87" spans="1:131" ht="32" x14ac:dyDescent="0.2">
      <c r="A87" s="294">
        <v>82</v>
      </c>
      <c r="B87" s="287" t="s">
        <v>174</v>
      </c>
      <c r="C87" s="226" t="s">
        <v>191</v>
      </c>
      <c r="D87" s="170">
        <v>2</v>
      </c>
      <c r="E87" s="288">
        <v>8</v>
      </c>
      <c r="F87" s="291" t="str">
        <f>VLOOKUP(Calculation!A87,'Descriptor maps'!$A$2:$F$1658,6,0)</f>
        <v>What is the type of foundation material below the cutoff (if constructed) or below the low permeability zone of the embankment (if a cutoff was not constructed)?</v>
      </c>
      <c r="G87" s="289" t="s">
        <v>709</v>
      </c>
      <c r="H87" s="290"/>
      <c r="I87" s="291" cm="1">
        <f t="array" ref="I87">INDEX('Descriptor maps'!$H$2:$H$1658,MATCH(1,('Descriptor maps'!$A$2:$A$1658=Calculation!$A87)*('Descriptor maps'!$G$2:$G$1658=Calculation!$G87),0))</f>
        <v>0</v>
      </c>
      <c r="J87" s="292" cm="1">
        <f t="array" ref="J87">INDEX('Descriptor maps'!$I$2:$I$1658,MATCH(1,('Descriptor maps'!$A$2:$A$1658=Calculation!$A87)*('Descriptor maps'!$G$2:$G$1658=Calculation!$G87),0))</f>
        <v>0.05</v>
      </c>
      <c r="K87" s="378"/>
      <c r="L87" s="293"/>
      <c r="M87" s="293"/>
      <c r="N87" s="293"/>
      <c r="O87" s="293"/>
      <c r="P87" s="293"/>
      <c r="Q87" s="293"/>
      <c r="R87" s="293"/>
      <c r="S87" s="293"/>
      <c r="T87" s="293"/>
      <c r="U87" s="293"/>
      <c r="V87" s="293"/>
      <c r="W87" s="293"/>
      <c r="X87" s="293"/>
      <c r="Y87" s="293"/>
      <c r="Z87" s="293"/>
      <c r="AA87" s="293"/>
      <c r="AB87" s="293"/>
      <c r="AC87" s="293"/>
      <c r="AD87" s="293"/>
      <c r="AE87" s="293"/>
      <c r="AF87" s="293"/>
      <c r="AG87" s="293"/>
      <c r="AH87" s="293"/>
      <c r="AI87" s="293"/>
      <c r="AJ87" s="293"/>
      <c r="AK87" s="293"/>
      <c r="AL87" s="293"/>
      <c r="AM87" s="293"/>
      <c r="AN87" s="293"/>
      <c r="AO87" s="293"/>
      <c r="AP87" s="293"/>
      <c r="AQ87" s="293"/>
      <c r="AR87" s="293"/>
      <c r="AS87" s="293"/>
      <c r="AT87" s="293">
        <f>1*$J87</f>
        <v>0.05</v>
      </c>
      <c r="AU87" s="293"/>
      <c r="AV87" s="293"/>
      <c r="AW87" s="293"/>
      <c r="AX87" s="293"/>
      <c r="AY87" s="293"/>
      <c r="AZ87" s="293"/>
      <c r="BA87" s="293"/>
      <c r="BB87" s="293"/>
      <c r="BC87" s="293"/>
      <c r="BD87" s="293"/>
      <c r="BE87" s="293"/>
      <c r="BF87" s="293"/>
      <c r="BG87" s="293"/>
      <c r="BH87" s="293"/>
      <c r="BI87" s="293"/>
      <c r="BJ87" s="293"/>
      <c r="BK87" s="293"/>
      <c r="BL87" s="293"/>
      <c r="BM87" s="293"/>
      <c r="BN87" s="293"/>
      <c r="BO87" s="293"/>
      <c r="BP87" s="293"/>
      <c r="BQ87" s="293"/>
      <c r="BR87" s="293"/>
      <c r="BS87" s="293"/>
      <c r="BT87" s="293"/>
      <c r="BU87" s="293"/>
      <c r="BV87" s="293"/>
      <c r="BW87" s="293"/>
      <c r="BX87" s="293"/>
      <c r="BY87" s="293"/>
      <c r="BZ87" s="293"/>
      <c r="CA87" s="285"/>
      <c r="CB87" s="286"/>
      <c r="CC87" s="286"/>
      <c r="CD87" s="286"/>
      <c r="CE87" s="286"/>
      <c r="CF87" s="286"/>
      <c r="CG87" s="286"/>
      <c r="CH87" s="286"/>
      <c r="CI87" s="286"/>
      <c r="CJ87" s="286"/>
      <c r="CK87" s="286"/>
      <c r="CL87" s="286"/>
      <c r="CM87" s="286"/>
      <c r="CN87" s="286"/>
      <c r="CO87" s="286"/>
      <c r="CP87" s="286"/>
      <c r="CQ87" s="286"/>
      <c r="CR87" s="286"/>
      <c r="CS87" s="286"/>
      <c r="CT87" s="286"/>
      <c r="CU87" s="286"/>
      <c r="CV87" s="286"/>
      <c r="CW87" s="286"/>
      <c r="CX87" s="286"/>
      <c r="CY87" s="286"/>
      <c r="CZ87" s="286"/>
      <c r="DA87" s="286"/>
      <c r="DB87" s="286"/>
      <c r="DC87" s="286">
        <v>1</v>
      </c>
      <c r="DD87" s="286"/>
      <c r="DE87" s="286"/>
      <c r="DF87" s="286"/>
      <c r="DG87" s="286"/>
      <c r="DH87" s="286">
        <v>1</v>
      </c>
      <c r="DI87" s="286"/>
      <c r="DJ87" s="286"/>
      <c r="DK87" s="286"/>
      <c r="DL87" s="286"/>
      <c r="DM87" s="286"/>
      <c r="DN87" s="286"/>
      <c r="DO87" s="286"/>
      <c r="DP87" s="286"/>
      <c r="DR87" s="58" t="str">
        <f>IF(ISNUMBER(MATCH(#REF!,'Audit Characteristic Mapping'!$B$3:$B$500,0)),"Y","")</f>
        <v/>
      </c>
      <c r="DS87" s="58" t="str">
        <f>IF(ISNUMBER(MATCH(#REF!,'Audit Characteristic Mapping'!$C$3:$C$500,0)),"Y","")</f>
        <v/>
      </c>
      <c r="DT87" s="58" t="str">
        <f>IF(ISNUMBER(MATCH(#REF!,'Audit Characteristic Mapping'!$D$3:$D$500,0)),"Y","")</f>
        <v/>
      </c>
      <c r="DU87" s="58" t="str">
        <f>IF(ISNUMBER(MATCH(#REF!,'Audit Characteristic Mapping'!$E$3:$E$500,0)),"Y","")</f>
        <v/>
      </c>
      <c r="DV87" s="58" t="str">
        <f>IF(ISNUMBER(MATCH(#REF!,'Audit Characteristic Mapping'!$F$3:$F$500,0)),"Y","")</f>
        <v/>
      </c>
      <c r="DW87" s="58" t="str">
        <f>IF(ISNUMBER(MATCH(#REF!,'Audit Characteristic Mapping'!$G$3:$G$500,0)),"Y","")</f>
        <v/>
      </c>
      <c r="DX87" s="58" t="str">
        <f>IF(ISNUMBER(MATCH(#REF!,'Audit Characteristic Mapping'!$H$3:$H$500,0)),"Y","")</f>
        <v/>
      </c>
      <c r="DY87" s="58" t="str">
        <f>IF(ISNUMBER(MATCH(#REF!,'Audit Characteristic Mapping'!$I$3:$I$500,0)),"Y","")</f>
        <v/>
      </c>
      <c r="DZ87" s="58" t="str">
        <f>IF(ISNUMBER(MATCH(#REF!,'Audit Characteristic Mapping'!$J$3:$J$500,0)),"Y","")</f>
        <v/>
      </c>
      <c r="EA87" s="58" t="str">
        <f>IF(ISNUMBER(MATCH(#REF!,'Audit Characteristic Mapping'!$K$3:$K$500,0)),"Y","")</f>
        <v/>
      </c>
    </row>
    <row r="88" spans="1:131" ht="32" x14ac:dyDescent="0.2">
      <c r="A88" s="294">
        <v>83</v>
      </c>
      <c r="B88" s="287" t="s">
        <v>174</v>
      </c>
      <c r="C88" s="226" t="s">
        <v>191</v>
      </c>
      <c r="D88" s="170">
        <v>2</v>
      </c>
      <c r="E88" s="288">
        <v>8</v>
      </c>
      <c r="F88" s="291" t="str">
        <f>VLOOKUP(Calculation!A88,'Descriptor maps'!$A$2:$F$1658,6,0)</f>
        <v>What is the geology of foundations below the cutoff (if constructed) or below the low permeability zone of the embankment (if a cutoff was not constructed)?</v>
      </c>
      <c r="G88" s="289" t="s">
        <v>693</v>
      </c>
      <c r="H88" s="290"/>
      <c r="I88" s="291" cm="1">
        <f t="array" ref="I88">INDEX('Descriptor maps'!$H$2:$H$1658,MATCH(1,('Descriptor maps'!$A$2:$A$1658=Calculation!$A88)*('Descriptor maps'!$G$2:$G$1658=Calculation!$G88),0))</f>
        <v>0</v>
      </c>
      <c r="J88" s="292" cm="1">
        <f t="array" ref="J88">INDEX('Descriptor maps'!$I$2:$I$1658,MATCH(1,('Descriptor maps'!$A$2:$A$1658=Calculation!$A88)*('Descriptor maps'!$G$2:$G$1658=Calculation!$G88),0))</f>
        <v>1.2</v>
      </c>
      <c r="K88" s="292" cm="1">
        <f t="array" ref="K88">INDEX('Descriptor maps'!$J$2:$J$1658,MATCH(1,('Descriptor maps'!$A$2:$A$1658=Calculation!$A88)*('Descriptor maps'!$G$2:$G$1658=Calculation!$G88),0))</f>
        <v>0.4</v>
      </c>
      <c r="L88" s="293"/>
      <c r="M88" s="293"/>
      <c r="N88" s="293"/>
      <c r="O88" s="293"/>
      <c r="P88" s="293"/>
      <c r="Q88" s="293"/>
      <c r="R88" s="293"/>
      <c r="S88" s="293"/>
      <c r="T88" s="293"/>
      <c r="U88" s="293"/>
      <c r="V88" s="293"/>
      <c r="W88" s="293"/>
      <c r="X88" s="293"/>
      <c r="Y88" s="293"/>
      <c r="Z88" s="293"/>
      <c r="AA88" s="293"/>
      <c r="AB88" s="293"/>
      <c r="AC88" s="293"/>
      <c r="AD88" s="293"/>
      <c r="AE88" s="293"/>
      <c r="AF88" s="293"/>
      <c r="AG88" s="293"/>
      <c r="AH88" s="293"/>
      <c r="AI88" s="293"/>
      <c r="AJ88" s="293"/>
      <c r="AK88" s="293"/>
      <c r="AL88" s="293"/>
      <c r="AM88" s="293"/>
      <c r="AN88" s="293"/>
      <c r="AO88" s="293"/>
      <c r="AP88" s="293"/>
      <c r="AQ88" s="293"/>
      <c r="AR88" s="293"/>
      <c r="AS88" s="293"/>
      <c r="AT88" s="293"/>
      <c r="AU88" s="293"/>
      <c r="AV88" s="293"/>
      <c r="AW88" s="293"/>
      <c r="AX88" s="293">
        <f>J88</f>
        <v>1.2</v>
      </c>
      <c r="AY88" s="293"/>
      <c r="AZ88" s="293"/>
      <c r="BA88" s="293"/>
      <c r="BB88" s="293"/>
      <c r="BC88" s="293"/>
      <c r="BD88" s="293"/>
      <c r="BE88" s="293"/>
      <c r="BF88" s="293">
        <f>K88</f>
        <v>0.4</v>
      </c>
      <c r="BG88" s="293"/>
      <c r="BH88" s="293"/>
      <c r="BI88" s="293"/>
      <c r="BJ88" s="293"/>
      <c r="BK88" s="293"/>
      <c r="BL88" s="293"/>
      <c r="BM88" s="293"/>
      <c r="BN88" s="293"/>
      <c r="BO88" s="293"/>
      <c r="BP88" s="293"/>
      <c r="BQ88" s="293"/>
      <c r="BR88" s="293"/>
      <c r="BS88" s="293"/>
      <c r="BT88" s="293"/>
      <c r="BU88" s="293"/>
      <c r="BV88" s="293"/>
      <c r="BW88" s="293"/>
      <c r="BX88" s="293"/>
      <c r="BY88" s="293"/>
      <c r="BZ88" s="293"/>
      <c r="CA88" s="285"/>
      <c r="CB88" s="286"/>
      <c r="CC88" s="286"/>
      <c r="CD88" s="286"/>
      <c r="CE88" s="286"/>
      <c r="CF88" s="286"/>
      <c r="CG88" s="286"/>
      <c r="CH88" s="286"/>
      <c r="CI88" s="286"/>
      <c r="CJ88" s="286"/>
      <c r="CK88" s="286"/>
      <c r="CL88" s="286"/>
      <c r="CM88" s="286"/>
      <c r="CN88" s="286"/>
      <c r="CO88" s="286"/>
      <c r="CP88" s="286"/>
      <c r="CQ88" s="286"/>
      <c r="CR88" s="286"/>
      <c r="CS88" s="286"/>
      <c r="CT88" s="286"/>
      <c r="CU88" s="286"/>
      <c r="CV88" s="286"/>
      <c r="CW88" s="286"/>
      <c r="CX88" s="286"/>
      <c r="CY88" s="286"/>
      <c r="CZ88" s="286"/>
      <c r="DA88" s="286"/>
      <c r="DB88" s="286"/>
      <c r="DC88" s="286"/>
      <c r="DD88" s="286"/>
      <c r="DE88" s="286"/>
      <c r="DF88" s="286"/>
      <c r="DG88" s="286"/>
      <c r="DH88" s="286"/>
      <c r="DI88" s="286"/>
      <c r="DJ88" s="286"/>
      <c r="DK88" s="286"/>
      <c r="DL88" s="286"/>
      <c r="DM88" s="286"/>
      <c r="DN88" s="286"/>
      <c r="DO88" s="286"/>
      <c r="DP88" s="286"/>
      <c r="DR88" s="58" t="str">
        <f>IF(ISNUMBER(MATCH(#REF!,'Audit Characteristic Mapping'!$B$3:$B$500,0)),"Y","")</f>
        <v/>
      </c>
      <c r="DS88" s="58" t="str">
        <f>IF(ISNUMBER(MATCH(#REF!,'Audit Characteristic Mapping'!$C$3:$C$500,0)),"Y","")</f>
        <v/>
      </c>
      <c r="DT88" s="58" t="str">
        <f>IF(ISNUMBER(MATCH(#REF!,'Audit Characteristic Mapping'!$D$3:$D$500,0)),"Y","")</f>
        <v/>
      </c>
      <c r="DU88" s="58" t="str">
        <f>IF(ISNUMBER(MATCH(#REF!,'Audit Characteristic Mapping'!$E$3:$E$500,0)),"Y","")</f>
        <v/>
      </c>
      <c r="DV88" s="58" t="str">
        <f>IF(ISNUMBER(MATCH(#REF!,'Audit Characteristic Mapping'!$F$3:$F$500,0)),"Y","")</f>
        <v/>
      </c>
      <c r="DW88" s="58" t="str">
        <f>IF(ISNUMBER(MATCH(#REF!,'Audit Characteristic Mapping'!$G$3:$G$500,0)),"Y","")</f>
        <v/>
      </c>
      <c r="DX88" s="58" t="str">
        <f>IF(ISNUMBER(MATCH(#REF!,'Audit Characteristic Mapping'!$H$3:$H$500,0)),"Y","")</f>
        <v/>
      </c>
      <c r="DY88" s="58" t="str">
        <f>IF(ISNUMBER(MATCH(#REF!,'Audit Characteristic Mapping'!$I$3:$I$500,0)),"Y","")</f>
        <v/>
      </c>
      <c r="DZ88" s="58" t="str">
        <f>IF(ISNUMBER(MATCH(#REF!,'Audit Characteristic Mapping'!$J$3:$J$500,0)),"Y","")</f>
        <v/>
      </c>
      <c r="EA88" s="58" t="str">
        <f>IF(ISNUMBER(MATCH(#REF!,'Audit Characteristic Mapping'!$K$3:$K$500,0)),"Y","")</f>
        <v/>
      </c>
    </row>
    <row r="89" spans="1:131" ht="32" x14ac:dyDescent="0.2">
      <c r="A89" s="294">
        <v>84</v>
      </c>
      <c r="B89" s="287" t="s">
        <v>174</v>
      </c>
      <c r="C89" s="226" t="s">
        <v>191</v>
      </c>
      <c r="D89" s="170">
        <v>2</v>
      </c>
      <c r="E89" s="288">
        <v>8</v>
      </c>
      <c r="F89" s="291" t="str">
        <f>VLOOKUP(Calculation!A89,'Descriptor maps'!$A$2:$F$1658,6,0)</f>
        <v>What is the type of the foundation cutoff?</v>
      </c>
      <c r="G89" s="289" t="s">
        <v>1251</v>
      </c>
      <c r="H89" s="291"/>
      <c r="I89" s="291" cm="1">
        <f t="array" ref="I89">INDEX('Descriptor maps'!$H$2:$H$1658,MATCH(1,('Descriptor maps'!$A$2:$A$1658=Calculation!$A89)*('Descriptor maps'!$G$2:$G$1658=Calculation!$G89),0))</f>
        <v>0</v>
      </c>
      <c r="J89" s="292" cm="1">
        <f t="array" ref="J89">INDEX('Descriptor maps'!$I$2:$I$1658,MATCH(1,('Descriptor maps'!$A$2:$A$1658=Calculation!$A89)*('Descriptor maps'!$G$2:$G$1658=Calculation!$G89),0))</f>
        <v>0.59999999999999987</v>
      </c>
      <c r="K89" s="292" cm="1">
        <f t="array" ref="K89">INDEX('Descriptor maps'!$J$2:$J$1658,MATCH(1,('Descriptor maps'!$A$2:$A$1658=Calculation!$A89)*('Descriptor maps'!$G$2:$G$1658=Calculation!$G89),0))</f>
        <v>0.10000000000000002</v>
      </c>
      <c r="L89" s="293"/>
      <c r="M89" s="293"/>
      <c r="N89" s="293"/>
      <c r="O89" s="293"/>
      <c r="P89" s="293"/>
      <c r="Q89" s="293"/>
      <c r="R89" s="293"/>
      <c r="S89" s="293"/>
      <c r="T89" s="293"/>
      <c r="U89" s="293"/>
      <c r="V89" s="293"/>
      <c r="W89" s="293"/>
      <c r="X89" s="293"/>
      <c r="Y89" s="293"/>
      <c r="Z89" s="293"/>
      <c r="AA89" s="293"/>
      <c r="AB89" s="293"/>
      <c r="AC89" s="293"/>
      <c r="AD89" s="293"/>
      <c r="AE89" s="293"/>
      <c r="AF89" s="293"/>
      <c r="AG89" s="293"/>
      <c r="AH89" s="293"/>
      <c r="AI89" s="293"/>
      <c r="AJ89" s="293"/>
      <c r="AK89" s="293"/>
      <c r="AL89" s="293"/>
      <c r="AM89" s="293"/>
      <c r="AN89" s="293"/>
      <c r="AO89" s="293"/>
      <c r="AP89" s="293"/>
      <c r="AQ89" s="293"/>
      <c r="AR89" s="293"/>
      <c r="AS89" s="293"/>
      <c r="AT89" s="293"/>
      <c r="AU89" s="293">
        <f>1*$J89</f>
        <v>0.59999999999999987</v>
      </c>
      <c r="AV89" s="293">
        <f>K89</f>
        <v>0.10000000000000002</v>
      </c>
      <c r="AW89" s="293"/>
      <c r="AX89" s="293"/>
      <c r="AY89" s="293"/>
      <c r="AZ89" s="293"/>
      <c r="BA89" s="293"/>
      <c r="BB89" s="293"/>
      <c r="BC89" s="293"/>
      <c r="BD89" s="293"/>
      <c r="BE89" s="293"/>
      <c r="BF89" s="293"/>
      <c r="BG89" s="293"/>
      <c r="BH89" s="293"/>
      <c r="BI89" s="293"/>
      <c r="BJ89" s="293"/>
      <c r="BK89" s="293"/>
      <c r="BL89" s="293"/>
      <c r="BM89" s="293"/>
      <c r="BN89" s="293"/>
      <c r="BO89" s="293"/>
      <c r="BP89" s="293"/>
      <c r="BQ89" s="293"/>
      <c r="BR89" s="293"/>
      <c r="BS89" s="293"/>
      <c r="BT89" s="293"/>
      <c r="BU89" s="293"/>
      <c r="BV89" s="293"/>
      <c r="BW89" s="293"/>
      <c r="BX89" s="293"/>
      <c r="BY89" s="293"/>
      <c r="BZ89" s="293"/>
      <c r="CA89" s="285"/>
      <c r="CB89" s="286"/>
      <c r="CC89" s="286"/>
      <c r="CD89" s="286"/>
      <c r="CE89" s="286"/>
      <c r="CF89" s="286"/>
      <c r="CG89" s="286"/>
      <c r="CH89" s="286"/>
      <c r="CI89" s="286"/>
      <c r="CJ89" s="286"/>
      <c r="CK89" s="286"/>
      <c r="CL89" s="286"/>
      <c r="CM89" s="286"/>
      <c r="CN89" s="286"/>
      <c r="CO89" s="286"/>
      <c r="CP89" s="286"/>
      <c r="CQ89" s="286"/>
      <c r="CR89" s="286"/>
      <c r="CS89" s="286"/>
      <c r="CT89" s="286"/>
      <c r="CU89" s="286"/>
      <c r="CV89" s="286"/>
      <c r="CW89" s="286"/>
      <c r="CX89" s="286"/>
      <c r="CY89" s="286"/>
      <c r="CZ89" s="286"/>
      <c r="DA89" s="286"/>
      <c r="DB89" s="286"/>
      <c r="DC89" s="286"/>
      <c r="DD89" s="286"/>
      <c r="DE89" s="286"/>
      <c r="DF89" s="286"/>
      <c r="DG89" s="286"/>
      <c r="DH89" s="286"/>
      <c r="DI89" s="286"/>
      <c r="DJ89" s="286"/>
      <c r="DK89" s="286"/>
      <c r="DL89" s="286"/>
      <c r="DM89" s="286"/>
      <c r="DN89" s="286"/>
      <c r="DO89" s="286"/>
      <c r="DP89" s="286"/>
      <c r="DR89" s="58" t="str">
        <f>IF(ISNUMBER(MATCH(#REF!,'Audit Characteristic Mapping'!$B$3:$B$500,0)),"Y","")</f>
        <v/>
      </c>
      <c r="DS89" s="58" t="str">
        <f>IF(ISNUMBER(MATCH(#REF!,'Audit Characteristic Mapping'!$C$3:$C$500,0)),"Y","")</f>
        <v/>
      </c>
      <c r="DT89" s="58" t="str">
        <f>IF(ISNUMBER(MATCH(#REF!,'Audit Characteristic Mapping'!$D$3:$D$500,0)),"Y","")</f>
        <v/>
      </c>
      <c r="DU89" s="58" t="str">
        <f>IF(ISNUMBER(MATCH(#REF!,'Audit Characteristic Mapping'!$E$3:$E$500,0)),"Y","")</f>
        <v/>
      </c>
      <c r="DV89" s="58" t="str">
        <f>IF(ISNUMBER(MATCH(#REF!,'Audit Characteristic Mapping'!$F$3:$F$500,0)),"Y","")</f>
        <v/>
      </c>
      <c r="DW89" s="58" t="str">
        <f>IF(ISNUMBER(MATCH(#REF!,'Audit Characteristic Mapping'!$G$3:$G$500,0)),"Y","")</f>
        <v/>
      </c>
      <c r="DX89" s="58" t="str">
        <f>IF(ISNUMBER(MATCH(#REF!,'Audit Characteristic Mapping'!$H$3:$H$500,0)),"Y","")</f>
        <v/>
      </c>
      <c r="DY89" s="58" t="str">
        <f>IF(ISNUMBER(MATCH(#REF!,'Audit Characteristic Mapping'!$I$3:$I$500,0)),"Y","")</f>
        <v/>
      </c>
      <c r="DZ89" s="58" t="str">
        <f>IF(ISNUMBER(MATCH(#REF!,'Audit Characteristic Mapping'!$J$3:$J$500,0)),"Y","")</f>
        <v/>
      </c>
      <c r="EA89" s="58" t="str">
        <f>IF(ISNUMBER(MATCH(#REF!,'Audit Characteristic Mapping'!$K$3:$K$500,0)),"Y","")</f>
        <v/>
      </c>
    </row>
    <row r="90" spans="1:131" ht="32" x14ac:dyDescent="0.2">
      <c r="A90" s="294">
        <v>86</v>
      </c>
      <c r="B90" s="287" t="s">
        <v>174</v>
      </c>
      <c r="C90" s="226" t="s">
        <v>191</v>
      </c>
      <c r="D90" s="170">
        <v>2</v>
      </c>
      <c r="E90" s="288">
        <v>8</v>
      </c>
      <c r="F90" s="291" t="str">
        <f>VLOOKUP(Calculation!A90,'Descriptor maps'!$A$2:$F$1658,6,0)</f>
        <v>What is the foundation cutoff trench geometry?</v>
      </c>
      <c r="G90" s="289" t="s">
        <v>1232</v>
      </c>
      <c r="H90" s="291"/>
      <c r="I90" s="291" cm="1">
        <f t="array" ref="I90">INDEX('Descriptor maps'!$H$2:$H$1658,MATCH(1,('Descriptor maps'!$A$2:$A$1658=Calculation!$A90)*('Descriptor maps'!$G$2:$G$1658=Calculation!$G90),0))</f>
        <v>3</v>
      </c>
      <c r="J90" s="292" cm="1">
        <f t="array" ref="J90">INDEX('Descriptor maps'!$J$2:$J$1658,MATCH(1,('Descriptor maps'!$A$2:$A$1658=Calculation!$A90)*('Descriptor maps'!$G$2:$G$1658=Calculation!$G90),0))</f>
        <v>1</v>
      </c>
      <c r="K90" s="292"/>
      <c r="L90" s="293"/>
      <c r="M90" s="293"/>
      <c r="N90" s="293"/>
      <c r="O90" s="293"/>
      <c r="P90" s="293"/>
      <c r="Q90" s="293"/>
      <c r="R90" s="293"/>
      <c r="S90" s="293"/>
      <c r="T90" s="293"/>
      <c r="U90" s="293"/>
      <c r="V90" s="293"/>
      <c r="W90" s="293"/>
      <c r="X90" s="293"/>
      <c r="Y90" s="293"/>
      <c r="Z90" s="293"/>
      <c r="AA90" s="293"/>
      <c r="AB90" s="293"/>
      <c r="AC90" s="293"/>
      <c r="AD90" s="293"/>
      <c r="AE90" s="293"/>
      <c r="AF90" s="293"/>
      <c r="AG90" s="293"/>
      <c r="AH90" s="293"/>
      <c r="AI90" s="293"/>
      <c r="AJ90" s="293"/>
      <c r="AK90" s="293"/>
      <c r="AL90" s="293"/>
      <c r="AM90" s="293"/>
      <c r="AN90" s="293"/>
      <c r="AO90" s="293"/>
      <c r="AP90" s="293"/>
      <c r="AQ90" s="293"/>
      <c r="AR90" s="293"/>
      <c r="AS90" s="293"/>
      <c r="AT90" s="293"/>
      <c r="AU90" s="293"/>
      <c r="AV90" s="293"/>
      <c r="AW90" s="293"/>
      <c r="AX90" s="293"/>
      <c r="AY90" s="293"/>
      <c r="AZ90" s="293"/>
      <c r="BA90" s="293"/>
      <c r="BB90" s="293"/>
      <c r="BC90" s="293"/>
      <c r="BD90" s="293"/>
      <c r="BE90" s="293">
        <f>1*$J90</f>
        <v>1</v>
      </c>
      <c r="BF90" s="293"/>
      <c r="BG90" s="293"/>
      <c r="BH90" s="293"/>
      <c r="BI90" s="293"/>
      <c r="BJ90" s="293"/>
      <c r="BK90" s="293"/>
      <c r="BL90" s="293"/>
      <c r="BM90" s="293"/>
      <c r="BN90" s="293"/>
      <c r="BO90" s="293"/>
      <c r="BP90" s="293"/>
      <c r="BQ90" s="293"/>
      <c r="BR90" s="293"/>
      <c r="BS90" s="293"/>
      <c r="BT90" s="293"/>
      <c r="BU90" s="293"/>
      <c r="BV90" s="293"/>
      <c r="BW90" s="293"/>
      <c r="BX90" s="293"/>
      <c r="BY90" s="293"/>
      <c r="BZ90" s="293"/>
      <c r="CA90" s="285"/>
      <c r="CB90" s="286"/>
      <c r="CC90" s="286"/>
      <c r="CD90" s="286"/>
      <c r="CE90" s="286"/>
      <c r="CF90" s="286"/>
      <c r="CG90" s="286"/>
      <c r="CH90" s="286"/>
      <c r="CI90" s="286"/>
      <c r="CJ90" s="286"/>
      <c r="CK90" s="286"/>
      <c r="CL90" s="286"/>
      <c r="CM90" s="286"/>
      <c r="CN90" s="286"/>
      <c r="CO90" s="286"/>
      <c r="CP90" s="286"/>
      <c r="CQ90" s="286"/>
      <c r="CR90" s="286"/>
      <c r="CS90" s="286"/>
      <c r="CT90" s="286"/>
      <c r="CU90" s="286"/>
      <c r="CV90" s="286"/>
      <c r="CW90" s="286"/>
      <c r="CX90" s="286"/>
      <c r="CY90" s="286"/>
      <c r="CZ90" s="286"/>
      <c r="DA90" s="286"/>
      <c r="DB90" s="286"/>
      <c r="DC90" s="286"/>
      <c r="DD90" s="286"/>
      <c r="DE90" s="286"/>
      <c r="DF90" s="286"/>
      <c r="DG90" s="286"/>
      <c r="DH90" s="286"/>
      <c r="DI90" s="286">
        <v>1</v>
      </c>
      <c r="DJ90" s="286"/>
      <c r="DK90" s="286"/>
      <c r="DL90" s="286"/>
      <c r="DM90" s="286"/>
      <c r="DN90" s="286"/>
      <c r="DO90" s="286"/>
      <c r="DP90" s="286"/>
      <c r="DR90" s="58" t="str">
        <f>IF(ISNUMBER(MATCH(#REF!,'Audit Characteristic Mapping'!$B$3:$B$500,0)),"Y","")</f>
        <v/>
      </c>
      <c r="DS90" s="58" t="str">
        <f>IF(ISNUMBER(MATCH(#REF!,'Audit Characteristic Mapping'!$C$3:$C$500,0)),"Y","")</f>
        <v/>
      </c>
      <c r="DT90" s="58" t="str">
        <f>IF(ISNUMBER(MATCH(#REF!,'Audit Characteristic Mapping'!$D$3:$D$500,0)),"Y","")</f>
        <v/>
      </c>
      <c r="DU90" s="58" t="str">
        <f>IF(ISNUMBER(MATCH(#REF!,'Audit Characteristic Mapping'!$E$3:$E$500,0)),"Y","")</f>
        <v/>
      </c>
      <c r="DV90" s="58" t="str">
        <f>IF(ISNUMBER(MATCH(#REF!,'Audit Characteristic Mapping'!$F$3:$F$500,0)),"Y","")</f>
        <v/>
      </c>
      <c r="DW90" s="58" t="str">
        <f>IF(ISNUMBER(MATCH(#REF!,'Audit Characteristic Mapping'!$G$3:$G$500,0)),"Y","")</f>
        <v/>
      </c>
      <c r="DX90" s="58" t="str">
        <f>IF(ISNUMBER(MATCH(#REF!,'Audit Characteristic Mapping'!$H$3:$H$500,0)),"Y","")</f>
        <v/>
      </c>
      <c r="DY90" s="58" t="str">
        <f>IF(ISNUMBER(MATCH(#REF!,'Audit Characteristic Mapping'!$I$3:$I$500,0)),"Y","")</f>
        <v/>
      </c>
      <c r="DZ90" s="58" t="str">
        <f>IF(ISNUMBER(MATCH(#REF!,'Audit Characteristic Mapping'!$J$3:$J$500,0)),"Y","")</f>
        <v/>
      </c>
      <c r="EA90" s="58" t="str">
        <f>IF(ISNUMBER(MATCH(#REF!,'Audit Characteristic Mapping'!$K$3:$K$500,0)),"Y","")</f>
        <v/>
      </c>
    </row>
    <row r="91" spans="1:131" ht="48" x14ac:dyDescent="0.2">
      <c r="A91" s="294">
        <v>87</v>
      </c>
      <c r="B91" s="287" t="s">
        <v>412</v>
      </c>
      <c r="C91" s="226" t="s">
        <v>416</v>
      </c>
      <c r="D91" s="170">
        <v>7</v>
      </c>
      <c r="E91" s="288"/>
      <c r="F91" s="291" t="str">
        <f>VLOOKUP(Calculation!A91,'Descriptor maps'!$A$2:$F$1658,6,0)</f>
        <v xml:space="preserve">Is there documented evidence that the foundation slopes were treated with the objective to remove vertical faces, overhangs and irregularities by cutting and/or filling? </v>
      </c>
      <c r="G91" s="289" t="s">
        <v>1198</v>
      </c>
      <c r="H91" s="291"/>
      <c r="I91" s="291" cm="1">
        <f t="array" ref="I91">INDEX('Descriptor maps'!$H$2:$H$1658,MATCH(1,('Descriptor maps'!$A$2:$A$1658=Calculation!$A91)*('Descriptor maps'!$G$2:$G$1658=Calculation!$G91),0))</f>
        <v>1</v>
      </c>
      <c r="J91" s="292" cm="1">
        <f t="array" ref="J91">INDEX('Descriptor maps'!$J$2:$J$1658,MATCH(1,('Descriptor maps'!$A$2:$A$1658=Calculation!$A91)*('Descriptor maps'!$G$2:$G$1658=Calculation!$G91),0))</f>
        <v>0.9</v>
      </c>
      <c r="K91" s="292"/>
      <c r="L91" s="293"/>
      <c r="M91" s="293"/>
      <c r="N91" s="293"/>
      <c r="O91" s="293"/>
      <c r="P91" s="293"/>
      <c r="Q91" s="293"/>
      <c r="R91" s="293"/>
      <c r="S91" s="293"/>
      <c r="T91" s="293"/>
      <c r="U91" s="293"/>
      <c r="V91" s="293"/>
      <c r="W91" s="293"/>
      <c r="X91" s="293"/>
      <c r="Y91" s="293"/>
      <c r="Z91" s="293"/>
      <c r="AA91" s="293"/>
      <c r="AB91" s="293"/>
      <c r="AC91" s="293"/>
      <c r="AD91" s="293"/>
      <c r="AE91" s="293"/>
      <c r="AF91" s="293"/>
      <c r="AG91" s="293"/>
      <c r="AH91" s="293"/>
      <c r="AI91" s="293"/>
      <c r="AJ91" s="293"/>
      <c r="AK91" s="293"/>
      <c r="AL91" s="293"/>
      <c r="AM91" s="293"/>
      <c r="AN91" s="293">
        <f>I91</f>
        <v>1</v>
      </c>
      <c r="AO91" s="293"/>
      <c r="AP91" s="293"/>
      <c r="AQ91" s="293"/>
      <c r="AR91" s="293"/>
      <c r="AS91" s="293"/>
      <c r="AT91" s="293"/>
      <c r="AU91" s="293"/>
      <c r="AV91" s="293"/>
      <c r="AW91" s="293"/>
      <c r="AX91" s="293"/>
      <c r="AY91" s="293"/>
      <c r="AZ91" s="293"/>
      <c r="BA91" s="293"/>
      <c r="BB91" s="293"/>
      <c r="BC91" s="293"/>
      <c r="BD91" s="293"/>
      <c r="BE91" s="293"/>
      <c r="BF91" s="293"/>
      <c r="BG91" s="293"/>
      <c r="BH91" s="293"/>
      <c r="BI91" s="293"/>
      <c r="BJ91" s="293"/>
      <c r="BK91" s="293"/>
      <c r="BL91" s="293">
        <f>1*$J91</f>
        <v>0.9</v>
      </c>
      <c r="BM91" s="293"/>
      <c r="BN91" s="293"/>
      <c r="BO91" s="293"/>
      <c r="BP91" s="293"/>
      <c r="BQ91" s="293"/>
      <c r="BR91" s="293"/>
      <c r="BS91" s="293"/>
      <c r="BT91" s="293"/>
      <c r="BU91" s="293"/>
      <c r="BV91" s="293"/>
      <c r="BW91" s="293"/>
      <c r="BX91" s="293"/>
      <c r="BY91" s="293"/>
      <c r="BZ91" s="293"/>
      <c r="CA91" s="285"/>
      <c r="CB91" s="286"/>
      <c r="CC91" s="286"/>
      <c r="CD91" s="286"/>
      <c r="CE91" s="286"/>
      <c r="CF91" s="286"/>
      <c r="CG91" s="286"/>
      <c r="CH91" s="286"/>
      <c r="CI91" s="286"/>
      <c r="CJ91" s="286"/>
      <c r="CK91" s="286"/>
      <c r="CL91" s="286"/>
      <c r="CM91" s="286"/>
      <c r="CN91" s="286"/>
      <c r="CO91" s="286"/>
      <c r="CP91" s="286"/>
      <c r="CQ91" s="286"/>
      <c r="CR91" s="286"/>
      <c r="CS91" s="286"/>
      <c r="CT91" s="286"/>
      <c r="CU91" s="286"/>
      <c r="CV91" s="286"/>
      <c r="CW91" s="286"/>
      <c r="CX91" s="286"/>
      <c r="CY91" s="286"/>
      <c r="CZ91" s="286"/>
      <c r="DA91" s="286"/>
      <c r="DB91" s="286"/>
      <c r="DC91" s="286"/>
      <c r="DD91" s="286"/>
      <c r="DE91" s="286"/>
      <c r="DF91" s="286"/>
      <c r="DG91" s="286"/>
      <c r="DH91" s="286">
        <v>1</v>
      </c>
      <c r="DI91" s="286"/>
      <c r="DJ91" s="286"/>
      <c r="DK91" s="286"/>
      <c r="DL91" s="286"/>
      <c r="DM91" s="286"/>
      <c r="DN91" s="286"/>
      <c r="DO91" s="286"/>
      <c r="DP91" s="286"/>
      <c r="DR91" s="58" t="str">
        <f>IF(ISNUMBER(MATCH(#REF!,'Audit Characteristic Mapping'!$B$3:$B$500,0)),"Y","")</f>
        <v/>
      </c>
      <c r="DS91" s="58" t="str">
        <f>IF(ISNUMBER(MATCH(#REF!,'Audit Characteristic Mapping'!$C$3:$C$500,0)),"Y","")</f>
        <v/>
      </c>
      <c r="DT91" s="58" t="str">
        <f>IF(ISNUMBER(MATCH(#REF!,'Audit Characteristic Mapping'!$D$3:$D$500,0)),"Y","")</f>
        <v/>
      </c>
      <c r="DU91" s="58" t="str">
        <f>IF(ISNUMBER(MATCH(#REF!,'Audit Characteristic Mapping'!$E$3:$E$500,0)),"Y","")</f>
        <v/>
      </c>
      <c r="DV91" s="58" t="str">
        <f>IF(ISNUMBER(MATCH(#REF!,'Audit Characteristic Mapping'!$F$3:$F$500,0)),"Y","")</f>
        <v/>
      </c>
      <c r="DW91" s="58" t="str">
        <f>IF(ISNUMBER(MATCH(#REF!,'Audit Characteristic Mapping'!$G$3:$G$500,0)),"Y","")</f>
        <v/>
      </c>
      <c r="DX91" s="58" t="str">
        <f>IF(ISNUMBER(MATCH(#REF!,'Audit Characteristic Mapping'!$H$3:$H$500,0)),"Y","")</f>
        <v/>
      </c>
      <c r="DY91" s="58" t="str">
        <f>IF(ISNUMBER(MATCH(#REF!,'Audit Characteristic Mapping'!$I$3:$I$500,0)),"Y","")</f>
        <v/>
      </c>
      <c r="DZ91" s="58" t="str">
        <f>IF(ISNUMBER(MATCH(#REF!,'Audit Characteristic Mapping'!$J$3:$J$500,0)),"Y","")</f>
        <v/>
      </c>
      <c r="EA91" s="58" t="str">
        <f>IF(ISNUMBER(MATCH(#REF!,'Audit Characteristic Mapping'!$K$3:$K$500,0)),"Y","")</f>
        <v/>
      </c>
    </row>
    <row r="92" spans="1:131" ht="48" x14ac:dyDescent="0.2">
      <c r="A92" s="294">
        <v>88</v>
      </c>
      <c r="B92" s="287" t="s">
        <v>174</v>
      </c>
      <c r="C92" s="226" t="s">
        <v>191</v>
      </c>
      <c r="D92" s="170">
        <v>2</v>
      </c>
      <c r="E92" s="288">
        <v>8</v>
      </c>
      <c r="F92" s="291" t="str">
        <f>VLOOKUP(Calculation!A92,'Descriptor maps'!$A$2:$F$1658,6,0)</f>
        <v>What were the conditions and treatment of the foundation interface within the cutoff trench or beneath the low permeability zone (if cutoff is not in place)?</v>
      </c>
      <c r="G92" s="289" t="s">
        <v>1270</v>
      </c>
      <c r="H92" s="291"/>
      <c r="I92" s="291" cm="1">
        <f t="array" ref="I92">INDEX('Descriptor maps'!$H$2:$H$1658,MATCH(1,('Descriptor maps'!$A$2:$A$1658=Calculation!$A92)*('Descriptor maps'!$G$2:$G$1658=Calculation!$G92),0))</f>
        <v>1</v>
      </c>
      <c r="J92" s="292" cm="1">
        <f t="array" ref="J92">INDEX('Descriptor maps'!$I$2:$I$1658,MATCH(1,('Descriptor maps'!$A$2:$A$1658=Calculation!$A92)*('Descriptor maps'!$G$2:$G$1658=Calculation!$G92),0))</f>
        <v>0.4</v>
      </c>
      <c r="K92" s="292"/>
      <c r="L92" s="293"/>
      <c r="M92" s="293"/>
      <c r="N92" s="293"/>
      <c r="O92" s="293"/>
      <c r="P92" s="293"/>
      <c r="Q92" s="293"/>
      <c r="R92" s="293"/>
      <c r="S92" s="293"/>
      <c r="T92" s="293"/>
      <c r="U92" s="293"/>
      <c r="V92" s="293"/>
      <c r="W92" s="293"/>
      <c r="X92" s="293"/>
      <c r="Y92" s="29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c r="AW92" s="293"/>
      <c r="AX92" s="293"/>
      <c r="AY92" s="293"/>
      <c r="AZ92" s="293"/>
      <c r="BA92" s="293"/>
      <c r="BB92" s="293"/>
      <c r="BC92" s="293"/>
      <c r="BD92" s="293"/>
      <c r="BE92" s="293"/>
      <c r="BF92" s="293"/>
      <c r="BG92" s="293"/>
      <c r="BH92" s="293">
        <f>J92</f>
        <v>0.4</v>
      </c>
      <c r="BI92" s="293"/>
      <c r="BJ92" s="293"/>
      <c r="BK92" s="293"/>
      <c r="BL92" s="293"/>
      <c r="BM92" s="293"/>
      <c r="BN92" s="293"/>
      <c r="BO92" s="293"/>
      <c r="BP92" s="293"/>
      <c r="BQ92" s="293"/>
      <c r="BR92" s="293"/>
      <c r="BS92" s="293"/>
      <c r="BT92" s="293"/>
      <c r="BU92" s="293"/>
      <c r="BV92" s="293"/>
      <c r="BW92" s="293"/>
      <c r="BX92" s="293"/>
      <c r="BY92" s="293"/>
      <c r="BZ92" s="293"/>
      <c r="CA92" s="285"/>
      <c r="CB92" s="286"/>
      <c r="CC92" s="286"/>
      <c r="CD92" s="286"/>
      <c r="CE92" s="286"/>
      <c r="CF92" s="286"/>
      <c r="CG92" s="286"/>
      <c r="CH92" s="286"/>
      <c r="CI92" s="286"/>
      <c r="CJ92" s="286"/>
      <c r="CK92" s="286"/>
      <c r="CL92" s="286"/>
      <c r="CM92" s="286"/>
      <c r="CN92" s="286"/>
      <c r="CO92" s="286"/>
      <c r="CP92" s="286"/>
      <c r="CQ92" s="286"/>
      <c r="CR92" s="286"/>
      <c r="CS92" s="286"/>
      <c r="CT92" s="286"/>
      <c r="CU92" s="286"/>
      <c r="CV92" s="286"/>
      <c r="CW92" s="286"/>
      <c r="CX92" s="286"/>
      <c r="CY92" s="286"/>
      <c r="CZ92" s="286"/>
      <c r="DA92" s="286"/>
      <c r="DB92" s="286"/>
      <c r="DC92" s="286"/>
      <c r="DD92" s="286"/>
      <c r="DE92" s="286"/>
      <c r="DF92" s="286"/>
      <c r="DG92" s="286"/>
      <c r="DH92" s="286"/>
      <c r="DI92" s="286"/>
      <c r="DJ92" s="286"/>
      <c r="DK92" s="286"/>
      <c r="DL92" s="286"/>
      <c r="DM92" s="286"/>
      <c r="DN92" s="286"/>
      <c r="DO92" s="286"/>
      <c r="DP92" s="286"/>
      <c r="DR92" s="58" t="str">
        <f>IF(ISNUMBER(MATCH(#REF!,'Audit Characteristic Mapping'!$B$3:$B$500,0)),"Y","")</f>
        <v/>
      </c>
      <c r="DS92" s="58" t="str">
        <f>IF(ISNUMBER(MATCH(#REF!,'Audit Characteristic Mapping'!$C$3:$C$500,0)),"Y","")</f>
        <v/>
      </c>
      <c r="DT92" s="58" t="str">
        <f>IF(ISNUMBER(MATCH(#REF!,'Audit Characteristic Mapping'!$D$3:$D$500,0)),"Y","")</f>
        <v/>
      </c>
      <c r="DU92" s="58" t="str">
        <f>IF(ISNUMBER(MATCH(#REF!,'Audit Characteristic Mapping'!$E$3:$E$500,0)),"Y","")</f>
        <v/>
      </c>
      <c r="DV92" s="58" t="str">
        <f>IF(ISNUMBER(MATCH(#REF!,'Audit Characteristic Mapping'!$F$3:$F$500,0)),"Y","")</f>
        <v/>
      </c>
      <c r="DW92" s="58" t="str">
        <f>IF(ISNUMBER(MATCH(#REF!,'Audit Characteristic Mapping'!$G$3:$G$500,0)),"Y","")</f>
        <v/>
      </c>
      <c r="DX92" s="58" t="str">
        <f>IF(ISNUMBER(MATCH(#REF!,'Audit Characteristic Mapping'!$H$3:$H$500,0)),"Y","")</f>
        <v/>
      </c>
      <c r="DY92" s="58" t="str">
        <f>IF(ISNUMBER(MATCH(#REF!,'Audit Characteristic Mapping'!$I$3:$I$500,0)),"Y","")</f>
        <v/>
      </c>
      <c r="DZ92" s="58" t="str">
        <f>IF(ISNUMBER(MATCH(#REF!,'Audit Characteristic Mapping'!$J$3:$J$500,0)),"Y","")</f>
        <v/>
      </c>
      <c r="EA92" s="58" t="str">
        <f>IF(ISNUMBER(MATCH(#REF!,'Audit Characteristic Mapping'!$K$3:$K$500,0)),"Y","")</f>
        <v/>
      </c>
    </row>
    <row r="93" spans="1:131" ht="16" x14ac:dyDescent="0.2">
      <c r="A93" s="294">
        <v>89</v>
      </c>
      <c r="B93" s="287" t="s">
        <v>174</v>
      </c>
      <c r="C93" s="226" t="s">
        <v>191</v>
      </c>
      <c r="D93" s="170">
        <v>2</v>
      </c>
      <c r="E93" s="288">
        <v>8</v>
      </c>
      <c r="F93" s="291" t="str">
        <f>VLOOKUP(Calculation!A93,'Descriptor maps'!$A$2:$F$1658,6,0)</f>
        <v>Foundation Grouting</v>
      </c>
      <c r="G93" s="289" t="s">
        <v>671</v>
      </c>
      <c r="H93" s="290"/>
      <c r="I93" s="291" cm="1">
        <f t="array" ref="I93">INDEX('Descriptor maps'!$H$2:$H$1658,MATCH(1,('Descriptor maps'!$A$2:$A$1658=Calculation!$A93)*('Descriptor maps'!$G$2:$G$1658=Calculation!$G93),0))</f>
        <v>0</v>
      </c>
      <c r="J93" s="292" cm="1">
        <f t="array" ref="J93">INDEX('Descriptor maps'!$I$2:$I$1658,MATCH(1,('Descriptor maps'!$A$2:$A$1658=Calculation!$A93)*('Descriptor maps'!$G$2:$G$1658=Calculation!$G93),0))</f>
        <v>1</v>
      </c>
      <c r="K93" s="226"/>
      <c r="L93" s="293"/>
      <c r="M93" s="293"/>
      <c r="N93" s="293"/>
      <c r="O93" s="293"/>
      <c r="P93" s="293"/>
      <c r="Q93" s="293"/>
      <c r="R93" s="293"/>
      <c r="S93" s="293"/>
      <c r="T93" s="293"/>
      <c r="U93" s="293"/>
      <c r="V93" s="293"/>
      <c r="W93" s="293"/>
      <c r="X93" s="293"/>
      <c r="Y93" s="29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c r="AW93" s="293"/>
      <c r="AX93" s="293"/>
      <c r="AY93" s="293"/>
      <c r="AZ93" s="293"/>
      <c r="BA93" s="293"/>
      <c r="BB93" s="293"/>
      <c r="BC93" s="293"/>
      <c r="BD93" s="293"/>
      <c r="BE93" s="293"/>
      <c r="BF93" s="293"/>
      <c r="BG93" s="293"/>
      <c r="BH93" s="293"/>
      <c r="BI93" s="293">
        <f>1*$J93</f>
        <v>1</v>
      </c>
      <c r="BJ93" s="293"/>
      <c r="BK93" s="293"/>
      <c r="BL93" s="293"/>
      <c r="BM93" s="293"/>
      <c r="BN93" s="293"/>
      <c r="BO93" s="293"/>
      <c r="BP93" s="293"/>
      <c r="BQ93" s="293"/>
      <c r="BR93" s="293"/>
      <c r="BS93" s="293"/>
      <c r="BT93" s="293"/>
      <c r="BU93" s="293"/>
      <c r="BV93" s="293"/>
      <c r="BW93" s="293"/>
      <c r="BX93" s="293"/>
      <c r="BY93" s="293"/>
      <c r="BZ93" s="293"/>
      <c r="CA93" s="285"/>
      <c r="CB93" s="286"/>
      <c r="CC93" s="286"/>
      <c r="CD93" s="286"/>
      <c r="CE93" s="286"/>
      <c r="CF93" s="286"/>
      <c r="CG93" s="286"/>
      <c r="CH93" s="286"/>
      <c r="CI93" s="286"/>
      <c r="CJ93" s="286"/>
      <c r="CK93" s="286"/>
      <c r="CL93" s="286"/>
      <c r="CM93" s="286"/>
      <c r="CN93" s="286"/>
      <c r="CO93" s="286"/>
      <c r="CP93" s="286"/>
      <c r="CQ93" s="286"/>
      <c r="CR93" s="286"/>
      <c r="CS93" s="286"/>
      <c r="CT93" s="286"/>
      <c r="CU93" s="286"/>
      <c r="CV93" s="286"/>
      <c r="CW93" s="286"/>
      <c r="CX93" s="286"/>
      <c r="CY93" s="286"/>
      <c r="CZ93" s="286"/>
      <c r="DA93" s="286"/>
      <c r="DB93" s="286"/>
      <c r="DC93" s="286"/>
      <c r="DD93" s="286"/>
      <c r="DE93" s="286"/>
      <c r="DF93" s="286"/>
      <c r="DG93" s="286"/>
      <c r="DH93" s="286"/>
      <c r="DI93" s="286"/>
      <c r="DJ93" s="286"/>
      <c r="DK93" s="286"/>
      <c r="DL93" s="286"/>
      <c r="DM93" s="286"/>
      <c r="DN93" s="286"/>
      <c r="DO93" s="286"/>
      <c r="DP93" s="286"/>
      <c r="DR93" s="58" t="str">
        <f>IF(ISNUMBER(MATCH(#REF!,'Audit Characteristic Mapping'!$B$3:$B$500,0)),"Y","")</f>
        <v/>
      </c>
      <c r="DS93" s="58" t="str">
        <f>IF(ISNUMBER(MATCH(#REF!,'Audit Characteristic Mapping'!$C$3:$C$500,0)),"Y","")</f>
        <v/>
      </c>
      <c r="DT93" s="58" t="str">
        <f>IF(ISNUMBER(MATCH(#REF!,'Audit Characteristic Mapping'!$D$3:$D$500,0)),"Y","")</f>
        <v/>
      </c>
      <c r="DU93" s="58" t="str">
        <f>IF(ISNUMBER(MATCH(#REF!,'Audit Characteristic Mapping'!$E$3:$E$500,0)),"Y","")</f>
        <v/>
      </c>
      <c r="DV93" s="58" t="str">
        <f>IF(ISNUMBER(MATCH(#REF!,'Audit Characteristic Mapping'!$F$3:$F$500,0)),"Y","")</f>
        <v/>
      </c>
      <c r="DW93" s="58" t="str">
        <f>IF(ISNUMBER(MATCH(#REF!,'Audit Characteristic Mapping'!$G$3:$G$500,0)),"Y","")</f>
        <v/>
      </c>
      <c r="DX93" s="58" t="str">
        <f>IF(ISNUMBER(MATCH(#REF!,'Audit Characteristic Mapping'!$H$3:$H$500,0)),"Y","")</f>
        <v/>
      </c>
      <c r="DY93" s="58" t="str">
        <f>IF(ISNUMBER(MATCH(#REF!,'Audit Characteristic Mapping'!$I$3:$I$500,0)),"Y","")</f>
        <v/>
      </c>
      <c r="DZ93" s="58" t="str">
        <f>IF(ISNUMBER(MATCH(#REF!,'Audit Characteristic Mapping'!$J$3:$J$500,0)),"Y","")</f>
        <v/>
      </c>
      <c r="EA93" s="58" t="str">
        <f>IF(ISNUMBER(MATCH(#REF!,'Audit Characteristic Mapping'!$K$3:$K$500,0)),"Y","")</f>
        <v/>
      </c>
    </row>
    <row r="94" spans="1:131" ht="16" hidden="1" x14ac:dyDescent="0.2">
      <c r="A94" s="288">
        <v>462</v>
      </c>
      <c r="B94" s="287" t="s">
        <v>174</v>
      </c>
      <c r="C94" s="226" t="s">
        <v>191</v>
      </c>
      <c r="D94" s="170">
        <v>2</v>
      </c>
      <c r="E94" s="288">
        <v>8</v>
      </c>
      <c r="F94" s="291" t="str">
        <f>VLOOKUP(Calculation!A94,'Descriptor maps'!$A$2:$F$1658,2,0)</f>
        <v>Facility details</v>
      </c>
      <c r="G94" s="289">
        <v>1000</v>
      </c>
      <c r="H94" s="290"/>
      <c r="I94" s="291"/>
      <c r="J94" s="292" t="e" cm="1">
        <f t="array" ref="J94">INDEX('Descriptor maps'!$I$2:$I$1658,MATCH(1,('Descriptor maps'!$A$2:$A$1658=Calculation!$A94)*('Descriptor maps'!$G$2:$G$1658=Calculation!$G94),0))</f>
        <v>#N/A</v>
      </c>
      <c r="K94" s="226"/>
      <c r="L94" s="293"/>
      <c r="M94" s="293"/>
      <c r="N94" s="293"/>
      <c r="O94" s="293"/>
      <c r="P94" s="293"/>
      <c r="Q94" s="293"/>
      <c r="R94" s="293"/>
      <c r="S94" s="293"/>
      <c r="T94" s="293"/>
      <c r="U94" s="293"/>
      <c r="V94" s="293"/>
      <c r="W94" s="293"/>
      <c r="X94" s="293"/>
      <c r="Y94" s="29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c r="AW94" s="293"/>
      <c r="AX94" s="293"/>
      <c r="AY94" s="293"/>
      <c r="AZ94" s="293"/>
      <c r="BA94" s="293"/>
      <c r="BB94" s="293"/>
      <c r="BC94" s="293"/>
      <c r="BD94" s="293"/>
      <c r="BE94" s="293"/>
      <c r="BF94" s="293"/>
      <c r="BG94" s="293"/>
      <c r="BH94" s="293"/>
      <c r="BI94" s="293"/>
      <c r="BJ94" s="293"/>
      <c r="BK94" s="293"/>
      <c r="BL94" s="293"/>
      <c r="BM94" s="293"/>
      <c r="BN94" s="293"/>
      <c r="BO94" s="293"/>
      <c r="BP94" s="293"/>
      <c r="BQ94" s="293"/>
      <c r="BR94" s="293"/>
      <c r="BS94" s="293"/>
      <c r="BT94" s="293"/>
      <c r="BU94" s="293"/>
      <c r="BV94" s="293"/>
      <c r="BW94" s="293"/>
      <c r="BX94" s="293"/>
      <c r="BY94" s="293"/>
      <c r="BZ94" s="293"/>
      <c r="CA94" s="285"/>
      <c r="CB94" s="286"/>
      <c r="CC94" s="286"/>
      <c r="CD94" s="286"/>
      <c r="CE94" s="286"/>
      <c r="CF94" s="286"/>
      <c r="CG94" s="286"/>
      <c r="CH94" s="286"/>
      <c r="CI94" s="286"/>
      <c r="CJ94" s="286"/>
      <c r="CK94" s="286"/>
      <c r="CL94" s="286"/>
      <c r="CM94" s="286"/>
      <c r="CN94" s="286"/>
      <c r="CO94" s="286"/>
      <c r="CP94" s="286"/>
      <c r="CQ94" s="286"/>
      <c r="CR94" s="286"/>
      <c r="CS94" s="286"/>
      <c r="CT94" s="286"/>
      <c r="CU94" s="286"/>
      <c r="CV94" s="286"/>
      <c r="CW94" s="286"/>
      <c r="CX94" s="286"/>
      <c r="CY94" s="286"/>
      <c r="CZ94" s="286"/>
      <c r="DA94" s="286"/>
      <c r="DB94" s="286"/>
      <c r="DC94" s="286"/>
      <c r="DD94" s="286"/>
      <c r="DE94" s="286"/>
      <c r="DF94" s="286"/>
      <c r="DG94" s="286"/>
      <c r="DH94" s="286"/>
      <c r="DI94" s="286"/>
      <c r="DJ94" s="286"/>
      <c r="DK94" s="286"/>
      <c r="DL94" s="286"/>
      <c r="DM94" s="286"/>
      <c r="DN94" s="286"/>
      <c r="DO94" s="286"/>
      <c r="DP94" s="286"/>
      <c r="DR94" s="58" t="str">
        <f>IF(ISNUMBER(MATCH(#REF!,'Audit Characteristic Mapping'!$B$3:$B$500,0)),"Y","")</f>
        <v/>
      </c>
      <c r="DS94" s="58" t="str">
        <f>IF(ISNUMBER(MATCH(#REF!,'Audit Characteristic Mapping'!$C$3:$C$500,0)),"Y","")</f>
        <v/>
      </c>
      <c r="DT94" s="58" t="str">
        <f>IF(ISNUMBER(MATCH(#REF!,'Audit Characteristic Mapping'!$D$3:$D$500,0)),"Y","")</f>
        <v/>
      </c>
      <c r="DU94" s="58" t="str">
        <f>IF(ISNUMBER(MATCH(#REF!,'Audit Characteristic Mapping'!$E$3:$E$500,0)),"Y","")</f>
        <v/>
      </c>
      <c r="DV94" s="58" t="str">
        <f>IF(ISNUMBER(MATCH(#REF!,'Audit Characteristic Mapping'!$F$3:$F$500,0)),"Y","")</f>
        <v/>
      </c>
      <c r="DW94" s="58" t="str">
        <f>IF(ISNUMBER(MATCH(#REF!,'Audit Characteristic Mapping'!$G$3:$G$500,0)),"Y","")</f>
        <v/>
      </c>
      <c r="DX94" s="58" t="str">
        <f>IF(ISNUMBER(MATCH(#REF!,'Audit Characteristic Mapping'!$H$3:$H$500,0)),"Y","")</f>
        <v/>
      </c>
      <c r="DY94" s="58" t="str">
        <f>IF(ISNUMBER(MATCH(#REF!,'Audit Characteristic Mapping'!$I$3:$I$500,0)),"Y","")</f>
        <v/>
      </c>
      <c r="DZ94" s="58" t="str">
        <f>IF(ISNUMBER(MATCH(#REF!,'Audit Characteristic Mapping'!$J$3:$J$500,0)),"Y","")</f>
        <v/>
      </c>
      <c r="EA94" s="58" t="str">
        <f>IF(ISNUMBER(MATCH(#REF!,'Audit Characteristic Mapping'!$K$3:$K$500,0)),"Y","")</f>
        <v/>
      </c>
    </row>
    <row r="95" spans="1:131" ht="32" x14ac:dyDescent="0.2">
      <c r="A95" s="294">
        <v>90</v>
      </c>
      <c r="B95" s="287" t="s">
        <v>174</v>
      </c>
      <c r="C95" s="226" t="s">
        <v>191</v>
      </c>
      <c r="D95" s="170">
        <v>2</v>
      </c>
      <c r="E95" s="288">
        <v>8</v>
      </c>
      <c r="F95" s="291" t="str">
        <f>VLOOKUP(Calculation!A95,'Descriptor maps'!$A$2:$F$1658,6,0)</f>
        <v>What is the Safety Evaluation Earthquake used in design? (Input return annual probability).</v>
      </c>
      <c r="G95" s="289">
        <v>1.0000000000000001E-5</v>
      </c>
      <c r="H95" s="290"/>
      <c r="I95" s="291" t="e" cm="1">
        <f t="array" ref="I95">INDEX('Descriptor maps'!$H$2:$H$1658,MATCH(1,('Descriptor maps'!$A$2:$A$1658=Calculation!$A95)*('Descriptor maps'!$G$2:$G$1658=Calculation!$G95),0))</f>
        <v>#N/A</v>
      </c>
      <c r="J95" s="292">
        <f>G95</f>
        <v>1.0000000000000001E-5</v>
      </c>
      <c r="K95" s="226"/>
      <c r="L95" s="293"/>
      <c r="M95" s="293"/>
      <c r="N95" s="293"/>
      <c r="O95" s="293"/>
      <c r="P95" s="293"/>
      <c r="Q95" s="293"/>
      <c r="R95" s="293"/>
      <c r="S95" s="293"/>
      <c r="T95" s="293"/>
      <c r="U95" s="293"/>
      <c r="V95" s="293"/>
      <c r="W95" s="293"/>
      <c r="X95" s="293"/>
      <c r="Y95" s="293"/>
      <c r="Z95" s="293"/>
      <c r="AA95" s="293"/>
      <c r="AB95" s="293"/>
      <c r="AC95" s="293"/>
      <c r="AD95" s="293"/>
      <c r="AE95" s="293"/>
      <c r="AF95" s="293">
        <f>1*G95</f>
        <v>1.0000000000000001E-5</v>
      </c>
      <c r="AG95" s="293"/>
      <c r="AH95" s="293"/>
      <c r="AI95" s="293"/>
      <c r="AJ95" s="293"/>
      <c r="AK95" s="293"/>
      <c r="AL95" s="293"/>
      <c r="AM95" s="293"/>
      <c r="AN95" s="293"/>
      <c r="AO95" s="293"/>
      <c r="AP95" s="293"/>
      <c r="AQ95" s="293"/>
      <c r="AR95" s="293"/>
      <c r="AS95" s="293"/>
      <c r="AT95" s="293"/>
      <c r="AU95" s="293"/>
      <c r="AV95" s="293"/>
      <c r="AW95" s="293"/>
      <c r="AX95" s="293"/>
      <c r="AY95" s="293"/>
      <c r="AZ95" s="293"/>
      <c r="BA95" s="293"/>
      <c r="BB95" s="293"/>
      <c r="BC95" s="293"/>
      <c r="BD95" s="293"/>
      <c r="BE95" s="293"/>
      <c r="BF95" s="293"/>
      <c r="BG95" s="293"/>
      <c r="BH95" s="293"/>
      <c r="BI95" s="293"/>
      <c r="BJ95" s="293"/>
      <c r="BK95" s="293"/>
      <c r="BL95" s="293"/>
      <c r="BM95" s="293"/>
      <c r="BN95" s="293"/>
      <c r="BO95" s="293"/>
      <c r="BP95" s="293"/>
      <c r="BQ95" s="293"/>
      <c r="BR95" s="293"/>
      <c r="BS95" s="293"/>
      <c r="BT95" s="293"/>
      <c r="BU95" s="293"/>
      <c r="BV95" s="293"/>
      <c r="BW95" s="293"/>
      <c r="BX95" s="293"/>
      <c r="BY95" s="293"/>
      <c r="BZ95" s="293"/>
      <c r="CA95" s="285"/>
      <c r="CB95" s="286"/>
      <c r="CC95" s="286"/>
      <c r="CD95" s="286"/>
      <c r="CE95" s="286"/>
      <c r="CF95" s="286"/>
      <c r="CG95" s="286"/>
      <c r="CH95" s="286"/>
      <c r="CI95" s="286"/>
      <c r="CJ95" s="286"/>
      <c r="CK95" s="286"/>
      <c r="CL95" s="286"/>
      <c r="CM95" s="286"/>
      <c r="CN95" s="286"/>
      <c r="CO95" s="286"/>
      <c r="CP95" s="286"/>
      <c r="CQ95" s="286"/>
      <c r="CR95" s="286"/>
      <c r="CS95" s="286"/>
      <c r="CT95" s="286"/>
      <c r="CU95" s="286"/>
      <c r="CV95" s="286"/>
      <c r="CW95" s="286"/>
      <c r="CX95" s="286"/>
      <c r="CY95" s="286"/>
      <c r="CZ95" s="286"/>
      <c r="DA95" s="286"/>
      <c r="DB95" s="286"/>
      <c r="DC95" s="286"/>
      <c r="DD95" s="286"/>
      <c r="DE95" s="286"/>
      <c r="DF95" s="286"/>
      <c r="DG95" s="286"/>
      <c r="DH95" s="286"/>
      <c r="DI95" s="286"/>
      <c r="DJ95" s="286"/>
      <c r="DK95" s="286"/>
      <c r="DL95" s="286"/>
      <c r="DM95" s="286"/>
      <c r="DN95" s="286"/>
      <c r="DO95" s="286"/>
      <c r="DP95" s="286"/>
      <c r="DR95" s="58" t="str">
        <f>IF(ISNUMBER(MATCH(#REF!,'Audit Characteristic Mapping'!$B$3:$B$500,0)),"Y","")</f>
        <v/>
      </c>
      <c r="DS95" s="58" t="str">
        <f>IF(ISNUMBER(MATCH(#REF!,'Audit Characteristic Mapping'!$C$3:$C$500,0)),"Y","")</f>
        <v/>
      </c>
      <c r="DT95" s="58" t="str">
        <f>IF(ISNUMBER(MATCH(#REF!,'Audit Characteristic Mapping'!$D$3:$D$500,0)),"Y","")</f>
        <v/>
      </c>
      <c r="DU95" s="58" t="str">
        <f>IF(ISNUMBER(MATCH(#REF!,'Audit Characteristic Mapping'!$E$3:$E$500,0)),"Y","")</f>
        <v/>
      </c>
      <c r="DV95" s="58" t="str">
        <f>IF(ISNUMBER(MATCH(#REF!,'Audit Characteristic Mapping'!$F$3:$F$500,0)),"Y","")</f>
        <v/>
      </c>
      <c r="DW95" s="58" t="str">
        <f>IF(ISNUMBER(MATCH(#REF!,'Audit Characteristic Mapping'!$G$3:$G$500,0)),"Y","")</f>
        <v/>
      </c>
      <c r="DX95" s="58" t="str">
        <f>IF(ISNUMBER(MATCH(#REF!,'Audit Characteristic Mapping'!$H$3:$H$500,0)),"Y","")</f>
        <v/>
      </c>
      <c r="DY95" s="58" t="str">
        <f>IF(ISNUMBER(MATCH(#REF!,'Audit Characteristic Mapping'!$I$3:$I$500,0)),"Y","")</f>
        <v/>
      </c>
      <c r="DZ95" s="58" t="str">
        <f>IF(ISNUMBER(MATCH(#REF!,'Audit Characteristic Mapping'!$J$3:$J$500,0)),"Y","")</f>
        <v/>
      </c>
      <c r="EA95" s="58" t="str">
        <f>IF(ISNUMBER(MATCH(#REF!,'Audit Characteristic Mapping'!$K$3:$K$500,0)),"Y","")</f>
        <v/>
      </c>
    </row>
    <row r="96" spans="1:131" s="357" customFormat="1" ht="16" x14ac:dyDescent="0.2">
      <c r="A96" s="379">
        <v>91</v>
      </c>
      <c r="B96" s="372" t="s">
        <v>174</v>
      </c>
      <c r="C96" s="354" t="s">
        <v>206</v>
      </c>
      <c r="D96" s="371">
        <v>2</v>
      </c>
      <c r="E96" s="373">
        <v>9</v>
      </c>
      <c r="F96" s="291" t="str">
        <f>VLOOKUP(Calculation!A96,'Descriptor maps'!$A$2:$F$1658,6,0)</f>
        <v>What is the geology of the foundations below the downstream shoulder of the dam?</v>
      </c>
      <c r="G96" s="381" t="s">
        <v>1083</v>
      </c>
      <c r="H96" s="374"/>
      <c r="I96" s="291" cm="1">
        <f t="array" ref="I96">INDEX('Descriptor maps'!$H$2:$H$1658,MATCH(1,('Descriptor maps'!$A$2:$A$1658=Calculation!$A96)*('Descriptor maps'!$G$2:$G$1658=Calculation!$G96),0))</f>
        <v>0</v>
      </c>
      <c r="J96" s="382" cm="1">
        <f t="array" ref="J96">INDEX('Descriptor maps'!$I$2:$I$1658,MATCH(1,('Descriptor maps'!$A$2:$A$1658=Calculation!$A96)*('Descriptor maps'!$G$2:$G$1658=Calculation!$G96),0))</f>
        <v>2.5</v>
      </c>
      <c r="K96" s="354"/>
      <c r="L96" s="355"/>
      <c r="M96" s="355"/>
      <c r="N96" s="355"/>
      <c r="O96" s="355"/>
      <c r="P96" s="355"/>
      <c r="Q96" s="355"/>
      <c r="R96" s="355"/>
      <c r="S96" s="355"/>
      <c r="T96" s="355"/>
      <c r="U96" s="355"/>
      <c r="V96" s="355"/>
      <c r="W96" s="355"/>
      <c r="X96" s="355"/>
      <c r="Y96" s="355"/>
      <c r="Z96" s="355"/>
      <c r="AA96" s="355"/>
      <c r="AB96" s="355"/>
      <c r="AC96" s="355"/>
      <c r="AD96" s="355"/>
      <c r="AE96" s="355"/>
      <c r="AF96" s="355"/>
      <c r="AG96" s="355"/>
      <c r="AH96" s="355"/>
      <c r="AI96" s="355"/>
      <c r="AJ96" s="355"/>
      <c r="AK96" s="355"/>
      <c r="AL96" s="355"/>
      <c r="AM96" s="355"/>
      <c r="AN96" s="355"/>
      <c r="AO96" s="355"/>
      <c r="AP96" s="355"/>
      <c r="AQ96" s="355"/>
      <c r="AR96" s="355"/>
      <c r="AS96" s="355"/>
      <c r="AT96" s="355"/>
      <c r="AU96" s="355"/>
      <c r="AV96" s="355"/>
      <c r="AW96" s="355"/>
      <c r="AX96" s="355"/>
      <c r="AY96" s="355"/>
      <c r="AZ96" s="355"/>
      <c r="BA96" s="355"/>
      <c r="BB96" s="355"/>
      <c r="BC96" s="355"/>
      <c r="BD96" s="355"/>
      <c r="BE96" s="355"/>
      <c r="BF96" s="355"/>
      <c r="BG96" s="355">
        <f>J96</f>
        <v>2.5</v>
      </c>
      <c r="BH96" s="355"/>
      <c r="BI96" s="355"/>
      <c r="BJ96" s="355"/>
      <c r="BK96" s="355"/>
      <c r="BL96" s="355"/>
      <c r="BM96" s="355"/>
      <c r="BN96" s="355"/>
      <c r="BO96" s="355"/>
      <c r="BP96" s="355"/>
      <c r="BQ96" s="355"/>
      <c r="BR96" s="355"/>
      <c r="BS96" s="355"/>
      <c r="BT96" s="355"/>
      <c r="BU96" s="355"/>
      <c r="BV96" s="355"/>
      <c r="BW96" s="355"/>
      <c r="BX96" s="355"/>
      <c r="BY96" s="355"/>
      <c r="BZ96" s="355"/>
      <c r="CA96" s="375"/>
      <c r="CB96" s="376"/>
      <c r="CC96" s="376"/>
      <c r="CD96" s="376"/>
      <c r="CE96" s="376"/>
      <c r="CF96" s="376"/>
      <c r="CG96" s="376"/>
      <c r="CH96" s="376"/>
      <c r="CI96" s="376"/>
      <c r="CJ96" s="376"/>
      <c r="CK96" s="376"/>
      <c r="CL96" s="376"/>
      <c r="CM96" s="376"/>
      <c r="CN96" s="376"/>
      <c r="CO96" s="376"/>
      <c r="CP96" s="376"/>
      <c r="CQ96" s="376"/>
      <c r="CR96" s="376"/>
      <c r="CS96" s="376"/>
      <c r="CT96" s="376"/>
      <c r="CU96" s="376"/>
      <c r="CV96" s="376"/>
      <c r="CW96" s="376"/>
      <c r="CX96" s="376"/>
      <c r="CY96" s="376"/>
      <c r="CZ96" s="376"/>
      <c r="DA96" s="376"/>
      <c r="DB96" s="376"/>
      <c r="DC96" s="376"/>
      <c r="DD96" s="376"/>
      <c r="DE96" s="376"/>
      <c r="DF96" s="376"/>
      <c r="DG96" s="376"/>
      <c r="DH96" s="376"/>
      <c r="DI96" s="376"/>
      <c r="DJ96" s="376"/>
      <c r="DK96" s="376"/>
      <c r="DL96" s="376"/>
      <c r="DM96" s="376"/>
      <c r="DN96" s="376"/>
      <c r="DO96" s="376"/>
      <c r="DP96" s="376"/>
      <c r="DR96" s="377" t="str">
        <f>IF(ISNUMBER(MATCH(#REF!,'Audit Characteristic Mapping'!$B$3:$B$500,0)),"Y","")</f>
        <v/>
      </c>
      <c r="DS96" s="377" t="str">
        <f>IF(ISNUMBER(MATCH(#REF!,'Audit Characteristic Mapping'!$C$3:$C$500,0)),"Y","")</f>
        <v/>
      </c>
      <c r="DT96" s="377" t="str">
        <f>IF(ISNUMBER(MATCH(#REF!,'Audit Characteristic Mapping'!$D$3:$D$500,0)),"Y","")</f>
        <v/>
      </c>
      <c r="DU96" s="377" t="str">
        <f>IF(ISNUMBER(MATCH(#REF!,'Audit Characteristic Mapping'!$E$3:$E$500,0)),"Y","")</f>
        <v/>
      </c>
      <c r="DV96" s="377" t="str">
        <f>IF(ISNUMBER(MATCH(#REF!,'Audit Characteristic Mapping'!$F$3:$F$500,0)),"Y","")</f>
        <v/>
      </c>
      <c r="DW96" s="377" t="str">
        <f>IF(ISNUMBER(MATCH(#REF!,'Audit Characteristic Mapping'!$G$3:$G$500,0)),"Y","")</f>
        <v/>
      </c>
      <c r="DX96" s="377" t="str">
        <f>IF(ISNUMBER(MATCH(#REF!,'Audit Characteristic Mapping'!$H$3:$H$500,0)),"Y","")</f>
        <v/>
      </c>
      <c r="DY96" s="377" t="str">
        <f>IF(ISNUMBER(MATCH(#REF!,'Audit Characteristic Mapping'!$I$3:$I$500,0)),"Y","")</f>
        <v/>
      </c>
      <c r="DZ96" s="377" t="str">
        <f>IF(ISNUMBER(MATCH(#REF!,'Audit Characteristic Mapping'!$J$3:$J$500,0)),"Y","")</f>
        <v/>
      </c>
      <c r="EA96" s="377" t="str">
        <f>IF(ISNUMBER(MATCH(#REF!,'Audit Characteristic Mapping'!$K$3:$K$500,0)),"Y","")</f>
        <v/>
      </c>
    </row>
    <row r="97" spans="1:131" ht="64" x14ac:dyDescent="0.2">
      <c r="A97" s="294">
        <v>92</v>
      </c>
      <c r="B97" s="287" t="s">
        <v>253</v>
      </c>
      <c r="C97" s="226" t="s">
        <v>207</v>
      </c>
      <c r="D97" s="170">
        <v>5</v>
      </c>
      <c r="E97" s="288">
        <v>10</v>
      </c>
      <c r="F97" s="291" t="str">
        <f>VLOOKUP(Calculation!A97,'Descriptor maps'!$A$2:$F$1658,6,0)</f>
        <v>Is there documented evidence that the design of the conduit through the embankment has been designed using defensible methods, including the provision and design of appropriate filters, to achieve the objective of limiting the likelihood of structural failure and internal erosion due to the conduit?</v>
      </c>
      <c r="G97" s="289" t="s">
        <v>1191</v>
      </c>
      <c r="H97" s="290"/>
      <c r="I97" s="291" cm="1">
        <f t="array" ref="I97">INDEX('Descriptor maps'!$H$2:$H$1658,MATCH(1,('Descriptor maps'!$A$2:$A$1658=Calculation!$A97)*('Descriptor maps'!$G$2:$G$1658=Calculation!$G97),0))</f>
        <v>0</v>
      </c>
      <c r="J97" s="292" cm="1">
        <f t="array" ref="J97">INDEX('Descriptor maps'!$J$2:$J$1658,MATCH(1,('Descriptor maps'!$A$2:$A$1658=Calculation!$A97)*('Descriptor maps'!$G$2:$G$1658=Calculation!$G97),0))</f>
        <v>0.5</v>
      </c>
      <c r="K97" s="226"/>
      <c r="L97" s="293"/>
      <c r="M97" s="293"/>
      <c r="N97" s="293"/>
      <c r="O97" s="293"/>
      <c r="P97" s="293"/>
      <c r="Q97" s="293"/>
      <c r="R97" s="293"/>
      <c r="S97" s="293"/>
      <c r="T97" s="293"/>
      <c r="U97" s="293"/>
      <c r="V97" s="293"/>
      <c r="W97" s="293"/>
      <c r="X97" s="293"/>
      <c r="Y97" s="293"/>
      <c r="Z97" s="293"/>
      <c r="AA97" s="293"/>
      <c r="AB97" s="293"/>
      <c r="AC97" s="293"/>
      <c r="AD97" s="293"/>
      <c r="AE97" s="293"/>
      <c r="AF97" s="293"/>
      <c r="AG97" s="293"/>
      <c r="AH97" s="293"/>
      <c r="AI97" s="293"/>
      <c r="AJ97" s="293"/>
      <c r="AK97" s="293"/>
      <c r="AL97" s="293"/>
      <c r="AM97" s="293">
        <f>1*$J97</f>
        <v>0.5</v>
      </c>
      <c r="AN97" s="293"/>
      <c r="AO97" s="293"/>
      <c r="AP97" s="293"/>
      <c r="AQ97" s="293"/>
      <c r="AR97" s="293"/>
      <c r="AS97" s="293"/>
      <c r="AT97" s="293"/>
      <c r="AU97" s="293"/>
      <c r="AV97" s="293"/>
      <c r="AW97" s="293"/>
      <c r="AX97" s="293"/>
      <c r="AY97" s="293"/>
      <c r="AZ97" s="293"/>
      <c r="BA97" s="293"/>
      <c r="BB97" s="293"/>
      <c r="BC97" s="293"/>
      <c r="BD97" s="293"/>
      <c r="BE97" s="293"/>
      <c r="BF97" s="293"/>
      <c r="BG97" s="293"/>
      <c r="BH97" s="293"/>
      <c r="BI97" s="293"/>
      <c r="BJ97" s="293"/>
      <c r="BK97" s="293"/>
      <c r="BL97" s="293"/>
      <c r="BM97" s="293"/>
      <c r="BN97" s="293"/>
      <c r="BO97" s="293"/>
      <c r="BP97" s="293"/>
      <c r="BQ97" s="293"/>
      <c r="BR97" s="293"/>
      <c r="BS97" s="293"/>
      <c r="BT97" s="293"/>
      <c r="BU97" s="293"/>
      <c r="BV97" s="293"/>
      <c r="BW97" s="293"/>
      <c r="BX97" s="293"/>
      <c r="BY97" s="293"/>
      <c r="BZ97" s="293"/>
      <c r="CA97" s="285"/>
      <c r="CB97" s="286"/>
      <c r="CC97" s="286"/>
      <c r="CD97" s="286"/>
      <c r="CE97" s="286"/>
      <c r="CF97" s="286"/>
      <c r="CG97" s="286"/>
      <c r="CH97" s="286"/>
      <c r="CI97" s="286"/>
      <c r="CJ97" s="286"/>
      <c r="CK97" s="286"/>
      <c r="CL97" s="286"/>
      <c r="CM97" s="286"/>
      <c r="CN97" s="286"/>
      <c r="CO97" s="286"/>
      <c r="CP97" s="286"/>
      <c r="CQ97" s="286"/>
      <c r="CR97" s="286"/>
      <c r="CS97" s="286"/>
      <c r="CT97" s="286"/>
      <c r="CU97" s="286"/>
      <c r="CV97" s="286"/>
      <c r="CW97" s="286"/>
      <c r="CX97" s="286"/>
      <c r="CY97" s="286"/>
      <c r="CZ97" s="286"/>
      <c r="DA97" s="286"/>
      <c r="DB97" s="286"/>
      <c r="DC97" s="286"/>
      <c r="DD97" s="286"/>
      <c r="DE97" s="286"/>
      <c r="DF97" s="286"/>
      <c r="DG97" s="286"/>
      <c r="DH97" s="286"/>
      <c r="DI97" s="286"/>
      <c r="DJ97" s="286"/>
      <c r="DK97" s="286"/>
      <c r="DL97" s="286"/>
      <c r="DM97" s="286"/>
      <c r="DN97" s="286"/>
      <c r="DO97" s="286"/>
      <c r="DP97" s="286"/>
      <c r="DR97" s="58" t="str">
        <f>IF(ISNUMBER(MATCH(#REF!,'Audit Characteristic Mapping'!$B$3:$B$500,0)),"Y","")</f>
        <v/>
      </c>
      <c r="DS97" s="58" t="str">
        <f>IF(ISNUMBER(MATCH(#REF!,'Audit Characteristic Mapping'!$C$3:$C$500,0)),"Y","")</f>
        <v/>
      </c>
      <c r="DT97" s="58" t="str">
        <f>IF(ISNUMBER(MATCH(#REF!,'Audit Characteristic Mapping'!$D$3:$D$500,0)),"Y","")</f>
        <v/>
      </c>
      <c r="DU97" s="58" t="str">
        <f>IF(ISNUMBER(MATCH(#REF!,'Audit Characteristic Mapping'!$E$3:$E$500,0)),"Y","")</f>
        <v/>
      </c>
      <c r="DV97" s="58" t="str">
        <f>IF(ISNUMBER(MATCH(#REF!,'Audit Characteristic Mapping'!$F$3:$F$500,0)),"Y","")</f>
        <v/>
      </c>
      <c r="DW97" s="58" t="str">
        <f>IF(ISNUMBER(MATCH(#REF!,'Audit Characteristic Mapping'!$G$3:$G$500,0)),"Y","")</f>
        <v/>
      </c>
      <c r="DX97" s="58" t="str">
        <f>IF(ISNUMBER(MATCH(#REF!,'Audit Characteristic Mapping'!$H$3:$H$500,0)),"Y","")</f>
        <v/>
      </c>
      <c r="DY97" s="58" t="str">
        <f>IF(ISNUMBER(MATCH(#REF!,'Audit Characteristic Mapping'!$I$3:$I$500,0)),"Y","")</f>
        <v/>
      </c>
      <c r="DZ97" s="58" t="str">
        <f>IF(ISNUMBER(MATCH(#REF!,'Audit Characteristic Mapping'!$J$3:$J$500,0)),"Y","")</f>
        <v/>
      </c>
      <c r="EA97" s="58" t="str">
        <f>IF(ISNUMBER(MATCH(#REF!,'Audit Characteristic Mapping'!$K$3:$K$500,0)),"Y","")</f>
        <v/>
      </c>
    </row>
    <row r="98" spans="1:131" ht="16" hidden="1" x14ac:dyDescent="0.2">
      <c r="A98" s="288">
        <v>93</v>
      </c>
      <c r="B98" s="287" t="s">
        <v>174</v>
      </c>
      <c r="C98" s="226" t="s">
        <v>207</v>
      </c>
      <c r="D98" s="170">
        <v>2</v>
      </c>
      <c r="E98" s="288">
        <v>10</v>
      </c>
      <c r="F98" s="291" t="str">
        <f>VLOOKUP(Calculation!A98,'Descriptor maps'!$A$2:$F$1658,2,0)</f>
        <v>Facility details</v>
      </c>
      <c r="G98" s="289"/>
      <c r="H98" s="290"/>
      <c r="I98" s="291"/>
      <c r="J98" s="292" t="e" cm="1">
        <f t="array" ref="J98">INDEX('Descriptor maps'!$I$2:$I$1658,MATCH(1,('Descriptor maps'!$A$2:$A$1658=Calculation!$A98)*('Descriptor maps'!$G$2:$G$1658=Calculation!$G98),0))</f>
        <v>#N/A</v>
      </c>
      <c r="K98" s="226"/>
      <c r="L98" s="293"/>
      <c r="M98" s="293"/>
      <c r="N98" s="293"/>
      <c r="O98" s="293"/>
      <c r="P98" s="293"/>
      <c r="Q98" s="293"/>
      <c r="R98" s="293"/>
      <c r="S98" s="293"/>
      <c r="T98" s="293"/>
      <c r="U98" s="293"/>
      <c r="V98" s="293"/>
      <c r="W98" s="293"/>
      <c r="X98" s="293"/>
      <c r="Y98" s="29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c r="AW98" s="293"/>
      <c r="AX98" s="293"/>
      <c r="AY98" s="293"/>
      <c r="AZ98" s="293"/>
      <c r="BA98" s="293"/>
      <c r="BB98" s="293"/>
      <c r="BC98" s="293"/>
      <c r="BD98" s="293"/>
      <c r="BE98" s="293"/>
      <c r="BF98" s="293"/>
      <c r="BG98" s="293"/>
      <c r="BH98" s="293"/>
      <c r="BI98" s="293"/>
      <c r="BJ98" s="293"/>
      <c r="BK98" s="293"/>
      <c r="BL98" s="293"/>
      <c r="BM98" s="293"/>
      <c r="BN98" s="293"/>
      <c r="BO98" s="293"/>
      <c r="BP98" s="293"/>
      <c r="BQ98" s="293"/>
      <c r="BR98" s="293"/>
      <c r="BS98" s="293"/>
      <c r="BT98" s="293"/>
      <c r="BU98" s="293"/>
      <c r="BV98" s="293"/>
      <c r="BW98" s="293"/>
      <c r="BX98" s="293"/>
      <c r="BY98" s="293"/>
      <c r="BZ98" s="293"/>
      <c r="CA98" s="285"/>
      <c r="CB98" s="286"/>
      <c r="CC98" s="286"/>
      <c r="CD98" s="286"/>
      <c r="CE98" s="286"/>
      <c r="CF98" s="286"/>
      <c r="CG98" s="286"/>
      <c r="CH98" s="286"/>
      <c r="CI98" s="286"/>
      <c r="CJ98" s="286"/>
      <c r="CK98" s="286"/>
      <c r="CL98" s="286"/>
      <c r="CM98" s="286"/>
      <c r="CN98" s="286"/>
      <c r="CO98" s="286"/>
      <c r="CP98" s="286"/>
      <c r="CQ98" s="286"/>
      <c r="CR98" s="286"/>
      <c r="CS98" s="286"/>
      <c r="CT98" s="286"/>
      <c r="CU98" s="286"/>
      <c r="CV98" s="286"/>
      <c r="CW98" s="286"/>
      <c r="CX98" s="286"/>
      <c r="CY98" s="286"/>
      <c r="CZ98" s="286"/>
      <c r="DA98" s="286"/>
      <c r="DB98" s="286"/>
      <c r="DC98" s="286"/>
      <c r="DD98" s="286"/>
      <c r="DE98" s="286"/>
      <c r="DF98" s="286"/>
      <c r="DG98" s="286"/>
      <c r="DH98" s="286"/>
      <c r="DI98" s="286"/>
      <c r="DJ98" s="286"/>
      <c r="DK98" s="286"/>
      <c r="DL98" s="286"/>
      <c r="DM98" s="286"/>
      <c r="DN98" s="286"/>
      <c r="DO98" s="286"/>
      <c r="DP98" s="286"/>
      <c r="DR98" s="58" t="str">
        <f>IF(ISNUMBER(MATCH(#REF!,'Audit Characteristic Mapping'!$B$3:$B$500,0)),"Y","")</f>
        <v/>
      </c>
      <c r="DS98" s="58" t="str">
        <f>IF(ISNUMBER(MATCH(#REF!,'Audit Characteristic Mapping'!$C$3:$C$500,0)),"Y","")</f>
        <v/>
      </c>
      <c r="DT98" s="58" t="str">
        <f>IF(ISNUMBER(MATCH(#REF!,'Audit Characteristic Mapping'!$D$3:$D$500,0)),"Y","")</f>
        <v/>
      </c>
      <c r="DU98" s="58" t="str">
        <f>IF(ISNUMBER(MATCH(#REF!,'Audit Characteristic Mapping'!$E$3:$E$500,0)),"Y","")</f>
        <v/>
      </c>
      <c r="DV98" s="58" t="str">
        <f>IF(ISNUMBER(MATCH(#REF!,'Audit Characteristic Mapping'!$F$3:$F$500,0)),"Y","")</f>
        <v/>
      </c>
      <c r="DW98" s="58" t="str">
        <f>IF(ISNUMBER(MATCH(#REF!,'Audit Characteristic Mapping'!$G$3:$G$500,0)),"Y","")</f>
        <v/>
      </c>
      <c r="DX98" s="58" t="str">
        <f>IF(ISNUMBER(MATCH(#REF!,'Audit Characteristic Mapping'!$H$3:$H$500,0)),"Y","")</f>
        <v/>
      </c>
      <c r="DY98" s="58" t="str">
        <f>IF(ISNUMBER(MATCH(#REF!,'Audit Characteristic Mapping'!$I$3:$I$500,0)),"Y","")</f>
        <v/>
      </c>
      <c r="DZ98" s="58" t="str">
        <f>IF(ISNUMBER(MATCH(#REF!,'Audit Characteristic Mapping'!$J$3:$J$500,0)),"Y","")</f>
        <v/>
      </c>
      <c r="EA98" s="58" t="str">
        <f>IF(ISNUMBER(MATCH(#REF!,'Audit Characteristic Mapping'!$K$3:$K$500,0)),"Y","")</f>
        <v/>
      </c>
    </row>
    <row r="99" spans="1:131" ht="16" hidden="1" x14ac:dyDescent="0.2">
      <c r="A99" s="288">
        <v>95</v>
      </c>
      <c r="B99" s="287" t="s">
        <v>174</v>
      </c>
      <c r="C99" s="226" t="s">
        <v>209</v>
      </c>
      <c r="D99" s="170">
        <v>2</v>
      </c>
      <c r="E99" s="288">
        <v>11</v>
      </c>
      <c r="F99" s="291" t="str">
        <f>VLOOKUP(Calculation!A99,'Descriptor maps'!$A$2:$F$1658,2,0)</f>
        <v>Facility details</v>
      </c>
      <c r="G99" s="289"/>
      <c r="H99" s="290"/>
      <c r="I99" s="291"/>
      <c r="J99" s="292" t="e" cm="1">
        <f t="array" ref="J99">INDEX('Descriptor maps'!$I$2:$I$1658,MATCH(1,('Descriptor maps'!$A$2:$A$1658=Calculation!$A99)*('Descriptor maps'!$G$2:$G$1658=Calculation!$G99),0))</f>
        <v>#N/A</v>
      </c>
      <c r="K99" s="226"/>
      <c r="L99" s="293"/>
      <c r="M99" s="293"/>
      <c r="N99" s="293"/>
      <c r="O99" s="293"/>
      <c r="P99" s="293"/>
      <c r="Q99" s="293"/>
      <c r="R99" s="293"/>
      <c r="S99" s="293"/>
      <c r="T99" s="293"/>
      <c r="U99" s="293"/>
      <c r="V99" s="293"/>
      <c r="W99" s="293"/>
      <c r="X99" s="293"/>
      <c r="Y99" s="29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c r="AW99" s="293"/>
      <c r="AX99" s="293"/>
      <c r="AY99" s="293"/>
      <c r="AZ99" s="293"/>
      <c r="BA99" s="293"/>
      <c r="BB99" s="293"/>
      <c r="BC99" s="293"/>
      <c r="BD99" s="293"/>
      <c r="BE99" s="293"/>
      <c r="BF99" s="293"/>
      <c r="BG99" s="293"/>
      <c r="BH99" s="293"/>
      <c r="BI99" s="293"/>
      <c r="BJ99" s="293"/>
      <c r="BK99" s="293"/>
      <c r="BL99" s="293"/>
      <c r="BM99" s="293"/>
      <c r="BN99" s="293"/>
      <c r="BO99" s="293"/>
      <c r="BP99" s="293"/>
      <c r="BQ99" s="293"/>
      <c r="BR99" s="293"/>
      <c r="BS99" s="293"/>
      <c r="BT99" s="293"/>
      <c r="BU99" s="293"/>
      <c r="BV99" s="293"/>
      <c r="BW99" s="293"/>
      <c r="BX99" s="293"/>
      <c r="BY99" s="293"/>
      <c r="BZ99" s="293"/>
      <c r="CA99" s="285"/>
      <c r="CB99" s="286"/>
      <c r="CC99" s="286"/>
      <c r="CD99" s="286"/>
      <c r="CE99" s="286"/>
      <c r="CF99" s="286"/>
      <c r="CG99" s="286"/>
      <c r="CH99" s="286"/>
      <c r="CI99" s="286"/>
      <c r="CJ99" s="286"/>
      <c r="CK99" s="286"/>
      <c r="CL99" s="286"/>
      <c r="CM99" s="286"/>
      <c r="CN99" s="286"/>
      <c r="CO99" s="286"/>
      <c r="CP99" s="286"/>
      <c r="CQ99" s="286"/>
      <c r="CR99" s="286"/>
      <c r="CS99" s="286"/>
      <c r="CT99" s="286"/>
      <c r="CU99" s="286"/>
      <c r="CV99" s="286"/>
      <c r="CW99" s="286"/>
      <c r="CX99" s="286"/>
      <c r="CY99" s="286"/>
      <c r="CZ99" s="286"/>
      <c r="DA99" s="286"/>
      <c r="DB99" s="286"/>
      <c r="DC99" s="286"/>
      <c r="DD99" s="286"/>
      <c r="DE99" s="286"/>
      <c r="DF99" s="286"/>
      <c r="DG99" s="286"/>
      <c r="DH99" s="286"/>
      <c r="DI99" s="286"/>
      <c r="DJ99" s="286"/>
      <c r="DK99" s="286"/>
      <c r="DL99" s="286"/>
      <c r="DM99" s="286"/>
      <c r="DN99" s="286"/>
      <c r="DO99" s="286"/>
      <c r="DP99" s="286"/>
      <c r="DR99" s="58" t="str">
        <f>IF(ISNUMBER(MATCH(#REF!,'Audit Characteristic Mapping'!$B$3:$B$500,0)),"Y","")</f>
        <v/>
      </c>
      <c r="DS99" s="58" t="str">
        <f>IF(ISNUMBER(MATCH(#REF!,'Audit Characteristic Mapping'!$C$3:$C$500,0)),"Y","")</f>
        <v/>
      </c>
      <c r="DT99" s="58" t="str">
        <f>IF(ISNUMBER(MATCH(#REF!,'Audit Characteristic Mapping'!$D$3:$D$500,0)),"Y","")</f>
        <v/>
      </c>
      <c r="DU99" s="58" t="str">
        <f>IF(ISNUMBER(MATCH(#REF!,'Audit Characteristic Mapping'!$E$3:$E$500,0)),"Y","")</f>
        <v/>
      </c>
      <c r="DV99" s="58" t="str">
        <f>IF(ISNUMBER(MATCH(#REF!,'Audit Characteristic Mapping'!$F$3:$F$500,0)),"Y","")</f>
        <v/>
      </c>
      <c r="DW99" s="58" t="str">
        <f>IF(ISNUMBER(MATCH(#REF!,'Audit Characteristic Mapping'!$G$3:$G$500,0)),"Y","")</f>
        <v/>
      </c>
      <c r="DX99" s="58" t="str">
        <f>IF(ISNUMBER(MATCH(#REF!,'Audit Characteristic Mapping'!$H$3:$H$500,0)),"Y","")</f>
        <v/>
      </c>
      <c r="DY99" s="58" t="str">
        <f>IF(ISNUMBER(MATCH(#REF!,'Audit Characteristic Mapping'!$I$3:$I$500,0)),"Y","")</f>
        <v/>
      </c>
      <c r="DZ99" s="58" t="str">
        <f>IF(ISNUMBER(MATCH(#REF!,'Audit Characteristic Mapping'!$J$3:$J$500,0)),"Y","")</f>
        <v/>
      </c>
      <c r="EA99" s="58" t="str">
        <f>IF(ISNUMBER(MATCH(#REF!,'Audit Characteristic Mapping'!$K$3:$K$500,0)),"Y","")</f>
        <v/>
      </c>
    </row>
    <row r="100" spans="1:131" ht="16" hidden="1" x14ac:dyDescent="0.2">
      <c r="A100" s="288">
        <v>96</v>
      </c>
      <c r="B100" s="287" t="s">
        <v>174</v>
      </c>
      <c r="C100" s="226" t="s">
        <v>211</v>
      </c>
      <c r="D100" s="170">
        <v>2</v>
      </c>
      <c r="E100" s="288">
        <v>12</v>
      </c>
      <c r="F100" s="291" t="str">
        <f>VLOOKUP(Calculation!A100,'Descriptor maps'!$A$2:$F$1658,2,0)</f>
        <v>Facility details</v>
      </c>
      <c r="G100" s="289"/>
      <c r="H100" s="290"/>
      <c r="I100" s="291"/>
      <c r="J100" s="292" t="e" cm="1">
        <f t="array" ref="J100">INDEX('Descriptor maps'!$I$2:$I$1658,MATCH(1,('Descriptor maps'!$A$2:$A$1658=Calculation!$A100)*('Descriptor maps'!$G$2:$G$1658=Calculation!$G100),0))</f>
        <v>#N/A</v>
      </c>
      <c r="K100" s="226"/>
      <c r="L100" s="293"/>
      <c r="M100" s="293"/>
      <c r="N100" s="293"/>
      <c r="O100" s="293"/>
      <c r="P100" s="293"/>
      <c r="Q100" s="293"/>
      <c r="R100" s="293"/>
      <c r="S100" s="293"/>
      <c r="T100" s="293"/>
      <c r="U100" s="293"/>
      <c r="V100" s="293"/>
      <c r="W100" s="293"/>
      <c r="X100" s="293"/>
      <c r="Y100" s="29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c r="AW100" s="293"/>
      <c r="AX100" s="293"/>
      <c r="AY100" s="293"/>
      <c r="AZ100" s="293"/>
      <c r="BA100" s="293"/>
      <c r="BB100" s="293"/>
      <c r="BC100" s="293"/>
      <c r="BD100" s="293"/>
      <c r="BE100" s="293"/>
      <c r="BF100" s="293"/>
      <c r="BG100" s="293"/>
      <c r="BH100" s="293"/>
      <c r="BI100" s="293"/>
      <c r="BJ100" s="293"/>
      <c r="BK100" s="293"/>
      <c r="BL100" s="293"/>
      <c r="BM100" s="293"/>
      <c r="BN100" s="293"/>
      <c r="BO100" s="293"/>
      <c r="BP100" s="293"/>
      <c r="BQ100" s="293"/>
      <c r="BR100" s="293"/>
      <c r="BS100" s="293"/>
      <c r="BT100" s="293"/>
      <c r="BU100" s="293"/>
      <c r="BV100" s="293"/>
      <c r="BW100" s="293"/>
      <c r="BX100" s="293"/>
      <c r="BY100" s="293"/>
      <c r="BZ100" s="293"/>
      <c r="CA100" s="285"/>
      <c r="CB100" s="286"/>
      <c r="CC100" s="286"/>
      <c r="CD100" s="286"/>
      <c r="CE100" s="286"/>
      <c r="CF100" s="286"/>
      <c r="CG100" s="286"/>
      <c r="CH100" s="286"/>
      <c r="CI100" s="286"/>
      <c r="CJ100" s="286"/>
      <c r="CK100" s="286"/>
      <c r="CL100" s="286"/>
      <c r="CM100" s="286"/>
      <c r="CN100" s="286"/>
      <c r="CO100" s="286"/>
      <c r="CP100" s="286"/>
      <c r="CQ100" s="286"/>
      <c r="CR100" s="286"/>
      <c r="CS100" s="286"/>
      <c r="CT100" s="286"/>
      <c r="CU100" s="286"/>
      <c r="CV100" s="286"/>
      <c r="CW100" s="286"/>
      <c r="CX100" s="286"/>
      <c r="CY100" s="286"/>
      <c r="CZ100" s="286"/>
      <c r="DA100" s="286"/>
      <c r="DB100" s="286"/>
      <c r="DC100" s="286"/>
      <c r="DD100" s="286"/>
      <c r="DE100" s="286"/>
      <c r="DF100" s="286"/>
      <c r="DG100" s="286"/>
      <c r="DH100" s="286"/>
      <c r="DI100" s="286"/>
      <c r="DJ100" s="286"/>
      <c r="DK100" s="286"/>
      <c r="DL100" s="286"/>
      <c r="DM100" s="286"/>
      <c r="DN100" s="286"/>
      <c r="DO100" s="286"/>
      <c r="DP100" s="286"/>
      <c r="DR100" s="58" t="str">
        <f>IF(ISNUMBER(MATCH(#REF!,'Audit Characteristic Mapping'!$B$3:$B$500,0)),"Y","")</f>
        <v/>
      </c>
      <c r="DS100" s="58" t="str">
        <f>IF(ISNUMBER(MATCH(#REF!,'Audit Characteristic Mapping'!$C$3:$C$500,0)),"Y","")</f>
        <v/>
      </c>
      <c r="DT100" s="58" t="str">
        <f>IF(ISNUMBER(MATCH(#REF!,'Audit Characteristic Mapping'!$D$3:$D$500,0)),"Y","")</f>
        <v/>
      </c>
      <c r="DU100" s="58" t="str">
        <f>IF(ISNUMBER(MATCH(#REF!,'Audit Characteristic Mapping'!$E$3:$E$500,0)),"Y","")</f>
        <v/>
      </c>
      <c r="DV100" s="58" t="str">
        <f>IF(ISNUMBER(MATCH(#REF!,'Audit Characteristic Mapping'!$F$3:$F$500,0)),"Y","")</f>
        <v/>
      </c>
      <c r="DW100" s="58" t="str">
        <f>IF(ISNUMBER(MATCH(#REF!,'Audit Characteristic Mapping'!$G$3:$G$500,0)),"Y","")</f>
        <v/>
      </c>
      <c r="DX100" s="58" t="str">
        <f>IF(ISNUMBER(MATCH(#REF!,'Audit Characteristic Mapping'!$H$3:$H$500,0)),"Y","")</f>
        <v/>
      </c>
      <c r="DY100" s="58" t="str">
        <f>IF(ISNUMBER(MATCH(#REF!,'Audit Characteristic Mapping'!$I$3:$I$500,0)),"Y","")</f>
        <v/>
      </c>
      <c r="DZ100" s="58" t="str">
        <f>IF(ISNUMBER(MATCH(#REF!,'Audit Characteristic Mapping'!$J$3:$J$500,0)),"Y","")</f>
        <v/>
      </c>
      <c r="EA100" s="58" t="str">
        <f>IF(ISNUMBER(MATCH(#REF!,'Audit Characteristic Mapping'!$K$3:$K$500,0)),"Y","")</f>
        <v/>
      </c>
    </row>
    <row r="101" spans="1:131" ht="16" hidden="1" x14ac:dyDescent="0.2">
      <c r="A101" s="288">
        <v>97</v>
      </c>
      <c r="B101" s="287" t="s">
        <v>174</v>
      </c>
      <c r="C101" s="226" t="s">
        <v>211</v>
      </c>
      <c r="D101" s="170">
        <v>2</v>
      </c>
      <c r="E101" s="288">
        <v>12</v>
      </c>
      <c r="F101" s="291" t="str">
        <f>VLOOKUP(Calculation!A101,'Descriptor maps'!$A$2:$F$1658,2,0)</f>
        <v>Facility details</v>
      </c>
      <c r="G101" s="289"/>
      <c r="H101" s="290"/>
      <c r="I101" s="291"/>
      <c r="J101" s="292" t="e" cm="1">
        <f t="array" ref="J101">INDEX('Descriptor maps'!$I$2:$I$1658,MATCH(1,('Descriptor maps'!$A$2:$A$1658=Calculation!$A101)*('Descriptor maps'!$G$2:$G$1658=Calculation!$G101),0))</f>
        <v>#N/A</v>
      </c>
      <c r="K101" s="226"/>
      <c r="L101" s="293"/>
      <c r="M101" s="293"/>
      <c r="N101" s="293"/>
      <c r="O101" s="293"/>
      <c r="P101" s="293"/>
      <c r="Q101" s="293"/>
      <c r="R101" s="293"/>
      <c r="S101" s="293"/>
      <c r="T101" s="293"/>
      <c r="U101" s="293"/>
      <c r="V101" s="293"/>
      <c r="W101" s="293"/>
      <c r="X101" s="293"/>
      <c r="Y101" s="293"/>
      <c r="Z101" s="293"/>
      <c r="AA101" s="293"/>
      <c r="AB101" s="293"/>
      <c r="AC101" s="293"/>
      <c r="AD101" s="293"/>
      <c r="AE101" s="293"/>
      <c r="AF101" s="293"/>
      <c r="AG101" s="293"/>
      <c r="AH101" s="293"/>
      <c r="AI101" s="293"/>
      <c r="AJ101" s="293"/>
      <c r="AK101" s="293"/>
      <c r="AL101" s="293"/>
      <c r="AM101" s="293"/>
      <c r="AN101" s="293"/>
      <c r="AO101" s="293"/>
      <c r="AP101" s="293"/>
      <c r="AQ101" s="293"/>
      <c r="AR101" s="293"/>
      <c r="AS101" s="293"/>
      <c r="AT101" s="293"/>
      <c r="AU101" s="293"/>
      <c r="AV101" s="293"/>
      <c r="AW101" s="293"/>
      <c r="AX101" s="293"/>
      <c r="AY101" s="293"/>
      <c r="AZ101" s="293"/>
      <c r="BA101" s="293"/>
      <c r="BB101" s="293"/>
      <c r="BC101" s="293"/>
      <c r="BD101" s="293"/>
      <c r="BE101" s="293"/>
      <c r="BF101" s="293"/>
      <c r="BG101" s="293"/>
      <c r="BH101" s="293"/>
      <c r="BI101" s="293"/>
      <c r="BJ101" s="293"/>
      <c r="BK101" s="293"/>
      <c r="BL101" s="293"/>
      <c r="BM101" s="293"/>
      <c r="BN101" s="293"/>
      <c r="BO101" s="293"/>
      <c r="BP101" s="293"/>
      <c r="BQ101" s="293"/>
      <c r="BR101" s="293"/>
      <c r="BS101" s="293"/>
      <c r="BT101" s="293"/>
      <c r="BU101" s="293"/>
      <c r="BV101" s="293"/>
      <c r="BW101" s="293"/>
      <c r="BX101" s="293"/>
      <c r="BY101" s="293"/>
      <c r="BZ101" s="293"/>
      <c r="CA101" s="285"/>
      <c r="CB101" s="286"/>
      <c r="CC101" s="286"/>
      <c r="CD101" s="286"/>
      <c r="CE101" s="286"/>
      <c r="CF101" s="286"/>
      <c r="CG101" s="286"/>
      <c r="CH101" s="286"/>
      <c r="CI101" s="286"/>
      <c r="CJ101" s="286"/>
      <c r="CK101" s="286"/>
      <c r="CL101" s="286"/>
      <c r="CM101" s="286"/>
      <c r="CN101" s="286"/>
      <c r="CO101" s="286"/>
      <c r="CP101" s="286"/>
      <c r="CQ101" s="286"/>
      <c r="CR101" s="286"/>
      <c r="CS101" s="286"/>
      <c r="CT101" s="286"/>
      <c r="CU101" s="286"/>
      <c r="CV101" s="286"/>
      <c r="CW101" s="286"/>
      <c r="CX101" s="286"/>
      <c r="CY101" s="286"/>
      <c r="CZ101" s="286"/>
      <c r="DA101" s="286"/>
      <c r="DB101" s="286"/>
      <c r="DC101" s="286"/>
      <c r="DD101" s="286"/>
      <c r="DE101" s="286"/>
      <c r="DF101" s="286"/>
      <c r="DG101" s="286"/>
      <c r="DH101" s="286"/>
      <c r="DI101" s="286"/>
      <c r="DJ101" s="286"/>
      <c r="DK101" s="286"/>
      <c r="DL101" s="286"/>
      <c r="DM101" s="286"/>
      <c r="DN101" s="286"/>
      <c r="DO101" s="286"/>
      <c r="DP101" s="286"/>
      <c r="DR101" s="58" t="str">
        <f>IF(ISNUMBER(MATCH(#REF!,'Audit Characteristic Mapping'!$B$3:$B$500,0)),"Y","")</f>
        <v/>
      </c>
      <c r="DS101" s="58" t="str">
        <f>IF(ISNUMBER(MATCH(#REF!,'Audit Characteristic Mapping'!$C$3:$C$500,0)),"Y","")</f>
        <v/>
      </c>
      <c r="DT101" s="58" t="str">
        <f>IF(ISNUMBER(MATCH(#REF!,'Audit Characteristic Mapping'!$D$3:$D$500,0)),"Y","")</f>
        <v/>
      </c>
      <c r="DU101" s="58" t="str">
        <f>IF(ISNUMBER(MATCH(#REF!,'Audit Characteristic Mapping'!$E$3:$E$500,0)),"Y","")</f>
        <v/>
      </c>
      <c r="DV101" s="58" t="str">
        <f>IF(ISNUMBER(MATCH(#REF!,'Audit Characteristic Mapping'!$F$3:$F$500,0)),"Y","")</f>
        <v/>
      </c>
      <c r="DW101" s="58" t="str">
        <f>IF(ISNUMBER(MATCH(#REF!,'Audit Characteristic Mapping'!$G$3:$G$500,0)),"Y","")</f>
        <v/>
      </c>
      <c r="DX101" s="58" t="str">
        <f>IF(ISNUMBER(MATCH(#REF!,'Audit Characteristic Mapping'!$H$3:$H$500,0)),"Y","")</f>
        <v/>
      </c>
      <c r="DY101" s="58" t="str">
        <f>IF(ISNUMBER(MATCH(#REF!,'Audit Characteristic Mapping'!$I$3:$I$500,0)),"Y","")</f>
        <v/>
      </c>
      <c r="DZ101" s="58" t="str">
        <f>IF(ISNUMBER(MATCH(#REF!,'Audit Characteristic Mapping'!$J$3:$J$500,0)),"Y","")</f>
        <v/>
      </c>
      <c r="EA101" s="58" t="str">
        <f>IF(ISNUMBER(MATCH(#REF!,'Audit Characteristic Mapping'!$K$3:$K$500,0)),"Y","")</f>
        <v/>
      </c>
    </row>
    <row r="102" spans="1:131" ht="16" hidden="1" x14ac:dyDescent="0.2">
      <c r="A102" s="288">
        <v>98</v>
      </c>
      <c r="B102" s="287" t="s">
        <v>174</v>
      </c>
      <c r="C102" s="226" t="s">
        <v>211</v>
      </c>
      <c r="D102" s="170">
        <v>2</v>
      </c>
      <c r="E102" s="288">
        <v>12</v>
      </c>
      <c r="F102" s="291" t="str">
        <f>VLOOKUP(Calculation!A102,'Descriptor maps'!$A$2:$F$1658,2,0)</f>
        <v>Facility details</v>
      </c>
      <c r="G102" s="289"/>
      <c r="H102" s="290"/>
      <c r="I102" s="291"/>
      <c r="J102" s="292" t="e" cm="1">
        <f t="array" ref="J102">INDEX('Descriptor maps'!$I$2:$I$1658,MATCH(1,('Descriptor maps'!$A$2:$A$1658=Calculation!$A102)*('Descriptor maps'!$G$2:$G$1658=Calculation!$G102),0))</f>
        <v>#N/A</v>
      </c>
      <c r="K102" s="226"/>
      <c r="L102" s="293"/>
      <c r="M102" s="293"/>
      <c r="N102" s="293"/>
      <c r="O102" s="293"/>
      <c r="P102" s="293"/>
      <c r="Q102" s="293"/>
      <c r="R102" s="293"/>
      <c r="S102" s="293"/>
      <c r="T102" s="293"/>
      <c r="U102" s="293"/>
      <c r="V102" s="293"/>
      <c r="W102" s="293"/>
      <c r="X102" s="293"/>
      <c r="Y102" s="293"/>
      <c r="Z102" s="293"/>
      <c r="AA102" s="293"/>
      <c r="AB102" s="293"/>
      <c r="AC102" s="293"/>
      <c r="AD102" s="293"/>
      <c r="AE102" s="293"/>
      <c r="AF102" s="293"/>
      <c r="AG102" s="293"/>
      <c r="AH102" s="293"/>
      <c r="AI102" s="293"/>
      <c r="AJ102" s="293"/>
      <c r="AK102" s="293"/>
      <c r="AL102" s="293"/>
      <c r="AM102" s="293"/>
      <c r="AN102" s="293"/>
      <c r="AO102" s="293"/>
      <c r="AP102" s="293"/>
      <c r="AQ102" s="293"/>
      <c r="AR102" s="293"/>
      <c r="AS102" s="293"/>
      <c r="AT102" s="293"/>
      <c r="AU102" s="293"/>
      <c r="AV102" s="293"/>
      <c r="AW102" s="293"/>
      <c r="AX102" s="293"/>
      <c r="AY102" s="293"/>
      <c r="AZ102" s="293"/>
      <c r="BA102" s="293"/>
      <c r="BB102" s="293"/>
      <c r="BC102" s="293"/>
      <c r="BD102" s="293"/>
      <c r="BE102" s="293"/>
      <c r="BF102" s="293"/>
      <c r="BG102" s="293"/>
      <c r="BH102" s="293"/>
      <c r="BI102" s="293"/>
      <c r="BJ102" s="293"/>
      <c r="BK102" s="293"/>
      <c r="BL102" s="293"/>
      <c r="BM102" s="293"/>
      <c r="BN102" s="293"/>
      <c r="BO102" s="293"/>
      <c r="BP102" s="293"/>
      <c r="BQ102" s="293"/>
      <c r="BR102" s="293"/>
      <c r="BS102" s="293"/>
      <c r="BT102" s="293"/>
      <c r="BU102" s="293"/>
      <c r="BV102" s="293"/>
      <c r="BW102" s="293"/>
      <c r="BX102" s="293"/>
      <c r="BY102" s="293"/>
      <c r="BZ102" s="293"/>
      <c r="CA102" s="285"/>
      <c r="CB102" s="286"/>
      <c r="CC102" s="286"/>
      <c r="CD102" s="286"/>
      <c r="CE102" s="286"/>
      <c r="CF102" s="286"/>
      <c r="CG102" s="286"/>
      <c r="CH102" s="286"/>
      <c r="CI102" s="286"/>
      <c r="CJ102" s="286"/>
      <c r="CK102" s="286"/>
      <c r="CL102" s="286"/>
      <c r="CM102" s="286"/>
      <c r="CN102" s="286"/>
      <c r="CO102" s="286"/>
      <c r="CP102" s="286"/>
      <c r="CQ102" s="286"/>
      <c r="CR102" s="286"/>
      <c r="CS102" s="286"/>
      <c r="CT102" s="286"/>
      <c r="CU102" s="286"/>
      <c r="CV102" s="286"/>
      <c r="CW102" s="286"/>
      <c r="CX102" s="286"/>
      <c r="CY102" s="286"/>
      <c r="CZ102" s="286"/>
      <c r="DA102" s="286"/>
      <c r="DB102" s="286"/>
      <c r="DC102" s="286"/>
      <c r="DD102" s="286"/>
      <c r="DE102" s="286"/>
      <c r="DF102" s="286"/>
      <c r="DG102" s="286"/>
      <c r="DH102" s="286"/>
      <c r="DI102" s="286"/>
      <c r="DJ102" s="286"/>
      <c r="DK102" s="286"/>
      <c r="DL102" s="286"/>
      <c r="DM102" s="286"/>
      <c r="DN102" s="286"/>
      <c r="DO102" s="286"/>
      <c r="DP102" s="286"/>
      <c r="DR102" s="58" t="str">
        <f>IF(ISNUMBER(MATCH(#REF!,'Audit Characteristic Mapping'!$B$3:$B$500,0)),"Y","")</f>
        <v/>
      </c>
      <c r="DS102" s="58" t="str">
        <f>IF(ISNUMBER(MATCH(#REF!,'Audit Characteristic Mapping'!$C$3:$C$500,0)),"Y","")</f>
        <v/>
      </c>
      <c r="DT102" s="58" t="str">
        <f>IF(ISNUMBER(MATCH(#REF!,'Audit Characteristic Mapping'!$D$3:$D$500,0)),"Y","")</f>
        <v/>
      </c>
      <c r="DU102" s="58" t="str">
        <f>IF(ISNUMBER(MATCH(#REF!,'Audit Characteristic Mapping'!$E$3:$E$500,0)),"Y","")</f>
        <v/>
      </c>
      <c r="DV102" s="58" t="str">
        <f>IF(ISNUMBER(MATCH(#REF!,'Audit Characteristic Mapping'!$F$3:$F$500,0)),"Y","")</f>
        <v/>
      </c>
      <c r="DW102" s="58" t="str">
        <f>IF(ISNUMBER(MATCH(#REF!,'Audit Characteristic Mapping'!$G$3:$G$500,0)),"Y","")</f>
        <v/>
      </c>
      <c r="DX102" s="58" t="str">
        <f>IF(ISNUMBER(MATCH(#REF!,'Audit Characteristic Mapping'!$H$3:$H$500,0)),"Y","")</f>
        <v/>
      </c>
      <c r="DY102" s="58" t="str">
        <f>IF(ISNUMBER(MATCH(#REF!,'Audit Characteristic Mapping'!$I$3:$I$500,0)),"Y","")</f>
        <v/>
      </c>
      <c r="DZ102" s="58" t="str">
        <f>IF(ISNUMBER(MATCH(#REF!,'Audit Characteristic Mapping'!$J$3:$J$500,0)),"Y","")</f>
        <v/>
      </c>
      <c r="EA102" s="58" t="str">
        <f>IF(ISNUMBER(MATCH(#REF!,'Audit Characteristic Mapping'!$K$3:$K$500,0)),"Y","")</f>
        <v/>
      </c>
    </row>
    <row r="103" spans="1:131" ht="16" hidden="1" x14ac:dyDescent="0.2">
      <c r="A103" s="288">
        <v>99</v>
      </c>
      <c r="B103" s="287" t="s">
        <v>174</v>
      </c>
      <c r="C103" s="226" t="s">
        <v>211</v>
      </c>
      <c r="D103" s="170">
        <v>2</v>
      </c>
      <c r="E103" s="288">
        <v>12</v>
      </c>
      <c r="F103" s="291" t="str">
        <f>VLOOKUP(Calculation!A103,'Descriptor maps'!$A$2:$F$1658,2,0)</f>
        <v>Facility details</v>
      </c>
      <c r="G103" s="289" t="s">
        <v>674</v>
      </c>
      <c r="H103" s="290"/>
      <c r="I103" s="291"/>
      <c r="J103" s="292" cm="1">
        <f t="array" ref="J103">INDEX('Descriptor maps'!$I$2:$I$1658,MATCH(1,('Descriptor maps'!$A$2:$A$1658=Calculation!$A103)*('Descriptor maps'!$G$2:$G$1658=Calculation!$G103),0))</f>
        <v>0</v>
      </c>
      <c r="K103" s="226"/>
      <c r="L103" s="293"/>
      <c r="M103" s="293"/>
      <c r="N103" s="293"/>
      <c r="O103" s="293"/>
      <c r="P103" s="293"/>
      <c r="Q103" s="293"/>
      <c r="R103" s="293"/>
      <c r="S103" s="293"/>
      <c r="T103" s="293"/>
      <c r="U103" s="293"/>
      <c r="V103" s="293"/>
      <c r="W103" s="293"/>
      <c r="X103" s="293"/>
      <c r="Y103" s="293"/>
      <c r="Z103" s="293"/>
      <c r="AA103" s="293"/>
      <c r="AB103" s="293"/>
      <c r="AC103" s="293"/>
      <c r="AD103" s="293"/>
      <c r="AE103" s="293"/>
      <c r="AF103" s="293"/>
      <c r="AG103" s="293"/>
      <c r="AH103" s="293"/>
      <c r="AI103" s="293"/>
      <c r="AJ103" s="293"/>
      <c r="AK103" s="293"/>
      <c r="AL103" s="293"/>
      <c r="AM103" s="293"/>
      <c r="AN103" s="293"/>
      <c r="AO103" s="293"/>
      <c r="AP103" s="293"/>
      <c r="AQ103" s="293"/>
      <c r="AR103" s="293"/>
      <c r="AS103" s="293"/>
      <c r="AT103" s="293"/>
      <c r="AU103" s="293"/>
      <c r="AV103" s="293"/>
      <c r="AW103" s="293"/>
      <c r="AX103" s="293"/>
      <c r="AY103" s="293"/>
      <c r="AZ103" s="293"/>
      <c r="BA103" s="293"/>
      <c r="BB103" s="293"/>
      <c r="BC103" s="293"/>
      <c r="BD103" s="293"/>
      <c r="BE103" s="293"/>
      <c r="BF103" s="293"/>
      <c r="BG103" s="293"/>
      <c r="BH103" s="293"/>
      <c r="BI103" s="293"/>
      <c r="BJ103" s="293"/>
      <c r="BK103" s="293"/>
      <c r="BL103" s="293"/>
      <c r="BM103" s="293"/>
      <c r="BN103" s="293"/>
      <c r="BO103" s="293"/>
      <c r="BP103" s="293"/>
      <c r="BQ103" s="293"/>
      <c r="BR103" s="293"/>
      <c r="BS103" s="293"/>
      <c r="BT103" s="293"/>
      <c r="BU103" s="293"/>
      <c r="BV103" s="293"/>
      <c r="BW103" s="293"/>
      <c r="BX103" s="293"/>
      <c r="BY103" s="293"/>
      <c r="BZ103" s="293"/>
      <c r="CA103" s="285"/>
      <c r="CB103" s="286"/>
      <c r="CC103" s="286"/>
      <c r="CD103" s="286"/>
      <c r="CE103" s="286"/>
      <c r="CF103" s="286"/>
      <c r="CG103" s="286"/>
      <c r="CH103" s="286"/>
      <c r="CI103" s="286"/>
      <c r="CJ103" s="286"/>
      <c r="CK103" s="286"/>
      <c r="CL103" s="286"/>
      <c r="CM103" s="286"/>
      <c r="CN103" s="286"/>
      <c r="CO103" s="286"/>
      <c r="CP103" s="286"/>
      <c r="CQ103" s="286"/>
      <c r="CR103" s="286"/>
      <c r="CS103" s="286"/>
      <c r="CT103" s="286"/>
      <c r="CU103" s="286"/>
      <c r="CV103" s="286"/>
      <c r="CW103" s="286"/>
      <c r="CX103" s="286"/>
      <c r="CY103" s="286"/>
      <c r="CZ103" s="286"/>
      <c r="DA103" s="286"/>
      <c r="DB103" s="286"/>
      <c r="DC103" s="286"/>
      <c r="DD103" s="286"/>
      <c r="DE103" s="286"/>
      <c r="DF103" s="286"/>
      <c r="DG103" s="286"/>
      <c r="DH103" s="286"/>
      <c r="DI103" s="286"/>
      <c r="DJ103" s="286"/>
      <c r="DK103" s="286"/>
      <c r="DL103" s="286"/>
      <c r="DM103" s="286"/>
      <c r="DN103" s="286"/>
      <c r="DO103" s="286"/>
      <c r="DP103" s="286"/>
      <c r="DR103" s="58" t="str">
        <f>IF(ISNUMBER(MATCH(#REF!,'Audit Characteristic Mapping'!$B$3:$B$500,0)),"Y","")</f>
        <v/>
      </c>
      <c r="DS103" s="58" t="str">
        <f>IF(ISNUMBER(MATCH(#REF!,'Audit Characteristic Mapping'!$C$3:$C$500,0)),"Y","")</f>
        <v/>
      </c>
      <c r="DT103" s="58" t="str">
        <f>IF(ISNUMBER(MATCH(#REF!,'Audit Characteristic Mapping'!$D$3:$D$500,0)),"Y","")</f>
        <v/>
      </c>
      <c r="DU103" s="58" t="str">
        <f>IF(ISNUMBER(MATCH(#REF!,'Audit Characteristic Mapping'!$E$3:$E$500,0)),"Y","")</f>
        <v/>
      </c>
      <c r="DV103" s="58" t="str">
        <f>IF(ISNUMBER(MATCH(#REF!,'Audit Characteristic Mapping'!$F$3:$F$500,0)),"Y","")</f>
        <v/>
      </c>
      <c r="DW103" s="58" t="str">
        <f>IF(ISNUMBER(MATCH(#REF!,'Audit Characteristic Mapping'!$G$3:$G$500,0)),"Y","")</f>
        <v/>
      </c>
      <c r="DX103" s="58" t="str">
        <f>IF(ISNUMBER(MATCH(#REF!,'Audit Characteristic Mapping'!$H$3:$H$500,0)),"Y","")</f>
        <v/>
      </c>
      <c r="DY103" s="58" t="str">
        <f>IF(ISNUMBER(MATCH(#REF!,'Audit Characteristic Mapping'!$I$3:$I$500,0)),"Y","")</f>
        <v/>
      </c>
      <c r="DZ103" s="58" t="str">
        <f>IF(ISNUMBER(MATCH(#REF!,'Audit Characteristic Mapping'!$J$3:$J$500,0)),"Y","")</f>
        <v/>
      </c>
      <c r="EA103" s="58" t="str">
        <f>IF(ISNUMBER(MATCH(#REF!,'Audit Characteristic Mapping'!$K$3:$K$500,0)),"Y","")</f>
        <v/>
      </c>
    </row>
    <row r="104" spans="1:131" ht="16" hidden="1" x14ac:dyDescent="0.2">
      <c r="A104" s="288">
        <v>100</v>
      </c>
      <c r="B104" s="287" t="s">
        <v>174</v>
      </c>
      <c r="C104" s="226" t="s">
        <v>211</v>
      </c>
      <c r="D104" s="170">
        <v>2</v>
      </c>
      <c r="E104" s="288">
        <v>12</v>
      </c>
      <c r="F104" s="291" t="str">
        <f>VLOOKUP(Calculation!A104,'Descriptor maps'!$A$2:$F$1658,2,0)</f>
        <v>Facility details</v>
      </c>
      <c r="G104" s="289"/>
      <c r="H104" s="290"/>
      <c r="I104" s="291"/>
      <c r="J104" s="292" t="e" cm="1">
        <f t="array" ref="J104">INDEX('Descriptor maps'!$I$2:$I$1658,MATCH(1,('Descriptor maps'!$A$2:$A$1658=Calculation!$A104)*('Descriptor maps'!$G$2:$G$1658=Calculation!$G104),0))</f>
        <v>#N/A</v>
      </c>
      <c r="K104" s="226"/>
      <c r="L104" s="293"/>
      <c r="M104" s="293"/>
      <c r="N104" s="293"/>
      <c r="O104" s="293"/>
      <c r="P104" s="293"/>
      <c r="Q104" s="293"/>
      <c r="R104" s="293"/>
      <c r="S104" s="293"/>
      <c r="T104" s="293"/>
      <c r="U104" s="293"/>
      <c r="V104" s="293"/>
      <c r="W104" s="293"/>
      <c r="X104" s="293"/>
      <c r="Y104" s="293"/>
      <c r="Z104" s="293"/>
      <c r="AA104" s="293"/>
      <c r="AB104" s="293"/>
      <c r="AC104" s="293"/>
      <c r="AD104" s="293"/>
      <c r="AE104" s="293"/>
      <c r="AF104" s="293"/>
      <c r="AG104" s="293"/>
      <c r="AH104" s="293"/>
      <c r="AI104" s="293"/>
      <c r="AJ104" s="293"/>
      <c r="AK104" s="293"/>
      <c r="AL104" s="293"/>
      <c r="AM104" s="293"/>
      <c r="AN104" s="293"/>
      <c r="AO104" s="293"/>
      <c r="AP104" s="293"/>
      <c r="AQ104" s="293"/>
      <c r="AR104" s="293"/>
      <c r="AS104" s="293"/>
      <c r="AT104" s="293"/>
      <c r="AU104" s="293"/>
      <c r="AV104" s="293"/>
      <c r="AW104" s="293"/>
      <c r="AX104" s="293"/>
      <c r="AY104" s="293"/>
      <c r="AZ104" s="293"/>
      <c r="BA104" s="293"/>
      <c r="BB104" s="293"/>
      <c r="BC104" s="293"/>
      <c r="BD104" s="293"/>
      <c r="BE104" s="293"/>
      <c r="BF104" s="293"/>
      <c r="BG104" s="293"/>
      <c r="BH104" s="293"/>
      <c r="BI104" s="293"/>
      <c r="BJ104" s="293"/>
      <c r="BK104" s="293"/>
      <c r="BL104" s="293"/>
      <c r="BM104" s="293"/>
      <c r="BN104" s="293"/>
      <c r="BO104" s="293"/>
      <c r="BP104" s="293"/>
      <c r="BQ104" s="293"/>
      <c r="BR104" s="293"/>
      <c r="BS104" s="293"/>
      <c r="BT104" s="293"/>
      <c r="BU104" s="293"/>
      <c r="BV104" s="293"/>
      <c r="BW104" s="293"/>
      <c r="BX104" s="293"/>
      <c r="BY104" s="293"/>
      <c r="BZ104" s="293"/>
      <c r="CA104" s="285"/>
      <c r="CB104" s="286"/>
      <c r="CC104" s="286"/>
      <c r="CD104" s="286"/>
      <c r="CE104" s="286"/>
      <c r="CF104" s="286"/>
      <c r="CG104" s="286"/>
      <c r="CH104" s="286"/>
      <c r="CI104" s="286"/>
      <c r="CJ104" s="286"/>
      <c r="CK104" s="286"/>
      <c r="CL104" s="286"/>
      <c r="CM104" s="286"/>
      <c r="CN104" s="286"/>
      <c r="CO104" s="286"/>
      <c r="CP104" s="286"/>
      <c r="CQ104" s="286"/>
      <c r="CR104" s="286"/>
      <c r="CS104" s="286"/>
      <c r="CT104" s="286"/>
      <c r="CU104" s="286"/>
      <c r="CV104" s="286"/>
      <c r="CW104" s="286"/>
      <c r="CX104" s="286"/>
      <c r="CY104" s="286"/>
      <c r="CZ104" s="286"/>
      <c r="DA104" s="286"/>
      <c r="DB104" s="286"/>
      <c r="DC104" s="286"/>
      <c r="DD104" s="286"/>
      <c r="DE104" s="286"/>
      <c r="DF104" s="286"/>
      <c r="DG104" s="286"/>
      <c r="DH104" s="286"/>
      <c r="DI104" s="286"/>
      <c r="DJ104" s="286"/>
      <c r="DK104" s="286"/>
      <c r="DL104" s="286"/>
      <c r="DM104" s="286"/>
      <c r="DN104" s="286"/>
      <c r="DO104" s="286"/>
      <c r="DP104" s="286"/>
      <c r="DR104" s="58" t="str">
        <f>IF(ISNUMBER(MATCH(#REF!,'Audit Characteristic Mapping'!$B$3:$B$500,0)),"Y","")</f>
        <v/>
      </c>
      <c r="DS104" s="58" t="str">
        <f>IF(ISNUMBER(MATCH(#REF!,'Audit Characteristic Mapping'!$C$3:$C$500,0)),"Y","")</f>
        <v/>
      </c>
      <c r="DT104" s="58" t="str">
        <f>IF(ISNUMBER(MATCH(#REF!,'Audit Characteristic Mapping'!$D$3:$D$500,0)),"Y","")</f>
        <v/>
      </c>
      <c r="DU104" s="58" t="str">
        <f>IF(ISNUMBER(MATCH(#REF!,'Audit Characteristic Mapping'!$E$3:$E$500,0)),"Y","")</f>
        <v/>
      </c>
      <c r="DV104" s="58" t="str">
        <f>IF(ISNUMBER(MATCH(#REF!,'Audit Characteristic Mapping'!$F$3:$F$500,0)),"Y","")</f>
        <v/>
      </c>
      <c r="DW104" s="58" t="str">
        <f>IF(ISNUMBER(MATCH(#REF!,'Audit Characteristic Mapping'!$G$3:$G$500,0)),"Y","")</f>
        <v/>
      </c>
      <c r="DX104" s="58" t="str">
        <f>IF(ISNUMBER(MATCH(#REF!,'Audit Characteristic Mapping'!$H$3:$H$500,0)),"Y","")</f>
        <v/>
      </c>
      <c r="DY104" s="58" t="str">
        <f>IF(ISNUMBER(MATCH(#REF!,'Audit Characteristic Mapping'!$I$3:$I$500,0)),"Y","")</f>
        <v/>
      </c>
      <c r="DZ104" s="58" t="str">
        <f>IF(ISNUMBER(MATCH(#REF!,'Audit Characteristic Mapping'!$J$3:$J$500,0)),"Y","")</f>
        <v/>
      </c>
      <c r="EA104" s="58" t="str">
        <f>IF(ISNUMBER(MATCH(#REF!,'Audit Characteristic Mapping'!$K$3:$K$500,0)),"Y","")</f>
        <v/>
      </c>
    </row>
    <row r="105" spans="1:131" ht="16" hidden="1" x14ac:dyDescent="0.2">
      <c r="A105" s="288">
        <v>101</v>
      </c>
      <c r="B105" s="287" t="s">
        <v>174</v>
      </c>
      <c r="C105" s="226" t="s">
        <v>217</v>
      </c>
      <c r="D105" s="170">
        <v>2</v>
      </c>
      <c r="E105" s="288">
        <v>13</v>
      </c>
      <c r="F105" s="291" t="str">
        <f>VLOOKUP(Calculation!A105,'Descriptor maps'!$A$2:$F$1658,2,0)</f>
        <v>Facility details</v>
      </c>
      <c r="G105" s="289"/>
      <c r="H105" s="290"/>
      <c r="I105" s="291"/>
      <c r="J105" s="292" t="e" cm="1">
        <f t="array" ref="J105">INDEX('Descriptor maps'!$I$2:$I$1658,MATCH(1,('Descriptor maps'!$A$2:$A$1658=Calculation!$A105)*('Descriptor maps'!$G$2:$G$1658=Calculation!$G105),0))</f>
        <v>#N/A</v>
      </c>
      <c r="K105" s="226"/>
      <c r="L105" s="293"/>
      <c r="M105" s="293"/>
      <c r="N105" s="293"/>
      <c r="O105" s="293"/>
      <c r="P105" s="293"/>
      <c r="Q105" s="293"/>
      <c r="R105" s="293"/>
      <c r="S105" s="293"/>
      <c r="T105" s="293"/>
      <c r="U105" s="293"/>
      <c r="V105" s="293"/>
      <c r="W105" s="293"/>
      <c r="X105" s="293"/>
      <c r="Y105" s="293"/>
      <c r="Z105" s="293"/>
      <c r="AA105" s="293"/>
      <c r="AB105" s="293"/>
      <c r="AC105" s="293"/>
      <c r="AD105" s="293"/>
      <c r="AE105" s="293"/>
      <c r="AF105" s="293"/>
      <c r="AG105" s="293"/>
      <c r="AH105" s="293"/>
      <c r="AI105" s="293"/>
      <c r="AJ105" s="293"/>
      <c r="AK105" s="293"/>
      <c r="AL105" s="293"/>
      <c r="AM105" s="293"/>
      <c r="AN105" s="293"/>
      <c r="AO105" s="293"/>
      <c r="AP105" s="293"/>
      <c r="AQ105" s="293"/>
      <c r="AR105" s="293"/>
      <c r="AS105" s="293"/>
      <c r="AT105" s="293"/>
      <c r="AU105" s="293"/>
      <c r="AV105" s="293"/>
      <c r="AW105" s="293"/>
      <c r="AX105" s="293"/>
      <c r="AY105" s="293"/>
      <c r="AZ105" s="293"/>
      <c r="BA105" s="293"/>
      <c r="BB105" s="293"/>
      <c r="BC105" s="293"/>
      <c r="BD105" s="293"/>
      <c r="BE105" s="293"/>
      <c r="BF105" s="293"/>
      <c r="BG105" s="293"/>
      <c r="BH105" s="293"/>
      <c r="BI105" s="293"/>
      <c r="BJ105" s="293"/>
      <c r="BK105" s="293"/>
      <c r="BL105" s="293"/>
      <c r="BM105" s="293"/>
      <c r="BN105" s="293"/>
      <c r="BO105" s="293"/>
      <c r="BP105" s="293"/>
      <c r="BQ105" s="293"/>
      <c r="BR105" s="293"/>
      <c r="BS105" s="293"/>
      <c r="BT105" s="293"/>
      <c r="BU105" s="293"/>
      <c r="BV105" s="293"/>
      <c r="BW105" s="293"/>
      <c r="BX105" s="293"/>
      <c r="BY105" s="293"/>
      <c r="BZ105" s="293"/>
      <c r="CA105" s="285"/>
      <c r="CB105" s="286"/>
      <c r="CC105" s="286"/>
      <c r="CD105" s="286"/>
      <c r="CE105" s="286"/>
      <c r="CF105" s="286"/>
      <c r="CG105" s="286"/>
      <c r="CH105" s="286"/>
      <c r="CI105" s="286"/>
      <c r="CJ105" s="286"/>
      <c r="CK105" s="286"/>
      <c r="CL105" s="286"/>
      <c r="CM105" s="286"/>
      <c r="CN105" s="286"/>
      <c r="CO105" s="286"/>
      <c r="CP105" s="286"/>
      <c r="CQ105" s="286"/>
      <c r="CR105" s="286"/>
      <c r="CS105" s="286"/>
      <c r="CT105" s="286"/>
      <c r="CU105" s="286"/>
      <c r="CV105" s="286"/>
      <c r="CW105" s="286"/>
      <c r="CX105" s="286"/>
      <c r="CY105" s="286"/>
      <c r="CZ105" s="286"/>
      <c r="DA105" s="286"/>
      <c r="DB105" s="286"/>
      <c r="DC105" s="286"/>
      <c r="DD105" s="286"/>
      <c r="DE105" s="286"/>
      <c r="DF105" s="286"/>
      <c r="DG105" s="286"/>
      <c r="DH105" s="286"/>
      <c r="DI105" s="286"/>
      <c r="DJ105" s="286"/>
      <c r="DK105" s="286"/>
      <c r="DL105" s="286"/>
      <c r="DM105" s="286"/>
      <c r="DN105" s="286"/>
      <c r="DO105" s="286"/>
      <c r="DP105" s="286"/>
      <c r="DR105" s="58" t="str">
        <f>IF(ISNUMBER(MATCH(#REF!,'Audit Characteristic Mapping'!$B$3:$B$500,0)),"Y","")</f>
        <v/>
      </c>
      <c r="DS105" s="58" t="str">
        <f>IF(ISNUMBER(MATCH(#REF!,'Audit Characteristic Mapping'!$C$3:$C$500,0)),"Y","")</f>
        <v/>
      </c>
      <c r="DT105" s="58" t="str">
        <f>IF(ISNUMBER(MATCH(#REF!,'Audit Characteristic Mapping'!$D$3:$D$500,0)),"Y","")</f>
        <v/>
      </c>
      <c r="DU105" s="58" t="str">
        <f>IF(ISNUMBER(MATCH(#REF!,'Audit Characteristic Mapping'!$E$3:$E$500,0)),"Y","")</f>
        <v/>
      </c>
      <c r="DV105" s="58" t="str">
        <f>IF(ISNUMBER(MATCH(#REF!,'Audit Characteristic Mapping'!$F$3:$F$500,0)),"Y","")</f>
        <v/>
      </c>
      <c r="DW105" s="58" t="str">
        <f>IF(ISNUMBER(MATCH(#REF!,'Audit Characteristic Mapping'!$G$3:$G$500,0)),"Y","")</f>
        <v/>
      </c>
      <c r="DX105" s="58" t="str">
        <f>IF(ISNUMBER(MATCH(#REF!,'Audit Characteristic Mapping'!$H$3:$H$500,0)),"Y","")</f>
        <v/>
      </c>
      <c r="DY105" s="58" t="str">
        <f>IF(ISNUMBER(MATCH(#REF!,'Audit Characteristic Mapping'!$I$3:$I$500,0)),"Y","")</f>
        <v/>
      </c>
      <c r="DZ105" s="58" t="str">
        <f>IF(ISNUMBER(MATCH(#REF!,'Audit Characteristic Mapping'!$J$3:$J$500,0)),"Y","")</f>
        <v/>
      </c>
      <c r="EA105" s="58" t="str">
        <f>IF(ISNUMBER(MATCH(#REF!,'Audit Characteristic Mapping'!$K$3:$K$500,0)),"Y","")</f>
        <v/>
      </c>
    </row>
    <row r="106" spans="1:131" ht="16" hidden="1" x14ac:dyDescent="0.2">
      <c r="A106" s="288">
        <v>102</v>
      </c>
      <c r="B106" s="287" t="s">
        <v>174</v>
      </c>
      <c r="C106" s="226" t="s">
        <v>217</v>
      </c>
      <c r="D106" s="170">
        <v>2</v>
      </c>
      <c r="E106" s="288">
        <v>13</v>
      </c>
      <c r="F106" s="291" t="str">
        <f>VLOOKUP(Calculation!A106,'Descriptor maps'!$A$2:$F$1658,2,0)</f>
        <v>Facility details</v>
      </c>
      <c r="G106" s="289"/>
      <c r="H106" s="290"/>
      <c r="I106" s="291"/>
      <c r="J106" s="292" t="e" cm="1">
        <f t="array" ref="J106">INDEX('Descriptor maps'!$I$2:$I$1658,MATCH(1,('Descriptor maps'!$A$2:$A$1658=Calculation!$A106)*('Descriptor maps'!$G$2:$G$1658=Calculation!$G106),0))</f>
        <v>#N/A</v>
      </c>
      <c r="K106" s="226"/>
      <c r="L106" s="293"/>
      <c r="M106" s="293"/>
      <c r="N106" s="293"/>
      <c r="O106" s="293"/>
      <c r="P106" s="293"/>
      <c r="Q106" s="293"/>
      <c r="R106" s="293"/>
      <c r="S106" s="293"/>
      <c r="T106" s="293"/>
      <c r="U106" s="293"/>
      <c r="V106" s="293"/>
      <c r="W106" s="293"/>
      <c r="X106" s="293"/>
      <c r="Y106" s="293"/>
      <c r="Z106" s="293"/>
      <c r="AA106" s="293"/>
      <c r="AB106" s="293"/>
      <c r="AC106" s="293"/>
      <c r="AD106" s="293"/>
      <c r="AE106" s="293"/>
      <c r="AF106" s="293"/>
      <c r="AG106" s="293"/>
      <c r="AH106" s="293"/>
      <c r="AI106" s="293"/>
      <c r="AJ106" s="293"/>
      <c r="AK106" s="293"/>
      <c r="AL106" s="293"/>
      <c r="AM106" s="293"/>
      <c r="AN106" s="293"/>
      <c r="AO106" s="293"/>
      <c r="AP106" s="293"/>
      <c r="AQ106" s="293"/>
      <c r="AR106" s="293"/>
      <c r="AS106" s="293"/>
      <c r="AT106" s="293"/>
      <c r="AU106" s="293"/>
      <c r="AV106" s="293"/>
      <c r="AW106" s="293"/>
      <c r="AX106" s="293"/>
      <c r="AY106" s="293"/>
      <c r="AZ106" s="293"/>
      <c r="BA106" s="293"/>
      <c r="BB106" s="293"/>
      <c r="BC106" s="293"/>
      <c r="BD106" s="293"/>
      <c r="BE106" s="293"/>
      <c r="BF106" s="293"/>
      <c r="BG106" s="293"/>
      <c r="BH106" s="293"/>
      <c r="BI106" s="293"/>
      <c r="BJ106" s="293"/>
      <c r="BK106" s="293"/>
      <c r="BL106" s="293"/>
      <c r="BM106" s="293"/>
      <c r="BN106" s="293"/>
      <c r="BO106" s="293"/>
      <c r="BP106" s="293"/>
      <c r="BQ106" s="293"/>
      <c r="BR106" s="293"/>
      <c r="BS106" s="293"/>
      <c r="BT106" s="293"/>
      <c r="BU106" s="293"/>
      <c r="BV106" s="293"/>
      <c r="BW106" s="293"/>
      <c r="BX106" s="293"/>
      <c r="BY106" s="293"/>
      <c r="BZ106" s="293"/>
      <c r="CA106" s="285"/>
      <c r="CB106" s="286"/>
      <c r="CC106" s="286"/>
      <c r="CD106" s="286"/>
      <c r="CE106" s="286"/>
      <c r="CF106" s="286"/>
      <c r="CG106" s="286"/>
      <c r="CH106" s="286"/>
      <c r="CI106" s="286"/>
      <c r="CJ106" s="286"/>
      <c r="CK106" s="286"/>
      <c r="CL106" s="286"/>
      <c r="CM106" s="286"/>
      <c r="CN106" s="286"/>
      <c r="CO106" s="286"/>
      <c r="CP106" s="286"/>
      <c r="CQ106" s="286"/>
      <c r="CR106" s="286"/>
      <c r="CS106" s="286"/>
      <c r="CT106" s="286"/>
      <c r="CU106" s="286"/>
      <c r="CV106" s="286"/>
      <c r="CW106" s="286"/>
      <c r="CX106" s="286"/>
      <c r="CY106" s="286"/>
      <c r="CZ106" s="286"/>
      <c r="DA106" s="286"/>
      <c r="DB106" s="286"/>
      <c r="DC106" s="286"/>
      <c r="DD106" s="286"/>
      <c r="DE106" s="286"/>
      <c r="DF106" s="286"/>
      <c r="DG106" s="286"/>
      <c r="DH106" s="286"/>
      <c r="DI106" s="286"/>
      <c r="DJ106" s="286"/>
      <c r="DK106" s="286"/>
      <c r="DL106" s="286"/>
      <c r="DM106" s="286"/>
      <c r="DN106" s="286"/>
      <c r="DO106" s="286"/>
      <c r="DP106" s="286"/>
      <c r="DR106" s="58" t="str">
        <f>IF(ISNUMBER(MATCH(#REF!,'Audit Characteristic Mapping'!$B$3:$B$500,0)),"Y","")</f>
        <v/>
      </c>
      <c r="DS106" s="58" t="str">
        <f>IF(ISNUMBER(MATCH(#REF!,'Audit Characteristic Mapping'!$C$3:$C$500,0)),"Y","")</f>
        <v/>
      </c>
      <c r="DT106" s="58" t="str">
        <f>IF(ISNUMBER(MATCH(#REF!,'Audit Characteristic Mapping'!$D$3:$D$500,0)),"Y","")</f>
        <v/>
      </c>
      <c r="DU106" s="58" t="str">
        <f>IF(ISNUMBER(MATCH(#REF!,'Audit Characteristic Mapping'!$E$3:$E$500,0)),"Y","")</f>
        <v/>
      </c>
      <c r="DV106" s="58" t="str">
        <f>IF(ISNUMBER(MATCH(#REF!,'Audit Characteristic Mapping'!$F$3:$F$500,0)),"Y","")</f>
        <v/>
      </c>
      <c r="DW106" s="58" t="str">
        <f>IF(ISNUMBER(MATCH(#REF!,'Audit Characteristic Mapping'!$G$3:$G$500,0)),"Y","")</f>
        <v/>
      </c>
      <c r="DX106" s="58" t="str">
        <f>IF(ISNUMBER(MATCH(#REF!,'Audit Characteristic Mapping'!$H$3:$H$500,0)),"Y","")</f>
        <v/>
      </c>
      <c r="DY106" s="58" t="str">
        <f>IF(ISNUMBER(MATCH(#REF!,'Audit Characteristic Mapping'!$I$3:$I$500,0)),"Y","")</f>
        <v/>
      </c>
      <c r="DZ106" s="58" t="str">
        <f>IF(ISNUMBER(MATCH(#REF!,'Audit Characteristic Mapping'!$J$3:$J$500,0)),"Y","")</f>
        <v/>
      </c>
      <c r="EA106" s="58" t="str">
        <f>IF(ISNUMBER(MATCH(#REF!,'Audit Characteristic Mapping'!$K$3:$K$500,0)),"Y","")</f>
        <v/>
      </c>
    </row>
    <row r="107" spans="1:131" ht="16" hidden="1" x14ac:dyDescent="0.2">
      <c r="A107" s="288">
        <v>103</v>
      </c>
      <c r="B107" s="287" t="s">
        <v>174</v>
      </c>
      <c r="C107" s="226" t="s">
        <v>217</v>
      </c>
      <c r="D107" s="170">
        <v>2</v>
      </c>
      <c r="E107" s="288">
        <v>13</v>
      </c>
      <c r="F107" s="291" t="str">
        <f>VLOOKUP(Calculation!A107,'Descriptor maps'!$A$2:$F$1658,2,0)</f>
        <v>Facility details</v>
      </c>
      <c r="G107" s="289"/>
      <c r="H107" s="290"/>
      <c r="I107" s="291"/>
      <c r="J107" s="292" t="e" cm="1">
        <f t="array" ref="J107">INDEX('Descriptor maps'!$I$2:$I$1658,MATCH(1,('Descriptor maps'!$A$2:$A$1658=Calculation!$A107)*('Descriptor maps'!$G$2:$G$1658=Calculation!$G107),0))</f>
        <v>#N/A</v>
      </c>
      <c r="K107" s="226"/>
      <c r="L107" s="293"/>
      <c r="M107" s="293"/>
      <c r="N107" s="293"/>
      <c r="O107" s="293"/>
      <c r="P107" s="293"/>
      <c r="Q107" s="293"/>
      <c r="R107" s="293"/>
      <c r="S107" s="293"/>
      <c r="T107" s="293"/>
      <c r="U107" s="293"/>
      <c r="V107" s="293"/>
      <c r="W107" s="293"/>
      <c r="X107" s="293"/>
      <c r="Y107" s="293"/>
      <c r="Z107" s="293"/>
      <c r="AA107" s="293"/>
      <c r="AB107" s="293"/>
      <c r="AC107" s="293"/>
      <c r="AD107" s="293"/>
      <c r="AE107" s="293"/>
      <c r="AF107" s="293"/>
      <c r="AG107" s="293"/>
      <c r="AH107" s="293"/>
      <c r="AI107" s="293"/>
      <c r="AJ107" s="293"/>
      <c r="AK107" s="293"/>
      <c r="AL107" s="293"/>
      <c r="AM107" s="293"/>
      <c r="AN107" s="293"/>
      <c r="AO107" s="293"/>
      <c r="AP107" s="293"/>
      <c r="AQ107" s="293"/>
      <c r="AR107" s="293"/>
      <c r="AS107" s="293"/>
      <c r="AT107" s="293"/>
      <c r="AU107" s="293"/>
      <c r="AV107" s="293"/>
      <c r="AW107" s="293"/>
      <c r="AX107" s="293"/>
      <c r="AY107" s="293"/>
      <c r="AZ107" s="293"/>
      <c r="BA107" s="293"/>
      <c r="BB107" s="293"/>
      <c r="BC107" s="293"/>
      <c r="BD107" s="293"/>
      <c r="BE107" s="293"/>
      <c r="BF107" s="293"/>
      <c r="BG107" s="293"/>
      <c r="BH107" s="293"/>
      <c r="BI107" s="293"/>
      <c r="BJ107" s="293"/>
      <c r="BK107" s="293"/>
      <c r="BL107" s="293"/>
      <c r="BM107" s="293"/>
      <c r="BN107" s="293"/>
      <c r="BO107" s="293"/>
      <c r="BP107" s="293"/>
      <c r="BQ107" s="293"/>
      <c r="BR107" s="293"/>
      <c r="BS107" s="293"/>
      <c r="BT107" s="293"/>
      <c r="BU107" s="293"/>
      <c r="BV107" s="293"/>
      <c r="BW107" s="293"/>
      <c r="BX107" s="293"/>
      <c r="BY107" s="293"/>
      <c r="BZ107" s="293"/>
      <c r="CA107" s="285"/>
      <c r="CB107" s="286"/>
      <c r="CC107" s="286"/>
      <c r="CD107" s="286"/>
      <c r="CE107" s="286"/>
      <c r="CF107" s="286"/>
      <c r="CG107" s="286"/>
      <c r="CH107" s="286"/>
      <c r="CI107" s="286"/>
      <c r="CJ107" s="286"/>
      <c r="CK107" s="286"/>
      <c r="CL107" s="286"/>
      <c r="CM107" s="286"/>
      <c r="CN107" s="286"/>
      <c r="CO107" s="286"/>
      <c r="CP107" s="286"/>
      <c r="CQ107" s="286"/>
      <c r="CR107" s="286"/>
      <c r="CS107" s="286"/>
      <c r="CT107" s="286"/>
      <c r="CU107" s="286"/>
      <c r="CV107" s="286"/>
      <c r="CW107" s="286"/>
      <c r="CX107" s="286"/>
      <c r="CY107" s="286"/>
      <c r="CZ107" s="286"/>
      <c r="DA107" s="286"/>
      <c r="DB107" s="286"/>
      <c r="DC107" s="286"/>
      <c r="DD107" s="286"/>
      <c r="DE107" s="286"/>
      <c r="DF107" s="286"/>
      <c r="DG107" s="286"/>
      <c r="DH107" s="286"/>
      <c r="DI107" s="286"/>
      <c r="DJ107" s="286"/>
      <c r="DK107" s="286"/>
      <c r="DL107" s="286"/>
      <c r="DM107" s="286"/>
      <c r="DN107" s="286"/>
      <c r="DO107" s="286"/>
      <c r="DP107" s="286"/>
      <c r="DR107" s="58" t="str">
        <f>IF(ISNUMBER(MATCH(#REF!,'Audit Characteristic Mapping'!$B$3:$B$500,0)),"Y","")</f>
        <v/>
      </c>
      <c r="DS107" s="58" t="str">
        <f>IF(ISNUMBER(MATCH(#REF!,'Audit Characteristic Mapping'!$C$3:$C$500,0)),"Y","")</f>
        <v/>
      </c>
      <c r="DT107" s="58" t="str">
        <f>IF(ISNUMBER(MATCH(#REF!,'Audit Characteristic Mapping'!$D$3:$D$500,0)),"Y","")</f>
        <v/>
      </c>
      <c r="DU107" s="58" t="str">
        <f>IF(ISNUMBER(MATCH(#REF!,'Audit Characteristic Mapping'!$E$3:$E$500,0)),"Y","")</f>
        <v/>
      </c>
      <c r="DV107" s="58" t="str">
        <f>IF(ISNUMBER(MATCH(#REF!,'Audit Characteristic Mapping'!$F$3:$F$500,0)),"Y","")</f>
        <v/>
      </c>
      <c r="DW107" s="58" t="str">
        <f>IF(ISNUMBER(MATCH(#REF!,'Audit Characteristic Mapping'!$G$3:$G$500,0)),"Y","")</f>
        <v/>
      </c>
      <c r="DX107" s="58" t="str">
        <f>IF(ISNUMBER(MATCH(#REF!,'Audit Characteristic Mapping'!$H$3:$H$500,0)),"Y","")</f>
        <v/>
      </c>
      <c r="DY107" s="58" t="str">
        <f>IF(ISNUMBER(MATCH(#REF!,'Audit Characteristic Mapping'!$I$3:$I$500,0)),"Y","")</f>
        <v/>
      </c>
      <c r="DZ107" s="58" t="str">
        <f>IF(ISNUMBER(MATCH(#REF!,'Audit Characteristic Mapping'!$J$3:$J$500,0)),"Y","")</f>
        <v/>
      </c>
      <c r="EA107" s="58" t="str">
        <f>IF(ISNUMBER(MATCH(#REF!,'Audit Characteristic Mapping'!$K$3:$K$500,0)),"Y","")</f>
        <v/>
      </c>
    </row>
    <row r="108" spans="1:131" ht="16" hidden="1" x14ac:dyDescent="0.2">
      <c r="A108" s="288">
        <v>104</v>
      </c>
      <c r="B108" s="287" t="s">
        <v>174</v>
      </c>
      <c r="C108" s="226" t="s">
        <v>217</v>
      </c>
      <c r="D108" s="170">
        <v>2</v>
      </c>
      <c r="E108" s="288">
        <v>13</v>
      </c>
      <c r="F108" s="291" t="str">
        <f>VLOOKUP(Calculation!A108,'Descriptor maps'!$A$2:$F$1658,2,0)</f>
        <v>Facility details</v>
      </c>
      <c r="G108" s="289"/>
      <c r="H108" s="290"/>
      <c r="I108" s="291"/>
      <c r="J108" s="292" t="e" cm="1">
        <f t="array" ref="J108">INDEX('Descriptor maps'!$I$2:$I$1658,MATCH(1,('Descriptor maps'!$A$2:$A$1658=Calculation!$A108)*('Descriptor maps'!$G$2:$G$1658=Calculation!$G108),0))</f>
        <v>#N/A</v>
      </c>
      <c r="K108" s="226"/>
      <c r="L108" s="293"/>
      <c r="M108" s="293"/>
      <c r="N108" s="293"/>
      <c r="O108" s="293"/>
      <c r="P108" s="293"/>
      <c r="Q108" s="293"/>
      <c r="R108" s="293"/>
      <c r="S108" s="293"/>
      <c r="T108" s="293"/>
      <c r="U108" s="293"/>
      <c r="V108" s="293"/>
      <c r="W108" s="293"/>
      <c r="X108" s="293"/>
      <c r="Y108" s="293"/>
      <c r="Z108" s="293"/>
      <c r="AA108" s="293"/>
      <c r="AB108" s="293"/>
      <c r="AC108" s="293"/>
      <c r="AD108" s="293"/>
      <c r="AE108" s="293"/>
      <c r="AF108" s="293"/>
      <c r="AG108" s="293"/>
      <c r="AH108" s="293"/>
      <c r="AI108" s="293"/>
      <c r="AJ108" s="293"/>
      <c r="AK108" s="293"/>
      <c r="AL108" s="293"/>
      <c r="AM108" s="293"/>
      <c r="AN108" s="293"/>
      <c r="AO108" s="293"/>
      <c r="AP108" s="293"/>
      <c r="AQ108" s="293"/>
      <c r="AR108" s="293"/>
      <c r="AS108" s="293"/>
      <c r="AT108" s="293"/>
      <c r="AU108" s="293"/>
      <c r="AV108" s="293"/>
      <c r="AW108" s="293"/>
      <c r="AX108" s="293"/>
      <c r="AY108" s="293"/>
      <c r="AZ108" s="293"/>
      <c r="BA108" s="293"/>
      <c r="BB108" s="293"/>
      <c r="BC108" s="293"/>
      <c r="BD108" s="293"/>
      <c r="BE108" s="293"/>
      <c r="BF108" s="293"/>
      <c r="BG108" s="293"/>
      <c r="BH108" s="293"/>
      <c r="BI108" s="293"/>
      <c r="BJ108" s="293"/>
      <c r="BK108" s="293"/>
      <c r="BL108" s="293"/>
      <c r="BM108" s="293"/>
      <c r="BN108" s="293"/>
      <c r="BO108" s="293"/>
      <c r="BP108" s="293"/>
      <c r="BQ108" s="293"/>
      <c r="BR108" s="293"/>
      <c r="BS108" s="293"/>
      <c r="BT108" s="293"/>
      <c r="BU108" s="293"/>
      <c r="BV108" s="293"/>
      <c r="BW108" s="293"/>
      <c r="BX108" s="293"/>
      <c r="BY108" s="293"/>
      <c r="BZ108" s="293"/>
      <c r="CA108" s="285"/>
      <c r="CB108" s="286"/>
      <c r="CC108" s="286"/>
      <c r="CD108" s="286"/>
      <c r="CE108" s="286"/>
      <c r="CF108" s="286"/>
      <c r="CG108" s="286"/>
      <c r="CH108" s="286"/>
      <c r="CI108" s="286"/>
      <c r="CJ108" s="286"/>
      <c r="CK108" s="286"/>
      <c r="CL108" s="286"/>
      <c r="CM108" s="286"/>
      <c r="CN108" s="286"/>
      <c r="CO108" s="286"/>
      <c r="CP108" s="286"/>
      <c r="CQ108" s="286"/>
      <c r="CR108" s="286"/>
      <c r="CS108" s="286"/>
      <c r="CT108" s="286"/>
      <c r="CU108" s="286"/>
      <c r="CV108" s="286"/>
      <c r="CW108" s="286"/>
      <c r="CX108" s="286"/>
      <c r="CY108" s="286"/>
      <c r="CZ108" s="286"/>
      <c r="DA108" s="286"/>
      <c r="DB108" s="286"/>
      <c r="DC108" s="286"/>
      <c r="DD108" s="286"/>
      <c r="DE108" s="286"/>
      <c r="DF108" s="286"/>
      <c r="DG108" s="286"/>
      <c r="DH108" s="286"/>
      <c r="DI108" s="286"/>
      <c r="DJ108" s="286"/>
      <c r="DK108" s="286"/>
      <c r="DL108" s="286"/>
      <c r="DM108" s="286"/>
      <c r="DN108" s="286"/>
      <c r="DO108" s="286"/>
      <c r="DP108" s="286"/>
      <c r="DR108" s="58" t="str">
        <f>IF(ISNUMBER(MATCH(#REF!,'Audit Characteristic Mapping'!$B$3:$B$500,0)),"Y","")</f>
        <v/>
      </c>
      <c r="DS108" s="58" t="str">
        <f>IF(ISNUMBER(MATCH(#REF!,'Audit Characteristic Mapping'!$C$3:$C$500,0)),"Y","")</f>
        <v/>
      </c>
      <c r="DT108" s="58" t="str">
        <f>IF(ISNUMBER(MATCH(#REF!,'Audit Characteristic Mapping'!$D$3:$D$500,0)),"Y","")</f>
        <v/>
      </c>
      <c r="DU108" s="58" t="str">
        <f>IF(ISNUMBER(MATCH(#REF!,'Audit Characteristic Mapping'!$E$3:$E$500,0)),"Y","")</f>
        <v/>
      </c>
      <c r="DV108" s="58" t="str">
        <f>IF(ISNUMBER(MATCH(#REF!,'Audit Characteristic Mapping'!$F$3:$F$500,0)),"Y","")</f>
        <v/>
      </c>
      <c r="DW108" s="58" t="str">
        <f>IF(ISNUMBER(MATCH(#REF!,'Audit Characteristic Mapping'!$G$3:$G$500,0)),"Y","")</f>
        <v/>
      </c>
      <c r="DX108" s="58" t="str">
        <f>IF(ISNUMBER(MATCH(#REF!,'Audit Characteristic Mapping'!$H$3:$H$500,0)),"Y","")</f>
        <v/>
      </c>
      <c r="DY108" s="58" t="str">
        <f>IF(ISNUMBER(MATCH(#REF!,'Audit Characteristic Mapping'!$I$3:$I$500,0)),"Y","")</f>
        <v/>
      </c>
      <c r="DZ108" s="58" t="str">
        <f>IF(ISNUMBER(MATCH(#REF!,'Audit Characteristic Mapping'!$J$3:$J$500,0)),"Y","")</f>
        <v/>
      </c>
      <c r="EA108" s="58" t="str">
        <f>IF(ISNUMBER(MATCH(#REF!,'Audit Characteristic Mapping'!$K$3:$K$500,0)),"Y","")</f>
        <v/>
      </c>
    </row>
    <row r="109" spans="1:131" ht="16" hidden="1" x14ac:dyDescent="0.2">
      <c r="A109" s="288">
        <v>105</v>
      </c>
      <c r="B109" s="287" t="s">
        <v>174</v>
      </c>
      <c r="C109" s="226" t="s">
        <v>221</v>
      </c>
      <c r="D109" s="170">
        <v>2</v>
      </c>
      <c r="E109" s="288">
        <v>14</v>
      </c>
      <c r="F109" s="291" t="str">
        <f>VLOOKUP(Calculation!A109,'Descriptor maps'!$A$2:$F$1658,2,0)</f>
        <v>Facility details</v>
      </c>
      <c r="G109" s="289"/>
      <c r="H109" s="290"/>
      <c r="I109" s="291"/>
      <c r="J109" s="292" t="e" cm="1">
        <f t="array" ref="J109">INDEX('Descriptor maps'!$I$2:$I$1658,MATCH(1,('Descriptor maps'!$A$2:$A$1658=Calculation!$A109)*('Descriptor maps'!$G$2:$G$1658=Calculation!$G109),0))</f>
        <v>#N/A</v>
      </c>
      <c r="K109" s="226"/>
      <c r="L109" s="293"/>
      <c r="M109" s="293"/>
      <c r="N109" s="293"/>
      <c r="O109" s="293"/>
      <c r="P109" s="293"/>
      <c r="Q109" s="293"/>
      <c r="R109" s="293"/>
      <c r="S109" s="293"/>
      <c r="T109" s="293"/>
      <c r="U109" s="293"/>
      <c r="V109" s="293"/>
      <c r="W109" s="293"/>
      <c r="X109" s="293"/>
      <c r="Y109" s="293"/>
      <c r="Z109" s="293"/>
      <c r="AA109" s="293"/>
      <c r="AB109" s="293"/>
      <c r="AC109" s="293"/>
      <c r="AD109" s="293"/>
      <c r="AE109" s="293"/>
      <c r="AF109" s="293"/>
      <c r="AG109" s="293"/>
      <c r="AH109" s="293"/>
      <c r="AI109" s="293"/>
      <c r="AJ109" s="293"/>
      <c r="AK109" s="293"/>
      <c r="AL109" s="293"/>
      <c r="AM109" s="293"/>
      <c r="AN109" s="293"/>
      <c r="AO109" s="293"/>
      <c r="AP109" s="293"/>
      <c r="AQ109" s="293"/>
      <c r="AR109" s="293"/>
      <c r="AS109" s="293"/>
      <c r="AT109" s="293"/>
      <c r="AU109" s="293"/>
      <c r="AV109" s="293"/>
      <c r="AW109" s="293"/>
      <c r="AX109" s="293"/>
      <c r="AY109" s="293"/>
      <c r="AZ109" s="293"/>
      <c r="BA109" s="293"/>
      <c r="BB109" s="293"/>
      <c r="BC109" s="293"/>
      <c r="BD109" s="293"/>
      <c r="BE109" s="293"/>
      <c r="BF109" s="293"/>
      <c r="BG109" s="293"/>
      <c r="BH109" s="293"/>
      <c r="BI109" s="293"/>
      <c r="BJ109" s="293"/>
      <c r="BK109" s="293"/>
      <c r="BL109" s="293"/>
      <c r="BM109" s="293"/>
      <c r="BN109" s="293"/>
      <c r="BO109" s="293"/>
      <c r="BP109" s="293"/>
      <c r="BQ109" s="293"/>
      <c r="BR109" s="293"/>
      <c r="BS109" s="293"/>
      <c r="BT109" s="293"/>
      <c r="BU109" s="293"/>
      <c r="BV109" s="293"/>
      <c r="BW109" s="293"/>
      <c r="BX109" s="293"/>
      <c r="BY109" s="293"/>
      <c r="BZ109" s="293"/>
      <c r="CA109" s="285"/>
      <c r="CB109" s="286"/>
      <c r="CC109" s="286"/>
      <c r="CD109" s="286"/>
      <c r="CE109" s="286"/>
      <c r="CF109" s="286"/>
      <c r="CG109" s="286"/>
      <c r="CH109" s="286"/>
      <c r="CI109" s="286"/>
      <c r="CJ109" s="286"/>
      <c r="CK109" s="286"/>
      <c r="CL109" s="286"/>
      <c r="CM109" s="286"/>
      <c r="CN109" s="286"/>
      <c r="CO109" s="286"/>
      <c r="CP109" s="286"/>
      <c r="CQ109" s="286"/>
      <c r="CR109" s="286"/>
      <c r="CS109" s="286"/>
      <c r="CT109" s="286"/>
      <c r="CU109" s="286"/>
      <c r="CV109" s="286"/>
      <c r="CW109" s="286"/>
      <c r="CX109" s="286"/>
      <c r="CY109" s="286"/>
      <c r="CZ109" s="286"/>
      <c r="DA109" s="286"/>
      <c r="DB109" s="286"/>
      <c r="DC109" s="286"/>
      <c r="DD109" s="286"/>
      <c r="DE109" s="286"/>
      <c r="DF109" s="286"/>
      <c r="DG109" s="286"/>
      <c r="DH109" s="286"/>
      <c r="DI109" s="286"/>
      <c r="DJ109" s="286"/>
      <c r="DK109" s="286"/>
      <c r="DL109" s="286"/>
      <c r="DM109" s="286"/>
      <c r="DN109" s="286"/>
      <c r="DO109" s="286"/>
      <c r="DP109" s="286"/>
      <c r="DR109" s="58" t="str">
        <f>IF(ISNUMBER(MATCH(#REF!,'Audit Characteristic Mapping'!$B$3:$B$500,0)),"Y","")</f>
        <v/>
      </c>
      <c r="DS109" s="58" t="str">
        <f>IF(ISNUMBER(MATCH(#REF!,'Audit Characteristic Mapping'!$C$3:$C$500,0)),"Y","")</f>
        <v/>
      </c>
      <c r="DT109" s="58" t="str">
        <f>IF(ISNUMBER(MATCH(#REF!,'Audit Characteristic Mapping'!$D$3:$D$500,0)),"Y","")</f>
        <v/>
      </c>
      <c r="DU109" s="58" t="str">
        <f>IF(ISNUMBER(MATCH(#REF!,'Audit Characteristic Mapping'!$E$3:$E$500,0)),"Y","")</f>
        <v/>
      </c>
      <c r="DV109" s="58" t="str">
        <f>IF(ISNUMBER(MATCH(#REF!,'Audit Characteristic Mapping'!$F$3:$F$500,0)),"Y","")</f>
        <v/>
      </c>
      <c r="DW109" s="58" t="str">
        <f>IF(ISNUMBER(MATCH(#REF!,'Audit Characteristic Mapping'!$G$3:$G$500,0)),"Y","")</f>
        <v/>
      </c>
      <c r="DX109" s="58" t="str">
        <f>IF(ISNUMBER(MATCH(#REF!,'Audit Characteristic Mapping'!$H$3:$H$500,0)),"Y","")</f>
        <v/>
      </c>
      <c r="DY109" s="58" t="str">
        <f>IF(ISNUMBER(MATCH(#REF!,'Audit Characteristic Mapping'!$I$3:$I$500,0)),"Y","")</f>
        <v/>
      </c>
      <c r="DZ109" s="58" t="str">
        <f>IF(ISNUMBER(MATCH(#REF!,'Audit Characteristic Mapping'!$J$3:$J$500,0)),"Y","")</f>
        <v/>
      </c>
      <c r="EA109" s="58" t="str">
        <f>IF(ISNUMBER(MATCH(#REF!,'Audit Characteristic Mapping'!$K$3:$K$500,0)),"Y","")</f>
        <v/>
      </c>
    </row>
    <row r="110" spans="1:131" ht="16" hidden="1" x14ac:dyDescent="0.2">
      <c r="A110" s="288">
        <v>106</v>
      </c>
      <c r="B110" s="287" t="s">
        <v>174</v>
      </c>
      <c r="C110" s="226" t="s">
        <v>221</v>
      </c>
      <c r="D110" s="170">
        <v>2</v>
      </c>
      <c r="E110" s="288">
        <v>14</v>
      </c>
      <c r="F110" s="291" t="str">
        <f>VLOOKUP(Calculation!A110,'Descriptor maps'!$A$2:$F$1658,2,0)</f>
        <v>Facility details</v>
      </c>
      <c r="G110" s="289" t="s">
        <v>675</v>
      </c>
      <c r="H110" s="290"/>
      <c r="I110" s="291"/>
      <c r="J110" s="292" cm="1">
        <f t="array" ref="J110">INDEX('Descriptor maps'!$I$2:$I$1658,MATCH(1,('Descriptor maps'!$A$2:$A$1658=Calculation!$A110)*('Descriptor maps'!$G$2:$G$1658=Calculation!$G110),0))</f>
        <v>0</v>
      </c>
      <c r="K110" s="226"/>
      <c r="L110" s="293"/>
      <c r="M110" s="293"/>
      <c r="N110" s="293"/>
      <c r="O110" s="293"/>
      <c r="P110" s="293"/>
      <c r="Q110" s="293"/>
      <c r="R110" s="293"/>
      <c r="S110" s="293"/>
      <c r="T110" s="293"/>
      <c r="U110" s="293"/>
      <c r="V110" s="293"/>
      <c r="W110" s="293"/>
      <c r="X110" s="293"/>
      <c r="Y110" s="293"/>
      <c r="Z110" s="293"/>
      <c r="AA110" s="293"/>
      <c r="AB110" s="293"/>
      <c r="AC110" s="293"/>
      <c r="AD110" s="293"/>
      <c r="AE110" s="293"/>
      <c r="AF110" s="293"/>
      <c r="AG110" s="293"/>
      <c r="AH110" s="293"/>
      <c r="AI110" s="293"/>
      <c r="AJ110" s="293"/>
      <c r="AK110" s="293"/>
      <c r="AL110" s="293"/>
      <c r="AM110" s="293"/>
      <c r="AN110" s="293"/>
      <c r="AO110" s="293"/>
      <c r="AP110" s="293"/>
      <c r="AQ110" s="293"/>
      <c r="AR110" s="293"/>
      <c r="AS110" s="293"/>
      <c r="AT110" s="293"/>
      <c r="AU110" s="293"/>
      <c r="AV110" s="293"/>
      <c r="AW110" s="293"/>
      <c r="AX110" s="293"/>
      <c r="AY110" s="293"/>
      <c r="AZ110" s="293"/>
      <c r="BA110" s="293"/>
      <c r="BB110" s="293"/>
      <c r="BC110" s="293"/>
      <c r="BD110" s="293"/>
      <c r="BE110" s="293"/>
      <c r="BF110" s="293"/>
      <c r="BG110" s="293"/>
      <c r="BH110" s="293"/>
      <c r="BI110" s="293"/>
      <c r="BJ110" s="293"/>
      <c r="BK110" s="293"/>
      <c r="BL110" s="293"/>
      <c r="BM110" s="293"/>
      <c r="BN110" s="293"/>
      <c r="BO110" s="293"/>
      <c r="BP110" s="293"/>
      <c r="BQ110" s="293"/>
      <c r="BR110" s="293"/>
      <c r="BS110" s="293"/>
      <c r="BT110" s="293"/>
      <c r="BU110" s="293"/>
      <c r="BV110" s="293"/>
      <c r="BW110" s="293"/>
      <c r="BX110" s="293"/>
      <c r="BY110" s="293"/>
      <c r="BZ110" s="293"/>
      <c r="CA110" s="285"/>
      <c r="CB110" s="286"/>
      <c r="CC110" s="286"/>
      <c r="CD110" s="286"/>
      <c r="CE110" s="286"/>
      <c r="CF110" s="286"/>
      <c r="CG110" s="286"/>
      <c r="CH110" s="286"/>
      <c r="CI110" s="286"/>
      <c r="CJ110" s="286"/>
      <c r="CK110" s="286"/>
      <c r="CL110" s="286"/>
      <c r="CM110" s="286"/>
      <c r="CN110" s="286"/>
      <c r="CO110" s="286"/>
      <c r="CP110" s="286"/>
      <c r="CQ110" s="286"/>
      <c r="CR110" s="286"/>
      <c r="CS110" s="286"/>
      <c r="CT110" s="286"/>
      <c r="CU110" s="286"/>
      <c r="CV110" s="286"/>
      <c r="CW110" s="286"/>
      <c r="CX110" s="286"/>
      <c r="CY110" s="286"/>
      <c r="CZ110" s="286"/>
      <c r="DA110" s="286"/>
      <c r="DB110" s="286"/>
      <c r="DC110" s="286"/>
      <c r="DD110" s="286"/>
      <c r="DE110" s="286"/>
      <c r="DF110" s="286"/>
      <c r="DG110" s="286"/>
      <c r="DH110" s="286"/>
      <c r="DI110" s="286"/>
      <c r="DJ110" s="286"/>
      <c r="DK110" s="286"/>
      <c r="DL110" s="286"/>
      <c r="DM110" s="286"/>
      <c r="DN110" s="286"/>
      <c r="DO110" s="286"/>
      <c r="DP110" s="286"/>
      <c r="DR110" s="58" t="str">
        <f>IF(ISNUMBER(MATCH(#REF!,'Audit Characteristic Mapping'!$B$3:$B$500,0)),"Y","")</f>
        <v/>
      </c>
      <c r="DS110" s="58" t="str">
        <f>IF(ISNUMBER(MATCH(#REF!,'Audit Characteristic Mapping'!$C$3:$C$500,0)),"Y","")</f>
        <v/>
      </c>
      <c r="DT110" s="58" t="str">
        <f>IF(ISNUMBER(MATCH(#REF!,'Audit Characteristic Mapping'!$D$3:$D$500,0)),"Y","")</f>
        <v/>
      </c>
      <c r="DU110" s="58" t="str">
        <f>IF(ISNUMBER(MATCH(#REF!,'Audit Characteristic Mapping'!$E$3:$E$500,0)),"Y","")</f>
        <v/>
      </c>
      <c r="DV110" s="58" t="str">
        <f>IF(ISNUMBER(MATCH(#REF!,'Audit Characteristic Mapping'!$F$3:$F$500,0)),"Y","")</f>
        <v/>
      </c>
      <c r="DW110" s="58" t="str">
        <f>IF(ISNUMBER(MATCH(#REF!,'Audit Characteristic Mapping'!$G$3:$G$500,0)),"Y","")</f>
        <v/>
      </c>
      <c r="DX110" s="58" t="str">
        <f>IF(ISNUMBER(MATCH(#REF!,'Audit Characteristic Mapping'!$H$3:$H$500,0)),"Y","")</f>
        <v/>
      </c>
      <c r="DY110" s="58" t="str">
        <f>IF(ISNUMBER(MATCH(#REF!,'Audit Characteristic Mapping'!$I$3:$I$500,0)),"Y","")</f>
        <v/>
      </c>
      <c r="DZ110" s="58" t="str">
        <f>IF(ISNUMBER(MATCH(#REF!,'Audit Characteristic Mapping'!$J$3:$J$500,0)),"Y","")</f>
        <v/>
      </c>
      <c r="EA110" s="58" t="str">
        <f>IF(ISNUMBER(MATCH(#REF!,'Audit Characteristic Mapping'!$K$3:$K$500,0)),"Y","")</f>
        <v/>
      </c>
    </row>
    <row r="111" spans="1:131" ht="16" hidden="1" x14ac:dyDescent="0.2">
      <c r="A111" s="288">
        <v>461</v>
      </c>
      <c r="B111" s="287" t="s">
        <v>174</v>
      </c>
      <c r="C111" s="226" t="s">
        <v>224</v>
      </c>
      <c r="D111" s="170">
        <v>2</v>
      </c>
      <c r="E111" s="288">
        <v>15</v>
      </c>
      <c r="F111" s="291" t="str">
        <f>VLOOKUP(Calculation!A111,'Descriptor maps'!$A$2:$F$1658,2,0)</f>
        <v>Facility details</v>
      </c>
      <c r="G111" s="289" t="s">
        <v>8</v>
      </c>
      <c r="H111" s="290"/>
      <c r="I111" s="291"/>
      <c r="J111" s="292" cm="1">
        <f t="array" ref="J111">INDEX('Descriptor maps'!$I$2:$I$1658,MATCH(1,('Descriptor maps'!$A$2:$A$1658=Calculation!$A111)*('Descriptor maps'!$G$2:$G$1658=Calculation!$G111),0))</f>
        <v>0</v>
      </c>
      <c r="K111" s="226"/>
      <c r="L111" s="293"/>
      <c r="M111" s="293"/>
      <c r="N111" s="293"/>
      <c r="O111" s="293"/>
      <c r="P111" s="293"/>
      <c r="Q111" s="293"/>
      <c r="R111" s="293"/>
      <c r="S111" s="293"/>
      <c r="T111" s="293"/>
      <c r="U111" s="293"/>
      <c r="V111" s="293"/>
      <c r="W111" s="293"/>
      <c r="X111" s="293"/>
      <c r="Y111" s="293"/>
      <c r="Z111" s="293"/>
      <c r="AA111" s="293"/>
      <c r="AB111" s="293"/>
      <c r="AC111" s="293"/>
      <c r="AD111" s="293"/>
      <c r="AE111" s="293"/>
      <c r="AF111" s="293"/>
      <c r="AG111" s="293"/>
      <c r="AH111" s="293"/>
      <c r="AI111" s="293"/>
      <c r="AJ111" s="293"/>
      <c r="AK111" s="293"/>
      <c r="AL111" s="293"/>
      <c r="AM111" s="293"/>
      <c r="AN111" s="293"/>
      <c r="AO111" s="293"/>
      <c r="AP111" s="293"/>
      <c r="AQ111" s="293"/>
      <c r="AR111" s="293"/>
      <c r="AS111" s="293"/>
      <c r="AT111" s="293"/>
      <c r="AU111" s="293"/>
      <c r="AV111" s="293"/>
      <c r="AW111" s="293"/>
      <c r="AX111" s="293"/>
      <c r="AY111" s="293"/>
      <c r="AZ111" s="293"/>
      <c r="BA111" s="293"/>
      <c r="BB111" s="293"/>
      <c r="BC111" s="293"/>
      <c r="BD111" s="293"/>
      <c r="BE111" s="293"/>
      <c r="BF111" s="293"/>
      <c r="BG111" s="293"/>
      <c r="BH111" s="293"/>
      <c r="BI111" s="293"/>
      <c r="BJ111" s="293"/>
      <c r="BK111" s="293"/>
      <c r="BL111" s="293"/>
      <c r="BM111" s="293"/>
      <c r="BN111" s="293"/>
      <c r="BO111" s="293"/>
      <c r="BP111" s="293"/>
      <c r="BQ111" s="293"/>
      <c r="BR111" s="293"/>
      <c r="BS111" s="293"/>
      <c r="BT111" s="293"/>
      <c r="BU111" s="293"/>
      <c r="BV111" s="293"/>
      <c r="BW111" s="293"/>
      <c r="BX111" s="293"/>
      <c r="BY111" s="293"/>
      <c r="BZ111" s="293"/>
      <c r="CA111" s="285"/>
      <c r="CB111" s="286"/>
      <c r="CC111" s="286"/>
      <c r="CD111" s="286"/>
      <c r="CE111" s="286"/>
      <c r="CF111" s="286"/>
      <c r="CG111" s="286"/>
      <c r="CH111" s="286"/>
      <c r="CI111" s="286"/>
      <c r="CJ111" s="286"/>
      <c r="CK111" s="286"/>
      <c r="CL111" s="286"/>
      <c r="CM111" s="286"/>
      <c r="CN111" s="286"/>
      <c r="CO111" s="286"/>
      <c r="CP111" s="286"/>
      <c r="CQ111" s="286"/>
      <c r="CR111" s="286"/>
      <c r="CS111" s="286"/>
      <c r="CT111" s="286"/>
      <c r="CU111" s="286"/>
      <c r="CV111" s="286"/>
      <c r="CW111" s="286"/>
      <c r="CX111" s="286"/>
      <c r="CY111" s="286"/>
      <c r="CZ111" s="286"/>
      <c r="DA111" s="286"/>
      <c r="DB111" s="286"/>
      <c r="DC111" s="286"/>
      <c r="DD111" s="286"/>
      <c r="DE111" s="286"/>
      <c r="DF111" s="286"/>
      <c r="DG111" s="286"/>
      <c r="DH111" s="286"/>
      <c r="DI111" s="286"/>
      <c r="DJ111" s="286"/>
      <c r="DK111" s="286"/>
      <c r="DL111" s="286"/>
      <c r="DM111" s="286"/>
      <c r="DN111" s="286"/>
      <c r="DO111" s="286"/>
      <c r="DP111" s="286"/>
      <c r="DR111" s="58" t="str">
        <f>IF(ISNUMBER(MATCH(#REF!,'Audit Characteristic Mapping'!$B$3:$B$500,0)),"Y","")</f>
        <v/>
      </c>
      <c r="DS111" s="58" t="str">
        <f>IF(ISNUMBER(MATCH(#REF!,'Audit Characteristic Mapping'!$C$3:$C$500,0)),"Y","")</f>
        <v/>
      </c>
      <c r="DT111" s="58" t="str">
        <f>IF(ISNUMBER(MATCH(#REF!,'Audit Characteristic Mapping'!$D$3:$D$500,0)),"Y","")</f>
        <v/>
      </c>
      <c r="DU111" s="58" t="str">
        <f>IF(ISNUMBER(MATCH(#REF!,'Audit Characteristic Mapping'!$E$3:$E$500,0)),"Y","")</f>
        <v/>
      </c>
      <c r="DV111" s="58" t="str">
        <f>IF(ISNUMBER(MATCH(#REF!,'Audit Characteristic Mapping'!$F$3:$F$500,0)),"Y","")</f>
        <v/>
      </c>
      <c r="DW111" s="58" t="str">
        <f>IF(ISNUMBER(MATCH(#REF!,'Audit Characteristic Mapping'!$G$3:$G$500,0)),"Y","")</f>
        <v/>
      </c>
      <c r="DX111" s="58" t="str">
        <f>IF(ISNUMBER(MATCH(#REF!,'Audit Characteristic Mapping'!$H$3:$H$500,0)),"Y","")</f>
        <v/>
      </c>
      <c r="DY111" s="58" t="str">
        <f>IF(ISNUMBER(MATCH(#REF!,'Audit Characteristic Mapping'!$I$3:$I$500,0)),"Y","")</f>
        <v/>
      </c>
      <c r="DZ111" s="58" t="str">
        <f>IF(ISNUMBER(MATCH(#REF!,'Audit Characteristic Mapping'!$J$3:$J$500,0)),"Y","")</f>
        <v/>
      </c>
      <c r="EA111" s="58" t="str">
        <f>IF(ISNUMBER(MATCH(#REF!,'Audit Characteristic Mapping'!$K$3:$K$500,0)),"Y","")</f>
        <v/>
      </c>
    </row>
    <row r="112" spans="1:131" ht="16" hidden="1" x14ac:dyDescent="0.2">
      <c r="A112" s="288">
        <v>107</v>
      </c>
      <c r="B112" s="287" t="s">
        <v>174</v>
      </c>
      <c r="C112" s="226" t="s">
        <v>224</v>
      </c>
      <c r="D112" s="170">
        <v>2</v>
      </c>
      <c r="E112" s="288">
        <v>15</v>
      </c>
      <c r="F112" s="291" t="e">
        <f>VLOOKUP(Calculation!A112,'Descriptor maps'!$A$2:$F$1658,2,0)</f>
        <v>#N/A</v>
      </c>
      <c r="G112" s="289"/>
      <c r="H112" s="290"/>
      <c r="I112" s="291"/>
      <c r="J112" s="292" t="e" cm="1">
        <f t="array" ref="J112">INDEX('Descriptor maps'!$I$2:$I$1658,MATCH(1,('Descriptor maps'!$A$2:$A$1658=Calculation!$A112)*('Descriptor maps'!$G$2:$G$1658=Calculation!$G112),0))</f>
        <v>#N/A</v>
      </c>
      <c r="K112" s="226"/>
      <c r="L112" s="293"/>
      <c r="M112" s="293"/>
      <c r="N112" s="293"/>
      <c r="O112" s="293"/>
      <c r="P112" s="293"/>
      <c r="Q112" s="293"/>
      <c r="R112" s="293"/>
      <c r="S112" s="293"/>
      <c r="T112" s="293"/>
      <c r="U112" s="293"/>
      <c r="V112" s="293"/>
      <c r="W112" s="293"/>
      <c r="X112" s="293"/>
      <c r="Y112" s="293"/>
      <c r="Z112" s="293"/>
      <c r="AA112" s="293"/>
      <c r="AB112" s="293"/>
      <c r="AC112" s="293"/>
      <c r="AD112" s="293"/>
      <c r="AE112" s="293"/>
      <c r="AF112" s="293"/>
      <c r="AG112" s="293"/>
      <c r="AH112" s="293"/>
      <c r="AI112" s="293"/>
      <c r="AJ112" s="293"/>
      <c r="AK112" s="293"/>
      <c r="AL112" s="293"/>
      <c r="AM112" s="293"/>
      <c r="AN112" s="293"/>
      <c r="AO112" s="293"/>
      <c r="AP112" s="293"/>
      <c r="AQ112" s="293"/>
      <c r="AR112" s="293"/>
      <c r="AS112" s="293"/>
      <c r="AT112" s="293"/>
      <c r="AU112" s="293"/>
      <c r="AV112" s="293"/>
      <c r="AW112" s="293"/>
      <c r="AX112" s="293"/>
      <c r="AY112" s="293"/>
      <c r="AZ112" s="293"/>
      <c r="BA112" s="293"/>
      <c r="BB112" s="293"/>
      <c r="BC112" s="293"/>
      <c r="BD112" s="293"/>
      <c r="BE112" s="293"/>
      <c r="BF112" s="293"/>
      <c r="BG112" s="293"/>
      <c r="BH112" s="293"/>
      <c r="BI112" s="293"/>
      <c r="BJ112" s="293"/>
      <c r="BK112" s="293"/>
      <c r="BL112" s="293"/>
      <c r="BM112" s="293"/>
      <c r="BN112" s="293"/>
      <c r="BO112" s="293"/>
      <c r="BP112" s="293"/>
      <c r="BQ112" s="293"/>
      <c r="BR112" s="293"/>
      <c r="BS112" s="293"/>
      <c r="BT112" s="293"/>
      <c r="BU112" s="293"/>
      <c r="BV112" s="293"/>
      <c r="BW112" s="293"/>
      <c r="BX112" s="293"/>
      <c r="BY112" s="293"/>
      <c r="BZ112" s="293"/>
      <c r="CA112" s="285"/>
      <c r="CB112" s="286"/>
      <c r="CC112" s="286"/>
      <c r="CD112" s="286"/>
      <c r="CE112" s="286"/>
      <c r="CF112" s="286"/>
      <c r="CG112" s="286"/>
      <c r="CH112" s="286"/>
      <c r="CI112" s="286"/>
      <c r="CJ112" s="286"/>
      <c r="CK112" s="286"/>
      <c r="CL112" s="286"/>
      <c r="CM112" s="286"/>
      <c r="CN112" s="286"/>
      <c r="CO112" s="286"/>
      <c r="CP112" s="286"/>
      <c r="CQ112" s="286"/>
      <c r="CR112" s="286"/>
      <c r="CS112" s="286"/>
      <c r="CT112" s="286"/>
      <c r="CU112" s="286"/>
      <c r="CV112" s="286"/>
      <c r="CW112" s="286"/>
      <c r="CX112" s="286"/>
      <c r="CY112" s="286"/>
      <c r="CZ112" s="286"/>
      <c r="DA112" s="286"/>
      <c r="DB112" s="286"/>
      <c r="DC112" s="286"/>
      <c r="DD112" s="286"/>
      <c r="DE112" s="286"/>
      <c r="DF112" s="286"/>
      <c r="DG112" s="286"/>
      <c r="DH112" s="286"/>
      <c r="DI112" s="286"/>
      <c r="DJ112" s="286"/>
      <c r="DK112" s="286"/>
      <c r="DL112" s="286"/>
      <c r="DM112" s="286"/>
      <c r="DN112" s="286"/>
      <c r="DO112" s="286"/>
      <c r="DP112" s="286"/>
      <c r="DR112" s="58" t="str">
        <f>IF(ISNUMBER(MATCH(#REF!,'Audit Characteristic Mapping'!$B$3:$B$500,0)),"Y","")</f>
        <v/>
      </c>
      <c r="DS112" s="58" t="str">
        <f>IF(ISNUMBER(MATCH(#REF!,'Audit Characteristic Mapping'!$C$3:$C$500,0)),"Y","")</f>
        <v/>
      </c>
      <c r="DT112" s="58" t="str">
        <f>IF(ISNUMBER(MATCH(#REF!,'Audit Characteristic Mapping'!$D$3:$D$500,0)),"Y","")</f>
        <v/>
      </c>
      <c r="DU112" s="58" t="str">
        <f>IF(ISNUMBER(MATCH(#REF!,'Audit Characteristic Mapping'!$E$3:$E$500,0)),"Y","")</f>
        <v/>
      </c>
      <c r="DV112" s="58" t="str">
        <f>IF(ISNUMBER(MATCH(#REF!,'Audit Characteristic Mapping'!$F$3:$F$500,0)),"Y","")</f>
        <v/>
      </c>
      <c r="DW112" s="58" t="str">
        <f>IF(ISNUMBER(MATCH(#REF!,'Audit Characteristic Mapping'!$G$3:$G$500,0)),"Y","")</f>
        <v/>
      </c>
      <c r="DX112" s="58" t="str">
        <f>IF(ISNUMBER(MATCH(#REF!,'Audit Characteristic Mapping'!$H$3:$H$500,0)),"Y","")</f>
        <v/>
      </c>
      <c r="DY112" s="58" t="str">
        <f>IF(ISNUMBER(MATCH(#REF!,'Audit Characteristic Mapping'!$I$3:$I$500,0)),"Y","")</f>
        <v/>
      </c>
      <c r="DZ112" s="58" t="str">
        <f>IF(ISNUMBER(MATCH(#REF!,'Audit Characteristic Mapping'!$J$3:$J$500,0)),"Y","")</f>
        <v/>
      </c>
      <c r="EA112" s="58" t="str">
        <f>IF(ISNUMBER(MATCH(#REF!,'Audit Characteristic Mapping'!$K$3:$K$500,0)),"Y","")</f>
        <v/>
      </c>
    </row>
    <row r="113" spans="1:131" ht="16" hidden="1" x14ac:dyDescent="0.2">
      <c r="A113" s="288">
        <v>108</v>
      </c>
      <c r="B113" s="287" t="s">
        <v>174</v>
      </c>
      <c r="C113" s="226" t="s">
        <v>224</v>
      </c>
      <c r="D113" s="170">
        <v>2</v>
      </c>
      <c r="E113" s="288">
        <v>15</v>
      </c>
      <c r="F113" s="291" t="str">
        <f>VLOOKUP(Calculation!A113,'Descriptor maps'!$A$2:$F$1658,2,0)</f>
        <v>Facility details</v>
      </c>
      <c r="G113" s="289" t="s">
        <v>676</v>
      </c>
      <c r="H113" s="290"/>
      <c r="I113" s="291"/>
      <c r="J113" s="292" cm="1">
        <f t="array" ref="J113">INDEX('Descriptor maps'!$I$2:$I$1658,MATCH(1,('Descriptor maps'!$A$2:$A$1658=Calculation!$A113)*('Descriptor maps'!$G$2:$G$1658=Calculation!$G113),0))</f>
        <v>0</v>
      </c>
      <c r="K113" s="226"/>
      <c r="L113" s="293"/>
      <c r="M113" s="293"/>
      <c r="N113" s="293"/>
      <c r="O113" s="293"/>
      <c r="P113" s="293"/>
      <c r="Q113" s="293"/>
      <c r="R113" s="293"/>
      <c r="S113" s="293"/>
      <c r="T113" s="293"/>
      <c r="U113" s="293"/>
      <c r="V113" s="293"/>
      <c r="W113" s="293"/>
      <c r="X113" s="293"/>
      <c r="Y113" s="293"/>
      <c r="Z113" s="293"/>
      <c r="AA113" s="293"/>
      <c r="AB113" s="293"/>
      <c r="AC113" s="293"/>
      <c r="AD113" s="293"/>
      <c r="AE113" s="293"/>
      <c r="AF113" s="293"/>
      <c r="AG113" s="293"/>
      <c r="AH113" s="293"/>
      <c r="AI113" s="293"/>
      <c r="AJ113" s="293"/>
      <c r="AK113" s="293"/>
      <c r="AL113" s="293"/>
      <c r="AM113" s="293"/>
      <c r="AN113" s="293"/>
      <c r="AO113" s="293"/>
      <c r="AP113" s="293"/>
      <c r="AQ113" s="293"/>
      <c r="AR113" s="293"/>
      <c r="AS113" s="293"/>
      <c r="AT113" s="293"/>
      <c r="AU113" s="293"/>
      <c r="AV113" s="293"/>
      <c r="AW113" s="293"/>
      <c r="AX113" s="293"/>
      <c r="AY113" s="293"/>
      <c r="AZ113" s="293"/>
      <c r="BA113" s="293"/>
      <c r="BB113" s="293"/>
      <c r="BC113" s="293"/>
      <c r="BD113" s="293"/>
      <c r="BE113" s="293"/>
      <c r="BF113" s="293"/>
      <c r="BG113" s="293"/>
      <c r="BH113" s="293"/>
      <c r="BI113" s="293"/>
      <c r="BJ113" s="293"/>
      <c r="BK113" s="293"/>
      <c r="BL113" s="293"/>
      <c r="BM113" s="293"/>
      <c r="BN113" s="293"/>
      <c r="BO113" s="293"/>
      <c r="BP113" s="293"/>
      <c r="BQ113" s="293"/>
      <c r="BR113" s="293"/>
      <c r="BS113" s="293"/>
      <c r="BT113" s="293"/>
      <c r="BU113" s="293"/>
      <c r="BV113" s="293"/>
      <c r="BW113" s="293"/>
      <c r="BX113" s="293"/>
      <c r="BY113" s="293"/>
      <c r="BZ113" s="293"/>
      <c r="CA113" s="285"/>
      <c r="CB113" s="286"/>
      <c r="CC113" s="286"/>
      <c r="CD113" s="286"/>
      <c r="CE113" s="286"/>
      <c r="CF113" s="286"/>
      <c r="CG113" s="286"/>
      <c r="CH113" s="286"/>
      <c r="CI113" s="286"/>
      <c r="CJ113" s="286"/>
      <c r="CK113" s="286"/>
      <c r="CL113" s="286"/>
      <c r="CM113" s="286"/>
      <c r="CN113" s="286"/>
      <c r="CO113" s="286"/>
      <c r="CP113" s="286"/>
      <c r="CQ113" s="286"/>
      <c r="CR113" s="286"/>
      <c r="CS113" s="286"/>
      <c r="CT113" s="286"/>
      <c r="CU113" s="286"/>
      <c r="CV113" s="286"/>
      <c r="CW113" s="286"/>
      <c r="CX113" s="286"/>
      <c r="CY113" s="286"/>
      <c r="CZ113" s="286"/>
      <c r="DA113" s="286"/>
      <c r="DB113" s="286"/>
      <c r="DC113" s="286"/>
      <c r="DD113" s="286"/>
      <c r="DE113" s="286"/>
      <c r="DF113" s="286"/>
      <c r="DG113" s="286"/>
      <c r="DH113" s="286"/>
      <c r="DI113" s="286"/>
      <c r="DJ113" s="286"/>
      <c r="DK113" s="286"/>
      <c r="DL113" s="286"/>
      <c r="DM113" s="286"/>
      <c r="DN113" s="286"/>
      <c r="DO113" s="286"/>
      <c r="DP113" s="286"/>
      <c r="DR113" s="58" t="str">
        <f>IF(ISNUMBER(MATCH(#REF!,'Audit Characteristic Mapping'!$B$3:$B$500,0)),"Y","")</f>
        <v/>
      </c>
      <c r="DS113" s="58" t="str">
        <f>IF(ISNUMBER(MATCH(#REF!,'Audit Characteristic Mapping'!$C$3:$C$500,0)),"Y","")</f>
        <v/>
      </c>
      <c r="DT113" s="58" t="str">
        <f>IF(ISNUMBER(MATCH(#REF!,'Audit Characteristic Mapping'!$D$3:$D$500,0)),"Y","")</f>
        <v/>
      </c>
      <c r="DU113" s="58" t="str">
        <f>IF(ISNUMBER(MATCH(#REF!,'Audit Characteristic Mapping'!$E$3:$E$500,0)),"Y","")</f>
        <v/>
      </c>
      <c r="DV113" s="58" t="str">
        <f>IF(ISNUMBER(MATCH(#REF!,'Audit Characteristic Mapping'!$F$3:$F$500,0)),"Y","")</f>
        <v/>
      </c>
      <c r="DW113" s="58" t="str">
        <f>IF(ISNUMBER(MATCH(#REF!,'Audit Characteristic Mapping'!$G$3:$G$500,0)),"Y","")</f>
        <v/>
      </c>
      <c r="DX113" s="58" t="str">
        <f>IF(ISNUMBER(MATCH(#REF!,'Audit Characteristic Mapping'!$H$3:$H$500,0)),"Y","")</f>
        <v/>
      </c>
      <c r="DY113" s="58" t="str">
        <f>IF(ISNUMBER(MATCH(#REF!,'Audit Characteristic Mapping'!$I$3:$I$500,0)),"Y","")</f>
        <v/>
      </c>
      <c r="DZ113" s="58" t="str">
        <f>IF(ISNUMBER(MATCH(#REF!,'Audit Characteristic Mapping'!$J$3:$J$500,0)),"Y","")</f>
        <v/>
      </c>
      <c r="EA113" s="58" t="str">
        <f>IF(ISNUMBER(MATCH(#REF!,'Audit Characteristic Mapping'!$K$3:$K$500,0)),"Y","")</f>
        <v/>
      </c>
    </row>
    <row r="114" spans="1:131" ht="16" hidden="1" x14ac:dyDescent="0.2">
      <c r="A114" s="288">
        <v>109</v>
      </c>
      <c r="B114" s="287" t="s">
        <v>174</v>
      </c>
      <c r="C114" s="226" t="s">
        <v>224</v>
      </c>
      <c r="D114" s="170">
        <v>2</v>
      </c>
      <c r="E114" s="288">
        <v>15</v>
      </c>
      <c r="F114" s="291" t="str">
        <f>VLOOKUP(Calculation!A114,'Descriptor maps'!$A$2:$F$1658,2,0)</f>
        <v>Facility details</v>
      </c>
      <c r="G114" s="289"/>
      <c r="H114" s="290"/>
      <c r="I114" s="291"/>
      <c r="J114" s="292" t="e" cm="1">
        <f t="array" ref="J114">INDEX('Descriptor maps'!$I$2:$I$1658,MATCH(1,('Descriptor maps'!$A$2:$A$1658=Calculation!$A114)*('Descriptor maps'!$G$2:$G$1658=Calculation!$G114),0))</f>
        <v>#N/A</v>
      </c>
      <c r="K114" s="226"/>
      <c r="L114" s="293"/>
      <c r="M114" s="293"/>
      <c r="N114" s="293"/>
      <c r="O114" s="293"/>
      <c r="P114" s="293"/>
      <c r="Q114" s="293"/>
      <c r="R114" s="293"/>
      <c r="S114" s="293"/>
      <c r="T114" s="293"/>
      <c r="U114" s="293"/>
      <c r="V114" s="293"/>
      <c r="W114" s="293"/>
      <c r="X114" s="293"/>
      <c r="Y114" s="293"/>
      <c r="Z114" s="293"/>
      <c r="AA114" s="293"/>
      <c r="AB114" s="293"/>
      <c r="AC114" s="293"/>
      <c r="AD114" s="293"/>
      <c r="AE114" s="293"/>
      <c r="AF114" s="293"/>
      <c r="AG114" s="293"/>
      <c r="AH114" s="293"/>
      <c r="AI114" s="293"/>
      <c r="AJ114" s="293"/>
      <c r="AK114" s="293"/>
      <c r="AL114" s="293"/>
      <c r="AM114" s="293"/>
      <c r="AN114" s="293"/>
      <c r="AO114" s="293"/>
      <c r="AP114" s="293"/>
      <c r="AQ114" s="293"/>
      <c r="AR114" s="293"/>
      <c r="AS114" s="293"/>
      <c r="AT114" s="293"/>
      <c r="AU114" s="293"/>
      <c r="AV114" s="293"/>
      <c r="AW114" s="293"/>
      <c r="AX114" s="293"/>
      <c r="AY114" s="293"/>
      <c r="AZ114" s="293"/>
      <c r="BA114" s="293"/>
      <c r="BB114" s="293"/>
      <c r="BC114" s="293"/>
      <c r="BD114" s="293"/>
      <c r="BE114" s="293"/>
      <c r="BF114" s="293"/>
      <c r="BG114" s="293"/>
      <c r="BH114" s="293"/>
      <c r="BI114" s="293"/>
      <c r="BJ114" s="293"/>
      <c r="BK114" s="293"/>
      <c r="BL114" s="293"/>
      <c r="BM114" s="293"/>
      <c r="BN114" s="293"/>
      <c r="BO114" s="293"/>
      <c r="BP114" s="293"/>
      <c r="BQ114" s="293"/>
      <c r="BR114" s="293"/>
      <c r="BS114" s="293"/>
      <c r="BT114" s="293"/>
      <c r="BU114" s="293"/>
      <c r="BV114" s="293"/>
      <c r="BW114" s="293"/>
      <c r="BX114" s="293"/>
      <c r="BY114" s="293"/>
      <c r="BZ114" s="293"/>
      <c r="CA114" s="285"/>
      <c r="CB114" s="286"/>
      <c r="CC114" s="286"/>
      <c r="CD114" s="286"/>
      <c r="CE114" s="286"/>
      <c r="CF114" s="286"/>
      <c r="CG114" s="286"/>
      <c r="CH114" s="286"/>
      <c r="CI114" s="286"/>
      <c r="CJ114" s="286"/>
      <c r="CK114" s="286"/>
      <c r="CL114" s="286"/>
      <c r="CM114" s="286"/>
      <c r="CN114" s="286"/>
      <c r="CO114" s="286"/>
      <c r="CP114" s="286"/>
      <c r="CQ114" s="286"/>
      <c r="CR114" s="286"/>
      <c r="CS114" s="286"/>
      <c r="CT114" s="286"/>
      <c r="CU114" s="286"/>
      <c r="CV114" s="286"/>
      <c r="CW114" s="286"/>
      <c r="CX114" s="286"/>
      <c r="CY114" s="286"/>
      <c r="CZ114" s="286"/>
      <c r="DA114" s="286"/>
      <c r="DB114" s="286"/>
      <c r="DC114" s="286"/>
      <c r="DD114" s="286"/>
      <c r="DE114" s="286"/>
      <c r="DF114" s="286"/>
      <c r="DG114" s="286"/>
      <c r="DH114" s="286"/>
      <c r="DI114" s="286"/>
      <c r="DJ114" s="286"/>
      <c r="DK114" s="286"/>
      <c r="DL114" s="286"/>
      <c r="DM114" s="286"/>
      <c r="DN114" s="286"/>
      <c r="DO114" s="286"/>
      <c r="DP114" s="286"/>
      <c r="DR114" s="58" t="str">
        <f>IF(ISNUMBER(MATCH(#REF!,'Audit Characteristic Mapping'!$B$3:$B$500,0)),"Y","")</f>
        <v/>
      </c>
      <c r="DS114" s="58" t="str">
        <f>IF(ISNUMBER(MATCH(#REF!,'Audit Characteristic Mapping'!$C$3:$C$500,0)),"Y","")</f>
        <v/>
      </c>
      <c r="DT114" s="58" t="str">
        <f>IF(ISNUMBER(MATCH(#REF!,'Audit Characteristic Mapping'!$D$3:$D$500,0)),"Y","")</f>
        <v/>
      </c>
      <c r="DU114" s="58" t="str">
        <f>IF(ISNUMBER(MATCH(#REF!,'Audit Characteristic Mapping'!$E$3:$E$500,0)),"Y","")</f>
        <v/>
      </c>
      <c r="DV114" s="58" t="str">
        <f>IF(ISNUMBER(MATCH(#REF!,'Audit Characteristic Mapping'!$F$3:$F$500,0)),"Y","")</f>
        <v/>
      </c>
      <c r="DW114" s="58" t="str">
        <f>IF(ISNUMBER(MATCH(#REF!,'Audit Characteristic Mapping'!$G$3:$G$500,0)),"Y","")</f>
        <v/>
      </c>
      <c r="DX114" s="58" t="str">
        <f>IF(ISNUMBER(MATCH(#REF!,'Audit Characteristic Mapping'!$H$3:$H$500,0)),"Y","")</f>
        <v/>
      </c>
      <c r="DY114" s="58" t="str">
        <f>IF(ISNUMBER(MATCH(#REF!,'Audit Characteristic Mapping'!$I$3:$I$500,0)),"Y","")</f>
        <v/>
      </c>
      <c r="DZ114" s="58" t="str">
        <f>IF(ISNUMBER(MATCH(#REF!,'Audit Characteristic Mapping'!$J$3:$J$500,0)),"Y","")</f>
        <v/>
      </c>
      <c r="EA114" s="58" t="str">
        <f>IF(ISNUMBER(MATCH(#REF!,'Audit Characteristic Mapping'!$K$3:$K$500,0)),"Y","")</f>
        <v/>
      </c>
    </row>
    <row r="115" spans="1:131" ht="16" hidden="1" x14ac:dyDescent="0.2">
      <c r="A115" s="288">
        <v>110</v>
      </c>
      <c r="B115" s="287" t="s">
        <v>174</v>
      </c>
      <c r="C115" s="226" t="s">
        <v>224</v>
      </c>
      <c r="D115" s="170">
        <v>2</v>
      </c>
      <c r="E115" s="288">
        <v>15</v>
      </c>
      <c r="F115" s="291" t="e">
        <f>VLOOKUP(Calculation!A115,'Descriptor maps'!$A$2:$F$1658,2,0)</f>
        <v>#N/A</v>
      </c>
      <c r="G115" s="289"/>
      <c r="H115" s="290"/>
      <c r="I115" s="291"/>
      <c r="J115" s="292" t="e" cm="1">
        <f t="array" ref="J115">INDEX('Descriptor maps'!$I$2:$I$1658,MATCH(1,('Descriptor maps'!$A$2:$A$1658=Calculation!$A115)*('Descriptor maps'!$G$2:$G$1658=Calculation!$G115),0))</f>
        <v>#N/A</v>
      </c>
      <c r="K115" s="226"/>
      <c r="L115" s="293"/>
      <c r="M115" s="293"/>
      <c r="N115" s="293"/>
      <c r="O115" s="293"/>
      <c r="P115" s="293"/>
      <c r="Q115" s="293"/>
      <c r="R115" s="293"/>
      <c r="S115" s="293"/>
      <c r="T115" s="293"/>
      <c r="U115" s="293"/>
      <c r="V115" s="293"/>
      <c r="W115" s="293"/>
      <c r="X115" s="293"/>
      <c r="Y115" s="293"/>
      <c r="Z115" s="293"/>
      <c r="AA115" s="293"/>
      <c r="AB115" s="293"/>
      <c r="AC115" s="293"/>
      <c r="AD115" s="293"/>
      <c r="AE115" s="293"/>
      <c r="AF115" s="293"/>
      <c r="AG115" s="293"/>
      <c r="AH115" s="293"/>
      <c r="AI115" s="293"/>
      <c r="AJ115" s="293"/>
      <c r="AK115" s="293"/>
      <c r="AL115" s="293"/>
      <c r="AM115" s="293"/>
      <c r="AN115" s="293"/>
      <c r="AO115" s="293"/>
      <c r="AP115" s="293"/>
      <c r="AQ115" s="293"/>
      <c r="AR115" s="293"/>
      <c r="AS115" s="293"/>
      <c r="AT115" s="293"/>
      <c r="AU115" s="293"/>
      <c r="AV115" s="293"/>
      <c r="AW115" s="293"/>
      <c r="AX115" s="293"/>
      <c r="AY115" s="293"/>
      <c r="AZ115" s="293"/>
      <c r="BA115" s="293"/>
      <c r="BB115" s="293"/>
      <c r="BC115" s="293"/>
      <c r="BD115" s="293"/>
      <c r="BE115" s="293"/>
      <c r="BF115" s="293"/>
      <c r="BG115" s="293"/>
      <c r="BH115" s="293"/>
      <c r="BI115" s="293"/>
      <c r="BJ115" s="293"/>
      <c r="BK115" s="293"/>
      <c r="BL115" s="293"/>
      <c r="BM115" s="293"/>
      <c r="BN115" s="293"/>
      <c r="BO115" s="293"/>
      <c r="BP115" s="293"/>
      <c r="BQ115" s="293"/>
      <c r="BR115" s="293"/>
      <c r="BS115" s="293"/>
      <c r="BT115" s="293"/>
      <c r="BU115" s="293"/>
      <c r="BV115" s="293"/>
      <c r="BW115" s="293"/>
      <c r="BX115" s="293"/>
      <c r="BY115" s="293"/>
      <c r="BZ115" s="293"/>
      <c r="CA115" s="285"/>
      <c r="CB115" s="286"/>
      <c r="CC115" s="286"/>
      <c r="CD115" s="286"/>
      <c r="CE115" s="286"/>
      <c r="CF115" s="286"/>
      <c r="CG115" s="286"/>
      <c r="CH115" s="286"/>
      <c r="CI115" s="286"/>
      <c r="CJ115" s="286"/>
      <c r="CK115" s="286"/>
      <c r="CL115" s="286"/>
      <c r="CM115" s="286"/>
      <c r="CN115" s="286"/>
      <c r="CO115" s="286"/>
      <c r="CP115" s="286"/>
      <c r="CQ115" s="286"/>
      <c r="CR115" s="286"/>
      <c r="CS115" s="286"/>
      <c r="CT115" s="286"/>
      <c r="CU115" s="286"/>
      <c r="CV115" s="286"/>
      <c r="CW115" s="286"/>
      <c r="CX115" s="286"/>
      <c r="CY115" s="286"/>
      <c r="CZ115" s="286"/>
      <c r="DA115" s="286"/>
      <c r="DB115" s="286"/>
      <c r="DC115" s="286"/>
      <c r="DD115" s="286"/>
      <c r="DE115" s="286"/>
      <c r="DF115" s="286"/>
      <c r="DG115" s="286"/>
      <c r="DH115" s="286"/>
      <c r="DI115" s="286"/>
      <c r="DJ115" s="286"/>
      <c r="DK115" s="286"/>
      <c r="DL115" s="286"/>
      <c r="DM115" s="286"/>
      <c r="DN115" s="286"/>
      <c r="DO115" s="286"/>
      <c r="DP115" s="286"/>
      <c r="DR115" s="58" t="str">
        <f>IF(ISNUMBER(MATCH(#REF!,'Audit Characteristic Mapping'!$B$3:$B$500,0)),"Y","")</f>
        <v/>
      </c>
      <c r="DS115" s="58" t="str">
        <f>IF(ISNUMBER(MATCH(#REF!,'Audit Characteristic Mapping'!$C$3:$C$500,0)),"Y","")</f>
        <v/>
      </c>
      <c r="DT115" s="58" t="str">
        <f>IF(ISNUMBER(MATCH(#REF!,'Audit Characteristic Mapping'!$D$3:$D$500,0)),"Y","")</f>
        <v/>
      </c>
      <c r="DU115" s="58" t="str">
        <f>IF(ISNUMBER(MATCH(#REF!,'Audit Characteristic Mapping'!$E$3:$E$500,0)),"Y","")</f>
        <v/>
      </c>
      <c r="DV115" s="58" t="str">
        <f>IF(ISNUMBER(MATCH(#REF!,'Audit Characteristic Mapping'!$F$3:$F$500,0)),"Y","")</f>
        <v/>
      </c>
      <c r="DW115" s="58" t="str">
        <f>IF(ISNUMBER(MATCH(#REF!,'Audit Characteristic Mapping'!$G$3:$G$500,0)),"Y","")</f>
        <v/>
      </c>
      <c r="DX115" s="58" t="str">
        <f>IF(ISNUMBER(MATCH(#REF!,'Audit Characteristic Mapping'!$H$3:$H$500,0)),"Y","")</f>
        <v/>
      </c>
      <c r="DY115" s="58" t="str">
        <f>IF(ISNUMBER(MATCH(#REF!,'Audit Characteristic Mapping'!$I$3:$I$500,0)),"Y","")</f>
        <v/>
      </c>
      <c r="DZ115" s="58" t="str">
        <f>IF(ISNUMBER(MATCH(#REF!,'Audit Characteristic Mapping'!$J$3:$J$500,0)),"Y","")</f>
        <v/>
      </c>
      <c r="EA115" s="58" t="str">
        <f>IF(ISNUMBER(MATCH(#REF!,'Audit Characteristic Mapping'!$K$3:$K$500,0)),"Y","")</f>
        <v/>
      </c>
    </row>
    <row r="116" spans="1:131" ht="16" hidden="1" x14ac:dyDescent="0.2">
      <c r="A116" s="288">
        <v>111</v>
      </c>
      <c r="B116" s="287" t="s">
        <v>174</v>
      </c>
      <c r="C116" s="226" t="s">
        <v>224</v>
      </c>
      <c r="D116" s="170">
        <v>2</v>
      </c>
      <c r="E116" s="288">
        <v>15</v>
      </c>
      <c r="F116" s="291" t="str">
        <f>VLOOKUP(Calculation!A116,'Descriptor maps'!$A$2:$F$1658,2,0)</f>
        <v>Facility details</v>
      </c>
      <c r="G116" s="289"/>
      <c r="H116" s="290"/>
      <c r="I116" s="291"/>
      <c r="J116" s="292" t="e" cm="1">
        <f t="array" ref="J116">INDEX('Descriptor maps'!$I$2:$I$1658,MATCH(1,('Descriptor maps'!$A$2:$A$1658=Calculation!$A116)*('Descriptor maps'!$G$2:$G$1658=Calculation!$G116),0))</f>
        <v>#N/A</v>
      </c>
      <c r="K116" s="226"/>
      <c r="L116" s="293"/>
      <c r="M116" s="293"/>
      <c r="N116" s="293"/>
      <c r="O116" s="293"/>
      <c r="P116" s="293"/>
      <c r="Q116" s="293"/>
      <c r="R116" s="293"/>
      <c r="S116" s="293"/>
      <c r="T116" s="293"/>
      <c r="U116" s="293"/>
      <c r="V116" s="293"/>
      <c r="W116" s="293"/>
      <c r="X116" s="293"/>
      <c r="Y116" s="293"/>
      <c r="Z116" s="293"/>
      <c r="AA116" s="293"/>
      <c r="AB116" s="293"/>
      <c r="AC116" s="293"/>
      <c r="AD116" s="293"/>
      <c r="AE116" s="293"/>
      <c r="AF116" s="293"/>
      <c r="AG116" s="293"/>
      <c r="AH116" s="293"/>
      <c r="AI116" s="293"/>
      <c r="AJ116" s="293"/>
      <c r="AK116" s="293"/>
      <c r="AL116" s="293"/>
      <c r="AM116" s="293"/>
      <c r="AN116" s="293"/>
      <c r="AO116" s="293"/>
      <c r="AP116" s="293"/>
      <c r="AQ116" s="293"/>
      <c r="AR116" s="293"/>
      <c r="AS116" s="293"/>
      <c r="AT116" s="293"/>
      <c r="AU116" s="293"/>
      <c r="AV116" s="293"/>
      <c r="AW116" s="293"/>
      <c r="AX116" s="293"/>
      <c r="AY116" s="293"/>
      <c r="AZ116" s="293"/>
      <c r="BA116" s="293"/>
      <c r="BB116" s="293"/>
      <c r="BC116" s="293"/>
      <c r="BD116" s="293"/>
      <c r="BE116" s="293"/>
      <c r="BF116" s="293"/>
      <c r="BG116" s="293"/>
      <c r="BH116" s="293"/>
      <c r="BI116" s="293"/>
      <c r="BJ116" s="293"/>
      <c r="BK116" s="293"/>
      <c r="BL116" s="293"/>
      <c r="BM116" s="293"/>
      <c r="BN116" s="293"/>
      <c r="BO116" s="293"/>
      <c r="BP116" s="293"/>
      <c r="BQ116" s="293"/>
      <c r="BR116" s="293"/>
      <c r="BS116" s="293"/>
      <c r="BT116" s="293"/>
      <c r="BU116" s="293"/>
      <c r="BV116" s="293"/>
      <c r="BW116" s="293"/>
      <c r="BX116" s="293"/>
      <c r="BY116" s="293"/>
      <c r="BZ116" s="293"/>
      <c r="CA116" s="285"/>
      <c r="CB116" s="286"/>
      <c r="CC116" s="286"/>
      <c r="CD116" s="286"/>
      <c r="CE116" s="286"/>
      <c r="CF116" s="286"/>
      <c r="CG116" s="286"/>
      <c r="CH116" s="286"/>
      <c r="CI116" s="286"/>
      <c r="CJ116" s="286"/>
      <c r="CK116" s="286"/>
      <c r="CL116" s="286"/>
      <c r="CM116" s="286"/>
      <c r="CN116" s="286"/>
      <c r="CO116" s="286"/>
      <c r="CP116" s="286"/>
      <c r="CQ116" s="286"/>
      <c r="CR116" s="286"/>
      <c r="CS116" s="286"/>
      <c r="CT116" s="286"/>
      <c r="CU116" s="286"/>
      <c r="CV116" s="286"/>
      <c r="CW116" s="286"/>
      <c r="CX116" s="286"/>
      <c r="CY116" s="286"/>
      <c r="CZ116" s="286"/>
      <c r="DA116" s="286"/>
      <c r="DB116" s="286"/>
      <c r="DC116" s="286"/>
      <c r="DD116" s="286"/>
      <c r="DE116" s="286"/>
      <c r="DF116" s="286"/>
      <c r="DG116" s="286"/>
      <c r="DH116" s="286"/>
      <c r="DI116" s="286"/>
      <c r="DJ116" s="286"/>
      <c r="DK116" s="286"/>
      <c r="DL116" s="286"/>
      <c r="DM116" s="286"/>
      <c r="DN116" s="286"/>
      <c r="DO116" s="286"/>
      <c r="DP116" s="286"/>
      <c r="DR116" s="58" t="str">
        <f>IF(ISNUMBER(MATCH(#REF!,'Audit Characteristic Mapping'!$B$3:$B$500,0)),"Y","")</f>
        <v/>
      </c>
      <c r="DS116" s="58" t="str">
        <f>IF(ISNUMBER(MATCH(#REF!,'Audit Characteristic Mapping'!$C$3:$C$500,0)),"Y","")</f>
        <v/>
      </c>
      <c r="DT116" s="58" t="str">
        <f>IF(ISNUMBER(MATCH(#REF!,'Audit Characteristic Mapping'!$D$3:$D$500,0)),"Y","")</f>
        <v/>
      </c>
      <c r="DU116" s="58" t="str">
        <f>IF(ISNUMBER(MATCH(#REF!,'Audit Characteristic Mapping'!$E$3:$E$500,0)),"Y","")</f>
        <v/>
      </c>
      <c r="DV116" s="58" t="str">
        <f>IF(ISNUMBER(MATCH(#REF!,'Audit Characteristic Mapping'!$F$3:$F$500,0)),"Y","")</f>
        <v/>
      </c>
      <c r="DW116" s="58" t="str">
        <f>IF(ISNUMBER(MATCH(#REF!,'Audit Characteristic Mapping'!$G$3:$G$500,0)),"Y","")</f>
        <v/>
      </c>
      <c r="DX116" s="58" t="str">
        <f>IF(ISNUMBER(MATCH(#REF!,'Audit Characteristic Mapping'!$H$3:$H$500,0)),"Y","")</f>
        <v/>
      </c>
      <c r="DY116" s="58" t="str">
        <f>IF(ISNUMBER(MATCH(#REF!,'Audit Characteristic Mapping'!$I$3:$I$500,0)),"Y","")</f>
        <v/>
      </c>
      <c r="DZ116" s="58" t="str">
        <f>IF(ISNUMBER(MATCH(#REF!,'Audit Characteristic Mapping'!$J$3:$J$500,0)),"Y","")</f>
        <v/>
      </c>
      <c r="EA116" s="58" t="str">
        <f>IF(ISNUMBER(MATCH(#REF!,'Audit Characteristic Mapping'!$K$3:$K$500,0)),"Y","")</f>
        <v/>
      </c>
    </row>
    <row r="117" spans="1:131" ht="16" hidden="1" x14ac:dyDescent="0.2">
      <c r="A117" s="288">
        <v>112</v>
      </c>
      <c r="B117" s="287" t="s">
        <v>174</v>
      </c>
      <c r="C117" s="226" t="s">
        <v>224</v>
      </c>
      <c r="D117" s="170">
        <v>2</v>
      </c>
      <c r="E117" s="288">
        <v>15</v>
      </c>
      <c r="F117" s="291" t="e">
        <f>VLOOKUP(Calculation!A117,'Descriptor maps'!$A$2:$F$1658,2,0)</f>
        <v>#N/A</v>
      </c>
      <c r="G117" s="289"/>
      <c r="H117" s="290"/>
      <c r="I117" s="291"/>
      <c r="J117" s="292" t="e" cm="1">
        <f t="array" ref="J117">INDEX('Descriptor maps'!$I$2:$I$1658,MATCH(1,('Descriptor maps'!$A$2:$A$1658=Calculation!$A117)*('Descriptor maps'!$G$2:$G$1658=Calculation!$G117),0))</f>
        <v>#N/A</v>
      </c>
      <c r="K117" s="226"/>
      <c r="L117" s="293"/>
      <c r="M117" s="293"/>
      <c r="N117" s="293"/>
      <c r="O117" s="293"/>
      <c r="P117" s="293"/>
      <c r="Q117" s="293"/>
      <c r="R117" s="293"/>
      <c r="S117" s="293"/>
      <c r="T117" s="293"/>
      <c r="U117" s="293"/>
      <c r="V117" s="293"/>
      <c r="W117" s="293"/>
      <c r="X117" s="293"/>
      <c r="Y117" s="293"/>
      <c r="Z117" s="293"/>
      <c r="AA117" s="293"/>
      <c r="AB117" s="293"/>
      <c r="AC117" s="293"/>
      <c r="AD117" s="293"/>
      <c r="AE117" s="293"/>
      <c r="AF117" s="293"/>
      <c r="AG117" s="293"/>
      <c r="AH117" s="293"/>
      <c r="AI117" s="293"/>
      <c r="AJ117" s="293"/>
      <c r="AK117" s="293"/>
      <c r="AL117" s="293"/>
      <c r="AM117" s="293"/>
      <c r="AN117" s="293"/>
      <c r="AO117" s="293"/>
      <c r="AP117" s="293"/>
      <c r="AQ117" s="293"/>
      <c r="AR117" s="293"/>
      <c r="AS117" s="293"/>
      <c r="AT117" s="293"/>
      <c r="AU117" s="293"/>
      <c r="AV117" s="293"/>
      <c r="AW117" s="293"/>
      <c r="AX117" s="293"/>
      <c r="AY117" s="293"/>
      <c r="AZ117" s="293"/>
      <c r="BA117" s="293"/>
      <c r="BB117" s="293"/>
      <c r="BC117" s="293"/>
      <c r="BD117" s="293"/>
      <c r="BE117" s="293"/>
      <c r="BF117" s="293"/>
      <c r="BG117" s="293"/>
      <c r="BH117" s="293"/>
      <c r="BI117" s="293"/>
      <c r="BJ117" s="293"/>
      <c r="BK117" s="293"/>
      <c r="BL117" s="293"/>
      <c r="BM117" s="293"/>
      <c r="BN117" s="293"/>
      <c r="BO117" s="293"/>
      <c r="BP117" s="293"/>
      <c r="BQ117" s="293"/>
      <c r="BR117" s="293"/>
      <c r="BS117" s="293"/>
      <c r="BT117" s="293"/>
      <c r="BU117" s="293"/>
      <c r="BV117" s="293"/>
      <c r="BW117" s="293"/>
      <c r="BX117" s="293"/>
      <c r="BY117" s="293"/>
      <c r="BZ117" s="293"/>
      <c r="CA117" s="285"/>
      <c r="CB117" s="286"/>
      <c r="CC117" s="286"/>
      <c r="CD117" s="286"/>
      <c r="CE117" s="286"/>
      <c r="CF117" s="286"/>
      <c r="CG117" s="286"/>
      <c r="CH117" s="286"/>
      <c r="CI117" s="286"/>
      <c r="CJ117" s="286"/>
      <c r="CK117" s="286"/>
      <c r="CL117" s="286"/>
      <c r="CM117" s="286"/>
      <c r="CN117" s="286"/>
      <c r="CO117" s="286"/>
      <c r="CP117" s="286"/>
      <c r="CQ117" s="286"/>
      <c r="CR117" s="286"/>
      <c r="CS117" s="286"/>
      <c r="CT117" s="286"/>
      <c r="CU117" s="286"/>
      <c r="CV117" s="286"/>
      <c r="CW117" s="286"/>
      <c r="CX117" s="286"/>
      <c r="CY117" s="286"/>
      <c r="CZ117" s="286"/>
      <c r="DA117" s="286"/>
      <c r="DB117" s="286"/>
      <c r="DC117" s="286"/>
      <c r="DD117" s="286"/>
      <c r="DE117" s="286"/>
      <c r="DF117" s="286"/>
      <c r="DG117" s="286"/>
      <c r="DH117" s="286"/>
      <c r="DI117" s="286"/>
      <c r="DJ117" s="286"/>
      <c r="DK117" s="286"/>
      <c r="DL117" s="286"/>
      <c r="DM117" s="286"/>
      <c r="DN117" s="286"/>
      <c r="DO117" s="286"/>
      <c r="DP117" s="286"/>
      <c r="DR117" s="58" t="str">
        <f>IF(ISNUMBER(MATCH(#REF!,'Audit Characteristic Mapping'!$B$3:$B$500,0)),"Y","")</f>
        <v/>
      </c>
      <c r="DS117" s="58" t="str">
        <f>IF(ISNUMBER(MATCH(#REF!,'Audit Characteristic Mapping'!$C$3:$C$500,0)),"Y","")</f>
        <v/>
      </c>
      <c r="DT117" s="58" t="str">
        <f>IF(ISNUMBER(MATCH(#REF!,'Audit Characteristic Mapping'!$D$3:$D$500,0)),"Y","")</f>
        <v/>
      </c>
      <c r="DU117" s="58" t="str">
        <f>IF(ISNUMBER(MATCH(#REF!,'Audit Characteristic Mapping'!$E$3:$E$500,0)),"Y","")</f>
        <v/>
      </c>
      <c r="DV117" s="58" t="str">
        <f>IF(ISNUMBER(MATCH(#REF!,'Audit Characteristic Mapping'!$F$3:$F$500,0)),"Y","")</f>
        <v/>
      </c>
      <c r="DW117" s="58" t="str">
        <f>IF(ISNUMBER(MATCH(#REF!,'Audit Characteristic Mapping'!$G$3:$G$500,0)),"Y","")</f>
        <v/>
      </c>
      <c r="DX117" s="58" t="str">
        <f>IF(ISNUMBER(MATCH(#REF!,'Audit Characteristic Mapping'!$H$3:$H$500,0)),"Y","")</f>
        <v/>
      </c>
      <c r="DY117" s="58" t="str">
        <f>IF(ISNUMBER(MATCH(#REF!,'Audit Characteristic Mapping'!$I$3:$I$500,0)),"Y","")</f>
        <v/>
      </c>
      <c r="DZ117" s="58" t="str">
        <f>IF(ISNUMBER(MATCH(#REF!,'Audit Characteristic Mapping'!$J$3:$J$500,0)),"Y","")</f>
        <v/>
      </c>
      <c r="EA117" s="58" t="str">
        <f>IF(ISNUMBER(MATCH(#REF!,'Audit Characteristic Mapping'!$K$3:$K$500,0)),"Y","")</f>
        <v/>
      </c>
    </row>
    <row r="118" spans="1:131" ht="16" hidden="1" x14ac:dyDescent="0.2">
      <c r="A118" s="288">
        <v>113</v>
      </c>
      <c r="B118" s="287" t="s">
        <v>174</v>
      </c>
      <c r="C118" s="226" t="s">
        <v>224</v>
      </c>
      <c r="D118" s="170">
        <v>2</v>
      </c>
      <c r="E118" s="288">
        <v>15</v>
      </c>
      <c r="F118" s="291" t="str">
        <f>VLOOKUP(Calculation!A118,'Descriptor maps'!$A$2:$F$1658,2,0)</f>
        <v>Facility details</v>
      </c>
      <c r="G118" s="289"/>
      <c r="H118" s="290"/>
      <c r="I118" s="291"/>
      <c r="J118" s="292" t="e" cm="1">
        <f t="array" ref="J118">INDEX('Descriptor maps'!$I$2:$I$1658,MATCH(1,('Descriptor maps'!$A$2:$A$1658=Calculation!$A118)*('Descriptor maps'!$G$2:$G$1658=Calculation!$G118),0))</f>
        <v>#N/A</v>
      </c>
      <c r="K118" s="226"/>
      <c r="L118" s="293"/>
      <c r="M118" s="293"/>
      <c r="N118" s="293"/>
      <c r="O118" s="293"/>
      <c r="P118" s="293"/>
      <c r="Q118" s="293"/>
      <c r="R118" s="293"/>
      <c r="S118" s="293"/>
      <c r="T118" s="293"/>
      <c r="U118" s="293"/>
      <c r="V118" s="293"/>
      <c r="W118" s="293"/>
      <c r="X118" s="293"/>
      <c r="Y118" s="293"/>
      <c r="Z118" s="293"/>
      <c r="AA118" s="293"/>
      <c r="AB118" s="293"/>
      <c r="AC118" s="293"/>
      <c r="AD118" s="293"/>
      <c r="AE118" s="293"/>
      <c r="AF118" s="293"/>
      <c r="AG118" s="293"/>
      <c r="AH118" s="293"/>
      <c r="AI118" s="293"/>
      <c r="AJ118" s="293"/>
      <c r="AK118" s="293"/>
      <c r="AL118" s="293"/>
      <c r="AM118" s="293"/>
      <c r="AN118" s="293"/>
      <c r="AO118" s="293"/>
      <c r="AP118" s="293"/>
      <c r="AQ118" s="293"/>
      <c r="AR118" s="293"/>
      <c r="AS118" s="293"/>
      <c r="AT118" s="293"/>
      <c r="AU118" s="293"/>
      <c r="AV118" s="293"/>
      <c r="AW118" s="293"/>
      <c r="AX118" s="293"/>
      <c r="AY118" s="293"/>
      <c r="AZ118" s="293"/>
      <c r="BA118" s="293"/>
      <c r="BB118" s="293"/>
      <c r="BC118" s="293"/>
      <c r="BD118" s="293"/>
      <c r="BE118" s="293"/>
      <c r="BF118" s="293"/>
      <c r="BG118" s="293"/>
      <c r="BH118" s="293"/>
      <c r="BI118" s="293"/>
      <c r="BJ118" s="293"/>
      <c r="BK118" s="293"/>
      <c r="BL118" s="293"/>
      <c r="BM118" s="293"/>
      <c r="BN118" s="293"/>
      <c r="BO118" s="293"/>
      <c r="BP118" s="293"/>
      <c r="BQ118" s="293"/>
      <c r="BR118" s="293"/>
      <c r="BS118" s="293"/>
      <c r="BT118" s="293"/>
      <c r="BU118" s="293"/>
      <c r="BV118" s="293"/>
      <c r="BW118" s="293"/>
      <c r="BX118" s="293"/>
      <c r="BY118" s="293"/>
      <c r="BZ118" s="293"/>
      <c r="CA118" s="285"/>
      <c r="CB118" s="286"/>
      <c r="CC118" s="286"/>
      <c r="CD118" s="286"/>
      <c r="CE118" s="286"/>
      <c r="CF118" s="286"/>
      <c r="CG118" s="286"/>
      <c r="CH118" s="286"/>
      <c r="CI118" s="286"/>
      <c r="CJ118" s="286"/>
      <c r="CK118" s="286"/>
      <c r="CL118" s="286"/>
      <c r="CM118" s="286"/>
      <c r="CN118" s="286"/>
      <c r="CO118" s="286"/>
      <c r="CP118" s="286"/>
      <c r="CQ118" s="286"/>
      <c r="CR118" s="286"/>
      <c r="CS118" s="286"/>
      <c r="CT118" s="286"/>
      <c r="CU118" s="286"/>
      <c r="CV118" s="286"/>
      <c r="CW118" s="286"/>
      <c r="CX118" s="286"/>
      <c r="CY118" s="286"/>
      <c r="CZ118" s="286"/>
      <c r="DA118" s="286"/>
      <c r="DB118" s="286"/>
      <c r="DC118" s="286"/>
      <c r="DD118" s="286"/>
      <c r="DE118" s="286"/>
      <c r="DF118" s="286"/>
      <c r="DG118" s="286"/>
      <c r="DH118" s="286"/>
      <c r="DI118" s="286"/>
      <c r="DJ118" s="286"/>
      <c r="DK118" s="286"/>
      <c r="DL118" s="286"/>
      <c r="DM118" s="286"/>
      <c r="DN118" s="286"/>
      <c r="DO118" s="286"/>
      <c r="DP118" s="286"/>
      <c r="DR118" s="58" t="str">
        <f>IF(ISNUMBER(MATCH(#REF!,'Audit Characteristic Mapping'!$B$3:$B$500,0)),"Y","")</f>
        <v/>
      </c>
      <c r="DS118" s="58" t="str">
        <f>IF(ISNUMBER(MATCH(#REF!,'Audit Characteristic Mapping'!$C$3:$C$500,0)),"Y","")</f>
        <v/>
      </c>
      <c r="DT118" s="58" t="str">
        <f>IF(ISNUMBER(MATCH(#REF!,'Audit Characteristic Mapping'!$D$3:$D$500,0)),"Y","")</f>
        <v/>
      </c>
      <c r="DU118" s="58" t="str">
        <f>IF(ISNUMBER(MATCH(#REF!,'Audit Characteristic Mapping'!$E$3:$E$500,0)),"Y","")</f>
        <v/>
      </c>
      <c r="DV118" s="58" t="str">
        <f>IF(ISNUMBER(MATCH(#REF!,'Audit Characteristic Mapping'!$F$3:$F$500,0)),"Y","")</f>
        <v/>
      </c>
      <c r="DW118" s="58" t="str">
        <f>IF(ISNUMBER(MATCH(#REF!,'Audit Characteristic Mapping'!$G$3:$G$500,0)),"Y","")</f>
        <v/>
      </c>
      <c r="DX118" s="58" t="str">
        <f>IF(ISNUMBER(MATCH(#REF!,'Audit Characteristic Mapping'!$H$3:$H$500,0)),"Y","")</f>
        <v/>
      </c>
      <c r="DY118" s="58" t="str">
        <f>IF(ISNUMBER(MATCH(#REF!,'Audit Characteristic Mapping'!$I$3:$I$500,0)),"Y","")</f>
        <v/>
      </c>
      <c r="DZ118" s="58" t="str">
        <f>IF(ISNUMBER(MATCH(#REF!,'Audit Characteristic Mapping'!$J$3:$J$500,0)),"Y","")</f>
        <v/>
      </c>
      <c r="EA118" s="58" t="str">
        <f>IF(ISNUMBER(MATCH(#REF!,'Audit Characteristic Mapping'!$K$3:$K$500,0)),"Y","")</f>
        <v/>
      </c>
    </row>
    <row r="119" spans="1:131" ht="32" x14ac:dyDescent="0.2">
      <c r="A119" s="294">
        <v>114</v>
      </c>
      <c r="B119" s="287" t="s">
        <v>174</v>
      </c>
      <c r="C119" s="226" t="s">
        <v>224</v>
      </c>
      <c r="D119" s="170">
        <v>2</v>
      </c>
      <c r="E119" s="288">
        <v>15</v>
      </c>
      <c r="F119" s="291" t="str">
        <f>VLOOKUP(Calculation!A119,'Descriptor maps'!$A$2:$F$1658,6,0)</f>
        <v xml:space="preserve">What is the vertical distance between the dam crest and the maximum measured or modelled  phreatic line at the upstream face? </v>
      </c>
      <c r="G119" s="289">
        <v>4</v>
      </c>
      <c r="H119" s="291"/>
      <c r="I119" s="291" t="e" cm="1">
        <f t="array" ref="I119">INDEX('Descriptor maps'!$H$2:$H$1658,MATCH(1,('Descriptor maps'!$A$2:$A$1658=Calculation!$A119)*('Descriptor maps'!$G$2:$G$1658=Calculation!$G119),0))</f>
        <v>#N/A</v>
      </c>
      <c r="J119" s="292">
        <f>G119</f>
        <v>4</v>
      </c>
      <c r="K119" s="226"/>
      <c r="L119" s="293"/>
      <c r="M119" s="293"/>
      <c r="N119" s="293"/>
      <c r="O119" s="293"/>
      <c r="P119" s="293"/>
      <c r="Q119" s="293"/>
      <c r="R119" s="293"/>
      <c r="S119" s="293"/>
      <c r="T119" s="293"/>
      <c r="U119" s="293"/>
      <c r="V119" s="293"/>
      <c r="W119" s="293"/>
      <c r="X119" s="293"/>
      <c r="Y119" s="293"/>
      <c r="Z119" s="293"/>
      <c r="AA119" s="293"/>
      <c r="AB119" s="293"/>
      <c r="AC119" s="293"/>
      <c r="AD119" s="293"/>
      <c r="AE119" s="293"/>
      <c r="AF119" s="293"/>
      <c r="AG119" s="293"/>
      <c r="AH119" s="293">
        <v>4</v>
      </c>
      <c r="AI119" s="293"/>
      <c r="AJ119" s="293"/>
      <c r="AK119" s="293"/>
      <c r="AL119" s="293"/>
      <c r="AM119" s="293"/>
      <c r="AN119" s="293"/>
      <c r="AO119" s="293"/>
      <c r="AP119" s="293"/>
      <c r="AQ119" s="293"/>
      <c r="AR119" s="293"/>
      <c r="AS119" s="293"/>
      <c r="AT119" s="293"/>
      <c r="AU119" s="293"/>
      <c r="AV119" s="293"/>
      <c r="AW119" s="293"/>
      <c r="AX119" s="293"/>
      <c r="AY119" s="293"/>
      <c r="AZ119" s="293"/>
      <c r="BA119" s="293"/>
      <c r="BB119" s="293"/>
      <c r="BC119" s="293"/>
      <c r="BD119" s="293"/>
      <c r="BE119" s="293"/>
      <c r="BF119" s="293"/>
      <c r="BG119" s="293"/>
      <c r="BH119" s="293"/>
      <c r="BI119" s="293"/>
      <c r="BJ119" s="293"/>
      <c r="BK119" s="293"/>
      <c r="BL119" s="293"/>
      <c r="BM119" s="293"/>
      <c r="BN119" s="293"/>
      <c r="BO119" s="293"/>
      <c r="BP119" s="293"/>
      <c r="BQ119" s="293"/>
      <c r="BR119" s="293"/>
      <c r="BS119" s="293"/>
      <c r="BT119" s="293"/>
      <c r="BU119" s="293"/>
      <c r="BV119" s="293"/>
      <c r="BW119" s="293"/>
      <c r="BX119" s="293"/>
      <c r="BY119" s="293"/>
      <c r="BZ119" s="293"/>
      <c r="CA119" s="285"/>
      <c r="CB119" s="286"/>
      <c r="CC119" s="286"/>
      <c r="CD119" s="286"/>
      <c r="CE119" s="286"/>
      <c r="CF119" s="286"/>
      <c r="CG119" s="286"/>
      <c r="CH119" s="286"/>
      <c r="CI119" s="286"/>
      <c r="CJ119" s="286"/>
      <c r="CK119" s="286"/>
      <c r="CL119" s="286"/>
      <c r="CM119" s="286"/>
      <c r="CN119" s="286"/>
      <c r="CO119" s="286"/>
      <c r="CP119" s="286"/>
      <c r="CQ119" s="286"/>
      <c r="CR119" s="286"/>
      <c r="CS119" s="286"/>
      <c r="CT119" s="286"/>
      <c r="CU119" s="286"/>
      <c r="CV119" s="286"/>
      <c r="CW119" s="286"/>
      <c r="CX119" s="286"/>
      <c r="CY119" s="286"/>
      <c r="CZ119" s="286"/>
      <c r="DA119" s="286"/>
      <c r="DB119" s="286"/>
      <c r="DC119" s="286"/>
      <c r="DD119" s="286"/>
      <c r="DE119" s="286"/>
      <c r="DF119" s="286"/>
      <c r="DG119" s="286"/>
      <c r="DH119" s="286"/>
      <c r="DI119" s="286"/>
      <c r="DJ119" s="286"/>
      <c r="DK119" s="286"/>
      <c r="DL119" s="286"/>
      <c r="DM119" s="286"/>
      <c r="DN119" s="286"/>
      <c r="DO119" s="286"/>
      <c r="DP119" s="286"/>
      <c r="DR119" s="58" t="str">
        <f>IF(ISNUMBER(MATCH(#REF!,'Audit Characteristic Mapping'!$B$3:$B$500,0)),"Y","")</f>
        <v/>
      </c>
      <c r="DS119" s="58" t="str">
        <f>IF(ISNUMBER(MATCH(#REF!,'Audit Characteristic Mapping'!$C$3:$C$500,0)),"Y","")</f>
        <v/>
      </c>
      <c r="DT119" s="58" t="str">
        <f>IF(ISNUMBER(MATCH(#REF!,'Audit Characteristic Mapping'!$D$3:$D$500,0)),"Y","")</f>
        <v/>
      </c>
      <c r="DU119" s="58" t="str">
        <f>IF(ISNUMBER(MATCH(#REF!,'Audit Characteristic Mapping'!$E$3:$E$500,0)),"Y","")</f>
        <v/>
      </c>
      <c r="DV119" s="58" t="str">
        <f>IF(ISNUMBER(MATCH(#REF!,'Audit Characteristic Mapping'!$F$3:$F$500,0)),"Y","")</f>
        <v/>
      </c>
      <c r="DW119" s="58" t="str">
        <f>IF(ISNUMBER(MATCH(#REF!,'Audit Characteristic Mapping'!$G$3:$G$500,0)),"Y","")</f>
        <v/>
      </c>
      <c r="DX119" s="58" t="str">
        <f>IF(ISNUMBER(MATCH(#REF!,'Audit Characteristic Mapping'!$H$3:$H$500,0)),"Y","")</f>
        <v/>
      </c>
      <c r="DY119" s="58" t="str">
        <f>IF(ISNUMBER(MATCH(#REF!,'Audit Characteristic Mapping'!$I$3:$I$500,0)),"Y","")</f>
        <v/>
      </c>
      <c r="DZ119" s="58" t="str">
        <f>IF(ISNUMBER(MATCH(#REF!,'Audit Characteristic Mapping'!$J$3:$J$500,0)),"Y","")</f>
        <v/>
      </c>
      <c r="EA119" s="58" t="str">
        <f>IF(ISNUMBER(MATCH(#REF!,'Audit Characteristic Mapping'!$K$3:$K$500,0)),"Y","")</f>
        <v/>
      </c>
    </row>
    <row r="120" spans="1:131" ht="16" hidden="1" x14ac:dyDescent="0.2">
      <c r="A120" s="288">
        <v>115</v>
      </c>
      <c r="B120" s="287" t="s">
        <v>174</v>
      </c>
      <c r="C120" s="226" t="s">
        <v>230</v>
      </c>
      <c r="D120" s="170">
        <v>2</v>
      </c>
      <c r="E120" s="288">
        <v>16</v>
      </c>
      <c r="F120" s="291" t="str">
        <f>VLOOKUP(Calculation!A120,'Descriptor maps'!$A$2:$F$1658,2,0)</f>
        <v>Facility details</v>
      </c>
      <c r="G120" s="289"/>
      <c r="H120" s="290"/>
      <c r="I120" s="291"/>
      <c r="J120" s="292" t="e" cm="1">
        <f t="array" ref="J120">INDEX('Descriptor maps'!$I$2:$I$1658,MATCH(1,('Descriptor maps'!$A$2:$A$1658=Calculation!$A120)*('Descriptor maps'!$G$2:$G$1658=Calculation!$G120),0))</f>
        <v>#N/A</v>
      </c>
      <c r="K120" s="226"/>
      <c r="L120" s="293"/>
      <c r="M120" s="293"/>
      <c r="N120" s="293"/>
      <c r="O120" s="293"/>
      <c r="P120" s="293"/>
      <c r="Q120" s="293"/>
      <c r="R120" s="293"/>
      <c r="S120" s="293"/>
      <c r="T120" s="293"/>
      <c r="U120" s="293"/>
      <c r="V120" s="293"/>
      <c r="W120" s="293"/>
      <c r="X120" s="293"/>
      <c r="Y120" s="293"/>
      <c r="Z120" s="293"/>
      <c r="AA120" s="293"/>
      <c r="AB120" s="293"/>
      <c r="AC120" s="293"/>
      <c r="AD120" s="293"/>
      <c r="AE120" s="293"/>
      <c r="AF120" s="293"/>
      <c r="AG120" s="293"/>
      <c r="AH120" s="293"/>
      <c r="AI120" s="293"/>
      <c r="AJ120" s="293"/>
      <c r="AK120" s="293"/>
      <c r="AL120" s="293"/>
      <c r="AM120" s="293"/>
      <c r="AN120" s="293"/>
      <c r="AO120" s="293"/>
      <c r="AP120" s="293"/>
      <c r="AQ120" s="293"/>
      <c r="AR120" s="293"/>
      <c r="AS120" s="293"/>
      <c r="AT120" s="293"/>
      <c r="AU120" s="293"/>
      <c r="AV120" s="293"/>
      <c r="AW120" s="293"/>
      <c r="AX120" s="293"/>
      <c r="AY120" s="293"/>
      <c r="AZ120" s="293"/>
      <c r="BA120" s="293"/>
      <c r="BB120" s="293"/>
      <c r="BC120" s="293"/>
      <c r="BD120" s="293"/>
      <c r="BE120" s="293"/>
      <c r="BF120" s="293"/>
      <c r="BG120" s="293"/>
      <c r="BH120" s="293"/>
      <c r="BI120" s="293"/>
      <c r="BJ120" s="293"/>
      <c r="BK120" s="293"/>
      <c r="BL120" s="293"/>
      <c r="BM120" s="293"/>
      <c r="BN120" s="293"/>
      <c r="BO120" s="293"/>
      <c r="BP120" s="293"/>
      <c r="BQ120" s="293"/>
      <c r="BR120" s="293"/>
      <c r="BS120" s="293"/>
      <c r="BT120" s="293"/>
      <c r="BU120" s="293"/>
      <c r="BV120" s="293"/>
      <c r="BW120" s="293"/>
      <c r="BX120" s="293"/>
      <c r="BY120" s="293"/>
      <c r="BZ120" s="293"/>
      <c r="CA120" s="285"/>
      <c r="CB120" s="286"/>
      <c r="CC120" s="286"/>
      <c r="CD120" s="286"/>
      <c r="CE120" s="286"/>
      <c r="CF120" s="286"/>
      <c r="CG120" s="286"/>
      <c r="CH120" s="286"/>
      <c r="CI120" s="286"/>
      <c r="CJ120" s="286"/>
      <c r="CK120" s="286"/>
      <c r="CL120" s="286"/>
      <c r="CM120" s="286"/>
      <c r="CN120" s="286"/>
      <c r="CO120" s="286"/>
      <c r="CP120" s="286"/>
      <c r="CQ120" s="286"/>
      <c r="CR120" s="286"/>
      <c r="CS120" s="286"/>
      <c r="CT120" s="286"/>
      <c r="CU120" s="286"/>
      <c r="CV120" s="286"/>
      <c r="CW120" s="286"/>
      <c r="CX120" s="286"/>
      <c r="CY120" s="286"/>
      <c r="CZ120" s="286"/>
      <c r="DA120" s="286"/>
      <c r="DB120" s="286"/>
      <c r="DC120" s="286"/>
      <c r="DD120" s="286"/>
      <c r="DE120" s="286"/>
      <c r="DF120" s="286"/>
      <c r="DG120" s="286"/>
      <c r="DH120" s="286"/>
      <c r="DI120" s="286"/>
      <c r="DJ120" s="286"/>
      <c r="DK120" s="286"/>
      <c r="DL120" s="286"/>
      <c r="DM120" s="286"/>
      <c r="DN120" s="286"/>
      <c r="DO120" s="286"/>
      <c r="DP120" s="286"/>
      <c r="DR120" s="58" t="str">
        <f>IF(ISNUMBER(MATCH(#REF!,'Audit Characteristic Mapping'!$B$3:$B$500,0)),"Y","")</f>
        <v/>
      </c>
      <c r="DS120" s="58" t="str">
        <f>IF(ISNUMBER(MATCH(#REF!,'Audit Characteristic Mapping'!$C$3:$C$500,0)),"Y","")</f>
        <v/>
      </c>
      <c r="DT120" s="58" t="str">
        <f>IF(ISNUMBER(MATCH(#REF!,'Audit Characteristic Mapping'!$D$3:$D$500,0)),"Y","")</f>
        <v/>
      </c>
      <c r="DU120" s="58" t="str">
        <f>IF(ISNUMBER(MATCH(#REF!,'Audit Characteristic Mapping'!$E$3:$E$500,0)),"Y","")</f>
        <v/>
      </c>
      <c r="DV120" s="58" t="str">
        <f>IF(ISNUMBER(MATCH(#REF!,'Audit Characteristic Mapping'!$F$3:$F$500,0)),"Y","")</f>
        <v/>
      </c>
      <c r="DW120" s="58" t="str">
        <f>IF(ISNUMBER(MATCH(#REF!,'Audit Characteristic Mapping'!$G$3:$G$500,0)),"Y","")</f>
        <v/>
      </c>
      <c r="DX120" s="58" t="str">
        <f>IF(ISNUMBER(MATCH(#REF!,'Audit Characteristic Mapping'!$H$3:$H$500,0)),"Y","")</f>
        <v/>
      </c>
      <c r="DY120" s="58" t="str">
        <f>IF(ISNUMBER(MATCH(#REF!,'Audit Characteristic Mapping'!$I$3:$I$500,0)),"Y","")</f>
        <v/>
      </c>
      <c r="DZ120" s="58" t="str">
        <f>IF(ISNUMBER(MATCH(#REF!,'Audit Characteristic Mapping'!$J$3:$J$500,0)),"Y","")</f>
        <v/>
      </c>
      <c r="EA120" s="58" t="str">
        <f>IF(ISNUMBER(MATCH(#REF!,'Audit Characteristic Mapping'!$K$3:$K$500,0)),"Y","")</f>
        <v/>
      </c>
    </row>
    <row r="121" spans="1:131" ht="16" hidden="1" x14ac:dyDescent="0.2">
      <c r="A121" s="288">
        <v>116</v>
      </c>
      <c r="B121" s="287" t="s">
        <v>174</v>
      </c>
      <c r="C121" s="226" t="s">
        <v>232</v>
      </c>
      <c r="D121" s="170">
        <v>2</v>
      </c>
      <c r="E121" s="288">
        <v>17</v>
      </c>
      <c r="F121" s="291" t="str">
        <f>VLOOKUP(Calculation!A121,'Descriptor maps'!$A$2:$F$1658,2,0)</f>
        <v>Facility details</v>
      </c>
      <c r="G121" s="289"/>
      <c r="H121" s="290"/>
      <c r="I121" s="291"/>
      <c r="J121" s="292" t="e" cm="1">
        <f t="array" ref="J121">INDEX('Descriptor maps'!$I$2:$I$1658,MATCH(1,('Descriptor maps'!$A$2:$A$1658=Calculation!$A121)*('Descriptor maps'!$G$2:$G$1658=Calculation!$G121),0))</f>
        <v>#N/A</v>
      </c>
      <c r="K121" s="226"/>
      <c r="L121" s="293"/>
      <c r="M121" s="293"/>
      <c r="N121" s="293"/>
      <c r="O121" s="293"/>
      <c r="P121" s="293"/>
      <c r="Q121" s="293"/>
      <c r="R121" s="293"/>
      <c r="S121" s="293"/>
      <c r="T121" s="293"/>
      <c r="U121" s="293"/>
      <c r="V121" s="293"/>
      <c r="W121" s="293"/>
      <c r="X121" s="293"/>
      <c r="Y121" s="293"/>
      <c r="Z121" s="293"/>
      <c r="AA121" s="293"/>
      <c r="AB121" s="293"/>
      <c r="AC121" s="293"/>
      <c r="AD121" s="293"/>
      <c r="AE121" s="293"/>
      <c r="AF121" s="293"/>
      <c r="AG121" s="293"/>
      <c r="AH121" s="293"/>
      <c r="AI121" s="293"/>
      <c r="AJ121" s="293"/>
      <c r="AK121" s="293"/>
      <c r="AL121" s="293"/>
      <c r="AM121" s="293"/>
      <c r="AN121" s="293"/>
      <c r="AO121" s="293"/>
      <c r="AP121" s="293"/>
      <c r="AQ121" s="293"/>
      <c r="AR121" s="293"/>
      <c r="AS121" s="293"/>
      <c r="AT121" s="293"/>
      <c r="AU121" s="293"/>
      <c r="AV121" s="293"/>
      <c r="AW121" s="293"/>
      <c r="AX121" s="293"/>
      <c r="AY121" s="293"/>
      <c r="AZ121" s="293"/>
      <c r="BA121" s="293"/>
      <c r="BB121" s="293"/>
      <c r="BC121" s="293"/>
      <c r="BD121" s="293"/>
      <c r="BE121" s="293"/>
      <c r="BF121" s="293"/>
      <c r="BG121" s="293"/>
      <c r="BH121" s="293"/>
      <c r="BI121" s="293"/>
      <c r="BJ121" s="293"/>
      <c r="BK121" s="293"/>
      <c r="BL121" s="293"/>
      <c r="BM121" s="293"/>
      <c r="BN121" s="293"/>
      <c r="BO121" s="293"/>
      <c r="BP121" s="293"/>
      <c r="BQ121" s="293"/>
      <c r="BR121" s="293"/>
      <c r="BS121" s="293"/>
      <c r="BT121" s="293"/>
      <c r="BU121" s="293"/>
      <c r="BV121" s="293"/>
      <c r="BW121" s="293"/>
      <c r="BX121" s="293"/>
      <c r="BY121" s="293"/>
      <c r="BZ121" s="293"/>
      <c r="CA121" s="285"/>
      <c r="CB121" s="286"/>
      <c r="CC121" s="286"/>
      <c r="CD121" s="286"/>
      <c r="CE121" s="286"/>
      <c r="CF121" s="286"/>
      <c r="CG121" s="286"/>
      <c r="CH121" s="286"/>
      <c r="CI121" s="286"/>
      <c r="CJ121" s="286"/>
      <c r="CK121" s="286"/>
      <c r="CL121" s="286"/>
      <c r="CM121" s="286"/>
      <c r="CN121" s="286"/>
      <c r="CO121" s="286"/>
      <c r="CP121" s="286"/>
      <c r="CQ121" s="286"/>
      <c r="CR121" s="286"/>
      <c r="CS121" s="286"/>
      <c r="CT121" s="286"/>
      <c r="CU121" s="286"/>
      <c r="CV121" s="286"/>
      <c r="CW121" s="286"/>
      <c r="CX121" s="286"/>
      <c r="CY121" s="286"/>
      <c r="CZ121" s="286"/>
      <c r="DA121" s="286"/>
      <c r="DB121" s="286"/>
      <c r="DC121" s="286"/>
      <c r="DD121" s="286"/>
      <c r="DE121" s="286"/>
      <c r="DF121" s="286"/>
      <c r="DG121" s="286"/>
      <c r="DH121" s="286"/>
      <c r="DI121" s="286"/>
      <c r="DJ121" s="286"/>
      <c r="DK121" s="286"/>
      <c r="DL121" s="286"/>
      <c r="DM121" s="286"/>
      <c r="DN121" s="286"/>
      <c r="DO121" s="286"/>
      <c r="DP121" s="286"/>
      <c r="DR121" s="58" t="str">
        <f>IF(ISNUMBER(MATCH(#REF!,'Audit Characteristic Mapping'!$B$3:$B$500,0)),"Y","")</f>
        <v/>
      </c>
      <c r="DS121" s="58" t="str">
        <f>IF(ISNUMBER(MATCH(#REF!,'Audit Characteristic Mapping'!$C$3:$C$500,0)),"Y","")</f>
        <v/>
      </c>
      <c r="DT121" s="58" t="str">
        <f>IF(ISNUMBER(MATCH(#REF!,'Audit Characteristic Mapping'!$D$3:$D$500,0)),"Y","")</f>
        <v/>
      </c>
      <c r="DU121" s="58" t="str">
        <f>IF(ISNUMBER(MATCH(#REF!,'Audit Characteristic Mapping'!$E$3:$E$500,0)),"Y","")</f>
        <v/>
      </c>
      <c r="DV121" s="58" t="str">
        <f>IF(ISNUMBER(MATCH(#REF!,'Audit Characteristic Mapping'!$F$3:$F$500,0)),"Y","")</f>
        <v/>
      </c>
      <c r="DW121" s="58" t="str">
        <f>IF(ISNUMBER(MATCH(#REF!,'Audit Characteristic Mapping'!$G$3:$G$500,0)),"Y","")</f>
        <v/>
      </c>
      <c r="DX121" s="58" t="str">
        <f>IF(ISNUMBER(MATCH(#REF!,'Audit Characteristic Mapping'!$H$3:$H$500,0)),"Y","")</f>
        <v/>
      </c>
      <c r="DY121" s="58" t="str">
        <f>IF(ISNUMBER(MATCH(#REF!,'Audit Characteristic Mapping'!$I$3:$I$500,0)),"Y","")</f>
        <v/>
      </c>
      <c r="DZ121" s="58" t="str">
        <f>IF(ISNUMBER(MATCH(#REF!,'Audit Characteristic Mapping'!$J$3:$J$500,0)),"Y","")</f>
        <v/>
      </c>
      <c r="EA121" s="58" t="str">
        <f>IF(ISNUMBER(MATCH(#REF!,'Audit Characteristic Mapping'!$K$3:$K$500,0)),"Y","")</f>
        <v/>
      </c>
    </row>
    <row r="122" spans="1:131" ht="16" hidden="1" x14ac:dyDescent="0.2">
      <c r="A122" s="288">
        <v>117</v>
      </c>
      <c r="B122" s="287" t="s">
        <v>174</v>
      </c>
      <c r="C122" s="226" t="s">
        <v>232</v>
      </c>
      <c r="D122" s="170">
        <v>2</v>
      </c>
      <c r="E122" s="288">
        <v>17</v>
      </c>
      <c r="F122" s="291" t="str">
        <f>VLOOKUP(Calculation!A122,'Descriptor maps'!$A$2:$F$1658,2,0)</f>
        <v>Facility details</v>
      </c>
      <c r="G122" s="289"/>
      <c r="H122" s="290"/>
      <c r="I122" s="291"/>
      <c r="J122" s="292" t="e" cm="1">
        <f t="array" ref="J122">INDEX('Descriptor maps'!$I$2:$I$1658,MATCH(1,('Descriptor maps'!$A$2:$A$1658=Calculation!$A122)*('Descriptor maps'!$G$2:$G$1658=Calculation!$G122),0))</f>
        <v>#N/A</v>
      </c>
      <c r="K122" s="226"/>
      <c r="L122" s="293"/>
      <c r="M122" s="293"/>
      <c r="N122" s="293"/>
      <c r="O122" s="293"/>
      <c r="P122" s="293"/>
      <c r="Q122" s="293"/>
      <c r="R122" s="293"/>
      <c r="S122" s="293"/>
      <c r="T122" s="293"/>
      <c r="U122" s="293"/>
      <c r="V122" s="293"/>
      <c r="W122" s="293"/>
      <c r="X122" s="293"/>
      <c r="Y122" s="293"/>
      <c r="Z122" s="293"/>
      <c r="AA122" s="293"/>
      <c r="AB122" s="293"/>
      <c r="AC122" s="293"/>
      <c r="AD122" s="293"/>
      <c r="AE122" s="293"/>
      <c r="AF122" s="293"/>
      <c r="AG122" s="293"/>
      <c r="AH122" s="293"/>
      <c r="AI122" s="293"/>
      <c r="AJ122" s="293"/>
      <c r="AK122" s="293"/>
      <c r="AL122" s="293"/>
      <c r="AM122" s="293"/>
      <c r="AN122" s="293"/>
      <c r="AO122" s="293"/>
      <c r="AP122" s="293"/>
      <c r="AQ122" s="293"/>
      <c r="AR122" s="293"/>
      <c r="AS122" s="293"/>
      <c r="AT122" s="293"/>
      <c r="AU122" s="293"/>
      <c r="AV122" s="293"/>
      <c r="AW122" s="293"/>
      <c r="AX122" s="293"/>
      <c r="AY122" s="293"/>
      <c r="AZ122" s="293"/>
      <c r="BA122" s="293"/>
      <c r="BB122" s="293"/>
      <c r="BC122" s="293"/>
      <c r="BD122" s="293"/>
      <c r="BE122" s="293"/>
      <c r="BF122" s="293"/>
      <c r="BG122" s="293"/>
      <c r="BH122" s="293"/>
      <c r="BI122" s="293"/>
      <c r="BJ122" s="293"/>
      <c r="BK122" s="293"/>
      <c r="BL122" s="293"/>
      <c r="BM122" s="293"/>
      <c r="BN122" s="293"/>
      <c r="BO122" s="293"/>
      <c r="BP122" s="293"/>
      <c r="BQ122" s="293"/>
      <c r="BR122" s="293"/>
      <c r="BS122" s="293"/>
      <c r="BT122" s="293"/>
      <c r="BU122" s="293"/>
      <c r="BV122" s="293"/>
      <c r="BW122" s="293"/>
      <c r="BX122" s="293"/>
      <c r="BY122" s="293"/>
      <c r="BZ122" s="293"/>
      <c r="CA122" s="285"/>
      <c r="CB122" s="286"/>
      <c r="CC122" s="286"/>
      <c r="CD122" s="286"/>
      <c r="CE122" s="286"/>
      <c r="CF122" s="286"/>
      <c r="CG122" s="286"/>
      <c r="CH122" s="286"/>
      <c r="CI122" s="286"/>
      <c r="CJ122" s="286"/>
      <c r="CK122" s="286"/>
      <c r="CL122" s="286"/>
      <c r="CM122" s="286"/>
      <c r="CN122" s="286"/>
      <c r="CO122" s="286"/>
      <c r="CP122" s="286"/>
      <c r="CQ122" s="286"/>
      <c r="CR122" s="286"/>
      <c r="CS122" s="286"/>
      <c r="CT122" s="286"/>
      <c r="CU122" s="286"/>
      <c r="CV122" s="286"/>
      <c r="CW122" s="286"/>
      <c r="CX122" s="286"/>
      <c r="CY122" s="286"/>
      <c r="CZ122" s="286"/>
      <c r="DA122" s="286"/>
      <c r="DB122" s="286"/>
      <c r="DC122" s="286"/>
      <c r="DD122" s="286"/>
      <c r="DE122" s="286"/>
      <c r="DF122" s="286"/>
      <c r="DG122" s="286"/>
      <c r="DH122" s="286"/>
      <c r="DI122" s="286"/>
      <c r="DJ122" s="286"/>
      <c r="DK122" s="286"/>
      <c r="DL122" s="286"/>
      <c r="DM122" s="286"/>
      <c r="DN122" s="286"/>
      <c r="DO122" s="286"/>
      <c r="DP122" s="286"/>
      <c r="DR122" s="58" t="str">
        <f>IF(ISNUMBER(MATCH(#REF!,'Audit Characteristic Mapping'!$B$3:$B$500,0)),"Y","")</f>
        <v/>
      </c>
      <c r="DS122" s="58" t="str">
        <f>IF(ISNUMBER(MATCH(#REF!,'Audit Characteristic Mapping'!$C$3:$C$500,0)),"Y","")</f>
        <v/>
      </c>
      <c r="DT122" s="58" t="str">
        <f>IF(ISNUMBER(MATCH(#REF!,'Audit Characteristic Mapping'!$D$3:$D$500,0)),"Y","")</f>
        <v/>
      </c>
      <c r="DU122" s="58" t="str">
        <f>IF(ISNUMBER(MATCH(#REF!,'Audit Characteristic Mapping'!$E$3:$E$500,0)),"Y","")</f>
        <v/>
      </c>
      <c r="DV122" s="58" t="str">
        <f>IF(ISNUMBER(MATCH(#REF!,'Audit Characteristic Mapping'!$F$3:$F$500,0)),"Y","")</f>
        <v/>
      </c>
      <c r="DW122" s="58" t="str">
        <f>IF(ISNUMBER(MATCH(#REF!,'Audit Characteristic Mapping'!$G$3:$G$500,0)),"Y","")</f>
        <v/>
      </c>
      <c r="DX122" s="58" t="str">
        <f>IF(ISNUMBER(MATCH(#REF!,'Audit Characteristic Mapping'!$H$3:$H$500,0)),"Y","")</f>
        <v/>
      </c>
      <c r="DY122" s="58" t="str">
        <f>IF(ISNUMBER(MATCH(#REF!,'Audit Characteristic Mapping'!$I$3:$I$500,0)),"Y","")</f>
        <v/>
      </c>
      <c r="DZ122" s="58" t="str">
        <f>IF(ISNUMBER(MATCH(#REF!,'Audit Characteristic Mapping'!$J$3:$J$500,0)),"Y","")</f>
        <v/>
      </c>
      <c r="EA122" s="58" t="str">
        <f>IF(ISNUMBER(MATCH(#REF!,'Audit Characteristic Mapping'!$K$3:$K$500,0)),"Y","")</f>
        <v/>
      </c>
    </row>
    <row r="123" spans="1:131" ht="16" hidden="1" x14ac:dyDescent="0.2">
      <c r="A123" s="288">
        <v>118</v>
      </c>
      <c r="B123" s="287" t="s">
        <v>174</v>
      </c>
      <c r="C123" s="226" t="s">
        <v>232</v>
      </c>
      <c r="D123" s="170">
        <v>2</v>
      </c>
      <c r="E123" s="288">
        <v>17</v>
      </c>
      <c r="F123" s="291" t="str">
        <f>VLOOKUP(Calculation!A123,'Descriptor maps'!$A$2:$F$1658,2,0)</f>
        <v>Facility details</v>
      </c>
      <c r="G123" s="289" t="s">
        <v>7</v>
      </c>
      <c r="H123" s="290"/>
      <c r="I123" s="291"/>
      <c r="J123" s="292" cm="1">
        <f t="array" ref="J123">INDEX('Descriptor maps'!$I$2:$I$1658,MATCH(1,('Descriptor maps'!$A$2:$A$1658=Calculation!$A123)*('Descriptor maps'!$G$2:$G$1658=Calculation!$G123),0))</f>
        <v>1</v>
      </c>
      <c r="K123" s="226"/>
      <c r="L123" s="293"/>
      <c r="M123" s="293"/>
      <c r="N123" s="293"/>
      <c r="O123" s="293"/>
      <c r="P123" s="293"/>
      <c r="Q123" s="293"/>
      <c r="R123" s="293"/>
      <c r="S123" s="293"/>
      <c r="T123" s="293"/>
      <c r="U123" s="293"/>
      <c r="V123" s="293"/>
      <c r="W123" s="293"/>
      <c r="X123" s="293"/>
      <c r="Y123" s="293"/>
      <c r="Z123" s="293"/>
      <c r="AA123" s="293"/>
      <c r="AB123" s="293"/>
      <c r="AC123" s="293"/>
      <c r="AD123" s="293"/>
      <c r="AE123" s="293"/>
      <c r="AF123" s="293"/>
      <c r="AG123" s="293"/>
      <c r="AH123" s="293"/>
      <c r="AI123" s="293"/>
      <c r="AJ123" s="293"/>
      <c r="AK123" s="293"/>
      <c r="AL123" s="293"/>
      <c r="AM123" s="293"/>
      <c r="AN123" s="293"/>
      <c r="AO123" s="293"/>
      <c r="AP123" s="293"/>
      <c r="AQ123" s="293"/>
      <c r="AR123" s="293"/>
      <c r="AS123" s="293"/>
      <c r="AT123" s="293"/>
      <c r="AU123" s="293"/>
      <c r="AV123" s="293"/>
      <c r="AW123" s="293"/>
      <c r="AX123" s="293"/>
      <c r="AY123" s="293"/>
      <c r="AZ123" s="293"/>
      <c r="BA123" s="293"/>
      <c r="BB123" s="293"/>
      <c r="BC123" s="293"/>
      <c r="BD123" s="293"/>
      <c r="BE123" s="293"/>
      <c r="BF123" s="293"/>
      <c r="BG123" s="293"/>
      <c r="BH123" s="293"/>
      <c r="BI123" s="293"/>
      <c r="BJ123" s="293"/>
      <c r="BK123" s="293"/>
      <c r="BL123" s="293"/>
      <c r="BM123" s="293"/>
      <c r="BN123" s="293"/>
      <c r="BO123" s="293"/>
      <c r="BP123" s="293"/>
      <c r="BQ123" s="293"/>
      <c r="BR123" s="293"/>
      <c r="BS123" s="293"/>
      <c r="BT123" s="293"/>
      <c r="BU123" s="293"/>
      <c r="BV123" s="293"/>
      <c r="BW123" s="293"/>
      <c r="BX123" s="293"/>
      <c r="BY123" s="293"/>
      <c r="BZ123" s="293"/>
      <c r="CA123" s="285"/>
      <c r="CB123" s="286"/>
      <c r="CC123" s="286"/>
      <c r="CD123" s="286"/>
      <c r="CE123" s="286"/>
      <c r="CF123" s="286"/>
      <c r="CG123" s="286"/>
      <c r="CH123" s="286"/>
      <c r="CI123" s="286"/>
      <c r="CJ123" s="286"/>
      <c r="CK123" s="286"/>
      <c r="CL123" s="286"/>
      <c r="CM123" s="286"/>
      <c r="CN123" s="286"/>
      <c r="CO123" s="286"/>
      <c r="CP123" s="286"/>
      <c r="CQ123" s="286"/>
      <c r="CR123" s="286"/>
      <c r="CS123" s="286"/>
      <c r="CT123" s="286"/>
      <c r="CU123" s="286"/>
      <c r="CV123" s="286"/>
      <c r="CW123" s="286"/>
      <c r="CX123" s="286"/>
      <c r="CY123" s="286"/>
      <c r="CZ123" s="286"/>
      <c r="DA123" s="286"/>
      <c r="DB123" s="286"/>
      <c r="DC123" s="286"/>
      <c r="DD123" s="286"/>
      <c r="DE123" s="286"/>
      <c r="DF123" s="286"/>
      <c r="DG123" s="286"/>
      <c r="DH123" s="286"/>
      <c r="DI123" s="286"/>
      <c r="DJ123" s="286"/>
      <c r="DK123" s="286"/>
      <c r="DL123" s="286"/>
      <c r="DM123" s="286"/>
      <c r="DN123" s="286"/>
      <c r="DO123" s="286"/>
      <c r="DP123" s="286"/>
      <c r="DR123" s="58" t="str">
        <f>IF(ISNUMBER(MATCH(#REF!,'Audit Characteristic Mapping'!$B$3:$B$500,0)),"Y","")</f>
        <v/>
      </c>
      <c r="DS123" s="58" t="str">
        <f>IF(ISNUMBER(MATCH(#REF!,'Audit Characteristic Mapping'!$C$3:$C$500,0)),"Y","")</f>
        <v/>
      </c>
      <c r="DT123" s="58" t="str">
        <f>IF(ISNUMBER(MATCH(#REF!,'Audit Characteristic Mapping'!$D$3:$D$500,0)),"Y","")</f>
        <v/>
      </c>
      <c r="DU123" s="58" t="str">
        <f>IF(ISNUMBER(MATCH(#REF!,'Audit Characteristic Mapping'!$E$3:$E$500,0)),"Y","")</f>
        <v/>
      </c>
      <c r="DV123" s="58" t="str">
        <f>IF(ISNUMBER(MATCH(#REF!,'Audit Characteristic Mapping'!$F$3:$F$500,0)),"Y","")</f>
        <v/>
      </c>
      <c r="DW123" s="58" t="str">
        <f>IF(ISNUMBER(MATCH(#REF!,'Audit Characteristic Mapping'!$G$3:$G$500,0)),"Y","")</f>
        <v/>
      </c>
      <c r="DX123" s="58" t="str">
        <f>IF(ISNUMBER(MATCH(#REF!,'Audit Characteristic Mapping'!$H$3:$H$500,0)),"Y","")</f>
        <v/>
      </c>
      <c r="DY123" s="58" t="str">
        <f>IF(ISNUMBER(MATCH(#REF!,'Audit Characteristic Mapping'!$I$3:$I$500,0)),"Y","")</f>
        <v/>
      </c>
      <c r="DZ123" s="58" t="str">
        <f>IF(ISNUMBER(MATCH(#REF!,'Audit Characteristic Mapping'!$J$3:$J$500,0)),"Y","")</f>
        <v/>
      </c>
      <c r="EA123" s="58" t="str">
        <f>IF(ISNUMBER(MATCH(#REF!,'Audit Characteristic Mapping'!$K$3:$K$500,0)),"Y","")</f>
        <v/>
      </c>
    </row>
    <row r="124" spans="1:131" ht="16" hidden="1" x14ac:dyDescent="0.2">
      <c r="A124" s="288">
        <v>119</v>
      </c>
      <c r="B124" s="287" t="s">
        <v>174</v>
      </c>
      <c r="C124" s="226" t="s">
        <v>232</v>
      </c>
      <c r="D124" s="170">
        <v>2</v>
      </c>
      <c r="E124" s="288">
        <v>17</v>
      </c>
      <c r="F124" s="291" t="str">
        <f>VLOOKUP(Calculation!A124,'Descriptor maps'!$A$2:$F$1658,2,0)</f>
        <v>Facility details</v>
      </c>
      <c r="G124" s="289"/>
      <c r="H124" s="290"/>
      <c r="I124" s="291"/>
      <c r="J124" s="292" t="e" cm="1">
        <f t="array" ref="J124">INDEX('Descriptor maps'!$I$2:$I$1658,MATCH(1,('Descriptor maps'!$A$2:$A$1658=Calculation!$A124)*('Descriptor maps'!$G$2:$G$1658=Calculation!$G124),0))</f>
        <v>#N/A</v>
      </c>
      <c r="K124" s="226"/>
      <c r="L124" s="293"/>
      <c r="M124" s="293"/>
      <c r="N124" s="293"/>
      <c r="O124" s="293"/>
      <c r="P124" s="293"/>
      <c r="Q124" s="293"/>
      <c r="R124" s="293"/>
      <c r="S124" s="293"/>
      <c r="T124" s="293"/>
      <c r="U124" s="293"/>
      <c r="V124" s="293"/>
      <c r="W124" s="293"/>
      <c r="X124" s="293"/>
      <c r="Y124" s="29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c r="AW124" s="293"/>
      <c r="AX124" s="293"/>
      <c r="AY124" s="293"/>
      <c r="AZ124" s="293"/>
      <c r="BA124" s="293"/>
      <c r="BB124" s="293"/>
      <c r="BC124" s="293"/>
      <c r="BD124" s="293"/>
      <c r="BE124" s="293"/>
      <c r="BF124" s="293"/>
      <c r="BG124" s="293"/>
      <c r="BH124" s="293"/>
      <c r="BI124" s="293"/>
      <c r="BJ124" s="293"/>
      <c r="BK124" s="293"/>
      <c r="BL124" s="293"/>
      <c r="BM124" s="293"/>
      <c r="BN124" s="293"/>
      <c r="BO124" s="293"/>
      <c r="BP124" s="293"/>
      <c r="BQ124" s="293"/>
      <c r="BR124" s="293"/>
      <c r="BS124" s="293"/>
      <c r="BT124" s="293"/>
      <c r="BU124" s="293"/>
      <c r="BV124" s="293"/>
      <c r="BW124" s="293"/>
      <c r="BX124" s="293"/>
      <c r="BY124" s="293"/>
      <c r="BZ124" s="293"/>
      <c r="CA124" s="285"/>
      <c r="CB124" s="286"/>
      <c r="CC124" s="286"/>
      <c r="CD124" s="286"/>
      <c r="CE124" s="286"/>
      <c r="CF124" s="286"/>
      <c r="CG124" s="286"/>
      <c r="CH124" s="286"/>
      <c r="CI124" s="286"/>
      <c r="CJ124" s="286"/>
      <c r="CK124" s="286"/>
      <c r="CL124" s="286"/>
      <c r="CM124" s="286"/>
      <c r="CN124" s="286"/>
      <c r="CO124" s="286"/>
      <c r="CP124" s="286"/>
      <c r="CQ124" s="286"/>
      <c r="CR124" s="286"/>
      <c r="CS124" s="286"/>
      <c r="CT124" s="286"/>
      <c r="CU124" s="286"/>
      <c r="CV124" s="286"/>
      <c r="CW124" s="286"/>
      <c r="CX124" s="286"/>
      <c r="CY124" s="286"/>
      <c r="CZ124" s="286"/>
      <c r="DA124" s="286"/>
      <c r="DB124" s="286"/>
      <c r="DC124" s="286"/>
      <c r="DD124" s="286"/>
      <c r="DE124" s="286"/>
      <c r="DF124" s="286"/>
      <c r="DG124" s="286"/>
      <c r="DH124" s="286"/>
      <c r="DI124" s="286"/>
      <c r="DJ124" s="286"/>
      <c r="DK124" s="286"/>
      <c r="DL124" s="286"/>
      <c r="DM124" s="286"/>
      <c r="DN124" s="286"/>
      <c r="DO124" s="286"/>
      <c r="DP124" s="286"/>
      <c r="DR124" s="58" t="str">
        <f>IF(ISNUMBER(MATCH(#REF!,'Audit Characteristic Mapping'!$B$3:$B$500,0)),"Y","")</f>
        <v/>
      </c>
      <c r="DS124" s="58" t="str">
        <f>IF(ISNUMBER(MATCH(#REF!,'Audit Characteristic Mapping'!$C$3:$C$500,0)),"Y","")</f>
        <v/>
      </c>
      <c r="DT124" s="58" t="str">
        <f>IF(ISNUMBER(MATCH(#REF!,'Audit Characteristic Mapping'!$D$3:$D$500,0)),"Y","")</f>
        <v/>
      </c>
      <c r="DU124" s="58" t="str">
        <f>IF(ISNUMBER(MATCH(#REF!,'Audit Characteristic Mapping'!$E$3:$E$500,0)),"Y","")</f>
        <v/>
      </c>
      <c r="DV124" s="58" t="str">
        <f>IF(ISNUMBER(MATCH(#REF!,'Audit Characteristic Mapping'!$F$3:$F$500,0)),"Y","")</f>
        <v/>
      </c>
      <c r="DW124" s="58" t="str">
        <f>IF(ISNUMBER(MATCH(#REF!,'Audit Characteristic Mapping'!$G$3:$G$500,0)),"Y","")</f>
        <v/>
      </c>
      <c r="DX124" s="58" t="str">
        <f>IF(ISNUMBER(MATCH(#REF!,'Audit Characteristic Mapping'!$H$3:$H$500,0)),"Y","")</f>
        <v/>
      </c>
      <c r="DY124" s="58" t="str">
        <f>IF(ISNUMBER(MATCH(#REF!,'Audit Characteristic Mapping'!$I$3:$I$500,0)),"Y","")</f>
        <v/>
      </c>
      <c r="DZ124" s="58" t="str">
        <f>IF(ISNUMBER(MATCH(#REF!,'Audit Characteristic Mapping'!$J$3:$J$500,0)),"Y","")</f>
        <v/>
      </c>
      <c r="EA124" s="58" t="str">
        <f>IF(ISNUMBER(MATCH(#REF!,'Audit Characteristic Mapping'!$K$3:$K$500,0)),"Y","")</f>
        <v/>
      </c>
    </row>
    <row r="125" spans="1:131" ht="16" hidden="1" x14ac:dyDescent="0.2">
      <c r="A125" s="288">
        <v>120</v>
      </c>
      <c r="B125" s="287" t="s">
        <v>174</v>
      </c>
      <c r="C125" s="226" t="s">
        <v>232</v>
      </c>
      <c r="D125" s="170">
        <v>2</v>
      </c>
      <c r="E125" s="288">
        <v>17</v>
      </c>
      <c r="F125" s="291" t="str">
        <f>VLOOKUP(Calculation!A125,'Descriptor maps'!$A$2:$F$1658,2,0)</f>
        <v>Facility details</v>
      </c>
      <c r="G125" s="289"/>
      <c r="H125" s="290"/>
      <c r="I125" s="291"/>
      <c r="J125" s="292" t="e" cm="1">
        <f t="array" ref="J125">INDEX('Descriptor maps'!$I$2:$I$1658,MATCH(1,('Descriptor maps'!$A$2:$A$1658=Calculation!$A125)*('Descriptor maps'!$G$2:$G$1658=Calculation!$G125),0))</f>
        <v>#N/A</v>
      </c>
      <c r="K125" s="226"/>
      <c r="L125" s="293"/>
      <c r="M125" s="293"/>
      <c r="N125" s="293"/>
      <c r="O125" s="293"/>
      <c r="P125" s="293"/>
      <c r="Q125" s="293"/>
      <c r="R125" s="293"/>
      <c r="S125" s="293"/>
      <c r="T125" s="293"/>
      <c r="U125" s="293"/>
      <c r="V125" s="293"/>
      <c r="W125" s="293"/>
      <c r="X125" s="293"/>
      <c r="Y125" s="293"/>
      <c r="Z125" s="293"/>
      <c r="AA125" s="293"/>
      <c r="AB125" s="293"/>
      <c r="AC125" s="293"/>
      <c r="AD125" s="293"/>
      <c r="AE125" s="293"/>
      <c r="AF125" s="293"/>
      <c r="AG125" s="293"/>
      <c r="AH125" s="293"/>
      <c r="AI125" s="293"/>
      <c r="AJ125" s="293"/>
      <c r="AK125" s="293"/>
      <c r="AL125" s="293"/>
      <c r="AM125" s="293"/>
      <c r="AN125" s="293"/>
      <c r="AO125" s="293"/>
      <c r="AP125" s="293"/>
      <c r="AQ125" s="293"/>
      <c r="AR125" s="293"/>
      <c r="AS125" s="293"/>
      <c r="AT125" s="293"/>
      <c r="AU125" s="293"/>
      <c r="AV125" s="293"/>
      <c r="AW125" s="293"/>
      <c r="AX125" s="293"/>
      <c r="AY125" s="293"/>
      <c r="AZ125" s="293"/>
      <c r="BA125" s="293"/>
      <c r="BB125" s="293"/>
      <c r="BC125" s="293"/>
      <c r="BD125" s="293"/>
      <c r="BE125" s="293"/>
      <c r="BF125" s="293"/>
      <c r="BG125" s="293"/>
      <c r="BH125" s="293"/>
      <c r="BI125" s="293"/>
      <c r="BJ125" s="293"/>
      <c r="BK125" s="293"/>
      <c r="BL125" s="293"/>
      <c r="BM125" s="293"/>
      <c r="BN125" s="293"/>
      <c r="BO125" s="293"/>
      <c r="BP125" s="293"/>
      <c r="BQ125" s="293"/>
      <c r="BR125" s="293"/>
      <c r="BS125" s="293"/>
      <c r="BT125" s="293"/>
      <c r="BU125" s="293"/>
      <c r="BV125" s="293"/>
      <c r="BW125" s="293"/>
      <c r="BX125" s="293"/>
      <c r="BY125" s="293"/>
      <c r="BZ125" s="293"/>
      <c r="CA125" s="285"/>
      <c r="CB125" s="286"/>
      <c r="CC125" s="286"/>
      <c r="CD125" s="286"/>
      <c r="CE125" s="286"/>
      <c r="CF125" s="286"/>
      <c r="CG125" s="286"/>
      <c r="CH125" s="286"/>
      <c r="CI125" s="286"/>
      <c r="CJ125" s="286"/>
      <c r="CK125" s="286"/>
      <c r="CL125" s="286"/>
      <c r="CM125" s="286"/>
      <c r="CN125" s="286"/>
      <c r="CO125" s="286"/>
      <c r="CP125" s="286"/>
      <c r="CQ125" s="286"/>
      <c r="CR125" s="286"/>
      <c r="CS125" s="286"/>
      <c r="CT125" s="286"/>
      <c r="CU125" s="286"/>
      <c r="CV125" s="286"/>
      <c r="CW125" s="286"/>
      <c r="CX125" s="286"/>
      <c r="CY125" s="286"/>
      <c r="CZ125" s="286"/>
      <c r="DA125" s="286"/>
      <c r="DB125" s="286"/>
      <c r="DC125" s="286"/>
      <c r="DD125" s="286"/>
      <c r="DE125" s="286"/>
      <c r="DF125" s="286"/>
      <c r="DG125" s="286"/>
      <c r="DH125" s="286"/>
      <c r="DI125" s="286"/>
      <c r="DJ125" s="286"/>
      <c r="DK125" s="286"/>
      <c r="DL125" s="286"/>
      <c r="DM125" s="286"/>
      <c r="DN125" s="286"/>
      <c r="DO125" s="286"/>
      <c r="DP125" s="286"/>
      <c r="DR125" s="58" t="str">
        <f>IF(ISNUMBER(MATCH(#REF!,'Audit Characteristic Mapping'!$B$3:$B$500,0)),"Y","")</f>
        <v/>
      </c>
      <c r="DS125" s="58" t="str">
        <f>IF(ISNUMBER(MATCH(#REF!,'Audit Characteristic Mapping'!$C$3:$C$500,0)),"Y","")</f>
        <v/>
      </c>
      <c r="DT125" s="58" t="str">
        <f>IF(ISNUMBER(MATCH(#REF!,'Audit Characteristic Mapping'!$D$3:$D$500,0)),"Y","")</f>
        <v/>
      </c>
      <c r="DU125" s="58" t="str">
        <f>IF(ISNUMBER(MATCH(#REF!,'Audit Characteristic Mapping'!$E$3:$E$500,0)),"Y","")</f>
        <v/>
      </c>
      <c r="DV125" s="58" t="str">
        <f>IF(ISNUMBER(MATCH(#REF!,'Audit Characteristic Mapping'!$F$3:$F$500,0)),"Y","")</f>
        <v/>
      </c>
      <c r="DW125" s="58" t="str">
        <f>IF(ISNUMBER(MATCH(#REF!,'Audit Characteristic Mapping'!$G$3:$G$500,0)),"Y","")</f>
        <v/>
      </c>
      <c r="DX125" s="58" t="str">
        <f>IF(ISNUMBER(MATCH(#REF!,'Audit Characteristic Mapping'!$H$3:$H$500,0)),"Y","")</f>
        <v/>
      </c>
      <c r="DY125" s="58" t="str">
        <f>IF(ISNUMBER(MATCH(#REF!,'Audit Characteristic Mapping'!$I$3:$I$500,0)),"Y","")</f>
        <v/>
      </c>
      <c r="DZ125" s="58" t="str">
        <f>IF(ISNUMBER(MATCH(#REF!,'Audit Characteristic Mapping'!$J$3:$J$500,0)),"Y","")</f>
        <v/>
      </c>
      <c r="EA125" s="58" t="str">
        <f>IF(ISNUMBER(MATCH(#REF!,'Audit Characteristic Mapping'!$K$3:$K$500,0)),"Y","")</f>
        <v/>
      </c>
    </row>
    <row r="126" spans="1:131" ht="16" hidden="1" x14ac:dyDescent="0.2">
      <c r="A126" s="288">
        <v>121</v>
      </c>
      <c r="B126" s="287" t="s">
        <v>174</v>
      </c>
      <c r="C126" s="226" t="s">
        <v>232</v>
      </c>
      <c r="D126" s="170">
        <v>2</v>
      </c>
      <c r="E126" s="288">
        <v>17</v>
      </c>
      <c r="F126" s="291" t="str">
        <f>VLOOKUP(Calculation!A126,'Descriptor maps'!$A$2:$F$1658,2,0)</f>
        <v>Facility details</v>
      </c>
      <c r="G126" s="289"/>
      <c r="H126" s="290"/>
      <c r="I126" s="291"/>
      <c r="J126" s="292" t="e" cm="1">
        <f t="array" ref="J126">INDEX('Descriptor maps'!$I$2:$I$1658,MATCH(1,('Descriptor maps'!$A$2:$A$1658=Calculation!$A126)*('Descriptor maps'!$G$2:$G$1658=Calculation!$G126),0))</f>
        <v>#N/A</v>
      </c>
      <c r="K126" s="226"/>
      <c r="L126" s="293"/>
      <c r="M126" s="293"/>
      <c r="N126" s="293"/>
      <c r="O126" s="293"/>
      <c r="P126" s="293"/>
      <c r="Q126" s="293"/>
      <c r="R126" s="293"/>
      <c r="S126" s="293"/>
      <c r="T126" s="293"/>
      <c r="U126" s="293"/>
      <c r="V126" s="293"/>
      <c r="W126" s="293"/>
      <c r="X126" s="293"/>
      <c r="Y126" s="293"/>
      <c r="Z126" s="293"/>
      <c r="AA126" s="293"/>
      <c r="AB126" s="293"/>
      <c r="AC126" s="293"/>
      <c r="AD126" s="293"/>
      <c r="AE126" s="293"/>
      <c r="AF126" s="293"/>
      <c r="AG126" s="293"/>
      <c r="AH126" s="293"/>
      <c r="AI126" s="293"/>
      <c r="AJ126" s="293"/>
      <c r="AK126" s="293"/>
      <c r="AL126" s="293"/>
      <c r="AM126" s="293"/>
      <c r="AN126" s="293"/>
      <c r="AO126" s="293"/>
      <c r="AP126" s="293"/>
      <c r="AQ126" s="293"/>
      <c r="AR126" s="293"/>
      <c r="AS126" s="293"/>
      <c r="AT126" s="293"/>
      <c r="AU126" s="293"/>
      <c r="AV126" s="293"/>
      <c r="AW126" s="293"/>
      <c r="AX126" s="293"/>
      <c r="AY126" s="293"/>
      <c r="AZ126" s="293"/>
      <c r="BA126" s="293"/>
      <c r="BB126" s="293"/>
      <c r="BC126" s="293"/>
      <c r="BD126" s="293"/>
      <c r="BE126" s="293"/>
      <c r="BF126" s="293"/>
      <c r="BG126" s="293"/>
      <c r="BH126" s="293"/>
      <c r="BI126" s="293"/>
      <c r="BJ126" s="293"/>
      <c r="BK126" s="293"/>
      <c r="BL126" s="293"/>
      <c r="BM126" s="293"/>
      <c r="BN126" s="293"/>
      <c r="BO126" s="293"/>
      <c r="BP126" s="293"/>
      <c r="BQ126" s="293"/>
      <c r="BR126" s="293"/>
      <c r="BS126" s="293"/>
      <c r="BT126" s="293"/>
      <c r="BU126" s="293"/>
      <c r="BV126" s="293"/>
      <c r="BW126" s="293"/>
      <c r="BX126" s="293"/>
      <c r="BY126" s="293"/>
      <c r="BZ126" s="293"/>
      <c r="CA126" s="285"/>
      <c r="CB126" s="286"/>
      <c r="CC126" s="286"/>
      <c r="CD126" s="286"/>
      <c r="CE126" s="286"/>
      <c r="CF126" s="286"/>
      <c r="CG126" s="286"/>
      <c r="CH126" s="286"/>
      <c r="CI126" s="286"/>
      <c r="CJ126" s="286"/>
      <c r="CK126" s="286"/>
      <c r="CL126" s="286"/>
      <c r="CM126" s="286"/>
      <c r="CN126" s="286"/>
      <c r="CO126" s="286"/>
      <c r="CP126" s="286"/>
      <c r="CQ126" s="286"/>
      <c r="CR126" s="286"/>
      <c r="CS126" s="286"/>
      <c r="CT126" s="286"/>
      <c r="CU126" s="286"/>
      <c r="CV126" s="286"/>
      <c r="CW126" s="286"/>
      <c r="CX126" s="286"/>
      <c r="CY126" s="286"/>
      <c r="CZ126" s="286"/>
      <c r="DA126" s="286"/>
      <c r="DB126" s="286"/>
      <c r="DC126" s="286"/>
      <c r="DD126" s="286"/>
      <c r="DE126" s="286"/>
      <c r="DF126" s="286"/>
      <c r="DG126" s="286"/>
      <c r="DH126" s="286"/>
      <c r="DI126" s="286"/>
      <c r="DJ126" s="286"/>
      <c r="DK126" s="286"/>
      <c r="DL126" s="286"/>
      <c r="DM126" s="286"/>
      <c r="DN126" s="286"/>
      <c r="DO126" s="286"/>
      <c r="DP126" s="286"/>
      <c r="DR126" s="58" t="str">
        <f>IF(ISNUMBER(MATCH(#REF!,'Audit Characteristic Mapping'!$B$3:$B$500,0)),"Y","")</f>
        <v/>
      </c>
      <c r="DS126" s="58" t="str">
        <f>IF(ISNUMBER(MATCH(#REF!,'Audit Characteristic Mapping'!$C$3:$C$500,0)),"Y","")</f>
        <v/>
      </c>
      <c r="DT126" s="58" t="str">
        <f>IF(ISNUMBER(MATCH(#REF!,'Audit Characteristic Mapping'!$D$3:$D$500,0)),"Y","")</f>
        <v/>
      </c>
      <c r="DU126" s="58" t="str">
        <f>IF(ISNUMBER(MATCH(#REF!,'Audit Characteristic Mapping'!$E$3:$E$500,0)),"Y","")</f>
        <v/>
      </c>
      <c r="DV126" s="58" t="str">
        <f>IF(ISNUMBER(MATCH(#REF!,'Audit Characteristic Mapping'!$F$3:$F$500,0)),"Y","")</f>
        <v/>
      </c>
      <c r="DW126" s="58" t="str">
        <f>IF(ISNUMBER(MATCH(#REF!,'Audit Characteristic Mapping'!$G$3:$G$500,0)),"Y","")</f>
        <v/>
      </c>
      <c r="DX126" s="58" t="str">
        <f>IF(ISNUMBER(MATCH(#REF!,'Audit Characteristic Mapping'!$H$3:$H$500,0)),"Y","")</f>
        <v/>
      </c>
      <c r="DY126" s="58" t="str">
        <f>IF(ISNUMBER(MATCH(#REF!,'Audit Characteristic Mapping'!$I$3:$I$500,0)),"Y","")</f>
        <v/>
      </c>
      <c r="DZ126" s="58" t="str">
        <f>IF(ISNUMBER(MATCH(#REF!,'Audit Characteristic Mapping'!$J$3:$J$500,0)),"Y","")</f>
        <v/>
      </c>
      <c r="EA126" s="58" t="str">
        <f>IF(ISNUMBER(MATCH(#REF!,'Audit Characteristic Mapping'!$K$3:$K$500,0)),"Y","")</f>
        <v/>
      </c>
    </row>
    <row r="127" spans="1:131" ht="16" hidden="1" x14ac:dyDescent="0.2">
      <c r="A127" s="288">
        <v>122</v>
      </c>
      <c r="B127" s="287" t="s">
        <v>174</v>
      </c>
      <c r="C127" s="226" t="s">
        <v>232</v>
      </c>
      <c r="D127" s="170">
        <v>2</v>
      </c>
      <c r="E127" s="288">
        <v>17</v>
      </c>
      <c r="F127" s="291" t="str">
        <f>VLOOKUP(Calculation!A127,'Descriptor maps'!$A$2:$F$1658,2,0)</f>
        <v>Facility details</v>
      </c>
      <c r="G127" s="289"/>
      <c r="H127" s="290"/>
      <c r="I127" s="291"/>
      <c r="J127" s="292" t="e" cm="1">
        <f t="array" ref="J127">INDEX('Descriptor maps'!$I$2:$I$1658,MATCH(1,('Descriptor maps'!$A$2:$A$1658=Calculation!$A127)*('Descriptor maps'!$G$2:$G$1658=Calculation!$G127),0))</f>
        <v>#N/A</v>
      </c>
      <c r="K127" s="226"/>
      <c r="L127" s="293"/>
      <c r="M127" s="293"/>
      <c r="N127" s="293"/>
      <c r="O127" s="293"/>
      <c r="P127" s="293"/>
      <c r="Q127" s="293"/>
      <c r="R127" s="293"/>
      <c r="S127" s="293"/>
      <c r="T127" s="293"/>
      <c r="U127" s="293"/>
      <c r="V127" s="293"/>
      <c r="W127" s="293"/>
      <c r="X127" s="293"/>
      <c r="Y127" s="293"/>
      <c r="Z127" s="293"/>
      <c r="AA127" s="293"/>
      <c r="AB127" s="293"/>
      <c r="AC127" s="293"/>
      <c r="AD127" s="293"/>
      <c r="AE127" s="293"/>
      <c r="AF127" s="293"/>
      <c r="AG127" s="293"/>
      <c r="AH127" s="293"/>
      <c r="AI127" s="293"/>
      <c r="AJ127" s="293"/>
      <c r="AK127" s="293"/>
      <c r="AL127" s="293"/>
      <c r="AM127" s="293"/>
      <c r="AN127" s="293"/>
      <c r="AO127" s="293"/>
      <c r="AP127" s="293"/>
      <c r="AQ127" s="293"/>
      <c r="AR127" s="293"/>
      <c r="AS127" s="293"/>
      <c r="AT127" s="293"/>
      <c r="AU127" s="293"/>
      <c r="AV127" s="293"/>
      <c r="AW127" s="293"/>
      <c r="AX127" s="293"/>
      <c r="AY127" s="293"/>
      <c r="AZ127" s="293"/>
      <c r="BA127" s="293"/>
      <c r="BB127" s="293"/>
      <c r="BC127" s="293"/>
      <c r="BD127" s="293"/>
      <c r="BE127" s="293"/>
      <c r="BF127" s="293"/>
      <c r="BG127" s="293"/>
      <c r="BH127" s="293"/>
      <c r="BI127" s="293"/>
      <c r="BJ127" s="293"/>
      <c r="BK127" s="293"/>
      <c r="BL127" s="293"/>
      <c r="BM127" s="293"/>
      <c r="BN127" s="293"/>
      <c r="BO127" s="293"/>
      <c r="BP127" s="293"/>
      <c r="BQ127" s="293"/>
      <c r="BR127" s="293"/>
      <c r="BS127" s="293"/>
      <c r="BT127" s="293"/>
      <c r="BU127" s="293"/>
      <c r="BV127" s="293"/>
      <c r="BW127" s="293"/>
      <c r="BX127" s="293"/>
      <c r="BY127" s="293"/>
      <c r="BZ127" s="293"/>
      <c r="CA127" s="285"/>
      <c r="CB127" s="286"/>
      <c r="CC127" s="286"/>
      <c r="CD127" s="286"/>
      <c r="CE127" s="286"/>
      <c r="CF127" s="286"/>
      <c r="CG127" s="286"/>
      <c r="CH127" s="286"/>
      <c r="CI127" s="286"/>
      <c r="CJ127" s="286"/>
      <c r="CK127" s="286"/>
      <c r="CL127" s="286"/>
      <c r="CM127" s="286"/>
      <c r="CN127" s="286"/>
      <c r="CO127" s="286"/>
      <c r="CP127" s="286"/>
      <c r="CQ127" s="286"/>
      <c r="CR127" s="286"/>
      <c r="CS127" s="286"/>
      <c r="CT127" s="286"/>
      <c r="CU127" s="286"/>
      <c r="CV127" s="286"/>
      <c r="CW127" s="286"/>
      <c r="CX127" s="286"/>
      <c r="CY127" s="286"/>
      <c r="CZ127" s="286"/>
      <c r="DA127" s="286"/>
      <c r="DB127" s="286"/>
      <c r="DC127" s="286"/>
      <c r="DD127" s="286"/>
      <c r="DE127" s="286"/>
      <c r="DF127" s="286"/>
      <c r="DG127" s="286"/>
      <c r="DH127" s="286"/>
      <c r="DI127" s="286"/>
      <c r="DJ127" s="286"/>
      <c r="DK127" s="286"/>
      <c r="DL127" s="286"/>
      <c r="DM127" s="286"/>
      <c r="DN127" s="286"/>
      <c r="DO127" s="286"/>
      <c r="DP127" s="286"/>
      <c r="DR127" s="58" t="str">
        <f>IF(ISNUMBER(MATCH(#REF!,'Audit Characteristic Mapping'!$B$3:$B$500,0)),"Y","")</f>
        <v/>
      </c>
      <c r="DS127" s="58" t="str">
        <f>IF(ISNUMBER(MATCH(#REF!,'Audit Characteristic Mapping'!$C$3:$C$500,0)),"Y","")</f>
        <v/>
      </c>
      <c r="DT127" s="58" t="str">
        <f>IF(ISNUMBER(MATCH(#REF!,'Audit Characteristic Mapping'!$D$3:$D$500,0)),"Y","")</f>
        <v/>
      </c>
      <c r="DU127" s="58" t="str">
        <f>IF(ISNUMBER(MATCH(#REF!,'Audit Characteristic Mapping'!$E$3:$E$500,0)),"Y","")</f>
        <v/>
      </c>
      <c r="DV127" s="58" t="str">
        <f>IF(ISNUMBER(MATCH(#REF!,'Audit Characteristic Mapping'!$F$3:$F$500,0)),"Y","")</f>
        <v/>
      </c>
      <c r="DW127" s="58" t="str">
        <f>IF(ISNUMBER(MATCH(#REF!,'Audit Characteristic Mapping'!$G$3:$G$500,0)),"Y","")</f>
        <v/>
      </c>
      <c r="DX127" s="58" t="str">
        <f>IF(ISNUMBER(MATCH(#REF!,'Audit Characteristic Mapping'!$H$3:$H$500,0)),"Y","")</f>
        <v/>
      </c>
      <c r="DY127" s="58" t="str">
        <f>IF(ISNUMBER(MATCH(#REF!,'Audit Characteristic Mapping'!$I$3:$I$500,0)),"Y","")</f>
        <v/>
      </c>
      <c r="DZ127" s="58" t="str">
        <f>IF(ISNUMBER(MATCH(#REF!,'Audit Characteristic Mapping'!$J$3:$J$500,0)),"Y","")</f>
        <v/>
      </c>
      <c r="EA127" s="58" t="str">
        <f>IF(ISNUMBER(MATCH(#REF!,'Audit Characteristic Mapping'!$K$3:$K$500,0)),"Y","")</f>
        <v/>
      </c>
    </row>
    <row r="128" spans="1:131" ht="16" x14ac:dyDescent="0.2">
      <c r="A128" s="294">
        <v>123</v>
      </c>
      <c r="B128" s="287" t="s">
        <v>174</v>
      </c>
      <c r="C128" s="226" t="s">
        <v>232</v>
      </c>
      <c r="D128" s="170">
        <v>2</v>
      </c>
      <c r="E128" s="288">
        <v>17</v>
      </c>
      <c r="F128" s="291" t="str">
        <f>VLOOKUP(Calculation!A128,'Descriptor maps'!$A$2:$F$1658,6,0)</f>
        <v>Design Flood event (Insert Return Period)</v>
      </c>
      <c r="G128" s="289">
        <f>1/1000000</f>
        <v>9.9999999999999995E-7</v>
      </c>
      <c r="H128" s="290"/>
      <c r="I128" s="291" t="e" cm="1">
        <f t="array" ref="I128">INDEX('Descriptor maps'!$H$2:$H$1658,MATCH(1,('Descriptor maps'!$A$2:$A$1658=Calculation!$A128)*('Descriptor maps'!$G$2:$G$1658=Calculation!$G128),0))</f>
        <v>#N/A</v>
      </c>
      <c r="J128" s="292">
        <f>G128</f>
        <v>9.9999999999999995E-7</v>
      </c>
      <c r="K128" s="226"/>
      <c r="L128" s="293"/>
      <c r="M128" s="293"/>
      <c r="N128" s="293"/>
      <c r="O128" s="293"/>
      <c r="P128" s="293"/>
      <c r="Q128" s="293"/>
      <c r="R128" s="293"/>
      <c r="S128" s="293"/>
      <c r="T128" s="293"/>
      <c r="U128" s="293"/>
      <c r="V128" s="293"/>
      <c r="W128" s="293"/>
      <c r="X128" s="293"/>
      <c r="Y128" s="293"/>
      <c r="Z128" s="293"/>
      <c r="AA128" s="293"/>
      <c r="AB128" s="293"/>
      <c r="AC128" s="293"/>
      <c r="AD128" s="293"/>
      <c r="AE128" s="293"/>
      <c r="AF128" s="293"/>
      <c r="AG128" s="293">
        <f>1*G128</f>
        <v>9.9999999999999995E-7</v>
      </c>
      <c r="AH128" s="293"/>
      <c r="AI128" s="293"/>
      <c r="AJ128" s="293"/>
      <c r="AK128" s="293"/>
      <c r="AL128" s="293"/>
      <c r="AM128" s="293"/>
      <c r="AN128" s="293"/>
      <c r="AO128" s="293"/>
      <c r="AP128" s="293"/>
      <c r="AQ128" s="293"/>
      <c r="AR128" s="293"/>
      <c r="AS128" s="293"/>
      <c r="AT128" s="293"/>
      <c r="AU128" s="293"/>
      <c r="AV128" s="293"/>
      <c r="AW128" s="293"/>
      <c r="AX128" s="293"/>
      <c r="AY128" s="293"/>
      <c r="AZ128" s="293"/>
      <c r="BA128" s="293"/>
      <c r="BB128" s="293"/>
      <c r="BC128" s="293"/>
      <c r="BD128" s="293"/>
      <c r="BE128" s="293"/>
      <c r="BF128" s="293"/>
      <c r="BG128" s="293"/>
      <c r="BH128" s="293"/>
      <c r="BI128" s="293"/>
      <c r="BJ128" s="293"/>
      <c r="BK128" s="293"/>
      <c r="BL128" s="293"/>
      <c r="BM128" s="293"/>
      <c r="BN128" s="293"/>
      <c r="BO128" s="293"/>
      <c r="BP128" s="293"/>
      <c r="BQ128" s="293"/>
      <c r="BR128" s="293"/>
      <c r="BS128" s="293"/>
      <c r="BT128" s="293"/>
      <c r="BU128" s="293"/>
      <c r="BV128" s="293"/>
      <c r="BW128" s="293"/>
      <c r="BX128" s="293"/>
      <c r="BY128" s="293"/>
      <c r="BZ128" s="293"/>
      <c r="CA128" s="285"/>
      <c r="CB128" s="286"/>
      <c r="CC128" s="286"/>
      <c r="CD128" s="286"/>
      <c r="CE128" s="286"/>
      <c r="CF128" s="286"/>
      <c r="CG128" s="286"/>
      <c r="CH128" s="286"/>
      <c r="CI128" s="286"/>
      <c r="CJ128" s="286"/>
      <c r="CK128" s="286"/>
      <c r="CL128" s="286"/>
      <c r="CM128" s="286"/>
      <c r="CN128" s="286"/>
      <c r="CO128" s="286"/>
      <c r="CP128" s="286"/>
      <c r="CQ128" s="286"/>
      <c r="CR128" s="286"/>
      <c r="CS128" s="286"/>
      <c r="CT128" s="286"/>
      <c r="CU128" s="286"/>
      <c r="CV128" s="286"/>
      <c r="CW128" s="286"/>
      <c r="CX128" s="286"/>
      <c r="CY128" s="286"/>
      <c r="CZ128" s="286"/>
      <c r="DA128" s="286"/>
      <c r="DB128" s="286"/>
      <c r="DC128" s="286"/>
      <c r="DD128" s="286"/>
      <c r="DE128" s="286"/>
      <c r="DF128" s="286"/>
      <c r="DG128" s="286"/>
      <c r="DH128" s="286"/>
      <c r="DI128" s="286"/>
      <c r="DJ128" s="286"/>
      <c r="DK128" s="286"/>
      <c r="DL128" s="286"/>
      <c r="DM128" s="286"/>
      <c r="DN128" s="286"/>
      <c r="DO128" s="286"/>
      <c r="DP128" s="286"/>
      <c r="DR128" s="58" t="str">
        <f>IF(ISNUMBER(MATCH(#REF!,'Audit Characteristic Mapping'!$B$3:$B$500,0)),"Y","")</f>
        <v/>
      </c>
      <c r="DS128" s="58" t="str">
        <f>IF(ISNUMBER(MATCH(#REF!,'Audit Characteristic Mapping'!$C$3:$C$500,0)),"Y","")</f>
        <v/>
      </c>
      <c r="DT128" s="58" t="str">
        <f>IF(ISNUMBER(MATCH(#REF!,'Audit Characteristic Mapping'!$D$3:$D$500,0)),"Y","")</f>
        <v/>
      </c>
      <c r="DU128" s="58" t="str">
        <f>IF(ISNUMBER(MATCH(#REF!,'Audit Characteristic Mapping'!$E$3:$E$500,0)),"Y","")</f>
        <v/>
      </c>
      <c r="DV128" s="58" t="str">
        <f>IF(ISNUMBER(MATCH(#REF!,'Audit Characteristic Mapping'!$F$3:$F$500,0)),"Y","")</f>
        <v/>
      </c>
      <c r="DW128" s="58" t="str">
        <f>IF(ISNUMBER(MATCH(#REF!,'Audit Characteristic Mapping'!$G$3:$G$500,0)),"Y","")</f>
        <v/>
      </c>
      <c r="DX128" s="58" t="str">
        <f>IF(ISNUMBER(MATCH(#REF!,'Audit Characteristic Mapping'!$H$3:$H$500,0)),"Y","")</f>
        <v/>
      </c>
      <c r="DY128" s="58" t="str">
        <f>IF(ISNUMBER(MATCH(#REF!,'Audit Characteristic Mapping'!$I$3:$I$500,0)),"Y","")</f>
        <v/>
      </c>
      <c r="DZ128" s="58" t="str">
        <f>IF(ISNUMBER(MATCH(#REF!,'Audit Characteristic Mapping'!$J$3:$J$500,0)),"Y","")</f>
        <v/>
      </c>
      <c r="EA128" s="58" t="str">
        <f>IF(ISNUMBER(MATCH(#REF!,'Audit Characteristic Mapping'!$K$3:$K$500,0)),"Y","")</f>
        <v/>
      </c>
    </row>
    <row r="129" spans="1:131" ht="16" hidden="1" x14ac:dyDescent="0.2">
      <c r="A129" s="288">
        <v>469</v>
      </c>
      <c r="B129" s="287" t="s">
        <v>174</v>
      </c>
      <c r="C129" s="226" t="s">
        <v>232</v>
      </c>
      <c r="D129" s="170">
        <v>2</v>
      </c>
      <c r="E129" s="288">
        <v>17</v>
      </c>
      <c r="F129" s="291" t="str">
        <f>VLOOKUP(Calculation!A129,'Descriptor maps'!$A$2:$F$1658,2,0)</f>
        <v>Facility details</v>
      </c>
      <c r="G129" s="289"/>
      <c r="H129" s="290"/>
      <c r="I129" s="291"/>
      <c r="J129" s="292" t="e" cm="1">
        <f t="array" ref="J129">INDEX('Descriptor maps'!$I$2:$I$1658,MATCH(1,('Descriptor maps'!$A$2:$A$1658=Calculation!$A129)*('Descriptor maps'!$G$2:$G$1658=Calculation!$G129),0))</f>
        <v>#N/A</v>
      </c>
      <c r="K129" s="226"/>
      <c r="L129" s="293"/>
      <c r="M129" s="293"/>
      <c r="N129" s="293"/>
      <c r="O129" s="293"/>
      <c r="P129" s="293"/>
      <c r="Q129" s="293"/>
      <c r="R129" s="293"/>
      <c r="S129" s="293"/>
      <c r="T129" s="293"/>
      <c r="U129" s="293"/>
      <c r="V129" s="293"/>
      <c r="W129" s="293"/>
      <c r="X129" s="293"/>
      <c r="Y129" s="29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c r="AW129" s="293"/>
      <c r="AX129" s="293"/>
      <c r="AY129" s="293"/>
      <c r="AZ129" s="293"/>
      <c r="BA129" s="293"/>
      <c r="BB129" s="293"/>
      <c r="BC129" s="293"/>
      <c r="BD129" s="293"/>
      <c r="BE129" s="293"/>
      <c r="BF129" s="293"/>
      <c r="BG129" s="293"/>
      <c r="BH129" s="293"/>
      <c r="BI129" s="293"/>
      <c r="BJ129" s="293"/>
      <c r="BK129" s="293"/>
      <c r="BL129" s="293"/>
      <c r="BM129" s="293"/>
      <c r="BN129" s="293"/>
      <c r="BO129" s="293"/>
      <c r="BP129" s="293"/>
      <c r="BQ129" s="293"/>
      <c r="BR129" s="293"/>
      <c r="BS129" s="293"/>
      <c r="BT129" s="293"/>
      <c r="BU129" s="293"/>
      <c r="BV129" s="293"/>
      <c r="BW129" s="293"/>
      <c r="BX129" s="293"/>
      <c r="BY129" s="293"/>
      <c r="BZ129" s="293"/>
      <c r="CA129" s="285"/>
      <c r="CB129" s="286"/>
      <c r="CC129" s="286"/>
      <c r="CD129" s="286"/>
      <c r="CE129" s="286"/>
      <c r="CF129" s="286"/>
      <c r="CG129" s="286"/>
      <c r="CH129" s="286"/>
      <c r="CI129" s="286"/>
      <c r="CJ129" s="286"/>
      <c r="CK129" s="286"/>
      <c r="CL129" s="286"/>
      <c r="CM129" s="286"/>
      <c r="CN129" s="286"/>
      <c r="CO129" s="286"/>
      <c r="CP129" s="286"/>
      <c r="CQ129" s="286"/>
      <c r="CR129" s="286"/>
      <c r="CS129" s="286"/>
      <c r="CT129" s="286"/>
      <c r="CU129" s="286"/>
      <c r="CV129" s="286"/>
      <c r="CW129" s="286"/>
      <c r="CX129" s="286"/>
      <c r="CY129" s="286"/>
      <c r="CZ129" s="286"/>
      <c r="DA129" s="286"/>
      <c r="DB129" s="286"/>
      <c r="DC129" s="286"/>
      <c r="DD129" s="286"/>
      <c r="DE129" s="286"/>
      <c r="DF129" s="286"/>
      <c r="DG129" s="286"/>
      <c r="DH129" s="286"/>
      <c r="DI129" s="286"/>
      <c r="DJ129" s="286"/>
      <c r="DK129" s="286"/>
      <c r="DL129" s="286"/>
      <c r="DM129" s="286"/>
      <c r="DN129" s="286"/>
      <c r="DO129" s="286"/>
      <c r="DP129" s="286"/>
      <c r="DR129" s="58" t="str">
        <f>IF(ISNUMBER(MATCH(#REF!,'Audit Characteristic Mapping'!$B$3:$B$500,0)),"Y","")</f>
        <v/>
      </c>
      <c r="DS129" s="58" t="str">
        <f>IF(ISNUMBER(MATCH(#REF!,'Audit Characteristic Mapping'!$C$3:$C$500,0)),"Y","")</f>
        <v/>
      </c>
      <c r="DT129" s="58" t="str">
        <f>IF(ISNUMBER(MATCH(#REF!,'Audit Characteristic Mapping'!$D$3:$D$500,0)),"Y","")</f>
        <v/>
      </c>
      <c r="DU129" s="58" t="str">
        <f>IF(ISNUMBER(MATCH(#REF!,'Audit Characteristic Mapping'!$E$3:$E$500,0)),"Y","")</f>
        <v/>
      </c>
      <c r="DV129" s="58" t="str">
        <f>IF(ISNUMBER(MATCH(#REF!,'Audit Characteristic Mapping'!$F$3:$F$500,0)),"Y","")</f>
        <v/>
      </c>
      <c r="DW129" s="58" t="str">
        <f>IF(ISNUMBER(MATCH(#REF!,'Audit Characteristic Mapping'!$G$3:$G$500,0)),"Y","")</f>
        <v/>
      </c>
      <c r="DX129" s="58" t="str">
        <f>IF(ISNUMBER(MATCH(#REF!,'Audit Characteristic Mapping'!$H$3:$H$500,0)),"Y","")</f>
        <v/>
      </c>
      <c r="DY129" s="58" t="str">
        <f>IF(ISNUMBER(MATCH(#REF!,'Audit Characteristic Mapping'!$I$3:$I$500,0)),"Y","")</f>
        <v/>
      </c>
      <c r="DZ129" s="58" t="str">
        <f>IF(ISNUMBER(MATCH(#REF!,'Audit Characteristic Mapping'!$J$3:$J$500,0)),"Y","")</f>
        <v/>
      </c>
      <c r="EA129" s="58" t="str">
        <f>IF(ISNUMBER(MATCH(#REF!,'Audit Characteristic Mapping'!$K$3:$K$500,0)),"Y","")</f>
        <v/>
      </c>
    </row>
    <row r="130" spans="1:131" ht="32" hidden="1" x14ac:dyDescent="0.2">
      <c r="A130" s="288">
        <v>124</v>
      </c>
      <c r="B130" s="287" t="s">
        <v>253</v>
      </c>
      <c r="C130" s="226" t="s">
        <v>244</v>
      </c>
      <c r="D130" s="170">
        <v>5</v>
      </c>
      <c r="E130" s="288">
        <v>18</v>
      </c>
      <c r="F130" s="291" t="str">
        <f>VLOOKUP(Calculation!A130,'Descriptor maps'!$A$2:$F$1658,2,0)</f>
        <v>Studies &amp; Design</v>
      </c>
      <c r="G130" s="296" t="s">
        <v>261</v>
      </c>
      <c r="H130" s="290"/>
      <c r="I130" s="291"/>
      <c r="J130" s="292" t="e" cm="1">
        <f t="array" ref="J130">INDEX('Descriptor maps'!$I$2:$I$1658,MATCH(1,('Descriptor maps'!$A$2:$A$1658=Calculation!$A130)*('Descriptor maps'!$G$2:$G$1658=Calculation!$G130),0))</f>
        <v>#N/A</v>
      </c>
      <c r="K130" s="226"/>
      <c r="L130" s="293"/>
      <c r="M130" s="293"/>
      <c r="N130" s="293"/>
      <c r="O130" s="293"/>
      <c r="P130" s="293"/>
      <c r="Q130" s="293"/>
      <c r="R130" s="293"/>
      <c r="S130" s="293"/>
      <c r="T130" s="293"/>
      <c r="U130" s="293"/>
      <c r="V130" s="293"/>
      <c r="W130" s="293"/>
      <c r="X130" s="293"/>
      <c r="Y130" s="29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c r="AW130" s="293"/>
      <c r="AX130" s="293"/>
      <c r="AY130" s="293"/>
      <c r="AZ130" s="293"/>
      <c r="BA130" s="293"/>
      <c r="BB130" s="293"/>
      <c r="BC130" s="293"/>
      <c r="BD130" s="293"/>
      <c r="BE130" s="293"/>
      <c r="BF130" s="293"/>
      <c r="BG130" s="293"/>
      <c r="BH130" s="293"/>
      <c r="BI130" s="293"/>
      <c r="BJ130" s="293"/>
      <c r="BK130" s="293"/>
      <c r="BL130" s="293"/>
      <c r="BM130" s="293"/>
      <c r="BN130" s="293"/>
      <c r="BO130" s="293"/>
      <c r="BP130" s="293"/>
      <c r="BQ130" s="293"/>
      <c r="BR130" s="293"/>
      <c r="BS130" s="293"/>
      <c r="BT130" s="293"/>
      <c r="BU130" s="293"/>
      <c r="BV130" s="293"/>
      <c r="BW130" s="293"/>
      <c r="BX130" s="293"/>
      <c r="BY130" s="293"/>
      <c r="BZ130" s="293"/>
      <c r="CA130" s="285"/>
      <c r="CB130" s="286"/>
      <c r="CC130" s="286"/>
      <c r="CD130" s="286"/>
      <c r="CE130" s="286"/>
      <c r="CF130" s="286"/>
      <c r="CG130" s="286"/>
      <c r="CH130" s="286"/>
      <c r="CI130" s="286"/>
      <c r="CJ130" s="286"/>
      <c r="CK130" s="286"/>
      <c r="CL130" s="286"/>
      <c r="CM130" s="286"/>
      <c r="CN130" s="286"/>
      <c r="CO130" s="286"/>
      <c r="CP130" s="286"/>
      <c r="CQ130" s="286"/>
      <c r="CR130" s="286"/>
      <c r="CS130" s="286"/>
      <c r="CT130" s="286"/>
      <c r="CU130" s="286"/>
      <c r="CV130" s="286"/>
      <c r="CW130" s="286"/>
      <c r="CX130" s="286"/>
      <c r="CY130" s="286"/>
      <c r="CZ130" s="286"/>
      <c r="DA130" s="286"/>
      <c r="DB130" s="286"/>
      <c r="DC130" s="286"/>
      <c r="DD130" s="286"/>
      <c r="DE130" s="286"/>
      <c r="DF130" s="286"/>
      <c r="DG130" s="286"/>
      <c r="DH130" s="286"/>
      <c r="DI130" s="286"/>
      <c r="DJ130" s="286"/>
      <c r="DK130" s="286"/>
      <c r="DL130" s="286"/>
      <c r="DM130" s="286"/>
      <c r="DN130" s="286"/>
      <c r="DO130" s="286"/>
      <c r="DP130" s="286"/>
      <c r="DR130" s="58" t="str">
        <f>IF(ISNUMBER(MATCH(#REF!,'Audit Characteristic Mapping'!$B$3:$B$500,0)),"Y","")</f>
        <v/>
      </c>
      <c r="DS130" s="58" t="str">
        <f>IF(ISNUMBER(MATCH(#REF!,'Audit Characteristic Mapping'!$C$3:$C$500,0)),"Y","")</f>
        <v/>
      </c>
      <c r="DT130" s="58" t="str">
        <f>IF(ISNUMBER(MATCH(#REF!,'Audit Characteristic Mapping'!$D$3:$D$500,0)),"Y","")</f>
        <v/>
      </c>
      <c r="DU130" s="58" t="str">
        <f>IF(ISNUMBER(MATCH(#REF!,'Audit Characteristic Mapping'!$E$3:$E$500,0)),"Y","")</f>
        <v/>
      </c>
      <c r="DV130" s="58" t="str">
        <f>IF(ISNUMBER(MATCH(#REF!,'Audit Characteristic Mapping'!$F$3:$F$500,0)),"Y","")</f>
        <v/>
      </c>
      <c r="DW130" s="58" t="str">
        <f>IF(ISNUMBER(MATCH(#REF!,'Audit Characteristic Mapping'!$G$3:$G$500,0)),"Y","")</f>
        <v/>
      </c>
      <c r="DX130" s="58" t="str">
        <f>IF(ISNUMBER(MATCH(#REF!,'Audit Characteristic Mapping'!$H$3:$H$500,0)),"Y","")</f>
        <v/>
      </c>
      <c r="DY130" s="58" t="str">
        <f>IF(ISNUMBER(MATCH(#REF!,'Audit Characteristic Mapping'!$I$3:$I$500,0)),"Y","")</f>
        <v/>
      </c>
      <c r="DZ130" s="58" t="str">
        <f>IF(ISNUMBER(MATCH(#REF!,'Audit Characteristic Mapping'!$J$3:$J$500,0)),"Y","")</f>
        <v/>
      </c>
      <c r="EA130" s="58" t="str">
        <f>IF(ISNUMBER(MATCH(#REF!,'Audit Characteristic Mapping'!$K$3:$K$500,0)),"Y","")</f>
        <v/>
      </c>
    </row>
    <row r="131" spans="1:131" ht="16" hidden="1" x14ac:dyDescent="0.2">
      <c r="A131" s="288">
        <v>125</v>
      </c>
      <c r="B131" s="287" t="s">
        <v>253</v>
      </c>
      <c r="C131" s="226" t="s">
        <v>244</v>
      </c>
      <c r="D131" s="170">
        <v>5</v>
      </c>
      <c r="E131" s="288">
        <v>18</v>
      </c>
      <c r="F131" s="291" t="str">
        <f>VLOOKUP(Calculation!A131,'Descriptor maps'!$A$2:$F$1658,2,0)</f>
        <v>Studies &amp; Design</v>
      </c>
      <c r="G131" s="296" t="s">
        <v>252</v>
      </c>
      <c r="H131" s="290"/>
      <c r="I131" s="291"/>
      <c r="J131" s="292" t="e" cm="1">
        <f t="array" ref="J131">INDEX('Descriptor maps'!$I$2:$I$1658,MATCH(1,('Descriptor maps'!$A$2:$A$1658=Calculation!$A131)*('Descriptor maps'!$G$2:$G$1658=Calculation!$G131),0))</f>
        <v>#N/A</v>
      </c>
      <c r="K131" s="226"/>
      <c r="L131" s="293"/>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c r="AW131" s="293"/>
      <c r="AX131" s="293"/>
      <c r="AY131" s="293"/>
      <c r="AZ131" s="293"/>
      <c r="BA131" s="293"/>
      <c r="BB131" s="293"/>
      <c r="BC131" s="293"/>
      <c r="BD131" s="293"/>
      <c r="BE131" s="293"/>
      <c r="BF131" s="293"/>
      <c r="BG131" s="293"/>
      <c r="BH131" s="293"/>
      <c r="BI131" s="293"/>
      <c r="BJ131" s="293"/>
      <c r="BK131" s="293"/>
      <c r="BL131" s="293"/>
      <c r="BM131" s="293"/>
      <c r="BN131" s="293"/>
      <c r="BO131" s="293"/>
      <c r="BP131" s="293"/>
      <c r="BQ131" s="293"/>
      <c r="BR131" s="293"/>
      <c r="BS131" s="293"/>
      <c r="BT131" s="293"/>
      <c r="BU131" s="293"/>
      <c r="BV131" s="293"/>
      <c r="BW131" s="293"/>
      <c r="BX131" s="293"/>
      <c r="BY131" s="293"/>
      <c r="BZ131" s="293"/>
      <c r="CA131" s="285"/>
      <c r="CB131" s="286"/>
      <c r="CC131" s="286"/>
      <c r="CD131" s="286"/>
      <c r="CE131" s="286"/>
      <c r="CF131" s="286"/>
      <c r="CG131" s="286"/>
      <c r="CH131" s="286"/>
      <c r="CI131" s="286"/>
      <c r="CJ131" s="286"/>
      <c r="CK131" s="286"/>
      <c r="CL131" s="286"/>
      <c r="CM131" s="286"/>
      <c r="CN131" s="286"/>
      <c r="CO131" s="286"/>
      <c r="CP131" s="286"/>
      <c r="CQ131" s="286"/>
      <c r="CR131" s="286"/>
      <c r="CS131" s="286"/>
      <c r="CT131" s="286"/>
      <c r="CU131" s="286"/>
      <c r="CV131" s="286"/>
      <c r="CW131" s="286"/>
      <c r="CX131" s="286"/>
      <c r="CY131" s="286"/>
      <c r="CZ131" s="286"/>
      <c r="DA131" s="286"/>
      <c r="DB131" s="286"/>
      <c r="DC131" s="286"/>
      <c r="DD131" s="286"/>
      <c r="DE131" s="286"/>
      <c r="DF131" s="286"/>
      <c r="DG131" s="286"/>
      <c r="DH131" s="286"/>
      <c r="DI131" s="286"/>
      <c r="DJ131" s="286"/>
      <c r="DK131" s="286"/>
      <c r="DL131" s="286"/>
      <c r="DM131" s="286"/>
      <c r="DN131" s="286"/>
      <c r="DO131" s="286"/>
      <c r="DP131" s="286"/>
      <c r="DR131" s="58" t="str">
        <f>IF(ISNUMBER(MATCH(#REF!,'Audit Characteristic Mapping'!$B$3:$B$500,0)),"Y","")</f>
        <v/>
      </c>
      <c r="DS131" s="58" t="str">
        <f>IF(ISNUMBER(MATCH(#REF!,'Audit Characteristic Mapping'!$C$3:$C$500,0)),"Y","")</f>
        <v/>
      </c>
      <c r="DT131" s="58" t="str">
        <f>IF(ISNUMBER(MATCH(#REF!,'Audit Characteristic Mapping'!$D$3:$D$500,0)),"Y","")</f>
        <v/>
      </c>
      <c r="DU131" s="58" t="str">
        <f>IF(ISNUMBER(MATCH(#REF!,'Audit Characteristic Mapping'!$E$3:$E$500,0)),"Y","")</f>
        <v/>
      </c>
      <c r="DV131" s="58" t="str">
        <f>IF(ISNUMBER(MATCH(#REF!,'Audit Characteristic Mapping'!$F$3:$F$500,0)),"Y","")</f>
        <v/>
      </c>
      <c r="DW131" s="58" t="str">
        <f>IF(ISNUMBER(MATCH(#REF!,'Audit Characteristic Mapping'!$G$3:$G$500,0)),"Y","")</f>
        <v/>
      </c>
      <c r="DX131" s="58" t="str">
        <f>IF(ISNUMBER(MATCH(#REF!,'Audit Characteristic Mapping'!$H$3:$H$500,0)),"Y","")</f>
        <v/>
      </c>
      <c r="DY131" s="58" t="str">
        <f>IF(ISNUMBER(MATCH(#REF!,'Audit Characteristic Mapping'!$I$3:$I$500,0)),"Y","")</f>
        <v/>
      </c>
      <c r="DZ131" s="58" t="str">
        <f>IF(ISNUMBER(MATCH(#REF!,'Audit Characteristic Mapping'!$J$3:$J$500,0)),"Y","")</f>
        <v/>
      </c>
      <c r="EA131" s="58" t="str">
        <f>IF(ISNUMBER(MATCH(#REF!,'Audit Characteristic Mapping'!$K$3:$K$500,0)),"Y","")</f>
        <v/>
      </c>
    </row>
    <row r="132" spans="1:131" ht="32" hidden="1" x14ac:dyDescent="0.2">
      <c r="A132" s="288">
        <v>126</v>
      </c>
      <c r="B132" s="287" t="s">
        <v>248</v>
      </c>
      <c r="C132" s="226" t="s">
        <v>249</v>
      </c>
      <c r="D132" s="170">
        <v>4</v>
      </c>
      <c r="E132" s="288">
        <v>19</v>
      </c>
      <c r="F132" s="291" t="str">
        <f>VLOOKUP(Calculation!A132,'Descriptor maps'!$A$2:$F$1658,2,0)</f>
        <v>Facility consequences</v>
      </c>
      <c r="G132" s="296" t="s">
        <v>261</v>
      </c>
      <c r="H132" s="291"/>
      <c r="I132" s="291"/>
      <c r="J132" s="292" t="e" cm="1">
        <f t="array" ref="J132">INDEX('Descriptor maps'!$I$2:$I$1658,MATCH(1,('Descriptor maps'!$A$2:$A$1658=Calculation!$A132)*('Descriptor maps'!$G$2:$G$1658=Calculation!$G132),0))</f>
        <v>#N/A</v>
      </c>
      <c r="K132" s="226"/>
      <c r="L132" s="293"/>
      <c r="M132" s="293"/>
      <c r="N132" s="293"/>
      <c r="O132" s="29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c r="AW132" s="293"/>
      <c r="AX132" s="293"/>
      <c r="AY132" s="293"/>
      <c r="AZ132" s="293"/>
      <c r="BA132" s="293"/>
      <c r="BB132" s="293"/>
      <c r="BC132" s="293"/>
      <c r="BD132" s="293"/>
      <c r="BE132" s="293"/>
      <c r="BF132" s="293"/>
      <c r="BG132" s="293"/>
      <c r="BH132" s="293"/>
      <c r="BI132" s="293"/>
      <c r="BJ132" s="293"/>
      <c r="BK132" s="293"/>
      <c r="BL132" s="293"/>
      <c r="BM132" s="293"/>
      <c r="BN132" s="293"/>
      <c r="BO132" s="293"/>
      <c r="BP132" s="293"/>
      <c r="BQ132" s="293"/>
      <c r="BR132" s="293"/>
      <c r="BS132" s="293"/>
      <c r="BT132" s="293"/>
      <c r="BU132" s="293"/>
      <c r="BV132" s="293"/>
      <c r="BW132" s="293"/>
      <c r="BX132" s="293"/>
      <c r="BY132" s="293"/>
      <c r="BZ132" s="293"/>
      <c r="CA132" s="285"/>
      <c r="CB132" s="286"/>
      <c r="CC132" s="286"/>
      <c r="CD132" s="286"/>
      <c r="CE132" s="286"/>
      <c r="CF132" s="286"/>
      <c r="CG132" s="286"/>
      <c r="CH132" s="286"/>
      <c r="CI132" s="286"/>
      <c r="CJ132" s="286"/>
      <c r="CK132" s="286"/>
      <c r="CL132" s="286"/>
      <c r="CM132" s="286"/>
      <c r="CN132" s="286"/>
      <c r="CO132" s="286"/>
      <c r="CP132" s="286"/>
      <c r="CQ132" s="286"/>
      <c r="CR132" s="286"/>
      <c r="CS132" s="286"/>
      <c r="CT132" s="286"/>
      <c r="CU132" s="286"/>
      <c r="CV132" s="286"/>
      <c r="CW132" s="286"/>
      <c r="CX132" s="286"/>
      <c r="CY132" s="286"/>
      <c r="CZ132" s="286"/>
      <c r="DA132" s="286"/>
      <c r="DB132" s="286"/>
      <c r="DC132" s="286"/>
      <c r="DD132" s="286"/>
      <c r="DE132" s="286"/>
      <c r="DF132" s="286"/>
      <c r="DG132" s="286"/>
      <c r="DH132" s="286"/>
      <c r="DI132" s="286"/>
      <c r="DJ132" s="286"/>
      <c r="DK132" s="286"/>
      <c r="DL132" s="286"/>
      <c r="DM132" s="286"/>
      <c r="DN132" s="286"/>
      <c r="DO132" s="286"/>
      <c r="DP132" s="286"/>
      <c r="DR132" s="58" t="str">
        <f>IF(ISNUMBER(MATCH(#REF!,'Audit Characteristic Mapping'!$B$3:$B$500,0)),"Y","")</f>
        <v/>
      </c>
      <c r="DS132" s="58" t="str">
        <f>IF(ISNUMBER(MATCH(#REF!,'Audit Characteristic Mapping'!$C$3:$C$500,0)),"Y","")</f>
        <v/>
      </c>
      <c r="DT132" s="58" t="str">
        <f>IF(ISNUMBER(MATCH(#REF!,'Audit Characteristic Mapping'!$D$3:$D$500,0)),"Y","")</f>
        <v/>
      </c>
      <c r="DU132" s="58" t="str">
        <f>IF(ISNUMBER(MATCH(#REF!,'Audit Characteristic Mapping'!$E$3:$E$500,0)),"Y","")</f>
        <v/>
      </c>
      <c r="DV132" s="58" t="str">
        <f>IF(ISNUMBER(MATCH(#REF!,'Audit Characteristic Mapping'!$F$3:$F$500,0)),"Y","")</f>
        <v/>
      </c>
      <c r="DW132" s="58" t="str">
        <f>IF(ISNUMBER(MATCH(#REF!,'Audit Characteristic Mapping'!$G$3:$G$500,0)),"Y","")</f>
        <v/>
      </c>
      <c r="DX132" s="58" t="str">
        <f>IF(ISNUMBER(MATCH(#REF!,'Audit Characteristic Mapping'!$H$3:$H$500,0)),"Y","")</f>
        <v/>
      </c>
      <c r="DY132" s="58" t="str">
        <f>IF(ISNUMBER(MATCH(#REF!,'Audit Characteristic Mapping'!$I$3:$I$500,0)),"Y","")</f>
        <v/>
      </c>
      <c r="DZ132" s="58" t="str">
        <f>IF(ISNUMBER(MATCH(#REF!,'Audit Characteristic Mapping'!$J$3:$J$500,0)),"Y","")</f>
        <v/>
      </c>
      <c r="EA132" s="58" t="str">
        <f>IF(ISNUMBER(MATCH(#REF!,'Audit Characteristic Mapping'!$K$3:$K$500,0)),"Y","")</f>
        <v/>
      </c>
    </row>
    <row r="133" spans="1:131" ht="16" hidden="1" x14ac:dyDescent="0.2">
      <c r="A133" s="288">
        <v>127</v>
      </c>
      <c r="B133" s="287" t="s">
        <v>248</v>
      </c>
      <c r="C133" s="226" t="s">
        <v>249</v>
      </c>
      <c r="D133" s="170">
        <v>4</v>
      </c>
      <c r="E133" s="288">
        <v>19</v>
      </c>
      <c r="F133" s="291" t="str">
        <f>VLOOKUP(Calculation!A133,'Descriptor maps'!$A$2:$F$1658,2,0)</f>
        <v>Facility consequences</v>
      </c>
      <c r="G133" s="296" t="s">
        <v>247</v>
      </c>
      <c r="H133" s="290"/>
      <c r="I133" s="291"/>
      <c r="J133" s="292" t="e" cm="1">
        <f t="array" ref="J133">INDEX('Descriptor maps'!$I$2:$I$1658,MATCH(1,('Descriptor maps'!$A$2:$A$1658=Calculation!$A133)*('Descriptor maps'!$G$2:$G$1658=Calculation!$G133),0))</f>
        <v>#N/A</v>
      </c>
      <c r="K133" s="226"/>
      <c r="L133" s="293"/>
      <c r="M133" s="293"/>
      <c r="N133" s="293"/>
      <c r="O133" s="293"/>
      <c r="P133" s="293"/>
      <c r="Q133" s="293"/>
      <c r="R133" s="293"/>
      <c r="S133" s="293"/>
      <c r="T133" s="293"/>
      <c r="U133" s="293"/>
      <c r="V133" s="293"/>
      <c r="W133" s="293"/>
      <c r="X133" s="293"/>
      <c r="Y133" s="29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c r="AW133" s="293"/>
      <c r="AX133" s="293"/>
      <c r="AY133" s="293"/>
      <c r="AZ133" s="293"/>
      <c r="BA133" s="293"/>
      <c r="BB133" s="293"/>
      <c r="BC133" s="293"/>
      <c r="BD133" s="293"/>
      <c r="BE133" s="293"/>
      <c r="BF133" s="293"/>
      <c r="BG133" s="293"/>
      <c r="BH133" s="293"/>
      <c r="BI133" s="293"/>
      <c r="BJ133" s="293"/>
      <c r="BK133" s="293"/>
      <c r="BL133" s="293"/>
      <c r="BM133" s="293"/>
      <c r="BN133" s="293"/>
      <c r="BO133" s="293"/>
      <c r="BP133" s="293"/>
      <c r="BQ133" s="293"/>
      <c r="BR133" s="293"/>
      <c r="BS133" s="293"/>
      <c r="BT133" s="293"/>
      <c r="BU133" s="293"/>
      <c r="BV133" s="293"/>
      <c r="BW133" s="293"/>
      <c r="BX133" s="293"/>
      <c r="BY133" s="293"/>
      <c r="BZ133" s="293"/>
      <c r="CA133" s="285"/>
      <c r="CB133" s="286"/>
      <c r="CC133" s="286"/>
      <c r="CD133" s="286"/>
      <c r="CE133" s="286"/>
      <c r="CF133" s="286"/>
      <c r="CG133" s="286"/>
      <c r="CH133" s="286"/>
      <c r="CI133" s="286"/>
      <c r="CJ133" s="286"/>
      <c r="CK133" s="286"/>
      <c r="CL133" s="286"/>
      <c r="CM133" s="286"/>
      <c r="CN133" s="286"/>
      <c r="CO133" s="286"/>
      <c r="CP133" s="286"/>
      <c r="CQ133" s="286"/>
      <c r="CR133" s="286"/>
      <c r="CS133" s="286"/>
      <c r="CT133" s="286"/>
      <c r="CU133" s="286"/>
      <c r="CV133" s="286"/>
      <c r="CW133" s="286"/>
      <c r="CX133" s="286"/>
      <c r="CY133" s="286"/>
      <c r="CZ133" s="286"/>
      <c r="DA133" s="286"/>
      <c r="DB133" s="286"/>
      <c r="DC133" s="286"/>
      <c r="DD133" s="286"/>
      <c r="DE133" s="286"/>
      <c r="DF133" s="286"/>
      <c r="DG133" s="286"/>
      <c r="DH133" s="286"/>
      <c r="DI133" s="286"/>
      <c r="DJ133" s="286"/>
      <c r="DK133" s="286"/>
      <c r="DL133" s="286"/>
      <c r="DM133" s="286"/>
      <c r="DN133" s="286"/>
      <c r="DO133" s="286"/>
      <c r="DP133" s="286"/>
      <c r="DR133" s="58" t="str">
        <f>IF(ISNUMBER(MATCH(#REF!,'Audit Characteristic Mapping'!$B$3:$B$500,0)),"Y","")</f>
        <v/>
      </c>
      <c r="DS133" s="58" t="str">
        <f>IF(ISNUMBER(MATCH(#REF!,'Audit Characteristic Mapping'!$C$3:$C$500,0)),"Y","")</f>
        <v/>
      </c>
      <c r="DT133" s="58" t="str">
        <f>IF(ISNUMBER(MATCH(#REF!,'Audit Characteristic Mapping'!$D$3:$D$500,0)),"Y","")</f>
        <v/>
      </c>
      <c r="DU133" s="58" t="str">
        <f>IF(ISNUMBER(MATCH(#REF!,'Audit Characteristic Mapping'!$E$3:$E$500,0)),"Y","")</f>
        <v/>
      </c>
      <c r="DV133" s="58" t="str">
        <f>IF(ISNUMBER(MATCH(#REF!,'Audit Characteristic Mapping'!$F$3:$F$500,0)),"Y","")</f>
        <v/>
      </c>
      <c r="DW133" s="58" t="str">
        <f>IF(ISNUMBER(MATCH(#REF!,'Audit Characteristic Mapping'!$G$3:$G$500,0)),"Y","")</f>
        <v/>
      </c>
      <c r="DX133" s="58" t="str">
        <f>IF(ISNUMBER(MATCH(#REF!,'Audit Characteristic Mapping'!$H$3:$H$500,0)),"Y","")</f>
        <v/>
      </c>
      <c r="DY133" s="58" t="str">
        <f>IF(ISNUMBER(MATCH(#REF!,'Audit Characteristic Mapping'!$I$3:$I$500,0)),"Y","")</f>
        <v/>
      </c>
      <c r="DZ133" s="58" t="str">
        <f>IF(ISNUMBER(MATCH(#REF!,'Audit Characteristic Mapping'!$J$3:$J$500,0)),"Y","")</f>
        <v/>
      </c>
      <c r="EA133" s="58" t="str">
        <f>IF(ISNUMBER(MATCH(#REF!,'Audit Characteristic Mapping'!$K$3:$K$500,0)),"Y","")</f>
        <v/>
      </c>
    </row>
    <row r="134" spans="1:131" ht="16" hidden="1" x14ac:dyDescent="0.2">
      <c r="A134" s="288">
        <v>128</v>
      </c>
      <c r="B134" s="287" t="s">
        <v>248</v>
      </c>
      <c r="C134" s="226" t="s">
        <v>249</v>
      </c>
      <c r="D134" s="170">
        <v>4</v>
      </c>
      <c r="E134" s="288">
        <v>19</v>
      </c>
      <c r="F134" s="291" t="str">
        <f>VLOOKUP(Calculation!A134,'Descriptor maps'!$A$2:$F$1658,2,0)</f>
        <v>Facility consequences</v>
      </c>
      <c r="G134" s="296" t="s">
        <v>252</v>
      </c>
      <c r="H134" s="291"/>
      <c r="I134" s="291"/>
      <c r="J134" s="292" t="e" cm="1">
        <f t="array" ref="J134">INDEX('Descriptor maps'!$I$2:$I$1658,MATCH(1,('Descriptor maps'!$A$2:$A$1658=Calculation!$A134)*('Descriptor maps'!$G$2:$G$1658=Calculation!$G134),0))</f>
        <v>#N/A</v>
      </c>
      <c r="K134" s="226"/>
      <c r="L134" s="293"/>
      <c r="M134" s="293"/>
      <c r="N134" s="293"/>
      <c r="O134" s="293"/>
      <c r="P134" s="293"/>
      <c r="Q134" s="293"/>
      <c r="R134" s="293"/>
      <c r="S134" s="293"/>
      <c r="T134" s="293"/>
      <c r="U134" s="293"/>
      <c r="V134" s="293"/>
      <c r="W134" s="293"/>
      <c r="X134" s="293"/>
      <c r="Y134" s="29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c r="AW134" s="293"/>
      <c r="AX134" s="293"/>
      <c r="AY134" s="293"/>
      <c r="AZ134" s="293"/>
      <c r="BA134" s="293"/>
      <c r="BB134" s="293"/>
      <c r="BC134" s="293"/>
      <c r="BD134" s="293"/>
      <c r="BE134" s="293"/>
      <c r="BF134" s="293"/>
      <c r="BG134" s="293"/>
      <c r="BH134" s="293"/>
      <c r="BI134" s="293"/>
      <c r="BJ134" s="293"/>
      <c r="BK134" s="293"/>
      <c r="BL134" s="293"/>
      <c r="BM134" s="293"/>
      <c r="BN134" s="293"/>
      <c r="BO134" s="293"/>
      <c r="BP134" s="293"/>
      <c r="BQ134" s="293"/>
      <c r="BR134" s="293"/>
      <c r="BS134" s="293"/>
      <c r="BT134" s="293"/>
      <c r="BU134" s="293"/>
      <c r="BV134" s="293"/>
      <c r="BW134" s="293"/>
      <c r="BX134" s="293"/>
      <c r="BY134" s="293"/>
      <c r="BZ134" s="293"/>
      <c r="CA134" s="285"/>
      <c r="CB134" s="286"/>
      <c r="CC134" s="286"/>
      <c r="CD134" s="286"/>
      <c r="CE134" s="286"/>
      <c r="CF134" s="286"/>
      <c r="CG134" s="286"/>
      <c r="CH134" s="286"/>
      <c r="CI134" s="286"/>
      <c r="CJ134" s="286"/>
      <c r="CK134" s="286"/>
      <c r="CL134" s="286"/>
      <c r="CM134" s="286"/>
      <c r="CN134" s="286"/>
      <c r="CO134" s="286"/>
      <c r="CP134" s="286"/>
      <c r="CQ134" s="286"/>
      <c r="CR134" s="286"/>
      <c r="CS134" s="286"/>
      <c r="CT134" s="286"/>
      <c r="CU134" s="286"/>
      <c r="CV134" s="286"/>
      <c r="CW134" s="286"/>
      <c r="CX134" s="286"/>
      <c r="CY134" s="286"/>
      <c r="CZ134" s="286"/>
      <c r="DA134" s="286"/>
      <c r="DB134" s="286"/>
      <c r="DC134" s="286"/>
      <c r="DD134" s="286"/>
      <c r="DE134" s="286"/>
      <c r="DF134" s="286"/>
      <c r="DG134" s="286"/>
      <c r="DH134" s="286"/>
      <c r="DI134" s="286"/>
      <c r="DJ134" s="286"/>
      <c r="DK134" s="286"/>
      <c r="DL134" s="286"/>
      <c r="DM134" s="286"/>
      <c r="DN134" s="286"/>
      <c r="DO134" s="286"/>
      <c r="DP134" s="286"/>
      <c r="DR134" s="58" t="str">
        <f>IF(ISNUMBER(MATCH(#REF!,'Audit Characteristic Mapping'!$B$3:$B$500,0)),"Y","")</f>
        <v/>
      </c>
      <c r="DS134" s="58" t="str">
        <f>IF(ISNUMBER(MATCH(#REF!,'Audit Characteristic Mapping'!$C$3:$C$500,0)),"Y","")</f>
        <v/>
      </c>
      <c r="DT134" s="58" t="str">
        <f>IF(ISNUMBER(MATCH(#REF!,'Audit Characteristic Mapping'!$D$3:$D$500,0)),"Y","")</f>
        <v/>
      </c>
      <c r="DU134" s="58" t="str">
        <f>IF(ISNUMBER(MATCH(#REF!,'Audit Characteristic Mapping'!$E$3:$E$500,0)),"Y","")</f>
        <v/>
      </c>
      <c r="DV134" s="58" t="str">
        <f>IF(ISNUMBER(MATCH(#REF!,'Audit Characteristic Mapping'!$F$3:$F$500,0)),"Y","")</f>
        <v/>
      </c>
      <c r="DW134" s="58" t="str">
        <f>IF(ISNUMBER(MATCH(#REF!,'Audit Characteristic Mapping'!$G$3:$G$500,0)),"Y","")</f>
        <v/>
      </c>
      <c r="DX134" s="58" t="str">
        <f>IF(ISNUMBER(MATCH(#REF!,'Audit Characteristic Mapping'!$H$3:$H$500,0)),"Y","")</f>
        <v/>
      </c>
      <c r="DY134" s="58" t="str">
        <f>IF(ISNUMBER(MATCH(#REF!,'Audit Characteristic Mapping'!$I$3:$I$500,0)),"Y","")</f>
        <v/>
      </c>
      <c r="DZ134" s="58" t="str">
        <f>IF(ISNUMBER(MATCH(#REF!,'Audit Characteristic Mapping'!$J$3:$J$500,0)),"Y","")</f>
        <v/>
      </c>
      <c r="EA134" s="58" t="str">
        <f>IF(ISNUMBER(MATCH(#REF!,'Audit Characteristic Mapping'!$K$3:$K$500,0)),"Y","")</f>
        <v/>
      </c>
    </row>
    <row r="135" spans="1:131" ht="16" hidden="1" x14ac:dyDescent="0.2">
      <c r="A135" s="288">
        <v>129</v>
      </c>
      <c r="B135" s="287" t="s">
        <v>253</v>
      </c>
      <c r="C135" s="226" t="s">
        <v>254</v>
      </c>
      <c r="D135" s="170">
        <v>5</v>
      </c>
      <c r="E135" s="288">
        <v>20</v>
      </c>
      <c r="F135" s="291" t="str">
        <f>VLOOKUP(Calculation!A135,'Descriptor maps'!$A$2:$F$1658,2,0)</f>
        <v>Studies &amp; Design</v>
      </c>
      <c r="G135" s="296" t="s">
        <v>7</v>
      </c>
      <c r="H135" s="290"/>
      <c r="I135" s="291"/>
      <c r="J135" s="292" cm="1">
        <f t="array" ref="J135">INDEX('Descriptor maps'!$I$2:$I$1658,MATCH(1,('Descriptor maps'!$A$2:$A$1658=Calculation!$A135)*('Descriptor maps'!$G$2:$G$1658=Calculation!$G135),0))</f>
        <v>1</v>
      </c>
      <c r="K135" s="226"/>
      <c r="L135" s="293"/>
      <c r="M135" s="293"/>
      <c r="N135" s="293"/>
      <c r="O135" s="293"/>
      <c r="P135" s="293"/>
      <c r="Q135" s="293"/>
      <c r="R135" s="293"/>
      <c r="S135" s="293"/>
      <c r="T135" s="293"/>
      <c r="U135" s="293"/>
      <c r="V135" s="293"/>
      <c r="W135" s="293"/>
      <c r="X135" s="293"/>
      <c r="Y135" s="29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c r="AW135" s="293"/>
      <c r="AX135" s="293"/>
      <c r="AY135" s="293"/>
      <c r="AZ135" s="293"/>
      <c r="BA135" s="293"/>
      <c r="BB135" s="293"/>
      <c r="BC135" s="293"/>
      <c r="BD135" s="293"/>
      <c r="BE135" s="293"/>
      <c r="BF135" s="293"/>
      <c r="BG135" s="293"/>
      <c r="BH135" s="293"/>
      <c r="BI135" s="293"/>
      <c r="BJ135" s="293"/>
      <c r="BK135" s="293"/>
      <c r="BL135" s="293"/>
      <c r="BM135" s="293"/>
      <c r="BN135" s="293"/>
      <c r="BO135" s="293"/>
      <c r="BP135" s="293"/>
      <c r="BQ135" s="293"/>
      <c r="BR135" s="293"/>
      <c r="BS135" s="293"/>
      <c r="BT135" s="293"/>
      <c r="BU135" s="293"/>
      <c r="BV135" s="293"/>
      <c r="BW135" s="293"/>
      <c r="BX135" s="293"/>
      <c r="BY135" s="293"/>
      <c r="BZ135" s="293"/>
      <c r="CA135" s="285"/>
      <c r="CB135" s="286"/>
      <c r="CC135" s="286"/>
      <c r="CD135" s="286"/>
      <c r="CE135" s="286"/>
      <c r="CF135" s="286"/>
      <c r="CG135" s="286"/>
      <c r="CH135" s="286"/>
      <c r="CI135" s="286"/>
      <c r="CJ135" s="286"/>
      <c r="CK135" s="286"/>
      <c r="CL135" s="286"/>
      <c r="CM135" s="286"/>
      <c r="CN135" s="286"/>
      <c r="CO135" s="286"/>
      <c r="CP135" s="286"/>
      <c r="CQ135" s="286"/>
      <c r="CR135" s="286"/>
      <c r="CS135" s="286"/>
      <c r="CT135" s="286"/>
      <c r="CU135" s="286"/>
      <c r="CV135" s="286"/>
      <c r="CW135" s="286"/>
      <c r="CX135" s="286"/>
      <c r="CY135" s="286"/>
      <c r="CZ135" s="286"/>
      <c r="DA135" s="286"/>
      <c r="DB135" s="286"/>
      <c r="DC135" s="286"/>
      <c r="DD135" s="286"/>
      <c r="DE135" s="286"/>
      <c r="DF135" s="286"/>
      <c r="DG135" s="286"/>
      <c r="DH135" s="286"/>
      <c r="DI135" s="286"/>
      <c r="DJ135" s="286"/>
      <c r="DK135" s="286"/>
      <c r="DL135" s="286"/>
      <c r="DM135" s="286"/>
      <c r="DN135" s="286"/>
      <c r="DO135" s="286"/>
      <c r="DP135" s="286"/>
      <c r="DR135" s="58" t="str">
        <f>IF(ISNUMBER(MATCH(#REF!,'Audit Characteristic Mapping'!$B$3:$B$500,0)),"Y","")</f>
        <v/>
      </c>
      <c r="DS135" s="58" t="str">
        <f>IF(ISNUMBER(MATCH(#REF!,'Audit Characteristic Mapping'!$C$3:$C$500,0)),"Y","")</f>
        <v/>
      </c>
      <c r="DT135" s="58" t="str">
        <f>IF(ISNUMBER(MATCH(#REF!,'Audit Characteristic Mapping'!$D$3:$D$500,0)),"Y","")</f>
        <v/>
      </c>
      <c r="DU135" s="58" t="str">
        <f>IF(ISNUMBER(MATCH(#REF!,'Audit Characteristic Mapping'!$E$3:$E$500,0)),"Y","")</f>
        <v/>
      </c>
      <c r="DV135" s="58" t="str">
        <f>IF(ISNUMBER(MATCH(#REF!,'Audit Characteristic Mapping'!$F$3:$F$500,0)),"Y","")</f>
        <v/>
      </c>
      <c r="DW135" s="58" t="str">
        <f>IF(ISNUMBER(MATCH(#REF!,'Audit Characteristic Mapping'!$G$3:$G$500,0)),"Y","")</f>
        <v/>
      </c>
      <c r="DX135" s="58" t="str">
        <f>IF(ISNUMBER(MATCH(#REF!,'Audit Characteristic Mapping'!$H$3:$H$500,0)),"Y","")</f>
        <v/>
      </c>
      <c r="DY135" s="58" t="str">
        <f>IF(ISNUMBER(MATCH(#REF!,'Audit Characteristic Mapping'!$I$3:$I$500,0)),"Y","")</f>
        <v/>
      </c>
      <c r="DZ135" s="58" t="str">
        <f>IF(ISNUMBER(MATCH(#REF!,'Audit Characteristic Mapping'!$J$3:$J$500,0)),"Y","")</f>
        <v/>
      </c>
      <c r="EA135" s="58" t="str">
        <f>IF(ISNUMBER(MATCH(#REF!,'Audit Characteristic Mapping'!$K$3:$K$500,0)),"Y","")</f>
        <v/>
      </c>
    </row>
    <row r="136" spans="1:131" ht="16" hidden="1" x14ac:dyDescent="0.2">
      <c r="A136" s="299">
        <v>130</v>
      </c>
      <c r="B136" s="287" t="s">
        <v>253</v>
      </c>
      <c r="C136" s="226" t="s">
        <v>254</v>
      </c>
      <c r="D136" s="170">
        <v>5</v>
      </c>
      <c r="E136" s="288">
        <v>20</v>
      </c>
      <c r="F136" s="291" t="str">
        <f>VLOOKUP(Calculation!A136,'Descriptor maps'!$A$2:$F$1658,2,0)</f>
        <v>Studies &amp; Design</v>
      </c>
      <c r="G136" s="296" t="s">
        <v>247</v>
      </c>
      <c r="H136" s="290"/>
      <c r="I136" s="291"/>
      <c r="J136" s="292" t="e" cm="1">
        <f t="array" ref="J136">INDEX('Descriptor maps'!$I$2:$I$1658,MATCH(1,('Descriptor maps'!$A$2:$A$1658=Calculation!$A136)*('Descriptor maps'!$G$2:$G$1658=Calculation!$G136),0))</f>
        <v>#N/A</v>
      </c>
      <c r="K136" s="226"/>
      <c r="L136" s="293"/>
      <c r="M136" s="293"/>
      <c r="N136" s="293"/>
      <c r="O136" s="293"/>
      <c r="P136" s="293"/>
      <c r="Q136" s="293"/>
      <c r="R136" s="293"/>
      <c r="S136" s="293"/>
      <c r="T136" s="293"/>
      <c r="U136" s="293"/>
      <c r="V136" s="293"/>
      <c r="W136" s="293"/>
      <c r="X136" s="293"/>
      <c r="Y136" s="29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c r="AW136" s="293"/>
      <c r="AX136" s="293"/>
      <c r="AY136" s="293"/>
      <c r="AZ136" s="293"/>
      <c r="BA136" s="293"/>
      <c r="BB136" s="293"/>
      <c r="BC136" s="293"/>
      <c r="BD136" s="293"/>
      <c r="BE136" s="293"/>
      <c r="BF136" s="293"/>
      <c r="BG136" s="293"/>
      <c r="BH136" s="293"/>
      <c r="BI136" s="293"/>
      <c r="BJ136" s="293"/>
      <c r="BK136" s="293"/>
      <c r="BL136" s="293"/>
      <c r="BM136" s="293"/>
      <c r="BN136" s="293"/>
      <c r="BO136" s="293"/>
      <c r="BP136" s="293"/>
      <c r="BQ136" s="293"/>
      <c r="BR136" s="293"/>
      <c r="BS136" s="293"/>
      <c r="BT136" s="293"/>
      <c r="BU136" s="293"/>
      <c r="BV136" s="293"/>
      <c r="BW136" s="293"/>
      <c r="BX136" s="293"/>
      <c r="BY136" s="293"/>
      <c r="BZ136" s="293"/>
      <c r="CA136" s="285"/>
      <c r="CB136" s="286"/>
      <c r="CC136" s="286"/>
      <c r="CD136" s="286"/>
      <c r="CE136" s="286"/>
      <c r="CF136" s="286"/>
      <c r="CG136" s="286"/>
      <c r="CH136" s="286"/>
      <c r="CI136" s="286"/>
      <c r="CJ136" s="286"/>
      <c r="CK136" s="286"/>
      <c r="CL136" s="286"/>
      <c r="CM136" s="286"/>
      <c r="CN136" s="286"/>
      <c r="CO136" s="286"/>
      <c r="CP136" s="286"/>
      <c r="CQ136" s="286"/>
      <c r="CR136" s="286"/>
      <c r="CS136" s="286"/>
      <c r="CT136" s="286"/>
      <c r="CU136" s="286"/>
      <c r="CV136" s="286"/>
      <c r="CW136" s="286"/>
      <c r="CX136" s="286"/>
      <c r="CY136" s="286"/>
      <c r="CZ136" s="286"/>
      <c r="DA136" s="286"/>
      <c r="DB136" s="286"/>
      <c r="DC136" s="286"/>
      <c r="DD136" s="286"/>
      <c r="DE136" s="286"/>
      <c r="DF136" s="286"/>
      <c r="DG136" s="286"/>
      <c r="DH136" s="286"/>
      <c r="DI136" s="286"/>
      <c r="DJ136" s="286"/>
      <c r="DK136" s="286"/>
      <c r="DL136" s="286"/>
      <c r="DM136" s="286"/>
      <c r="DN136" s="286"/>
      <c r="DO136" s="286"/>
      <c r="DP136" s="286"/>
      <c r="DR136" s="58" t="str">
        <f>IF(ISNUMBER(MATCH(#REF!,'Audit Characteristic Mapping'!$B$3:$B$500,0)),"Y","")</f>
        <v/>
      </c>
      <c r="DS136" s="58" t="str">
        <f>IF(ISNUMBER(MATCH(#REF!,'Audit Characteristic Mapping'!$C$3:$C$500,0)),"Y","")</f>
        <v/>
      </c>
      <c r="DT136" s="58" t="str">
        <f>IF(ISNUMBER(MATCH(#REF!,'Audit Characteristic Mapping'!$D$3:$D$500,0)),"Y","")</f>
        <v/>
      </c>
      <c r="DU136" s="58" t="str">
        <f>IF(ISNUMBER(MATCH(#REF!,'Audit Characteristic Mapping'!$E$3:$E$500,0)),"Y","")</f>
        <v/>
      </c>
      <c r="DV136" s="58" t="str">
        <f>IF(ISNUMBER(MATCH(#REF!,'Audit Characteristic Mapping'!$F$3:$F$500,0)),"Y","")</f>
        <v/>
      </c>
      <c r="DW136" s="58" t="str">
        <f>IF(ISNUMBER(MATCH(#REF!,'Audit Characteristic Mapping'!$G$3:$G$500,0)),"Y","")</f>
        <v/>
      </c>
      <c r="DX136" s="58" t="str">
        <f>IF(ISNUMBER(MATCH(#REF!,'Audit Characteristic Mapping'!$H$3:$H$500,0)),"Y","")</f>
        <v/>
      </c>
      <c r="DY136" s="58" t="str">
        <f>IF(ISNUMBER(MATCH(#REF!,'Audit Characteristic Mapping'!$I$3:$I$500,0)),"Y","")</f>
        <v/>
      </c>
      <c r="DZ136" s="58" t="str">
        <f>IF(ISNUMBER(MATCH(#REF!,'Audit Characteristic Mapping'!$J$3:$J$500,0)),"Y","")</f>
        <v/>
      </c>
      <c r="EA136" s="58" t="str">
        <f>IF(ISNUMBER(MATCH(#REF!,'Audit Characteristic Mapping'!$K$3:$K$500,0)),"Y","")</f>
        <v/>
      </c>
    </row>
    <row r="137" spans="1:131" ht="16" hidden="1" x14ac:dyDescent="0.2">
      <c r="A137" s="299">
        <v>131</v>
      </c>
      <c r="B137" s="287" t="s">
        <v>253</v>
      </c>
      <c r="C137" s="226" t="s">
        <v>254</v>
      </c>
      <c r="D137" s="170">
        <v>5</v>
      </c>
      <c r="E137" s="288">
        <v>20</v>
      </c>
      <c r="F137" s="291" t="str">
        <f>VLOOKUP(Calculation!A137,'Descriptor maps'!$A$2:$F$1658,2,0)</f>
        <v>Studies &amp; Design</v>
      </c>
      <c r="G137" s="296" t="s">
        <v>247</v>
      </c>
      <c r="H137" s="290"/>
      <c r="I137" s="291"/>
      <c r="J137" s="292" t="e" cm="1">
        <f t="array" ref="J137">INDEX('Descriptor maps'!$I$2:$I$1658,MATCH(1,('Descriptor maps'!$A$2:$A$1658=Calculation!$A137)*('Descriptor maps'!$G$2:$G$1658=Calculation!$G137),0))</f>
        <v>#N/A</v>
      </c>
      <c r="K137" s="226"/>
      <c r="L137" s="293"/>
      <c r="M137" s="293"/>
      <c r="N137" s="293"/>
      <c r="O137" s="293"/>
      <c r="P137" s="293"/>
      <c r="Q137" s="293"/>
      <c r="R137" s="293"/>
      <c r="S137" s="293"/>
      <c r="T137" s="293"/>
      <c r="U137" s="293"/>
      <c r="V137" s="293"/>
      <c r="W137" s="293"/>
      <c r="X137" s="293"/>
      <c r="Y137" s="29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c r="AW137" s="293"/>
      <c r="AX137" s="293"/>
      <c r="AY137" s="293"/>
      <c r="AZ137" s="293"/>
      <c r="BA137" s="293"/>
      <c r="BB137" s="293"/>
      <c r="BC137" s="293"/>
      <c r="BD137" s="293"/>
      <c r="BE137" s="293"/>
      <c r="BF137" s="293"/>
      <c r="BG137" s="293"/>
      <c r="BH137" s="293"/>
      <c r="BI137" s="293"/>
      <c r="BJ137" s="293"/>
      <c r="BK137" s="293"/>
      <c r="BL137" s="293"/>
      <c r="BM137" s="293"/>
      <c r="BN137" s="293"/>
      <c r="BO137" s="293"/>
      <c r="BP137" s="293"/>
      <c r="BQ137" s="293"/>
      <c r="BR137" s="293"/>
      <c r="BS137" s="293"/>
      <c r="BT137" s="293"/>
      <c r="BU137" s="293"/>
      <c r="BV137" s="293"/>
      <c r="BW137" s="293"/>
      <c r="BX137" s="293"/>
      <c r="BY137" s="293"/>
      <c r="BZ137" s="293"/>
      <c r="CA137" s="285"/>
      <c r="CB137" s="286"/>
      <c r="CC137" s="286"/>
      <c r="CD137" s="286"/>
      <c r="CE137" s="286"/>
      <c r="CF137" s="286"/>
      <c r="CG137" s="286"/>
      <c r="CH137" s="286"/>
      <c r="CI137" s="286"/>
      <c r="CJ137" s="286"/>
      <c r="CK137" s="286"/>
      <c r="CL137" s="286"/>
      <c r="CM137" s="286"/>
      <c r="CN137" s="286"/>
      <c r="CO137" s="286"/>
      <c r="CP137" s="286"/>
      <c r="CQ137" s="286"/>
      <c r="CR137" s="286"/>
      <c r="CS137" s="286"/>
      <c r="CT137" s="286"/>
      <c r="CU137" s="286"/>
      <c r="CV137" s="286"/>
      <c r="CW137" s="286"/>
      <c r="CX137" s="286"/>
      <c r="CY137" s="286"/>
      <c r="CZ137" s="286"/>
      <c r="DA137" s="286"/>
      <c r="DB137" s="286"/>
      <c r="DC137" s="286"/>
      <c r="DD137" s="286"/>
      <c r="DE137" s="286"/>
      <c r="DF137" s="286"/>
      <c r="DG137" s="286"/>
      <c r="DH137" s="286"/>
      <c r="DI137" s="286"/>
      <c r="DJ137" s="286"/>
      <c r="DK137" s="286"/>
      <c r="DL137" s="286"/>
      <c r="DM137" s="286">
        <v>1</v>
      </c>
      <c r="DN137" s="286"/>
      <c r="DO137" s="286"/>
      <c r="DP137" s="286"/>
      <c r="DR137" s="58" t="str">
        <f>IF(ISNUMBER(MATCH(#REF!,'Audit Characteristic Mapping'!$B$3:$B$500,0)),"Y","")</f>
        <v/>
      </c>
      <c r="DS137" s="58" t="str">
        <f>IF(ISNUMBER(MATCH(#REF!,'Audit Characteristic Mapping'!$C$3:$C$500,0)),"Y","")</f>
        <v/>
      </c>
      <c r="DT137" s="58" t="str">
        <f>IF(ISNUMBER(MATCH(#REF!,'Audit Characteristic Mapping'!$D$3:$D$500,0)),"Y","")</f>
        <v/>
      </c>
      <c r="DU137" s="58" t="str">
        <f>IF(ISNUMBER(MATCH(#REF!,'Audit Characteristic Mapping'!$E$3:$E$500,0)),"Y","")</f>
        <v/>
      </c>
      <c r="DV137" s="58" t="str">
        <f>IF(ISNUMBER(MATCH(#REF!,'Audit Characteristic Mapping'!$F$3:$F$500,0)),"Y","")</f>
        <v/>
      </c>
      <c r="DW137" s="58" t="str">
        <f>IF(ISNUMBER(MATCH(#REF!,'Audit Characteristic Mapping'!$G$3:$G$500,0)),"Y","")</f>
        <v/>
      </c>
      <c r="DX137" s="58" t="str">
        <f>IF(ISNUMBER(MATCH(#REF!,'Audit Characteristic Mapping'!$H$3:$H$500,0)),"Y","")</f>
        <v/>
      </c>
      <c r="DY137" s="58" t="str">
        <f>IF(ISNUMBER(MATCH(#REF!,'Audit Characteristic Mapping'!$I$3:$I$500,0)),"Y","")</f>
        <v/>
      </c>
      <c r="DZ137" s="58" t="str">
        <f>IF(ISNUMBER(MATCH(#REF!,'Audit Characteristic Mapping'!$J$3:$J$500,0)),"Y","")</f>
        <v/>
      </c>
      <c r="EA137" s="58" t="str">
        <f>IF(ISNUMBER(MATCH(#REF!,'Audit Characteristic Mapping'!$K$3:$K$500,0)),"Y","")</f>
        <v/>
      </c>
    </row>
    <row r="138" spans="1:131" ht="32" hidden="1" x14ac:dyDescent="0.2">
      <c r="A138" s="299">
        <v>132</v>
      </c>
      <c r="B138" s="287" t="s">
        <v>253</v>
      </c>
      <c r="C138" s="226" t="s">
        <v>254</v>
      </c>
      <c r="D138" s="170">
        <v>5</v>
      </c>
      <c r="E138" s="288">
        <v>20</v>
      </c>
      <c r="F138" s="291" t="str">
        <f>VLOOKUP(Calculation!A138,'Descriptor maps'!$A$2:$F$1658,2,0)</f>
        <v>Studies &amp; Design</v>
      </c>
      <c r="G138" s="296" t="s">
        <v>261</v>
      </c>
      <c r="H138" s="290"/>
      <c r="I138" s="291"/>
      <c r="J138" s="292" t="e" cm="1">
        <f t="array" ref="J138">INDEX('Descriptor maps'!$I$2:$I$1658,MATCH(1,('Descriptor maps'!$A$2:$A$1658=Calculation!$A138)*('Descriptor maps'!$G$2:$G$1658=Calculation!$G138),0))</f>
        <v>#N/A</v>
      </c>
      <c r="K138" s="226"/>
      <c r="L138" s="293"/>
      <c r="M138" s="293"/>
      <c r="N138" s="293"/>
      <c r="O138" s="293"/>
      <c r="P138" s="293"/>
      <c r="Q138" s="293"/>
      <c r="R138" s="293"/>
      <c r="S138" s="293"/>
      <c r="T138" s="293"/>
      <c r="U138" s="293"/>
      <c r="V138" s="293"/>
      <c r="W138" s="293"/>
      <c r="X138" s="293"/>
      <c r="Y138" s="29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c r="AW138" s="293"/>
      <c r="AX138" s="293"/>
      <c r="AY138" s="293"/>
      <c r="AZ138" s="293"/>
      <c r="BA138" s="293"/>
      <c r="BB138" s="293"/>
      <c r="BC138" s="293"/>
      <c r="BD138" s="293"/>
      <c r="BE138" s="293"/>
      <c r="BF138" s="293"/>
      <c r="BG138" s="293"/>
      <c r="BH138" s="293"/>
      <c r="BI138" s="293"/>
      <c r="BJ138" s="293"/>
      <c r="BK138" s="293"/>
      <c r="BL138" s="293"/>
      <c r="BM138" s="293"/>
      <c r="BN138" s="293"/>
      <c r="BO138" s="293"/>
      <c r="BP138" s="293"/>
      <c r="BQ138" s="293"/>
      <c r="BR138" s="293"/>
      <c r="BS138" s="293"/>
      <c r="BT138" s="293"/>
      <c r="BU138" s="293"/>
      <c r="BV138" s="293"/>
      <c r="BW138" s="293"/>
      <c r="BX138" s="293"/>
      <c r="BY138" s="293"/>
      <c r="BZ138" s="293"/>
      <c r="CA138" s="285"/>
      <c r="CB138" s="286"/>
      <c r="CC138" s="286"/>
      <c r="CD138" s="286"/>
      <c r="CE138" s="286"/>
      <c r="CF138" s="286"/>
      <c r="CG138" s="286"/>
      <c r="CH138" s="286"/>
      <c r="CI138" s="286"/>
      <c r="CJ138" s="286"/>
      <c r="CK138" s="286"/>
      <c r="CL138" s="286"/>
      <c r="CM138" s="286"/>
      <c r="CN138" s="286"/>
      <c r="CO138" s="286"/>
      <c r="CP138" s="286"/>
      <c r="CQ138" s="286"/>
      <c r="CR138" s="286"/>
      <c r="CS138" s="286"/>
      <c r="CT138" s="286"/>
      <c r="CU138" s="286"/>
      <c r="CV138" s="286"/>
      <c r="CW138" s="286"/>
      <c r="CX138" s="286"/>
      <c r="CY138" s="286"/>
      <c r="CZ138" s="286"/>
      <c r="DA138" s="286"/>
      <c r="DB138" s="286"/>
      <c r="DC138" s="286"/>
      <c r="DD138" s="286"/>
      <c r="DE138" s="286"/>
      <c r="DF138" s="286"/>
      <c r="DG138" s="286"/>
      <c r="DH138" s="286"/>
      <c r="DI138" s="286"/>
      <c r="DJ138" s="286"/>
      <c r="DK138" s="286"/>
      <c r="DL138" s="286"/>
      <c r="DM138" s="286">
        <v>1</v>
      </c>
      <c r="DN138" s="286"/>
      <c r="DO138" s="286"/>
      <c r="DP138" s="286"/>
      <c r="DR138" s="58" t="str">
        <f>IF(ISNUMBER(MATCH(#REF!,'Audit Characteristic Mapping'!$B$3:$B$500,0)),"Y","")</f>
        <v/>
      </c>
      <c r="DS138" s="58" t="str">
        <f>IF(ISNUMBER(MATCH(#REF!,'Audit Characteristic Mapping'!$C$3:$C$500,0)),"Y","")</f>
        <v/>
      </c>
      <c r="DT138" s="58" t="str">
        <f>IF(ISNUMBER(MATCH(#REF!,'Audit Characteristic Mapping'!$D$3:$D$500,0)),"Y","")</f>
        <v/>
      </c>
      <c r="DU138" s="58" t="str">
        <f>IF(ISNUMBER(MATCH(#REF!,'Audit Characteristic Mapping'!$E$3:$E$500,0)),"Y","")</f>
        <v/>
      </c>
      <c r="DV138" s="58" t="str">
        <f>IF(ISNUMBER(MATCH(#REF!,'Audit Characteristic Mapping'!$F$3:$F$500,0)),"Y","")</f>
        <v/>
      </c>
      <c r="DW138" s="58" t="str">
        <f>IF(ISNUMBER(MATCH(#REF!,'Audit Characteristic Mapping'!$G$3:$G$500,0)),"Y","")</f>
        <v/>
      </c>
      <c r="DX138" s="58" t="str">
        <f>IF(ISNUMBER(MATCH(#REF!,'Audit Characteristic Mapping'!$H$3:$H$500,0)),"Y","")</f>
        <v/>
      </c>
      <c r="DY138" s="58" t="str">
        <f>IF(ISNUMBER(MATCH(#REF!,'Audit Characteristic Mapping'!$I$3:$I$500,0)),"Y","")</f>
        <v/>
      </c>
      <c r="DZ138" s="58" t="str">
        <f>IF(ISNUMBER(MATCH(#REF!,'Audit Characteristic Mapping'!$J$3:$J$500,0)),"Y","")</f>
        <v/>
      </c>
      <c r="EA138" s="58" t="str">
        <f>IF(ISNUMBER(MATCH(#REF!,'Audit Characteristic Mapping'!$K$3:$K$500,0)),"Y","")</f>
        <v/>
      </c>
    </row>
    <row r="139" spans="1:131" ht="16" hidden="1" x14ac:dyDescent="0.2">
      <c r="A139" s="288">
        <v>133</v>
      </c>
      <c r="B139" s="287" t="s">
        <v>253</v>
      </c>
      <c r="C139" s="226" t="s">
        <v>259</v>
      </c>
      <c r="D139" s="170">
        <v>5</v>
      </c>
      <c r="E139" s="288">
        <v>21</v>
      </c>
      <c r="F139" s="291" t="str">
        <f>VLOOKUP(Calculation!A139,'Descriptor maps'!$A$2:$F$1658,2,0)</f>
        <v>Studies &amp; Design</v>
      </c>
      <c r="G139" s="296"/>
      <c r="H139" s="290"/>
      <c r="I139" s="291"/>
      <c r="J139" s="292" t="e" cm="1">
        <f t="array" ref="J139">INDEX('Descriptor maps'!$I$2:$I$1658,MATCH(1,('Descriptor maps'!$A$2:$A$1658=Calculation!$A139)*('Descriptor maps'!$G$2:$G$1658=Calculation!$G139),0))</f>
        <v>#N/A</v>
      </c>
      <c r="K139" s="226"/>
      <c r="L139" s="293"/>
      <c r="M139" s="293"/>
      <c r="N139" s="293"/>
      <c r="O139" s="293"/>
      <c r="P139" s="293"/>
      <c r="Q139" s="293"/>
      <c r="R139" s="293"/>
      <c r="S139" s="293"/>
      <c r="T139" s="293"/>
      <c r="U139" s="293"/>
      <c r="V139" s="293"/>
      <c r="W139" s="293"/>
      <c r="X139" s="293"/>
      <c r="Y139" s="29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c r="AW139" s="293"/>
      <c r="AX139" s="293"/>
      <c r="AY139" s="293"/>
      <c r="AZ139" s="293"/>
      <c r="BA139" s="293"/>
      <c r="BB139" s="293"/>
      <c r="BC139" s="293"/>
      <c r="BD139" s="293"/>
      <c r="BE139" s="293"/>
      <c r="BF139" s="293"/>
      <c r="BG139" s="293"/>
      <c r="BH139" s="293"/>
      <c r="BI139" s="293"/>
      <c r="BJ139" s="293"/>
      <c r="BK139" s="293"/>
      <c r="BL139" s="293"/>
      <c r="BM139" s="293"/>
      <c r="BN139" s="293"/>
      <c r="BO139" s="293"/>
      <c r="BP139" s="293"/>
      <c r="BQ139" s="293"/>
      <c r="BR139" s="293"/>
      <c r="BS139" s="293"/>
      <c r="BT139" s="293"/>
      <c r="BU139" s="293"/>
      <c r="BV139" s="293"/>
      <c r="BW139" s="293"/>
      <c r="BX139" s="293"/>
      <c r="BY139" s="293"/>
      <c r="BZ139" s="293"/>
      <c r="CA139" s="285"/>
      <c r="CB139" s="286"/>
      <c r="CC139" s="286"/>
      <c r="CD139" s="286"/>
      <c r="CE139" s="286"/>
      <c r="CF139" s="286"/>
      <c r="CG139" s="286"/>
      <c r="CH139" s="286"/>
      <c r="CI139" s="286"/>
      <c r="CJ139" s="286"/>
      <c r="CK139" s="286"/>
      <c r="CL139" s="286"/>
      <c r="CM139" s="286"/>
      <c r="CN139" s="286"/>
      <c r="CO139" s="286"/>
      <c r="CP139" s="286"/>
      <c r="CQ139" s="286"/>
      <c r="CR139" s="286"/>
      <c r="CS139" s="286"/>
      <c r="CT139" s="286"/>
      <c r="CU139" s="286"/>
      <c r="CV139" s="286"/>
      <c r="CW139" s="286"/>
      <c r="CX139" s="286"/>
      <c r="CY139" s="286"/>
      <c r="CZ139" s="286"/>
      <c r="DA139" s="286"/>
      <c r="DB139" s="286"/>
      <c r="DC139" s="286"/>
      <c r="DD139" s="286"/>
      <c r="DE139" s="286"/>
      <c r="DF139" s="286"/>
      <c r="DG139" s="286"/>
      <c r="DH139" s="286"/>
      <c r="DI139" s="286"/>
      <c r="DJ139" s="286"/>
      <c r="DK139" s="286"/>
      <c r="DL139" s="286"/>
      <c r="DM139" s="286"/>
      <c r="DN139" s="286"/>
      <c r="DO139" s="286"/>
      <c r="DP139" s="286"/>
      <c r="DR139" s="58" t="str">
        <f>IF(ISNUMBER(MATCH(#REF!,'Audit Characteristic Mapping'!$B$3:$B$500,0)),"Y","")</f>
        <v/>
      </c>
      <c r="DS139" s="58" t="str">
        <f>IF(ISNUMBER(MATCH(#REF!,'Audit Characteristic Mapping'!$C$3:$C$500,0)),"Y","")</f>
        <v/>
      </c>
      <c r="DT139" s="58" t="str">
        <f>IF(ISNUMBER(MATCH(#REF!,'Audit Characteristic Mapping'!$D$3:$D$500,0)),"Y","")</f>
        <v/>
      </c>
      <c r="DU139" s="58" t="str">
        <f>IF(ISNUMBER(MATCH(#REF!,'Audit Characteristic Mapping'!$E$3:$E$500,0)),"Y","")</f>
        <v/>
      </c>
      <c r="DV139" s="58" t="str">
        <f>IF(ISNUMBER(MATCH(#REF!,'Audit Characteristic Mapping'!$F$3:$F$500,0)),"Y","")</f>
        <v/>
      </c>
      <c r="DW139" s="58" t="str">
        <f>IF(ISNUMBER(MATCH(#REF!,'Audit Characteristic Mapping'!$G$3:$G$500,0)),"Y","")</f>
        <v/>
      </c>
      <c r="DX139" s="58" t="str">
        <f>IF(ISNUMBER(MATCH(#REF!,'Audit Characteristic Mapping'!$H$3:$H$500,0)),"Y","")</f>
        <v/>
      </c>
      <c r="DY139" s="58" t="str">
        <f>IF(ISNUMBER(MATCH(#REF!,'Audit Characteristic Mapping'!$I$3:$I$500,0)),"Y","")</f>
        <v/>
      </c>
      <c r="DZ139" s="58" t="str">
        <f>IF(ISNUMBER(MATCH(#REF!,'Audit Characteristic Mapping'!$J$3:$J$500,0)),"Y","")</f>
        <v/>
      </c>
      <c r="EA139" s="58" t="str">
        <f>IF(ISNUMBER(MATCH(#REF!,'Audit Characteristic Mapping'!$K$3:$K$500,0)),"Y","")</f>
        <v/>
      </c>
    </row>
    <row r="140" spans="1:131" ht="64" x14ac:dyDescent="0.2">
      <c r="A140" s="294">
        <v>134</v>
      </c>
      <c r="B140" s="287" t="s">
        <v>253</v>
      </c>
      <c r="C140" s="226" t="s">
        <v>259</v>
      </c>
      <c r="D140" s="170">
        <v>5</v>
      </c>
      <c r="E140" s="288">
        <v>21</v>
      </c>
      <c r="F140" s="291" t="str">
        <f>VLOOKUP(Calculation!A140,'Descriptor maps'!$A$2:$F$1658,6,0)</f>
        <v>Is there documented evidence that the geological model is based on and shows the outcomes of the geological mapping, with the objective of providing a factual and complete description of the geological setting and geological units at the area of the embankment?</v>
      </c>
      <c r="G140" s="296" t="s">
        <v>1192</v>
      </c>
      <c r="H140" s="290"/>
      <c r="I140" s="291" cm="1">
        <f t="array" ref="I140">INDEX('Descriptor maps'!$H$2:$H$1658,MATCH(1,('Descriptor maps'!$A$2:$A$1658=Calculation!$A140)*('Descriptor maps'!$G$2:$G$1658=Calculation!$G140),0))</f>
        <v>1</v>
      </c>
      <c r="J140" s="292" cm="1">
        <f t="array" ref="J140">INDEX('Descriptor maps'!$I$2:$I$1658,MATCH(1,('Descriptor maps'!$A$2:$A$1658=Calculation!$A140)*('Descriptor maps'!$G$2:$G$1658=Calculation!$G140),0))</f>
        <v>1</v>
      </c>
      <c r="K140" s="226"/>
      <c r="L140" s="293">
        <f>1*$J140</f>
        <v>1</v>
      </c>
      <c r="M140" s="293"/>
      <c r="N140" s="293"/>
      <c r="O140" s="293"/>
      <c r="P140" s="293"/>
      <c r="Q140" s="293"/>
      <c r="R140" s="293"/>
      <c r="S140" s="293">
        <f>1*$J140</f>
        <v>1</v>
      </c>
      <c r="T140" s="293"/>
      <c r="U140" s="293"/>
      <c r="V140" s="293"/>
      <c r="W140" s="293"/>
      <c r="X140" s="293"/>
      <c r="Y140" s="293"/>
      <c r="Z140" s="293">
        <f>1*$J140</f>
        <v>1</v>
      </c>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c r="AW140" s="293"/>
      <c r="AX140" s="293"/>
      <c r="AY140" s="293"/>
      <c r="AZ140" s="293"/>
      <c r="BA140" s="293"/>
      <c r="BB140" s="293"/>
      <c r="BC140" s="293"/>
      <c r="BD140" s="293"/>
      <c r="BE140" s="293"/>
      <c r="BF140" s="293"/>
      <c r="BG140" s="293"/>
      <c r="BH140" s="293"/>
      <c r="BI140" s="293"/>
      <c r="BJ140" s="293"/>
      <c r="BK140" s="293"/>
      <c r="BL140" s="293"/>
      <c r="BM140" s="293"/>
      <c r="BN140" s="293"/>
      <c r="BO140" s="293"/>
      <c r="BP140" s="293"/>
      <c r="BQ140" s="293"/>
      <c r="BR140" s="293"/>
      <c r="BS140" s="293"/>
      <c r="BT140" s="293"/>
      <c r="BU140" s="293"/>
      <c r="BV140" s="293"/>
      <c r="BW140" s="293"/>
      <c r="BX140" s="293"/>
      <c r="BY140" s="293"/>
      <c r="BZ140" s="293"/>
      <c r="CA140" s="285"/>
      <c r="CB140" s="286"/>
      <c r="CC140" s="286"/>
      <c r="CD140" s="286"/>
      <c r="CE140" s="286"/>
      <c r="CF140" s="286"/>
      <c r="CG140" s="286"/>
      <c r="CH140" s="286"/>
      <c r="CI140" s="286"/>
      <c r="CJ140" s="286"/>
      <c r="CK140" s="286"/>
      <c r="CL140" s="286"/>
      <c r="CM140" s="286"/>
      <c r="CN140" s="286"/>
      <c r="CO140" s="286"/>
      <c r="CP140" s="286"/>
      <c r="CQ140" s="286"/>
      <c r="CR140" s="286"/>
      <c r="CS140" s="286"/>
      <c r="CT140" s="286"/>
      <c r="CU140" s="286"/>
      <c r="CV140" s="286"/>
      <c r="CW140" s="286"/>
      <c r="CX140" s="286"/>
      <c r="CY140" s="286"/>
      <c r="CZ140" s="286"/>
      <c r="DA140" s="286"/>
      <c r="DB140" s="286"/>
      <c r="DC140" s="286"/>
      <c r="DD140" s="286"/>
      <c r="DE140" s="286"/>
      <c r="DF140" s="286"/>
      <c r="DG140" s="286"/>
      <c r="DH140" s="286"/>
      <c r="DI140" s="286"/>
      <c r="DJ140" s="286"/>
      <c r="DK140" s="286"/>
      <c r="DL140" s="286"/>
      <c r="DM140" s="286"/>
      <c r="DN140" s="286"/>
      <c r="DO140" s="286"/>
      <c r="DP140" s="286"/>
      <c r="DR140" s="58" t="str">
        <f>IF(ISNUMBER(MATCH(#REF!,'Audit Characteristic Mapping'!$B$3:$B$500,0)),"Y","")</f>
        <v/>
      </c>
      <c r="DS140" s="58" t="str">
        <f>IF(ISNUMBER(MATCH(#REF!,'Audit Characteristic Mapping'!$C$3:$C$500,0)),"Y","")</f>
        <v/>
      </c>
      <c r="DT140" s="58" t="str">
        <f>IF(ISNUMBER(MATCH(#REF!,'Audit Characteristic Mapping'!$D$3:$D$500,0)),"Y","")</f>
        <v/>
      </c>
      <c r="DU140" s="58" t="str">
        <f>IF(ISNUMBER(MATCH(#REF!,'Audit Characteristic Mapping'!$E$3:$E$500,0)),"Y","")</f>
        <v/>
      </c>
      <c r="DV140" s="58" t="str">
        <f>IF(ISNUMBER(MATCH(#REF!,'Audit Characteristic Mapping'!$F$3:$F$500,0)),"Y","")</f>
        <v/>
      </c>
      <c r="DW140" s="58" t="str">
        <f>IF(ISNUMBER(MATCH(#REF!,'Audit Characteristic Mapping'!$G$3:$G$500,0)),"Y","")</f>
        <v/>
      </c>
      <c r="DX140" s="58" t="str">
        <f>IF(ISNUMBER(MATCH(#REF!,'Audit Characteristic Mapping'!$H$3:$H$500,0)),"Y","")</f>
        <v/>
      </c>
      <c r="DY140" s="58" t="str">
        <f>IF(ISNUMBER(MATCH(#REF!,'Audit Characteristic Mapping'!$I$3:$I$500,0)),"Y","")</f>
        <v/>
      </c>
      <c r="DZ140" s="58" t="str">
        <f>IF(ISNUMBER(MATCH(#REF!,'Audit Characteristic Mapping'!$J$3:$J$500,0)),"Y","")</f>
        <v/>
      </c>
      <c r="EA140" s="58" t="str">
        <f>IF(ISNUMBER(MATCH(#REF!,'Audit Characteristic Mapping'!$K$3:$K$500,0)),"Y","")</f>
        <v/>
      </c>
    </row>
    <row r="141" spans="1:131" ht="64" x14ac:dyDescent="0.2">
      <c r="A141" s="294">
        <v>135</v>
      </c>
      <c r="B141" s="287" t="s">
        <v>253</v>
      </c>
      <c r="C141" s="226" t="s">
        <v>259</v>
      </c>
      <c r="D141" s="170">
        <v>5</v>
      </c>
      <c r="E141" s="288">
        <v>21</v>
      </c>
      <c r="F141" s="291" t="str">
        <f>VLOOKUP(Calculation!A141,'Descriptor maps'!$A$2:$F$1658,6,0)</f>
        <v>Is there documented evidence that the geological model is based on and presents the outcomes of the field investigations with the objective of providing a factual and complete description of the geological setting and geological units at the area of the embankment?</v>
      </c>
      <c r="G141" s="296" t="s">
        <v>1193</v>
      </c>
      <c r="H141" s="290"/>
      <c r="I141" s="291" cm="1">
        <f t="array" ref="I141">INDEX('Descriptor maps'!$H$2:$H$1658,MATCH(1,('Descriptor maps'!$A$2:$A$1658=Calculation!$A141)*('Descriptor maps'!$G$2:$G$1658=Calculation!$G141),0))</f>
        <v>2</v>
      </c>
      <c r="J141" s="292" cm="1">
        <f t="array" ref="J141">INDEX('Descriptor maps'!$I$2:$I$1658,MATCH(1,('Descriptor maps'!$A$2:$A$1658=Calculation!$A141)*('Descriptor maps'!$G$2:$G$1658=Calculation!$G141),0))</f>
        <v>2</v>
      </c>
      <c r="K141" s="226"/>
      <c r="L141" s="293">
        <f>1*$J141</f>
        <v>2</v>
      </c>
      <c r="M141" s="293"/>
      <c r="N141" s="293"/>
      <c r="O141" s="293"/>
      <c r="P141" s="293"/>
      <c r="Q141" s="293"/>
      <c r="R141" s="293"/>
      <c r="S141" s="293">
        <f>1*$J141</f>
        <v>2</v>
      </c>
      <c r="T141" s="293"/>
      <c r="U141" s="293"/>
      <c r="V141" s="293"/>
      <c r="W141" s="293"/>
      <c r="X141" s="293"/>
      <c r="Y141" s="293"/>
      <c r="Z141" s="293">
        <f>1*$J141</f>
        <v>2</v>
      </c>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c r="AW141" s="293"/>
      <c r="AX141" s="293"/>
      <c r="AY141" s="293"/>
      <c r="AZ141" s="293"/>
      <c r="BA141" s="293"/>
      <c r="BB141" s="293"/>
      <c r="BC141" s="293"/>
      <c r="BD141" s="293"/>
      <c r="BE141" s="293"/>
      <c r="BF141" s="293"/>
      <c r="BG141" s="293"/>
      <c r="BH141" s="293"/>
      <c r="BI141" s="293"/>
      <c r="BJ141" s="293"/>
      <c r="BK141" s="293"/>
      <c r="BL141" s="293"/>
      <c r="BM141" s="293"/>
      <c r="BN141" s="293"/>
      <c r="BO141" s="293"/>
      <c r="BP141" s="293"/>
      <c r="BQ141" s="293"/>
      <c r="BR141" s="293"/>
      <c r="BS141" s="293"/>
      <c r="BT141" s="293"/>
      <c r="BU141" s="293"/>
      <c r="BV141" s="293"/>
      <c r="BW141" s="293"/>
      <c r="BX141" s="293"/>
      <c r="BY141" s="293"/>
      <c r="BZ141" s="293"/>
      <c r="CA141" s="285"/>
      <c r="CB141" s="286"/>
      <c r="CC141" s="286"/>
      <c r="CD141" s="286"/>
      <c r="CE141" s="286"/>
      <c r="CF141" s="286"/>
      <c r="CG141" s="286"/>
      <c r="CH141" s="286"/>
      <c r="CI141" s="286"/>
      <c r="CJ141" s="286"/>
      <c r="CK141" s="286"/>
      <c r="CL141" s="286"/>
      <c r="CM141" s="286"/>
      <c r="CN141" s="286"/>
      <c r="CO141" s="286"/>
      <c r="CP141" s="286"/>
      <c r="CQ141" s="286"/>
      <c r="CR141" s="286"/>
      <c r="CS141" s="286"/>
      <c r="CT141" s="286"/>
      <c r="CU141" s="286"/>
      <c r="CV141" s="286"/>
      <c r="CW141" s="286"/>
      <c r="CX141" s="286"/>
      <c r="CY141" s="286"/>
      <c r="CZ141" s="286"/>
      <c r="DA141" s="286"/>
      <c r="DB141" s="286"/>
      <c r="DC141" s="286"/>
      <c r="DD141" s="286"/>
      <c r="DE141" s="286"/>
      <c r="DF141" s="286"/>
      <c r="DG141" s="286"/>
      <c r="DH141" s="286"/>
      <c r="DI141" s="286"/>
      <c r="DJ141" s="286"/>
      <c r="DK141" s="286"/>
      <c r="DL141" s="286"/>
      <c r="DM141" s="286"/>
      <c r="DN141" s="286"/>
      <c r="DO141" s="286"/>
      <c r="DP141" s="286"/>
      <c r="DR141" s="58" t="str">
        <f>IF(ISNUMBER(MATCH(#REF!,'Audit Characteristic Mapping'!$B$3:$B$500,0)),"Y","")</f>
        <v/>
      </c>
      <c r="DS141" s="58" t="str">
        <f>IF(ISNUMBER(MATCH(#REF!,'Audit Characteristic Mapping'!$C$3:$C$500,0)),"Y","")</f>
        <v/>
      </c>
      <c r="DT141" s="58" t="str">
        <f>IF(ISNUMBER(MATCH(#REF!,'Audit Characteristic Mapping'!$D$3:$D$500,0)),"Y","")</f>
        <v/>
      </c>
      <c r="DU141" s="58" t="str">
        <f>IF(ISNUMBER(MATCH(#REF!,'Audit Characteristic Mapping'!$E$3:$E$500,0)),"Y","")</f>
        <v/>
      </c>
      <c r="DV141" s="58" t="str">
        <f>IF(ISNUMBER(MATCH(#REF!,'Audit Characteristic Mapping'!$F$3:$F$500,0)),"Y","")</f>
        <v/>
      </c>
      <c r="DW141" s="58" t="str">
        <f>IF(ISNUMBER(MATCH(#REF!,'Audit Characteristic Mapping'!$G$3:$G$500,0)),"Y","")</f>
        <v/>
      </c>
      <c r="DX141" s="58" t="str">
        <f>IF(ISNUMBER(MATCH(#REF!,'Audit Characteristic Mapping'!$H$3:$H$500,0)),"Y","")</f>
        <v/>
      </c>
      <c r="DY141" s="58" t="str">
        <f>IF(ISNUMBER(MATCH(#REF!,'Audit Characteristic Mapping'!$I$3:$I$500,0)),"Y","")</f>
        <v/>
      </c>
      <c r="DZ141" s="58" t="str">
        <f>IF(ISNUMBER(MATCH(#REF!,'Audit Characteristic Mapping'!$J$3:$J$500,0)),"Y","")</f>
        <v/>
      </c>
      <c r="EA141" s="58" t="str">
        <f>IF(ISNUMBER(MATCH(#REF!,'Audit Characteristic Mapping'!$K$3:$K$500,0)),"Y","")</f>
        <v/>
      </c>
    </row>
    <row r="142" spans="1:131" ht="64" x14ac:dyDescent="0.2">
      <c r="A142" s="294">
        <v>136</v>
      </c>
      <c r="B142" s="287" t="s">
        <v>253</v>
      </c>
      <c r="C142" s="226" t="s">
        <v>259</v>
      </c>
      <c r="D142" s="170">
        <v>5</v>
      </c>
      <c r="E142" s="288">
        <v>21</v>
      </c>
      <c r="F142" s="291" t="str">
        <f>VLOOKUP(Calculation!A142,'Descriptor maps'!$A$2:$F$1658,6,0)</f>
        <v>Is there documented evidence that the geological model is incorporates the results of relevant laboratory testing with the objective of providing a factual and complete description of the geological setting and geological units at the area of the embankment?</v>
      </c>
      <c r="G142" s="296" t="s">
        <v>1193</v>
      </c>
      <c r="H142" s="290"/>
      <c r="I142" s="291" cm="1">
        <f t="array" ref="I142">INDEX('Descriptor maps'!$H$2:$H$1658,MATCH(1,('Descriptor maps'!$A$2:$A$1658=Calculation!$A142)*('Descriptor maps'!$G$2:$G$1658=Calculation!$G142),0))</f>
        <v>2</v>
      </c>
      <c r="J142" s="292" cm="1">
        <f t="array" ref="J142">INDEX('Descriptor maps'!$I$2:$I$1658,MATCH(1,('Descriptor maps'!$A$2:$A$1658=Calculation!$A142)*('Descriptor maps'!$G$2:$G$1658=Calculation!$G142),0))</f>
        <v>2</v>
      </c>
      <c r="K142" s="226"/>
      <c r="L142" s="293">
        <f>1*$J142</f>
        <v>2</v>
      </c>
      <c r="M142" s="293"/>
      <c r="N142" s="293"/>
      <c r="O142" s="293"/>
      <c r="P142" s="293"/>
      <c r="Q142" s="293"/>
      <c r="R142" s="293"/>
      <c r="S142" s="293">
        <f>1*$J142</f>
        <v>2</v>
      </c>
      <c r="T142" s="293"/>
      <c r="U142" s="293"/>
      <c r="V142" s="293"/>
      <c r="W142" s="293"/>
      <c r="X142" s="293"/>
      <c r="Y142" s="293"/>
      <c r="Z142" s="293">
        <f>1*$J142</f>
        <v>2</v>
      </c>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c r="AW142" s="293"/>
      <c r="AX142" s="293"/>
      <c r="AY142" s="293"/>
      <c r="AZ142" s="293"/>
      <c r="BA142" s="293"/>
      <c r="BB142" s="293"/>
      <c r="BC142" s="293"/>
      <c r="BD142" s="293"/>
      <c r="BE142" s="293"/>
      <c r="BF142" s="293"/>
      <c r="BG142" s="293"/>
      <c r="BH142" s="293"/>
      <c r="BI142" s="293"/>
      <c r="BJ142" s="293"/>
      <c r="BK142" s="293"/>
      <c r="BL142" s="293"/>
      <c r="BM142" s="293"/>
      <c r="BN142" s="293"/>
      <c r="BO142" s="293"/>
      <c r="BP142" s="293"/>
      <c r="BQ142" s="293"/>
      <c r="BR142" s="293"/>
      <c r="BS142" s="293"/>
      <c r="BT142" s="293"/>
      <c r="BU142" s="293"/>
      <c r="BV142" s="293"/>
      <c r="BW142" s="293"/>
      <c r="BX142" s="293"/>
      <c r="BY142" s="293"/>
      <c r="BZ142" s="293"/>
      <c r="CA142" s="285"/>
      <c r="CB142" s="286"/>
      <c r="CC142" s="286"/>
      <c r="CD142" s="286"/>
      <c r="CE142" s="286"/>
      <c r="CF142" s="286"/>
      <c r="CG142" s="286"/>
      <c r="CH142" s="286"/>
      <c r="CI142" s="286"/>
      <c r="CJ142" s="286"/>
      <c r="CK142" s="286"/>
      <c r="CL142" s="286"/>
      <c r="CM142" s="286"/>
      <c r="CN142" s="286"/>
      <c r="CO142" s="286"/>
      <c r="CP142" s="286"/>
      <c r="CQ142" s="286"/>
      <c r="CR142" s="286"/>
      <c r="CS142" s="286"/>
      <c r="CT142" s="286"/>
      <c r="CU142" s="286"/>
      <c r="CV142" s="286"/>
      <c r="CW142" s="286"/>
      <c r="CX142" s="286"/>
      <c r="CY142" s="286"/>
      <c r="CZ142" s="286"/>
      <c r="DA142" s="286"/>
      <c r="DB142" s="286"/>
      <c r="DC142" s="286"/>
      <c r="DD142" s="286"/>
      <c r="DE142" s="286"/>
      <c r="DF142" s="286"/>
      <c r="DG142" s="286"/>
      <c r="DH142" s="286"/>
      <c r="DI142" s="286"/>
      <c r="DJ142" s="286"/>
      <c r="DK142" s="286"/>
      <c r="DL142" s="286"/>
      <c r="DM142" s="286"/>
      <c r="DN142" s="286"/>
      <c r="DO142" s="286"/>
      <c r="DP142" s="286"/>
      <c r="DR142" s="58" t="str">
        <f>IF(ISNUMBER(MATCH(#REF!,'Audit Characteristic Mapping'!$B$3:$B$500,0)),"Y","")</f>
        <v/>
      </c>
      <c r="DS142" s="58" t="str">
        <f>IF(ISNUMBER(MATCH(#REF!,'Audit Characteristic Mapping'!$C$3:$C$500,0)),"Y","")</f>
        <v/>
      </c>
      <c r="DT142" s="58" t="str">
        <f>IF(ISNUMBER(MATCH(#REF!,'Audit Characteristic Mapping'!$D$3:$D$500,0)),"Y","")</f>
        <v/>
      </c>
      <c r="DU142" s="58" t="str">
        <f>IF(ISNUMBER(MATCH(#REF!,'Audit Characteristic Mapping'!$E$3:$E$500,0)),"Y","")</f>
        <v/>
      </c>
      <c r="DV142" s="58" t="str">
        <f>IF(ISNUMBER(MATCH(#REF!,'Audit Characteristic Mapping'!$F$3:$F$500,0)),"Y","")</f>
        <v/>
      </c>
      <c r="DW142" s="58" t="str">
        <f>IF(ISNUMBER(MATCH(#REF!,'Audit Characteristic Mapping'!$G$3:$G$500,0)),"Y","")</f>
        <v/>
      </c>
      <c r="DX142" s="58" t="str">
        <f>IF(ISNUMBER(MATCH(#REF!,'Audit Characteristic Mapping'!$H$3:$H$500,0)),"Y","")</f>
        <v/>
      </c>
      <c r="DY142" s="58" t="str">
        <f>IF(ISNUMBER(MATCH(#REF!,'Audit Characteristic Mapping'!$I$3:$I$500,0)),"Y","")</f>
        <v/>
      </c>
      <c r="DZ142" s="58" t="str">
        <f>IF(ISNUMBER(MATCH(#REF!,'Audit Characteristic Mapping'!$J$3:$J$500,0)),"Y","")</f>
        <v/>
      </c>
      <c r="EA142" s="58" t="str">
        <f>IF(ISNUMBER(MATCH(#REF!,'Audit Characteristic Mapping'!$K$3:$K$500,0)),"Y","")</f>
        <v/>
      </c>
    </row>
    <row r="143" spans="1:131" ht="64" x14ac:dyDescent="0.2">
      <c r="A143" s="294">
        <v>137</v>
      </c>
      <c r="B143" s="287" t="s">
        <v>253</v>
      </c>
      <c r="C143" s="226" t="s">
        <v>262</v>
      </c>
      <c r="D143" s="170">
        <v>5</v>
      </c>
      <c r="E143" s="288">
        <v>22</v>
      </c>
      <c r="F143" s="291" t="str">
        <f>VLOOKUP(Calculation!A143,'Descriptor maps'!$A$2:$F$1658,6,0)</f>
        <v>Is there documented evidence that geotechnical analytical model(s) used for the embankment design and/or assessment was derived from the geological model, with the objective of providing representative properties required for specific loading conditions associated with the potential failure mode(s)?</v>
      </c>
      <c r="G143" s="296" t="s">
        <v>1192</v>
      </c>
      <c r="H143" s="290"/>
      <c r="I143" s="291" cm="1">
        <f t="array" ref="I143">INDEX('Descriptor maps'!$H$2:$H$1658,MATCH(1,('Descriptor maps'!$A$2:$A$1658=Calculation!$A143)*('Descriptor maps'!$G$2:$G$1658=Calculation!$G143),0))</f>
        <v>1</v>
      </c>
      <c r="J143" s="292" cm="1">
        <f t="array" ref="J143">INDEX('Descriptor maps'!$I$2:$I$1658,MATCH(1,('Descriptor maps'!$A$2:$A$1658=Calculation!$A143)*('Descriptor maps'!$G$2:$G$1658=Calculation!$G143),0))</f>
        <v>1</v>
      </c>
      <c r="K143" s="226"/>
      <c r="L143" s="293">
        <f>1*$J143</f>
        <v>1</v>
      </c>
      <c r="M143" s="293"/>
      <c r="N143" s="293"/>
      <c r="O143" s="293"/>
      <c r="P143" s="293"/>
      <c r="Q143" s="293"/>
      <c r="R143" s="293"/>
      <c r="S143" s="293">
        <f>1*$J143</f>
        <v>1</v>
      </c>
      <c r="T143" s="293"/>
      <c r="U143" s="293"/>
      <c r="V143" s="293"/>
      <c r="W143" s="293"/>
      <c r="X143" s="293"/>
      <c r="Y143" s="293"/>
      <c r="Z143" s="293">
        <f>1*$J143</f>
        <v>1</v>
      </c>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c r="AW143" s="293"/>
      <c r="AX143" s="293"/>
      <c r="AY143" s="293"/>
      <c r="AZ143" s="293"/>
      <c r="BA143" s="293"/>
      <c r="BB143" s="293"/>
      <c r="BC143" s="293"/>
      <c r="BD143" s="293"/>
      <c r="BE143" s="293"/>
      <c r="BF143" s="293"/>
      <c r="BG143" s="293"/>
      <c r="BH143" s="293"/>
      <c r="BI143" s="293"/>
      <c r="BJ143" s="293"/>
      <c r="BK143" s="293"/>
      <c r="BL143" s="293"/>
      <c r="BM143" s="293"/>
      <c r="BN143" s="293"/>
      <c r="BO143" s="293"/>
      <c r="BP143" s="293"/>
      <c r="BQ143" s="293"/>
      <c r="BR143" s="293"/>
      <c r="BS143" s="293"/>
      <c r="BT143" s="293"/>
      <c r="BU143" s="293"/>
      <c r="BV143" s="293"/>
      <c r="BW143" s="293"/>
      <c r="BX143" s="293"/>
      <c r="BY143" s="293"/>
      <c r="BZ143" s="293"/>
      <c r="CA143" s="285"/>
      <c r="CB143" s="286"/>
      <c r="CC143" s="286">
        <v>1</v>
      </c>
      <c r="CD143" s="286"/>
      <c r="CE143" s="286"/>
      <c r="CF143" s="286"/>
      <c r="CG143" s="286">
        <v>1</v>
      </c>
      <c r="CH143" s="286"/>
      <c r="CI143" s="286"/>
      <c r="CJ143" s="286"/>
      <c r="CK143" s="286"/>
      <c r="CL143" s="286">
        <v>1</v>
      </c>
      <c r="CM143" s="286"/>
      <c r="CN143" s="286"/>
      <c r="CO143" s="286"/>
      <c r="CP143" s="286"/>
      <c r="CQ143" s="286"/>
      <c r="CR143" s="286"/>
      <c r="CS143" s="286">
        <v>1</v>
      </c>
      <c r="CT143" s="286"/>
      <c r="CU143" s="286"/>
      <c r="CV143" s="286"/>
      <c r="CW143" s="286"/>
      <c r="CX143" s="286"/>
      <c r="CY143" s="286"/>
      <c r="CZ143" s="286"/>
      <c r="DA143" s="286"/>
      <c r="DB143" s="286"/>
      <c r="DC143" s="286"/>
      <c r="DD143" s="286"/>
      <c r="DE143" s="286"/>
      <c r="DF143" s="286"/>
      <c r="DG143" s="286"/>
      <c r="DH143" s="286"/>
      <c r="DI143" s="286"/>
      <c r="DJ143" s="286"/>
      <c r="DK143" s="286"/>
      <c r="DL143" s="286"/>
      <c r="DM143" s="286"/>
      <c r="DN143" s="286"/>
      <c r="DO143" s="286"/>
      <c r="DP143" s="286"/>
      <c r="DR143" s="58" t="str">
        <f>IF(ISNUMBER(MATCH(#REF!,'Audit Characteristic Mapping'!$B$3:$B$500,0)),"Y","")</f>
        <v/>
      </c>
      <c r="DS143" s="58" t="str">
        <f>IF(ISNUMBER(MATCH(#REF!,'Audit Characteristic Mapping'!$C$3:$C$500,0)),"Y","")</f>
        <v/>
      </c>
      <c r="DT143" s="58" t="str">
        <f>IF(ISNUMBER(MATCH(#REF!,'Audit Characteristic Mapping'!$D$3:$D$500,0)),"Y","")</f>
        <v/>
      </c>
      <c r="DU143" s="58" t="str">
        <f>IF(ISNUMBER(MATCH(#REF!,'Audit Characteristic Mapping'!$E$3:$E$500,0)),"Y","")</f>
        <v/>
      </c>
      <c r="DV143" s="58" t="str">
        <f>IF(ISNUMBER(MATCH(#REF!,'Audit Characteristic Mapping'!$F$3:$F$500,0)),"Y","")</f>
        <v/>
      </c>
      <c r="DW143" s="58" t="str">
        <f>IF(ISNUMBER(MATCH(#REF!,'Audit Characteristic Mapping'!$G$3:$G$500,0)),"Y","")</f>
        <v/>
      </c>
      <c r="DX143" s="58" t="str">
        <f>IF(ISNUMBER(MATCH(#REF!,'Audit Characteristic Mapping'!$H$3:$H$500,0)),"Y","")</f>
        <v/>
      </c>
      <c r="DY143" s="58" t="str">
        <f>IF(ISNUMBER(MATCH(#REF!,'Audit Characteristic Mapping'!$I$3:$I$500,0)),"Y","")</f>
        <v/>
      </c>
      <c r="DZ143" s="58" t="str">
        <f>IF(ISNUMBER(MATCH(#REF!,'Audit Characteristic Mapping'!$J$3:$J$500,0)),"Y","")</f>
        <v/>
      </c>
      <c r="EA143" s="58" t="str">
        <f>IF(ISNUMBER(MATCH(#REF!,'Audit Characteristic Mapping'!$K$3:$K$500,0)),"Y","")</f>
        <v/>
      </c>
    </row>
    <row r="144" spans="1:131" ht="64" x14ac:dyDescent="0.2">
      <c r="A144" s="294">
        <v>138</v>
      </c>
      <c r="B144" s="287" t="s">
        <v>253</v>
      </c>
      <c r="C144" s="226" t="s">
        <v>262</v>
      </c>
      <c r="D144" s="170">
        <v>5</v>
      </c>
      <c r="E144" s="288">
        <v>22</v>
      </c>
      <c r="F144" s="291" t="str">
        <f>VLOOKUP(Calculation!A144,'Descriptor maps'!$A$2:$F$1658,6,0)</f>
        <v>Is there documented evidence that computational model(s) used for the embankment design and/or assessment was derived from the geotechnical analytical model , with the objective of presenting the performance of the embankment under a specific loading conditions associated with the potential failure mod(s)?</v>
      </c>
      <c r="G144" s="296" t="s">
        <v>1192</v>
      </c>
      <c r="H144" s="290"/>
      <c r="I144" s="291" cm="1">
        <f t="array" ref="I144">INDEX('Descriptor maps'!$H$2:$H$1658,MATCH(1,('Descriptor maps'!$A$2:$A$1658=Calculation!$A144)*('Descriptor maps'!$G$2:$G$1658=Calculation!$G144),0))</f>
        <v>1</v>
      </c>
      <c r="J144" s="292" cm="1">
        <f t="array" ref="J144">INDEX('Descriptor maps'!$I$2:$I$1658,MATCH(1,('Descriptor maps'!$A$2:$A$1658=Calculation!$A144)*('Descriptor maps'!$G$2:$G$1658=Calculation!$G144),0))</f>
        <v>1</v>
      </c>
      <c r="K144" s="226"/>
      <c r="L144" s="293"/>
      <c r="M144" s="293">
        <f>1*$J144</f>
        <v>1</v>
      </c>
      <c r="N144" s="293"/>
      <c r="O144" s="293"/>
      <c r="P144" s="293"/>
      <c r="Q144" s="293"/>
      <c r="R144" s="293"/>
      <c r="S144" s="293"/>
      <c r="T144" s="293">
        <f>1*$J144</f>
        <v>1</v>
      </c>
      <c r="U144" s="293"/>
      <c r="V144" s="293"/>
      <c r="W144" s="293"/>
      <c r="X144" s="293">
        <f>1*$J144</f>
        <v>1</v>
      </c>
      <c r="Y144" s="293"/>
      <c r="Z144" s="293"/>
      <c r="AA144" s="293">
        <f>1*$J144</f>
        <v>1</v>
      </c>
      <c r="AB144" s="293"/>
      <c r="AC144" s="293"/>
      <c r="AD144" s="293"/>
      <c r="AE144" s="293">
        <f>1*$J144</f>
        <v>1</v>
      </c>
      <c r="AF144" s="293"/>
      <c r="AG144" s="293"/>
      <c r="AH144" s="293"/>
      <c r="AI144" s="293"/>
      <c r="AJ144" s="293"/>
      <c r="AK144" s="293"/>
      <c r="AL144" s="293"/>
      <c r="AM144" s="293"/>
      <c r="AN144" s="293"/>
      <c r="AO144" s="293"/>
      <c r="AP144" s="293"/>
      <c r="AQ144" s="293"/>
      <c r="AR144" s="293"/>
      <c r="AS144" s="293"/>
      <c r="AT144" s="293"/>
      <c r="AU144" s="293"/>
      <c r="AV144" s="293"/>
      <c r="AW144" s="293"/>
      <c r="AX144" s="293"/>
      <c r="AY144" s="293"/>
      <c r="AZ144" s="293"/>
      <c r="BA144" s="293"/>
      <c r="BB144" s="293"/>
      <c r="BC144" s="293"/>
      <c r="BD144" s="293"/>
      <c r="BE144" s="293"/>
      <c r="BF144" s="293"/>
      <c r="BG144" s="293"/>
      <c r="BH144" s="293"/>
      <c r="BI144" s="293"/>
      <c r="BJ144" s="293"/>
      <c r="BK144" s="293"/>
      <c r="BL144" s="293"/>
      <c r="BM144" s="293"/>
      <c r="BN144" s="293"/>
      <c r="BO144" s="293"/>
      <c r="BP144" s="293"/>
      <c r="BQ144" s="293"/>
      <c r="BR144" s="293"/>
      <c r="BS144" s="293"/>
      <c r="BT144" s="293"/>
      <c r="BU144" s="293"/>
      <c r="BV144" s="293"/>
      <c r="BW144" s="293"/>
      <c r="BX144" s="293"/>
      <c r="BY144" s="293"/>
      <c r="BZ144" s="293"/>
      <c r="CA144" s="285"/>
      <c r="CB144" s="286"/>
      <c r="CC144" s="286"/>
      <c r="CD144" s="286">
        <v>1</v>
      </c>
      <c r="CE144" s="286"/>
      <c r="CF144" s="286"/>
      <c r="CG144" s="286"/>
      <c r="CH144" s="286">
        <v>1</v>
      </c>
      <c r="CI144" s="286"/>
      <c r="CJ144" s="286"/>
      <c r="CK144" s="286"/>
      <c r="CL144" s="286"/>
      <c r="CM144" s="286">
        <v>1</v>
      </c>
      <c r="CN144" s="286"/>
      <c r="CO144" s="286"/>
      <c r="CP144" s="286"/>
      <c r="CQ144" s="286"/>
      <c r="CR144" s="286"/>
      <c r="CS144" s="286"/>
      <c r="CT144" s="286">
        <v>1</v>
      </c>
      <c r="CU144" s="286"/>
      <c r="CV144" s="286"/>
      <c r="CW144" s="286"/>
      <c r="CX144" s="286"/>
      <c r="CY144" s="286"/>
      <c r="CZ144" s="286"/>
      <c r="DA144" s="286"/>
      <c r="DB144" s="286"/>
      <c r="DC144" s="286"/>
      <c r="DD144" s="286"/>
      <c r="DE144" s="286"/>
      <c r="DF144" s="286"/>
      <c r="DG144" s="286"/>
      <c r="DH144" s="286"/>
      <c r="DI144" s="286"/>
      <c r="DJ144" s="286"/>
      <c r="DK144" s="286"/>
      <c r="DL144" s="286"/>
      <c r="DM144" s="286"/>
      <c r="DN144" s="286"/>
      <c r="DO144" s="286"/>
      <c r="DP144" s="286"/>
      <c r="DR144" s="58" t="str">
        <f>IF(ISNUMBER(MATCH(#REF!,'Audit Characteristic Mapping'!$B$3:$B$500,0)),"Y","")</f>
        <v/>
      </c>
      <c r="DS144" s="58" t="str">
        <f>IF(ISNUMBER(MATCH(#REF!,'Audit Characteristic Mapping'!$C$3:$C$500,0)),"Y","")</f>
        <v/>
      </c>
      <c r="DT144" s="58" t="str">
        <f>IF(ISNUMBER(MATCH(#REF!,'Audit Characteristic Mapping'!$D$3:$D$500,0)),"Y","")</f>
        <v/>
      </c>
      <c r="DU144" s="58" t="str">
        <f>IF(ISNUMBER(MATCH(#REF!,'Audit Characteristic Mapping'!$E$3:$E$500,0)),"Y","")</f>
        <v/>
      </c>
      <c r="DV144" s="58" t="str">
        <f>IF(ISNUMBER(MATCH(#REF!,'Audit Characteristic Mapping'!$F$3:$F$500,0)),"Y","")</f>
        <v/>
      </c>
      <c r="DW144" s="58" t="str">
        <f>IF(ISNUMBER(MATCH(#REF!,'Audit Characteristic Mapping'!$G$3:$G$500,0)),"Y","")</f>
        <v/>
      </c>
      <c r="DX144" s="58" t="str">
        <f>IF(ISNUMBER(MATCH(#REF!,'Audit Characteristic Mapping'!$H$3:$H$500,0)),"Y","")</f>
        <v/>
      </c>
      <c r="DY144" s="58" t="str">
        <f>IF(ISNUMBER(MATCH(#REF!,'Audit Characteristic Mapping'!$I$3:$I$500,0)),"Y","")</f>
        <v/>
      </c>
      <c r="DZ144" s="58" t="str">
        <f>IF(ISNUMBER(MATCH(#REF!,'Audit Characteristic Mapping'!$J$3:$J$500,0)),"Y","")</f>
        <v/>
      </c>
      <c r="EA144" s="58" t="str">
        <f>IF(ISNUMBER(MATCH(#REF!,'Audit Characteristic Mapping'!$K$3:$K$500,0)),"Y","")</f>
        <v/>
      </c>
    </row>
    <row r="145" spans="1:131" ht="80" x14ac:dyDescent="0.2">
      <c r="A145" s="294">
        <v>139</v>
      </c>
      <c r="B145" s="287" t="s">
        <v>253</v>
      </c>
      <c r="C145" s="226" t="s">
        <v>262</v>
      </c>
      <c r="D145" s="170">
        <v>5</v>
      </c>
      <c r="E145" s="288">
        <v>22</v>
      </c>
      <c r="F145" s="291" t="str">
        <f>VLOOKUP(Calculation!A145,'Descriptor maps'!$A$2:$F$1658,6,0)</f>
        <v>Is there documented evidence that geotechnical models for the site were derived, with the objective of displaying geotechnical units and properties spatially in relation to the facility, with evidence that the information presented is clearly linked and based on objective data and information obtained from the geological investigations completed?</v>
      </c>
      <c r="G145" s="296" t="s">
        <v>1195</v>
      </c>
      <c r="H145" s="290"/>
      <c r="I145" s="291" cm="1">
        <f t="array" ref="I145">INDEX('Descriptor maps'!$H$2:$H$1658,MATCH(1,('Descriptor maps'!$A$2:$A$1658=Calculation!$A145)*('Descriptor maps'!$G$2:$G$1658=Calculation!$G145),0))</f>
        <v>4</v>
      </c>
      <c r="J145" s="292" cm="1">
        <f t="array" ref="J145">INDEX('Descriptor maps'!$I$2:$I$1658,MATCH(1,('Descriptor maps'!$A$2:$A$1658=Calculation!$A145)*('Descriptor maps'!$G$2:$G$1658=Calculation!$G145),0))</f>
        <v>4</v>
      </c>
      <c r="K145" s="226"/>
      <c r="L145" s="293">
        <f>1*$J145</f>
        <v>4</v>
      </c>
      <c r="M145" s="293"/>
      <c r="N145" s="293"/>
      <c r="O145" s="293"/>
      <c r="P145" s="293"/>
      <c r="Q145" s="293"/>
      <c r="R145" s="293"/>
      <c r="S145" s="293">
        <f>1*$J145</f>
        <v>4</v>
      </c>
      <c r="T145" s="293"/>
      <c r="U145" s="293"/>
      <c r="V145" s="293"/>
      <c r="W145" s="293"/>
      <c r="X145" s="293"/>
      <c r="Y145" s="293"/>
      <c r="Z145" s="293">
        <f>1*$J145</f>
        <v>4</v>
      </c>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c r="AW145" s="293"/>
      <c r="AX145" s="293"/>
      <c r="AY145" s="293"/>
      <c r="AZ145" s="293"/>
      <c r="BA145" s="293"/>
      <c r="BB145" s="293"/>
      <c r="BC145" s="293"/>
      <c r="BD145" s="293"/>
      <c r="BE145" s="293"/>
      <c r="BF145" s="293"/>
      <c r="BG145" s="293"/>
      <c r="BH145" s="293"/>
      <c r="BI145" s="293"/>
      <c r="BJ145" s="293"/>
      <c r="BK145" s="293"/>
      <c r="BL145" s="293"/>
      <c r="BM145" s="293"/>
      <c r="BN145" s="293"/>
      <c r="BO145" s="293"/>
      <c r="BP145" s="293"/>
      <c r="BQ145" s="293"/>
      <c r="BR145" s="293"/>
      <c r="BS145" s="293"/>
      <c r="BT145" s="293"/>
      <c r="BU145" s="293"/>
      <c r="BV145" s="293"/>
      <c r="BW145" s="293"/>
      <c r="BX145" s="293"/>
      <c r="BY145" s="293"/>
      <c r="BZ145" s="293"/>
      <c r="CA145" s="285"/>
      <c r="CB145" s="286"/>
      <c r="CC145" s="286"/>
      <c r="CD145" s="286"/>
      <c r="CE145" s="286"/>
      <c r="CF145" s="286"/>
      <c r="CG145" s="286"/>
      <c r="CH145" s="286"/>
      <c r="CI145" s="286"/>
      <c r="CJ145" s="286"/>
      <c r="CK145" s="286"/>
      <c r="CL145" s="286"/>
      <c r="CM145" s="286"/>
      <c r="CN145" s="286"/>
      <c r="CO145" s="286"/>
      <c r="CP145" s="286"/>
      <c r="CQ145" s="286"/>
      <c r="CR145" s="286"/>
      <c r="CS145" s="286"/>
      <c r="CT145" s="286"/>
      <c r="CU145" s="286"/>
      <c r="CV145" s="286"/>
      <c r="CW145" s="286"/>
      <c r="CX145" s="286"/>
      <c r="CY145" s="286"/>
      <c r="CZ145" s="286"/>
      <c r="DA145" s="286"/>
      <c r="DB145" s="286"/>
      <c r="DC145" s="286"/>
      <c r="DD145" s="286"/>
      <c r="DE145" s="286"/>
      <c r="DF145" s="286"/>
      <c r="DG145" s="286"/>
      <c r="DH145" s="286"/>
      <c r="DI145" s="286"/>
      <c r="DJ145" s="286"/>
      <c r="DK145" s="286"/>
      <c r="DL145" s="286"/>
      <c r="DM145" s="286"/>
      <c r="DN145" s="286"/>
      <c r="DO145" s="286"/>
      <c r="DP145" s="286"/>
      <c r="DR145" s="58" t="str">
        <f>IF(ISNUMBER(MATCH(#REF!,'Audit Characteristic Mapping'!$B$3:$B$500,0)),"Y","")</f>
        <v/>
      </c>
      <c r="DS145" s="58" t="str">
        <f>IF(ISNUMBER(MATCH(#REF!,'Audit Characteristic Mapping'!$C$3:$C$500,0)),"Y","")</f>
        <v/>
      </c>
      <c r="DT145" s="58" t="str">
        <f>IF(ISNUMBER(MATCH(#REF!,'Audit Characteristic Mapping'!$D$3:$D$500,0)),"Y","")</f>
        <v/>
      </c>
      <c r="DU145" s="58" t="str">
        <f>IF(ISNUMBER(MATCH(#REF!,'Audit Characteristic Mapping'!$E$3:$E$500,0)),"Y","")</f>
        <v/>
      </c>
      <c r="DV145" s="58" t="str">
        <f>IF(ISNUMBER(MATCH(#REF!,'Audit Characteristic Mapping'!$F$3:$F$500,0)),"Y","")</f>
        <v/>
      </c>
      <c r="DW145" s="58" t="str">
        <f>IF(ISNUMBER(MATCH(#REF!,'Audit Characteristic Mapping'!$G$3:$G$500,0)),"Y","")</f>
        <v/>
      </c>
      <c r="DX145" s="58" t="str">
        <f>IF(ISNUMBER(MATCH(#REF!,'Audit Characteristic Mapping'!$H$3:$H$500,0)),"Y","")</f>
        <v/>
      </c>
      <c r="DY145" s="58" t="str">
        <f>IF(ISNUMBER(MATCH(#REF!,'Audit Characteristic Mapping'!$I$3:$I$500,0)),"Y","")</f>
        <v/>
      </c>
      <c r="DZ145" s="58" t="str">
        <f>IF(ISNUMBER(MATCH(#REF!,'Audit Characteristic Mapping'!$J$3:$J$500,0)),"Y","")</f>
        <v/>
      </c>
      <c r="EA145" s="58" t="str">
        <f>IF(ISNUMBER(MATCH(#REF!,'Audit Characteristic Mapping'!$K$3:$K$500,0)),"Y","")</f>
        <v/>
      </c>
    </row>
    <row r="146" spans="1:131" ht="64" x14ac:dyDescent="0.2">
      <c r="A146" s="294">
        <v>140</v>
      </c>
      <c r="B146" s="287" t="s">
        <v>253</v>
      </c>
      <c r="C146" s="226" t="s">
        <v>262</v>
      </c>
      <c r="D146" s="170">
        <v>5</v>
      </c>
      <c r="E146" s="288">
        <v>22</v>
      </c>
      <c r="F146" s="291" t="str">
        <f>VLOOKUP(Calculation!A146,'Descriptor maps'!$A$2:$F$1658,6,0)</f>
        <v>Is there documented evidence that geotechnical design models were derived from objective data and using defensible engineering practices, with the objective of displaying the model zones and parameters to be used in geotechnical analyses for various required loading conditions?</v>
      </c>
      <c r="G146" s="296" t="s">
        <v>1193</v>
      </c>
      <c r="H146" s="290"/>
      <c r="I146" s="291" cm="1">
        <f t="array" ref="I146">INDEX('Descriptor maps'!$H$2:$H$1658,MATCH(1,('Descriptor maps'!$A$2:$A$1658=Calculation!$A146)*('Descriptor maps'!$G$2:$G$1658=Calculation!$G146),0))</f>
        <v>2</v>
      </c>
      <c r="J146" s="292" cm="1">
        <f t="array" ref="J146">INDEX('Descriptor maps'!$I$2:$I$1658,MATCH(1,('Descriptor maps'!$A$2:$A$1658=Calculation!$A146)*('Descriptor maps'!$G$2:$G$1658=Calculation!$G146),0))</f>
        <v>2</v>
      </c>
      <c r="K146" s="226"/>
      <c r="L146" s="293">
        <f>1*$J146</f>
        <v>2</v>
      </c>
      <c r="M146" s="293"/>
      <c r="N146" s="293"/>
      <c r="O146" s="293"/>
      <c r="P146" s="293"/>
      <c r="Q146" s="293"/>
      <c r="R146" s="293"/>
      <c r="S146" s="293">
        <f>1*$J146</f>
        <v>2</v>
      </c>
      <c r="T146" s="293"/>
      <c r="U146" s="293"/>
      <c r="V146" s="293"/>
      <c r="W146" s="293"/>
      <c r="X146" s="293">
        <f>1*$J146</f>
        <v>2</v>
      </c>
      <c r="Y146" s="293"/>
      <c r="Z146" s="293">
        <f>1*$J146</f>
        <v>2</v>
      </c>
      <c r="AA146" s="293"/>
      <c r="AB146" s="293"/>
      <c r="AC146" s="293"/>
      <c r="AD146" s="293"/>
      <c r="AE146" s="293">
        <f>1*$J146</f>
        <v>2</v>
      </c>
      <c r="AF146" s="293"/>
      <c r="AG146" s="293"/>
      <c r="AH146" s="293"/>
      <c r="AI146" s="293"/>
      <c r="AJ146" s="293"/>
      <c r="AK146" s="293"/>
      <c r="AL146" s="293"/>
      <c r="AM146" s="293"/>
      <c r="AN146" s="293"/>
      <c r="AO146" s="293"/>
      <c r="AP146" s="293"/>
      <c r="AQ146" s="293"/>
      <c r="AR146" s="293"/>
      <c r="AS146" s="293"/>
      <c r="AT146" s="293"/>
      <c r="AU146" s="293"/>
      <c r="AV146" s="293"/>
      <c r="AW146" s="293"/>
      <c r="AX146" s="293"/>
      <c r="AY146" s="293"/>
      <c r="AZ146" s="293"/>
      <c r="BA146" s="293"/>
      <c r="BB146" s="293"/>
      <c r="BC146" s="293"/>
      <c r="BD146" s="293"/>
      <c r="BE146" s="293"/>
      <c r="BF146" s="293"/>
      <c r="BG146" s="293"/>
      <c r="BH146" s="293"/>
      <c r="BI146" s="293"/>
      <c r="BJ146" s="293"/>
      <c r="BK146" s="293"/>
      <c r="BL146" s="293"/>
      <c r="BM146" s="293"/>
      <c r="BN146" s="293"/>
      <c r="BO146" s="293"/>
      <c r="BP146" s="293"/>
      <c r="BQ146" s="293"/>
      <c r="BR146" s="293"/>
      <c r="BS146" s="293"/>
      <c r="BT146" s="293"/>
      <c r="BU146" s="293"/>
      <c r="BV146" s="293"/>
      <c r="BW146" s="293"/>
      <c r="BX146" s="293"/>
      <c r="BY146" s="293"/>
      <c r="BZ146" s="293"/>
      <c r="CA146" s="285"/>
      <c r="CB146" s="286"/>
      <c r="CC146" s="286">
        <v>1</v>
      </c>
      <c r="CD146" s="286"/>
      <c r="CE146" s="286"/>
      <c r="CF146" s="286"/>
      <c r="CG146" s="286">
        <v>1</v>
      </c>
      <c r="CH146" s="286"/>
      <c r="CI146" s="286"/>
      <c r="CJ146" s="286"/>
      <c r="CK146" s="286"/>
      <c r="CL146" s="286">
        <v>1</v>
      </c>
      <c r="CM146" s="286"/>
      <c r="CN146" s="286"/>
      <c r="CO146" s="286"/>
      <c r="CP146" s="286"/>
      <c r="CQ146" s="286"/>
      <c r="CR146" s="286"/>
      <c r="CS146" s="286">
        <v>1</v>
      </c>
      <c r="CT146" s="286"/>
      <c r="CU146" s="286"/>
      <c r="CV146" s="286"/>
      <c r="CW146" s="286"/>
      <c r="CX146" s="286"/>
      <c r="CY146" s="286"/>
      <c r="CZ146" s="286"/>
      <c r="DA146" s="286"/>
      <c r="DB146" s="286"/>
      <c r="DC146" s="286"/>
      <c r="DD146" s="286"/>
      <c r="DE146" s="286"/>
      <c r="DF146" s="286"/>
      <c r="DG146" s="286"/>
      <c r="DH146" s="286"/>
      <c r="DI146" s="286"/>
      <c r="DJ146" s="286"/>
      <c r="DK146" s="286"/>
      <c r="DL146" s="286"/>
      <c r="DM146" s="286"/>
      <c r="DN146" s="286"/>
      <c r="DO146" s="286"/>
      <c r="DP146" s="286"/>
      <c r="DR146" s="58" t="str">
        <f>IF(ISNUMBER(MATCH(#REF!,'Audit Characteristic Mapping'!$B$3:$B$500,0)),"Y","")</f>
        <v/>
      </c>
      <c r="DS146" s="58" t="str">
        <f>IF(ISNUMBER(MATCH(#REF!,'Audit Characteristic Mapping'!$C$3:$C$500,0)),"Y","")</f>
        <v/>
      </c>
      <c r="DT146" s="58" t="str">
        <f>IF(ISNUMBER(MATCH(#REF!,'Audit Characteristic Mapping'!$D$3:$D$500,0)),"Y","")</f>
        <v/>
      </c>
      <c r="DU146" s="58" t="str">
        <f>IF(ISNUMBER(MATCH(#REF!,'Audit Characteristic Mapping'!$E$3:$E$500,0)),"Y","")</f>
        <v/>
      </c>
      <c r="DV146" s="58" t="str">
        <f>IF(ISNUMBER(MATCH(#REF!,'Audit Characteristic Mapping'!$F$3:$F$500,0)),"Y","")</f>
        <v/>
      </c>
      <c r="DW146" s="58" t="str">
        <f>IF(ISNUMBER(MATCH(#REF!,'Audit Characteristic Mapping'!$G$3:$G$500,0)),"Y","")</f>
        <v/>
      </c>
      <c r="DX146" s="58" t="str">
        <f>IF(ISNUMBER(MATCH(#REF!,'Audit Characteristic Mapping'!$H$3:$H$500,0)),"Y","")</f>
        <v/>
      </c>
      <c r="DY146" s="58" t="str">
        <f>IF(ISNUMBER(MATCH(#REF!,'Audit Characteristic Mapping'!$I$3:$I$500,0)),"Y","")</f>
        <v/>
      </c>
      <c r="DZ146" s="58" t="str">
        <f>IF(ISNUMBER(MATCH(#REF!,'Audit Characteristic Mapping'!$J$3:$J$500,0)),"Y","")</f>
        <v/>
      </c>
      <c r="EA146" s="58" t="str">
        <f>IF(ISNUMBER(MATCH(#REF!,'Audit Characteristic Mapping'!$K$3:$K$500,0)),"Y","")</f>
        <v/>
      </c>
    </row>
    <row r="147" spans="1:131" ht="16" hidden="1" x14ac:dyDescent="0.2">
      <c r="A147" s="288">
        <v>141</v>
      </c>
      <c r="B147" s="287" t="s">
        <v>253</v>
      </c>
      <c r="C147" s="226" t="s">
        <v>264</v>
      </c>
      <c r="D147" s="170">
        <v>5</v>
      </c>
      <c r="E147" s="288">
        <v>23</v>
      </c>
      <c r="F147" s="291" t="str">
        <f>VLOOKUP(Calculation!A147,'Descriptor maps'!$A$2:$F$1658,2,0)</f>
        <v>Studies &amp; Design</v>
      </c>
      <c r="G147" s="296"/>
      <c r="H147" s="290"/>
      <c r="I147" s="291"/>
      <c r="J147" s="292" t="e" cm="1">
        <f t="array" ref="J147">INDEX('Descriptor maps'!$I$2:$I$1658,MATCH(1,('Descriptor maps'!$A$2:$A$1658=Calculation!$A147)*('Descriptor maps'!$G$2:$G$1658=Calculation!$G147),0))</f>
        <v>#N/A</v>
      </c>
      <c r="K147" s="226"/>
      <c r="L147" s="293"/>
      <c r="M147" s="293"/>
      <c r="N147" s="293"/>
      <c r="O147" s="293"/>
      <c r="P147" s="293"/>
      <c r="Q147" s="293"/>
      <c r="R147" s="293"/>
      <c r="S147" s="293"/>
      <c r="T147" s="293"/>
      <c r="U147" s="293"/>
      <c r="V147" s="293"/>
      <c r="W147" s="293"/>
      <c r="X147" s="293"/>
      <c r="Y147" s="293"/>
      <c r="Z147" s="293"/>
      <c r="AA147" s="293"/>
      <c r="AB147" s="293"/>
      <c r="AC147" s="293"/>
      <c r="AD147" s="293"/>
      <c r="AE147" s="293"/>
      <c r="AF147" s="293"/>
      <c r="AG147" s="293"/>
      <c r="AH147" s="293"/>
      <c r="AI147" s="293"/>
      <c r="AJ147" s="293"/>
      <c r="AK147" s="293"/>
      <c r="AL147" s="293"/>
      <c r="AM147" s="293"/>
      <c r="AN147" s="293"/>
      <c r="AO147" s="293"/>
      <c r="AP147" s="293"/>
      <c r="AQ147" s="293"/>
      <c r="AR147" s="293"/>
      <c r="AS147" s="293"/>
      <c r="AT147" s="293"/>
      <c r="AU147" s="293"/>
      <c r="AV147" s="293"/>
      <c r="AW147" s="293"/>
      <c r="AX147" s="293"/>
      <c r="AY147" s="293"/>
      <c r="AZ147" s="293"/>
      <c r="BA147" s="293"/>
      <c r="BB147" s="293"/>
      <c r="BC147" s="293"/>
      <c r="BD147" s="293"/>
      <c r="BE147" s="293"/>
      <c r="BF147" s="293"/>
      <c r="BG147" s="293"/>
      <c r="BH147" s="293"/>
      <c r="BI147" s="293"/>
      <c r="BJ147" s="293"/>
      <c r="BK147" s="293"/>
      <c r="BL147" s="293"/>
      <c r="BM147" s="293"/>
      <c r="BN147" s="293"/>
      <c r="BO147" s="293"/>
      <c r="BP147" s="293"/>
      <c r="BQ147" s="293"/>
      <c r="BR147" s="293"/>
      <c r="BS147" s="293"/>
      <c r="BT147" s="293"/>
      <c r="BU147" s="293"/>
      <c r="BV147" s="293"/>
      <c r="BW147" s="293"/>
      <c r="BX147" s="293"/>
      <c r="BY147" s="293"/>
      <c r="BZ147" s="293"/>
      <c r="CA147" s="285"/>
      <c r="CB147" s="286"/>
      <c r="CC147" s="286"/>
      <c r="CD147" s="286"/>
      <c r="CE147" s="286"/>
      <c r="CF147" s="286"/>
      <c r="CG147" s="286"/>
      <c r="CH147" s="286"/>
      <c r="CI147" s="286"/>
      <c r="CJ147" s="286"/>
      <c r="CK147" s="286"/>
      <c r="CL147" s="286"/>
      <c r="CM147" s="286"/>
      <c r="CN147" s="286"/>
      <c r="CO147" s="286"/>
      <c r="CP147" s="286"/>
      <c r="CQ147" s="286"/>
      <c r="CR147" s="286"/>
      <c r="CS147" s="286"/>
      <c r="CT147" s="286"/>
      <c r="CU147" s="286"/>
      <c r="CV147" s="286"/>
      <c r="CW147" s="286"/>
      <c r="CX147" s="286"/>
      <c r="CY147" s="286"/>
      <c r="CZ147" s="286"/>
      <c r="DA147" s="286"/>
      <c r="DB147" s="286"/>
      <c r="DC147" s="286"/>
      <c r="DD147" s="286"/>
      <c r="DE147" s="286"/>
      <c r="DF147" s="286"/>
      <c r="DG147" s="286"/>
      <c r="DH147" s="286"/>
      <c r="DI147" s="286"/>
      <c r="DJ147" s="286"/>
      <c r="DK147" s="286"/>
      <c r="DL147" s="286"/>
      <c r="DM147" s="286"/>
      <c r="DN147" s="286"/>
      <c r="DO147" s="286"/>
      <c r="DP147" s="286"/>
      <c r="DR147" s="58" t="str">
        <f>IF(ISNUMBER(MATCH(#REF!,'Audit Characteristic Mapping'!$B$3:$B$500,0)),"Y","")</f>
        <v/>
      </c>
      <c r="DS147" s="58" t="str">
        <f>IF(ISNUMBER(MATCH(#REF!,'Audit Characteristic Mapping'!$C$3:$C$500,0)),"Y","")</f>
        <v/>
      </c>
      <c r="DT147" s="58" t="str">
        <f>IF(ISNUMBER(MATCH(#REF!,'Audit Characteristic Mapping'!$D$3:$D$500,0)),"Y","")</f>
        <v/>
      </c>
      <c r="DU147" s="58" t="str">
        <f>IF(ISNUMBER(MATCH(#REF!,'Audit Characteristic Mapping'!$E$3:$E$500,0)),"Y","")</f>
        <v/>
      </c>
      <c r="DV147" s="58" t="str">
        <f>IF(ISNUMBER(MATCH(#REF!,'Audit Characteristic Mapping'!$F$3:$F$500,0)),"Y","")</f>
        <v/>
      </c>
      <c r="DW147" s="58" t="str">
        <f>IF(ISNUMBER(MATCH(#REF!,'Audit Characteristic Mapping'!$G$3:$G$500,0)),"Y","")</f>
        <v/>
      </c>
      <c r="DX147" s="58" t="str">
        <f>IF(ISNUMBER(MATCH(#REF!,'Audit Characteristic Mapping'!$H$3:$H$500,0)),"Y","")</f>
        <v/>
      </c>
      <c r="DY147" s="58" t="str">
        <f>IF(ISNUMBER(MATCH(#REF!,'Audit Characteristic Mapping'!$I$3:$I$500,0)),"Y","")</f>
        <v/>
      </c>
      <c r="DZ147" s="58" t="str">
        <f>IF(ISNUMBER(MATCH(#REF!,'Audit Characteristic Mapping'!$J$3:$J$500,0)),"Y","")</f>
        <v/>
      </c>
      <c r="EA147" s="58" t="str">
        <f>IF(ISNUMBER(MATCH(#REF!,'Audit Characteristic Mapping'!$K$3:$K$500,0)),"Y","")</f>
        <v/>
      </c>
    </row>
    <row r="148" spans="1:131" ht="64" x14ac:dyDescent="0.2">
      <c r="A148" s="294">
        <v>142</v>
      </c>
      <c r="B148" s="287" t="s">
        <v>253</v>
      </c>
      <c r="C148" s="226" t="s">
        <v>264</v>
      </c>
      <c r="D148" s="170">
        <v>5</v>
      </c>
      <c r="E148" s="288">
        <v>23</v>
      </c>
      <c r="F148" s="291" t="str">
        <f>VLOOKUP(Calculation!A148,'Descriptor maps'!$A$2:$F$1658,6,0)</f>
        <v xml:space="preserve">Is there documented evidence that the seismic hazard assessment for the embankment was based on objectively measure data and current defensible methods with the objective of providing relevant seismic loading condition(s) for the embankment design/assessment? </v>
      </c>
      <c r="G148" s="296" t="s">
        <v>1193</v>
      </c>
      <c r="H148" s="290"/>
      <c r="I148" s="291" cm="1">
        <f t="array" ref="I148">INDEX('Descriptor maps'!$H$2:$H$1658,MATCH(1,('Descriptor maps'!$A$2:$A$1658=Calculation!$A148)*('Descriptor maps'!$G$2:$G$1658=Calculation!$G148),0))</f>
        <v>2</v>
      </c>
      <c r="J148" s="292" cm="1">
        <f t="array" ref="J148">INDEX('Descriptor maps'!$I$2:$I$1658,MATCH(1,('Descriptor maps'!$A$2:$A$1658=Calculation!$A148)*('Descriptor maps'!$G$2:$G$1658=Calculation!$G148),0))</f>
        <v>2</v>
      </c>
      <c r="K148" s="226"/>
      <c r="L148" s="293"/>
      <c r="M148" s="293"/>
      <c r="N148" s="293"/>
      <c r="O148" s="293"/>
      <c r="P148" s="293"/>
      <c r="Q148" s="293"/>
      <c r="R148" s="293"/>
      <c r="S148" s="293"/>
      <c r="T148" s="293"/>
      <c r="U148" s="293"/>
      <c r="V148" s="293"/>
      <c r="W148" s="293"/>
      <c r="X148" s="293"/>
      <c r="Y148" s="293"/>
      <c r="Z148" s="293">
        <f>1*$J148</f>
        <v>2</v>
      </c>
      <c r="AA148" s="293"/>
      <c r="AB148" s="293"/>
      <c r="AC148" s="293"/>
      <c r="AD148" s="293"/>
      <c r="AE148" s="293"/>
      <c r="AF148" s="293"/>
      <c r="AG148" s="293"/>
      <c r="AH148" s="293"/>
      <c r="AI148" s="293"/>
      <c r="AJ148" s="293"/>
      <c r="AK148" s="293"/>
      <c r="AL148" s="293"/>
      <c r="AM148" s="293"/>
      <c r="AN148" s="293"/>
      <c r="AO148" s="293"/>
      <c r="AP148" s="293"/>
      <c r="AQ148" s="293"/>
      <c r="AR148" s="293"/>
      <c r="AS148" s="293"/>
      <c r="AT148" s="293"/>
      <c r="AU148" s="293"/>
      <c r="AV148" s="293"/>
      <c r="AW148" s="293"/>
      <c r="AX148" s="293"/>
      <c r="AY148" s="293"/>
      <c r="AZ148" s="293"/>
      <c r="BA148" s="293"/>
      <c r="BB148" s="293"/>
      <c r="BC148" s="293"/>
      <c r="BD148" s="293"/>
      <c r="BE148" s="293"/>
      <c r="BF148" s="293"/>
      <c r="BG148" s="293"/>
      <c r="BH148" s="293"/>
      <c r="BI148" s="293"/>
      <c r="BJ148" s="293"/>
      <c r="BK148" s="293"/>
      <c r="BL148" s="293"/>
      <c r="BM148" s="293"/>
      <c r="BN148" s="293"/>
      <c r="BO148" s="293"/>
      <c r="BP148" s="293"/>
      <c r="BQ148" s="293"/>
      <c r="BR148" s="293"/>
      <c r="BS148" s="293"/>
      <c r="BT148" s="293"/>
      <c r="BU148" s="293"/>
      <c r="BV148" s="293"/>
      <c r="BW148" s="293"/>
      <c r="BX148" s="293"/>
      <c r="BY148" s="293"/>
      <c r="BZ148" s="293"/>
      <c r="CA148" s="285"/>
      <c r="CB148" s="286"/>
      <c r="CC148" s="286"/>
      <c r="CD148" s="286"/>
      <c r="CE148" s="286"/>
      <c r="CF148" s="286"/>
      <c r="CG148" s="286"/>
      <c r="CH148" s="286"/>
      <c r="CI148" s="286"/>
      <c r="CJ148" s="286"/>
      <c r="CK148" s="286"/>
      <c r="CL148" s="286"/>
      <c r="CM148" s="286"/>
      <c r="CN148" s="286"/>
      <c r="CO148" s="286"/>
      <c r="CP148" s="286"/>
      <c r="CQ148" s="286"/>
      <c r="CR148" s="286"/>
      <c r="CS148" s="286"/>
      <c r="CT148" s="286"/>
      <c r="CU148" s="286">
        <v>1</v>
      </c>
      <c r="CV148" s="286"/>
      <c r="CW148" s="286"/>
      <c r="CX148" s="286"/>
      <c r="CY148" s="286"/>
      <c r="CZ148" s="286"/>
      <c r="DA148" s="286"/>
      <c r="DB148" s="286"/>
      <c r="DC148" s="286"/>
      <c r="DD148" s="286"/>
      <c r="DE148" s="286"/>
      <c r="DF148" s="286"/>
      <c r="DG148" s="286"/>
      <c r="DH148" s="286"/>
      <c r="DI148" s="286"/>
      <c r="DJ148" s="286"/>
      <c r="DK148" s="286"/>
      <c r="DL148" s="286"/>
      <c r="DM148" s="286"/>
      <c r="DN148" s="286"/>
      <c r="DO148" s="286"/>
      <c r="DP148" s="286"/>
      <c r="DR148" s="58" t="str">
        <f>IF(ISNUMBER(MATCH(#REF!,'Audit Characteristic Mapping'!$B$3:$B$500,0)),"Y","")</f>
        <v/>
      </c>
      <c r="DS148" s="58" t="str">
        <f>IF(ISNUMBER(MATCH(#REF!,'Audit Characteristic Mapping'!$C$3:$C$500,0)),"Y","")</f>
        <v/>
      </c>
      <c r="DT148" s="58" t="str">
        <f>IF(ISNUMBER(MATCH(#REF!,'Audit Characteristic Mapping'!$D$3:$D$500,0)),"Y","")</f>
        <v/>
      </c>
      <c r="DU148" s="58" t="str">
        <f>IF(ISNUMBER(MATCH(#REF!,'Audit Characteristic Mapping'!$E$3:$E$500,0)),"Y","")</f>
        <v/>
      </c>
      <c r="DV148" s="58" t="str">
        <f>IF(ISNUMBER(MATCH(#REF!,'Audit Characteristic Mapping'!$F$3:$F$500,0)),"Y","")</f>
        <v/>
      </c>
      <c r="DW148" s="58" t="str">
        <f>IF(ISNUMBER(MATCH(#REF!,'Audit Characteristic Mapping'!$G$3:$G$500,0)),"Y","")</f>
        <v/>
      </c>
      <c r="DX148" s="58" t="str">
        <f>IF(ISNUMBER(MATCH(#REF!,'Audit Characteristic Mapping'!$H$3:$H$500,0)),"Y","")</f>
        <v/>
      </c>
      <c r="DY148" s="58" t="str">
        <f>IF(ISNUMBER(MATCH(#REF!,'Audit Characteristic Mapping'!$I$3:$I$500,0)),"Y","")</f>
        <v/>
      </c>
      <c r="DZ148" s="58" t="str">
        <f>IF(ISNUMBER(MATCH(#REF!,'Audit Characteristic Mapping'!$J$3:$J$500,0)),"Y","")</f>
        <v/>
      </c>
      <c r="EA148" s="58" t="str">
        <f>IF(ISNUMBER(MATCH(#REF!,'Audit Characteristic Mapping'!$K$3:$K$500,0)),"Y","")</f>
        <v/>
      </c>
    </row>
    <row r="149" spans="1:131" ht="64" x14ac:dyDescent="0.2">
      <c r="A149" s="294">
        <v>143</v>
      </c>
      <c r="B149" s="287" t="s">
        <v>253</v>
      </c>
      <c r="C149" s="226" t="s">
        <v>264</v>
      </c>
      <c r="D149" s="170">
        <v>5</v>
      </c>
      <c r="E149" s="288">
        <v>23</v>
      </c>
      <c r="F149" s="291" t="str">
        <f>VLOOKUP(Calculation!A149,'Descriptor maps'!$A$2:$F$1658,6,0)</f>
        <v>Is there documented evidence that the seismic loadings used in the embankment stability assessment were derived from the seismic hazard assessment with the objective of presenting representative seismic parameters for verifying the embankment performance under and after a seismic event?</v>
      </c>
      <c r="G149" s="296" t="s">
        <v>1192</v>
      </c>
      <c r="H149" s="290"/>
      <c r="I149" s="291" cm="1">
        <f t="array" ref="I149">INDEX('Descriptor maps'!$H$2:$H$1658,MATCH(1,('Descriptor maps'!$A$2:$A$1658=Calculation!$A149)*('Descriptor maps'!$G$2:$G$1658=Calculation!$G149),0))</f>
        <v>1</v>
      </c>
      <c r="J149" s="292" cm="1">
        <f t="array" ref="J149">INDEX('Descriptor maps'!$I$2:$I$1658,MATCH(1,('Descriptor maps'!$A$2:$A$1658=Calculation!$A149)*('Descriptor maps'!$G$2:$G$1658=Calculation!$G149),0))</f>
        <v>1</v>
      </c>
      <c r="K149" s="226"/>
      <c r="L149" s="293"/>
      <c r="M149" s="293"/>
      <c r="N149" s="293"/>
      <c r="O149" s="293"/>
      <c r="P149" s="293"/>
      <c r="Q149" s="293"/>
      <c r="R149" s="293"/>
      <c r="S149" s="293"/>
      <c r="T149" s="293"/>
      <c r="U149" s="293"/>
      <c r="V149" s="293"/>
      <c r="W149" s="293"/>
      <c r="X149" s="293"/>
      <c r="Y149" s="293"/>
      <c r="Z149" s="293">
        <f>1*$J149</f>
        <v>1</v>
      </c>
      <c r="AA149" s="293"/>
      <c r="AB149" s="293"/>
      <c r="AC149" s="293"/>
      <c r="AD149" s="293"/>
      <c r="AE149" s="293"/>
      <c r="AF149" s="293"/>
      <c r="AG149" s="293"/>
      <c r="AH149" s="293"/>
      <c r="AI149" s="293"/>
      <c r="AJ149" s="293"/>
      <c r="AK149" s="293"/>
      <c r="AL149" s="293"/>
      <c r="AM149" s="293"/>
      <c r="AN149" s="293"/>
      <c r="AO149" s="293"/>
      <c r="AP149" s="293"/>
      <c r="AQ149" s="293"/>
      <c r="AR149" s="293"/>
      <c r="AS149" s="293"/>
      <c r="AT149" s="293"/>
      <c r="AU149" s="293"/>
      <c r="AV149" s="293"/>
      <c r="AW149" s="293"/>
      <c r="AX149" s="293"/>
      <c r="AY149" s="293"/>
      <c r="AZ149" s="293"/>
      <c r="BA149" s="293"/>
      <c r="BB149" s="293"/>
      <c r="BC149" s="293"/>
      <c r="BD149" s="293"/>
      <c r="BE149" s="293"/>
      <c r="BF149" s="293"/>
      <c r="BG149" s="293"/>
      <c r="BH149" s="293"/>
      <c r="BI149" s="293"/>
      <c r="BJ149" s="293"/>
      <c r="BK149" s="293"/>
      <c r="BL149" s="293"/>
      <c r="BM149" s="293"/>
      <c r="BN149" s="293"/>
      <c r="BO149" s="293"/>
      <c r="BP149" s="293"/>
      <c r="BQ149" s="293"/>
      <c r="BR149" s="293"/>
      <c r="BS149" s="293"/>
      <c r="BT149" s="293"/>
      <c r="BU149" s="293"/>
      <c r="BV149" s="293"/>
      <c r="BW149" s="293"/>
      <c r="BX149" s="293"/>
      <c r="BY149" s="293"/>
      <c r="BZ149" s="293"/>
      <c r="CA149" s="285"/>
      <c r="CB149" s="286"/>
      <c r="CC149" s="286"/>
      <c r="CD149" s="286"/>
      <c r="CE149" s="286"/>
      <c r="CF149" s="286"/>
      <c r="CG149" s="286"/>
      <c r="CH149" s="286"/>
      <c r="CI149" s="286"/>
      <c r="CJ149" s="286"/>
      <c r="CK149" s="286"/>
      <c r="CL149" s="286"/>
      <c r="CM149" s="286"/>
      <c r="CN149" s="286"/>
      <c r="CO149" s="286"/>
      <c r="CP149" s="286"/>
      <c r="CQ149" s="286"/>
      <c r="CR149" s="286"/>
      <c r="CS149" s="286"/>
      <c r="CT149" s="286"/>
      <c r="CU149" s="286">
        <v>1</v>
      </c>
      <c r="CV149" s="286"/>
      <c r="CW149" s="286"/>
      <c r="CX149" s="286"/>
      <c r="CY149" s="286"/>
      <c r="CZ149" s="286"/>
      <c r="DA149" s="286"/>
      <c r="DB149" s="286"/>
      <c r="DC149" s="286"/>
      <c r="DD149" s="286"/>
      <c r="DE149" s="286"/>
      <c r="DF149" s="286"/>
      <c r="DG149" s="286"/>
      <c r="DH149" s="286"/>
      <c r="DI149" s="286"/>
      <c r="DJ149" s="286"/>
      <c r="DK149" s="286"/>
      <c r="DL149" s="286"/>
      <c r="DM149" s="286"/>
      <c r="DN149" s="286"/>
      <c r="DO149" s="286"/>
      <c r="DP149" s="286"/>
      <c r="DR149" s="58" t="str">
        <f>IF(ISNUMBER(MATCH(#REF!,'Audit Characteristic Mapping'!$B$3:$B$500,0)),"Y","")</f>
        <v/>
      </c>
      <c r="DS149" s="58" t="str">
        <f>IF(ISNUMBER(MATCH(#REF!,'Audit Characteristic Mapping'!$C$3:$C$500,0)),"Y","")</f>
        <v/>
      </c>
      <c r="DT149" s="58" t="str">
        <f>IF(ISNUMBER(MATCH(#REF!,'Audit Characteristic Mapping'!$D$3:$D$500,0)),"Y","")</f>
        <v/>
      </c>
      <c r="DU149" s="58" t="str">
        <f>IF(ISNUMBER(MATCH(#REF!,'Audit Characteristic Mapping'!$E$3:$E$500,0)),"Y","")</f>
        <v/>
      </c>
      <c r="DV149" s="58" t="str">
        <f>IF(ISNUMBER(MATCH(#REF!,'Audit Characteristic Mapping'!$F$3:$F$500,0)),"Y","")</f>
        <v/>
      </c>
      <c r="DW149" s="58" t="str">
        <f>IF(ISNUMBER(MATCH(#REF!,'Audit Characteristic Mapping'!$G$3:$G$500,0)),"Y","")</f>
        <v/>
      </c>
      <c r="DX149" s="58" t="str">
        <f>IF(ISNUMBER(MATCH(#REF!,'Audit Characteristic Mapping'!$H$3:$H$500,0)),"Y","")</f>
        <v/>
      </c>
      <c r="DY149" s="58" t="str">
        <f>IF(ISNUMBER(MATCH(#REF!,'Audit Characteristic Mapping'!$I$3:$I$500,0)),"Y","")</f>
        <v/>
      </c>
      <c r="DZ149" s="58" t="str">
        <f>IF(ISNUMBER(MATCH(#REF!,'Audit Characteristic Mapping'!$J$3:$J$500,0)),"Y","")</f>
        <v/>
      </c>
      <c r="EA149" s="58" t="str">
        <f>IF(ISNUMBER(MATCH(#REF!,'Audit Characteristic Mapping'!$K$3:$K$500,0)),"Y","")</f>
        <v/>
      </c>
    </row>
    <row r="150" spans="1:131" ht="16" hidden="1" x14ac:dyDescent="0.2">
      <c r="A150" s="288">
        <v>144</v>
      </c>
      <c r="B150" s="287" t="s">
        <v>253</v>
      </c>
      <c r="C150" s="226" t="s">
        <v>266</v>
      </c>
      <c r="D150" s="170">
        <v>5</v>
      </c>
      <c r="E150" s="288">
        <v>24</v>
      </c>
      <c r="F150" s="291" t="str">
        <f>VLOOKUP(Calculation!A150,'Descriptor maps'!$A$2:$F$1658,2,0)</f>
        <v>Studies &amp; Design</v>
      </c>
      <c r="G150" s="296" t="s">
        <v>8</v>
      </c>
      <c r="H150" s="291"/>
      <c r="I150" s="291"/>
      <c r="J150" s="292" cm="1">
        <f t="array" ref="J150">INDEX('Descriptor maps'!$I$2:$I$1658,MATCH(1,('Descriptor maps'!$A$2:$A$1658=Calculation!$A150)*('Descriptor maps'!$G$2:$G$1658=Calculation!$G150),0))</f>
        <v>4</v>
      </c>
      <c r="K150" s="226"/>
      <c r="L150" s="293"/>
      <c r="M150" s="293"/>
      <c r="N150" s="293"/>
      <c r="O150" s="293"/>
      <c r="P150" s="293"/>
      <c r="Q150" s="293"/>
      <c r="R150" s="293"/>
      <c r="S150" s="293"/>
      <c r="T150" s="293"/>
      <c r="U150" s="293"/>
      <c r="V150" s="293"/>
      <c r="W150" s="293"/>
      <c r="X150" s="293"/>
      <c r="Y150" s="293"/>
      <c r="Z150" s="293"/>
      <c r="AA150" s="293"/>
      <c r="AB150" s="293"/>
      <c r="AC150" s="293"/>
      <c r="AD150" s="293"/>
      <c r="AE150" s="293"/>
      <c r="AF150" s="293"/>
      <c r="AG150" s="293"/>
      <c r="AH150" s="293"/>
      <c r="AI150" s="293"/>
      <c r="AJ150" s="293"/>
      <c r="AK150" s="293"/>
      <c r="AL150" s="293"/>
      <c r="AM150" s="293"/>
      <c r="AN150" s="293"/>
      <c r="AO150" s="293"/>
      <c r="AP150" s="293"/>
      <c r="AQ150" s="293"/>
      <c r="AR150" s="293"/>
      <c r="AS150" s="293"/>
      <c r="AT150" s="293"/>
      <c r="AU150" s="293"/>
      <c r="AV150" s="293"/>
      <c r="AW150" s="293"/>
      <c r="AX150" s="293"/>
      <c r="AY150" s="293"/>
      <c r="AZ150" s="293"/>
      <c r="BA150" s="293"/>
      <c r="BB150" s="293"/>
      <c r="BC150" s="293"/>
      <c r="BD150" s="293"/>
      <c r="BE150" s="293"/>
      <c r="BF150" s="293"/>
      <c r="BG150" s="293"/>
      <c r="BH150" s="293"/>
      <c r="BI150" s="293"/>
      <c r="BJ150" s="293"/>
      <c r="BK150" s="293"/>
      <c r="BL150" s="293"/>
      <c r="BM150" s="293"/>
      <c r="BN150" s="293"/>
      <c r="BO150" s="293"/>
      <c r="BP150" s="293"/>
      <c r="BQ150" s="293"/>
      <c r="BR150" s="293"/>
      <c r="BS150" s="293"/>
      <c r="BT150" s="293"/>
      <c r="BU150" s="293"/>
      <c r="BV150" s="293"/>
      <c r="BW150" s="293"/>
      <c r="BX150" s="293"/>
      <c r="BY150" s="293"/>
      <c r="BZ150" s="293"/>
      <c r="CA150" s="285"/>
      <c r="CB150" s="286"/>
      <c r="CC150" s="286"/>
      <c r="CD150" s="286"/>
      <c r="CE150" s="286"/>
      <c r="CF150" s="286"/>
      <c r="CG150" s="286"/>
      <c r="CH150" s="286"/>
      <c r="CI150" s="286"/>
      <c r="CJ150" s="286"/>
      <c r="CK150" s="286"/>
      <c r="CL150" s="286"/>
      <c r="CM150" s="286"/>
      <c r="CN150" s="286"/>
      <c r="CO150" s="286"/>
      <c r="CP150" s="286"/>
      <c r="CQ150" s="286"/>
      <c r="CR150" s="286"/>
      <c r="CS150" s="286"/>
      <c r="CT150" s="286"/>
      <c r="CU150" s="286"/>
      <c r="CV150" s="286"/>
      <c r="CW150" s="286"/>
      <c r="CX150" s="286"/>
      <c r="CY150" s="286"/>
      <c r="CZ150" s="286"/>
      <c r="DA150" s="286"/>
      <c r="DB150" s="286"/>
      <c r="DC150" s="286"/>
      <c r="DD150" s="286"/>
      <c r="DE150" s="286"/>
      <c r="DF150" s="286"/>
      <c r="DG150" s="286"/>
      <c r="DH150" s="286"/>
      <c r="DI150" s="286"/>
      <c r="DJ150" s="286"/>
      <c r="DK150" s="286"/>
      <c r="DL150" s="286"/>
      <c r="DM150" s="286"/>
      <c r="DN150" s="286"/>
      <c r="DO150" s="286"/>
      <c r="DP150" s="286"/>
      <c r="DR150" s="58" t="str">
        <f>IF(ISNUMBER(MATCH(#REF!,'Audit Characteristic Mapping'!$B$3:$B$500,0)),"Y","")</f>
        <v/>
      </c>
      <c r="DS150" s="58" t="str">
        <f>IF(ISNUMBER(MATCH(#REF!,'Audit Characteristic Mapping'!$C$3:$C$500,0)),"Y","")</f>
        <v/>
      </c>
      <c r="DT150" s="58" t="str">
        <f>IF(ISNUMBER(MATCH(#REF!,'Audit Characteristic Mapping'!$D$3:$D$500,0)),"Y","")</f>
        <v/>
      </c>
      <c r="DU150" s="58" t="str">
        <f>IF(ISNUMBER(MATCH(#REF!,'Audit Characteristic Mapping'!$E$3:$E$500,0)),"Y","")</f>
        <v/>
      </c>
      <c r="DV150" s="58" t="str">
        <f>IF(ISNUMBER(MATCH(#REF!,'Audit Characteristic Mapping'!$F$3:$F$500,0)),"Y","")</f>
        <v/>
      </c>
      <c r="DW150" s="58" t="str">
        <f>IF(ISNUMBER(MATCH(#REF!,'Audit Characteristic Mapping'!$G$3:$G$500,0)),"Y","")</f>
        <v/>
      </c>
      <c r="DX150" s="58" t="str">
        <f>IF(ISNUMBER(MATCH(#REF!,'Audit Characteristic Mapping'!$H$3:$H$500,0)),"Y","")</f>
        <v/>
      </c>
      <c r="DY150" s="58" t="str">
        <f>IF(ISNUMBER(MATCH(#REF!,'Audit Characteristic Mapping'!$I$3:$I$500,0)),"Y","")</f>
        <v/>
      </c>
      <c r="DZ150" s="58" t="str">
        <f>IF(ISNUMBER(MATCH(#REF!,'Audit Characteristic Mapping'!$J$3:$J$500,0)),"Y","")</f>
        <v/>
      </c>
      <c r="EA150" s="58" t="str">
        <f>IF(ISNUMBER(MATCH(#REF!,'Audit Characteristic Mapping'!$K$3:$K$500,0)),"Y","")</f>
        <v/>
      </c>
    </row>
    <row r="151" spans="1:131" ht="16" hidden="1" x14ac:dyDescent="0.2">
      <c r="A151" s="288">
        <v>145</v>
      </c>
      <c r="B151" s="287" t="s">
        <v>253</v>
      </c>
      <c r="C151" s="226" t="s">
        <v>266</v>
      </c>
      <c r="D151" s="170">
        <v>5</v>
      </c>
      <c r="E151" s="288">
        <v>24</v>
      </c>
      <c r="F151" s="291" t="str">
        <f>VLOOKUP(Calculation!A151,'Descriptor maps'!$A$2:$F$1658,2,0)</f>
        <v>Studies &amp; Design</v>
      </c>
      <c r="G151" s="296"/>
      <c r="H151" s="290"/>
      <c r="I151" s="291"/>
      <c r="J151" s="292" t="e" cm="1">
        <f t="array" ref="J151">INDEX('Descriptor maps'!$I$2:$I$1658,MATCH(1,('Descriptor maps'!$A$2:$A$1658=Calculation!$A151)*('Descriptor maps'!$G$2:$G$1658=Calculation!$G151),0))</f>
        <v>#N/A</v>
      </c>
      <c r="K151" s="226"/>
      <c r="L151" s="293"/>
      <c r="M151" s="293"/>
      <c r="N151" s="293"/>
      <c r="O151" s="293"/>
      <c r="P151" s="293"/>
      <c r="Q151" s="293"/>
      <c r="R151" s="293"/>
      <c r="S151" s="293"/>
      <c r="T151" s="293"/>
      <c r="U151" s="293"/>
      <c r="V151" s="293"/>
      <c r="W151" s="293"/>
      <c r="X151" s="293"/>
      <c r="Y151" s="293"/>
      <c r="Z151" s="293"/>
      <c r="AA151" s="293"/>
      <c r="AB151" s="293"/>
      <c r="AC151" s="293"/>
      <c r="AD151" s="293"/>
      <c r="AE151" s="293"/>
      <c r="AF151" s="293"/>
      <c r="AG151" s="293"/>
      <c r="AH151" s="293"/>
      <c r="AI151" s="293"/>
      <c r="AJ151" s="293"/>
      <c r="AK151" s="293"/>
      <c r="AL151" s="293"/>
      <c r="AM151" s="293"/>
      <c r="AN151" s="293"/>
      <c r="AO151" s="293"/>
      <c r="AP151" s="293"/>
      <c r="AQ151" s="293"/>
      <c r="AR151" s="293"/>
      <c r="AS151" s="293"/>
      <c r="AT151" s="293"/>
      <c r="AU151" s="293"/>
      <c r="AV151" s="293"/>
      <c r="AW151" s="293"/>
      <c r="AX151" s="293"/>
      <c r="AY151" s="293"/>
      <c r="AZ151" s="293"/>
      <c r="BA151" s="293"/>
      <c r="BB151" s="293"/>
      <c r="BC151" s="293"/>
      <c r="BD151" s="293"/>
      <c r="BE151" s="293"/>
      <c r="BF151" s="293"/>
      <c r="BG151" s="293"/>
      <c r="BH151" s="293"/>
      <c r="BI151" s="293"/>
      <c r="BJ151" s="293"/>
      <c r="BK151" s="293"/>
      <c r="BL151" s="293"/>
      <c r="BM151" s="293"/>
      <c r="BN151" s="293"/>
      <c r="BO151" s="293"/>
      <c r="BP151" s="293"/>
      <c r="BQ151" s="293"/>
      <c r="BR151" s="293"/>
      <c r="BS151" s="293"/>
      <c r="BT151" s="293"/>
      <c r="BU151" s="293"/>
      <c r="BV151" s="293"/>
      <c r="BW151" s="293"/>
      <c r="BX151" s="293"/>
      <c r="BY151" s="293"/>
      <c r="BZ151" s="293"/>
      <c r="CA151" s="285"/>
      <c r="CB151" s="286"/>
      <c r="CC151" s="286"/>
      <c r="CD151" s="286"/>
      <c r="CE151" s="286"/>
      <c r="CF151" s="286"/>
      <c r="CG151" s="286"/>
      <c r="CH151" s="286"/>
      <c r="CI151" s="286"/>
      <c r="CJ151" s="286"/>
      <c r="CK151" s="286"/>
      <c r="CL151" s="286"/>
      <c r="CM151" s="286"/>
      <c r="CN151" s="286"/>
      <c r="CO151" s="286"/>
      <c r="CP151" s="286"/>
      <c r="CQ151" s="286"/>
      <c r="CR151" s="286"/>
      <c r="CS151" s="286"/>
      <c r="CT151" s="286"/>
      <c r="CU151" s="286"/>
      <c r="CV151" s="286"/>
      <c r="CW151" s="286"/>
      <c r="CX151" s="286"/>
      <c r="CY151" s="286"/>
      <c r="CZ151" s="286"/>
      <c r="DA151" s="286"/>
      <c r="DB151" s="286"/>
      <c r="DC151" s="286"/>
      <c r="DD151" s="286"/>
      <c r="DE151" s="286"/>
      <c r="DF151" s="286"/>
      <c r="DG151" s="286"/>
      <c r="DH151" s="286"/>
      <c r="DI151" s="286"/>
      <c r="DJ151" s="286"/>
      <c r="DK151" s="286"/>
      <c r="DL151" s="286"/>
      <c r="DM151" s="286"/>
      <c r="DN151" s="286"/>
      <c r="DO151" s="286"/>
      <c r="DP151" s="286"/>
      <c r="DR151" s="58" t="str">
        <f>IF(ISNUMBER(MATCH(#REF!,'Audit Characteristic Mapping'!$B$3:$B$500,0)),"Y","")</f>
        <v/>
      </c>
      <c r="DS151" s="58" t="str">
        <f>IF(ISNUMBER(MATCH(#REF!,'Audit Characteristic Mapping'!$C$3:$C$500,0)),"Y","")</f>
        <v/>
      </c>
      <c r="DT151" s="58" t="str">
        <f>IF(ISNUMBER(MATCH(#REF!,'Audit Characteristic Mapping'!$D$3:$D$500,0)),"Y","")</f>
        <v/>
      </c>
      <c r="DU151" s="58" t="str">
        <f>IF(ISNUMBER(MATCH(#REF!,'Audit Characteristic Mapping'!$E$3:$E$500,0)),"Y","")</f>
        <v/>
      </c>
      <c r="DV151" s="58" t="str">
        <f>IF(ISNUMBER(MATCH(#REF!,'Audit Characteristic Mapping'!$F$3:$F$500,0)),"Y","")</f>
        <v/>
      </c>
      <c r="DW151" s="58" t="str">
        <f>IF(ISNUMBER(MATCH(#REF!,'Audit Characteristic Mapping'!$G$3:$G$500,0)),"Y","")</f>
        <v/>
      </c>
      <c r="DX151" s="58" t="str">
        <f>IF(ISNUMBER(MATCH(#REF!,'Audit Characteristic Mapping'!$H$3:$H$500,0)),"Y","")</f>
        <v/>
      </c>
      <c r="DY151" s="58" t="str">
        <f>IF(ISNUMBER(MATCH(#REF!,'Audit Characteristic Mapping'!$I$3:$I$500,0)),"Y","")</f>
        <v/>
      </c>
      <c r="DZ151" s="58" t="str">
        <f>IF(ISNUMBER(MATCH(#REF!,'Audit Characteristic Mapping'!$J$3:$J$500,0)),"Y","")</f>
        <v/>
      </c>
      <c r="EA151" s="58" t="str">
        <f>IF(ISNUMBER(MATCH(#REF!,'Audit Characteristic Mapping'!$K$3:$K$500,0)),"Y","")</f>
        <v/>
      </c>
    </row>
    <row r="152" spans="1:131" ht="16" hidden="1" x14ac:dyDescent="0.2">
      <c r="A152" s="288">
        <v>146</v>
      </c>
      <c r="B152" s="287" t="s">
        <v>253</v>
      </c>
      <c r="C152" s="226" t="s">
        <v>266</v>
      </c>
      <c r="D152" s="170">
        <v>5</v>
      </c>
      <c r="E152" s="288">
        <v>24</v>
      </c>
      <c r="F152" s="291" t="str">
        <f>VLOOKUP(Calculation!A152,'Descriptor maps'!$A$2:$F$1658,2,0)</f>
        <v>Studies &amp; Design</v>
      </c>
      <c r="G152" s="296"/>
      <c r="H152" s="290"/>
      <c r="I152" s="291"/>
      <c r="J152" s="292" t="e" cm="1">
        <f t="array" ref="J152">INDEX('Descriptor maps'!$I$2:$I$1658,MATCH(1,('Descriptor maps'!$A$2:$A$1658=Calculation!$A152)*('Descriptor maps'!$G$2:$G$1658=Calculation!$G152),0))</f>
        <v>#N/A</v>
      </c>
      <c r="K152" s="226"/>
      <c r="L152" s="293"/>
      <c r="M152" s="293"/>
      <c r="N152" s="293"/>
      <c r="O152" s="293"/>
      <c r="P152" s="293"/>
      <c r="Q152" s="293"/>
      <c r="R152" s="293"/>
      <c r="S152" s="293"/>
      <c r="T152" s="293"/>
      <c r="U152" s="293"/>
      <c r="V152" s="293"/>
      <c r="W152" s="293"/>
      <c r="X152" s="293"/>
      <c r="Y152" s="293"/>
      <c r="Z152" s="293"/>
      <c r="AA152" s="293"/>
      <c r="AB152" s="293"/>
      <c r="AC152" s="293"/>
      <c r="AD152" s="293"/>
      <c r="AE152" s="293"/>
      <c r="AF152" s="293"/>
      <c r="AG152" s="293"/>
      <c r="AH152" s="293"/>
      <c r="AI152" s="293"/>
      <c r="AJ152" s="293"/>
      <c r="AK152" s="293"/>
      <c r="AL152" s="293"/>
      <c r="AM152" s="293"/>
      <c r="AN152" s="293"/>
      <c r="AO152" s="293"/>
      <c r="AP152" s="293"/>
      <c r="AQ152" s="293"/>
      <c r="AR152" s="293"/>
      <c r="AS152" s="293"/>
      <c r="AT152" s="293"/>
      <c r="AU152" s="293"/>
      <c r="AV152" s="293"/>
      <c r="AW152" s="293"/>
      <c r="AX152" s="293"/>
      <c r="AY152" s="293"/>
      <c r="AZ152" s="293"/>
      <c r="BA152" s="293"/>
      <c r="BB152" s="293"/>
      <c r="BC152" s="293"/>
      <c r="BD152" s="293"/>
      <c r="BE152" s="293"/>
      <c r="BF152" s="293"/>
      <c r="BG152" s="293"/>
      <c r="BH152" s="293"/>
      <c r="BI152" s="293"/>
      <c r="BJ152" s="293"/>
      <c r="BK152" s="293"/>
      <c r="BL152" s="293"/>
      <c r="BM152" s="293"/>
      <c r="BN152" s="293"/>
      <c r="BO152" s="293"/>
      <c r="BP152" s="293"/>
      <c r="BQ152" s="293"/>
      <c r="BR152" s="293"/>
      <c r="BS152" s="293"/>
      <c r="BT152" s="293"/>
      <c r="BU152" s="293"/>
      <c r="BV152" s="293"/>
      <c r="BW152" s="293"/>
      <c r="BX152" s="293"/>
      <c r="BY152" s="293"/>
      <c r="BZ152" s="293"/>
      <c r="CA152" s="285"/>
      <c r="CB152" s="286"/>
      <c r="CC152" s="286"/>
      <c r="CD152" s="286"/>
      <c r="CE152" s="286"/>
      <c r="CF152" s="286"/>
      <c r="CG152" s="286"/>
      <c r="CH152" s="286"/>
      <c r="CI152" s="286"/>
      <c r="CJ152" s="286"/>
      <c r="CK152" s="286"/>
      <c r="CL152" s="286"/>
      <c r="CM152" s="286"/>
      <c r="CN152" s="286"/>
      <c r="CO152" s="286"/>
      <c r="CP152" s="286"/>
      <c r="CQ152" s="286"/>
      <c r="CR152" s="286"/>
      <c r="CS152" s="286"/>
      <c r="CT152" s="286"/>
      <c r="CU152" s="286"/>
      <c r="CV152" s="286"/>
      <c r="CW152" s="286"/>
      <c r="CX152" s="286"/>
      <c r="CY152" s="286"/>
      <c r="CZ152" s="286"/>
      <c r="DA152" s="286"/>
      <c r="DB152" s="286"/>
      <c r="DC152" s="286"/>
      <c r="DD152" s="286"/>
      <c r="DE152" s="286"/>
      <c r="DF152" s="286"/>
      <c r="DG152" s="286"/>
      <c r="DH152" s="286"/>
      <c r="DI152" s="286"/>
      <c r="DJ152" s="286"/>
      <c r="DK152" s="286"/>
      <c r="DL152" s="286"/>
      <c r="DM152" s="286"/>
      <c r="DN152" s="286"/>
      <c r="DO152" s="286"/>
      <c r="DP152" s="286"/>
      <c r="DR152" s="58" t="str">
        <f>IF(ISNUMBER(MATCH(#REF!,'Audit Characteristic Mapping'!$B$3:$B$500,0)),"Y","")</f>
        <v/>
      </c>
      <c r="DS152" s="58" t="str">
        <f>IF(ISNUMBER(MATCH(#REF!,'Audit Characteristic Mapping'!$C$3:$C$500,0)),"Y","")</f>
        <v/>
      </c>
      <c r="DT152" s="58" t="str">
        <f>IF(ISNUMBER(MATCH(#REF!,'Audit Characteristic Mapping'!$D$3:$D$500,0)),"Y","")</f>
        <v/>
      </c>
      <c r="DU152" s="58" t="str">
        <f>IF(ISNUMBER(MATCH(#REF!,'Audit Characteristic Mapping'!$E$3:$E$500,0)),"Y","")</f>
        <v/>
      </c>
      <c r="DV152" s="58" t="str">
        <f>IF(ISNUMBER(MATCH(#REF!,'Audit Characteristic Mapping'!$F$3:$F$500,0)),"Y","")</f>
        <v/>
      </c>
      <c r="DW152" s="58" t="str">
        <f>IF(ISNUMBER(MATCH(#REF!,'Audit Characteristic Mapping'!$G$3:$G$500,0)),"Y","")</f>
        <v/>
      </c>
      <c r="DX152" s="58" t="str">
        <f>IF(ISNUMBER(MATCH(#REF!,'Audit Characteristic Mapping'!$H$3:$H$500,0)),"Y","")</f>
        <v/>
      </c>
      <c r="DY152" s="58" t="str">
        <f>IF(ISNUMBER(MATCH(#REF!,'Audit Characteristic Mapping'!$I$3:$I$500,0)),"Y","")</f>
        <v/>
      </c>
      <c r="DZ152" s="58" t="str">
        <f>IF(ISNUMBER(MATCH(#REF!,'Audit Characteristic Mapping'!$J$3:$J$500,0)),"Y","")</f>
        <v/>
      </c>
      <c r="EA152" s="58" t="str">
        <f>IF(ISNUMBER(MATCH(#REF!,'Audit Characteristic Mapping'!$K$3:$K$500,0)),"Y","")</f>
        <v/>
      </c>
    </row>
    <row r="153" spans="1:131" ht="16" hidden="1" x14ac:dyDescent="0.2">
      <c r="A153" s="288">
        <v>147</v>
      </c>
      <c r="B153" s="287" t="s">
        <v>253</v>
      </c>
      <c r="C153" s="226" t="s">
        <v>266</v>
      </c>
      <c r="D153" s="170">
        <v>5</v>
      </c>
      <c r="E153" s="288">
        <v>24</v>
      </c>
      <c r="F153" s="291" t="str">
        <f>VLOOKUP(Calculation!A153,'Descriptor maps'!$A$2:$F$1658,2,0)</f>
        <v>Studies &amp; Design</v>
      </c>
      <c r="G153" s="296"/>
      <c r="H153" s="290"/>
      <c r="I153" s="291"/>
      <c r="J153" s="292" t="e" cm="1">
        <f t="array" ref="J153">INDEX('Descriptor maps'!$I$2:$I$1658,MATCH(1,('Descriptor maps'!$A$2:$A$1658=Calculation!$A153)*('Descriptor maps'!$G$2:$G$1658=Calculation!$G153),0))</f>
        <v>#N/A</v>
      </c>
      <c r="K153" s="226"/>
      <c r="L153" s="293"/>
      <c r="M153" s="293"/>
      <c r="N153" s="293"/>
      <c r="O153" s="293"/>
      <c r="P153" s="293"/>
      <c r="Q153" s="293"/>
      <c r="R153" s="293"/>
      <c r="S153" s="293"/>
      <c r="T153" s="293"/>
      <c r="U153" s="293"/>
      <c r="V153" s="293"/>
      <c r="W153" s="293"/>
      <c r="X153" s="293"/>
      <c r="Y153" s="293"/>
      <c r="Z153" s="293"/>
      <c r="AA153" s="293"/>
      <c r="AB153" s="293"/>
      <c r="AC153" s="293"/>
      <c r="AD153" s="293"/>
      <c r="AE153" s="293"/>
      <c r="AF153" s="293"/>
      <c r="AG153" s="293"/>
      <c r="AH153" s="293"/>
      <c r="AI153" s="293"/>
      <c r="AJ153" s="293"/>
      <c r="AK153" s="293"/>
      <c r="AL153" s="293"/>
      <c r="AM153" s="293"/>
      <c r="AN153" s="293"/>
      <c r="AO153" s="293"/>
      <c r="AP153" s="293"/>
      <c r="AQ153" s="293"/>
      <c r="AR153" s="293"/>
      <c r="AS153" s="293"/>
      <c r="AT153" s="293"/>
      <c r="AU153" s="293"/>
      <c r="AV153" s="293"/>
      <c r="AW153" s="293"/>
      <c r="AX153" s="293"/>
      <c r="AY153" s="293"/>
      <c r="AZ153" s="293"/>
      <c r="BA153" s="293"/>
      <c r="BB153" s="293"/>
      <c r="BC153" s="293"/>
      <c r="BD153" s="293"/>
      <c r="BE153" s="293"/>
      <c r="BF153" s="293"/>
      <c r="BG153" s="293"/>
      <c r="BH153" s="293"/>
      <c r="BI153" s="293"/>
      <c r="BJ153" s="293"/>
      <c r="BK153" s="293"/>
      <c r="BL153" s="293"/>
      <c r="BM153" s="293"/>
      <c r="BN153" s="293"/>
      <c r="BO153" s="293"/>
      <c r="BP153" s="293"/>
      <c r="BQ153" s="293"/>
      <c r="BR153" s="293"/>
      <c r="BS153" s="293"/>
      <c r="BT153" s="293"/>
      <c r="BU153" s="293"/>
      <c r="BV153" s="293"/>
      <c r="BW153" s="293"/>
      <c r="BX153" s="293"/>
      <c r="BY153" s="293"/>
      <c r="BZ153" s="293"/>
      <c r="CA153" s="285"/>
      <c r="CB153" s="286"/>
      <c r="CC153" s="286"/>
      <c r="CD153" s="286"/>
      <c r="CE153" s="286"/>
      <c r="CF153" s="286"/>
      <c r="CG153" s="286"/>
      <c r="CH153" s="286"/>
      <c r="CI153" s="286"/>
      <c r="CJ153" s="286"/>
      <c r="CK153" s="286"/>
      <c r="CL153" s="286"/>
      <c r="CM153" s="286"/>
      <c r="CN153" s="286"/>
      <c r="CO153" s="286"/>
      <c r="CP153" s="286"/>
      <c r="CQ153" s="286"/>
      <c r="CR153" s="286"/>
      <c r="CS153" s="286"/>
      <c r="CT153" s="286"/>
      <c r="CU153" s="286"/>
      <c r="CV153" s="286"/>
      <c r="CW153" s="286"/>
      <c r="CX153" s="286"/>
      <c r="CY153" s="286"/>
      <c r="CZ153" s="286"/>
      <c r="DA153" s="286"/>
      <c r="DB153" s="286"/>
      <c r="DC153" s="286"/>
      <c r="DD153" s="286"/>
      <c r="DE153" s="286"/>
      <c r="DF153" s="286"/>
      <c r="DG153" s="286"/>
      <c r="DH153" s="286"/>
      <c r="DI153" s="286"/>
      <c r="DJ153" s="286"/>
      <c r="DK153" s="286"/>
      <c r="DL153" s="286"/>
      <c r="DM153" s="286"/>
      <c r="DN153" s="286"/>
      <c r="DO153" s="286"/>
      <c r="DP153" s="286"/>
      <c r="DR153" s="58" t="str">
        <f>IF(ISNUMBER(MATCH(#REF!,'Audit Characteristic Mapping'!$B$3:$B$500,0)),"Y","")</f>
        <v/>
      </c>
      <c r="DS153" s="58" t="str">
        <f>IF(ISNUMBER(MATCH(#REF!,'Audit Characteristic Mapping'!$C$3:$C$500,0)),"Y","")</f>
        <v/>
      </c>
      <c r="DT153" s="58" t="str">
        <f>IF(ISNUMBER(MATCH(#REF!,'Audit Characteristic Mapping'!$D$3:$D$500,0)),"Y","")</f>
        <v/>
      </c>
      <c r="DU153" s="58" t="str">
        <f>IF(ISNUMBER(MATCH(#REF!,'Audit Characteristic Mapping'!$E$3:$E$500,0)),"Y","")</f>
        <v/>
      </c>
      <c r="DV153" s="58" t="str">
        <f>IF(ISNUMBER(MATCH(#REF!,'Audit Characteristic Mapping'!$F$3:$F$500,0)),"Y","")</f>
        <v/>
      </c>
      <c r="DW153" s="58" t="str">
        <f>IF(ISNUMBER(MATCH(#REF!,'Audit Characteristic Mapping'!$G$3:$G$500,0)),"Y","")</f>
        <v/>
      </c>
      <c r="DX153" s="58" t="str">
        <f>IF(ISNUMBER(MATCH(#REF!,'Audit Characteristic Mapping'!$H$3:$H$500,0)),"Y","")</f>
        <v/>
      </c>
      <c r="DY153" s="58" t="str">
        <f>IF(ISNUMBER(MATCH(#REF!,'Audit Characteristic Mapping'!$I$3:$I$500,0)),"Y","")</f>
        <v/>
      </c>
      <c r="DZ153" s="58" t="str">
        <f>IF(ISNUMBER(MATCH(#REF!,'Audit Characteristic Mapping'!$J$3:$J$500,0)),"Y","")</f>
        <v/>
      </c>
      <c r="EA153" s="58" t="str">
        <f>IF(ISNUMBER(MATCH(#REF!,'Audit Characteristic Mapping'!$K$3:$K$500,0)),"Y","")</f>
        <v/>
      </c>
    </row>
    <row r="154" spans="1:131" ht="16" hidden="1" x14ac:dyDescent="0.2">
      <c r="A154" s="288">
        <v>148</v>
      </c>
      <c r="B154" s="287" t="s">
        <v>253</v>
      </c>
      <c r="C154" s="226" t="s">
        <v>266</v>
      </c>
      <c r="D154" s="170">
        <v>5</v>
      </c>
      <c r="E154" s="288">
        <v>24</v>
      </c>
      <c r="F154" s="291" t="str">
        <f>VLOOKUP(Calculation!A154,'Descriptor maps'!$A$2:$F$1658,2,0)</f>
        <v>Studies &amp; Design</v>
      </c>
      <c r="G154" s="296"/>
      <c r="H154" s="290"/>
      <c r="I154" s="291"/>
      <c r="J154" s="292" t="e" cm="1">
        <f t="array" ref="J154">INDEX('Descriptor maps'!$I$2:$I$1658,MATCH(1,('Descriptor maps'!$A$2:$A$1658=Calculation!$A154)*('Descriptor maps'!$G$2:$G$1658=Calculation!$G154),0))</f>
        <v>#N/A</v>
      </c>
      <c r="K154" s="226"/>
      <c r="L154" s="293"/>
      <c r="M154" s="293"/>
      <c r="N154" s="293"/>
      <c r="O154" s="293"/>
      <c r="P154" s="293"/>
      <c r="Q154" s="293"/>
      <c r="R154" s="293"/>
      <c r="S154" s="293"/>
      <c r="T154" s="293"/>
      <c r="U154" s="293"/>
      <c r="V154" s="293"/>
      <c r="W154" s="293"/>
      <c r="X154" s="293"/>
      <c r="Y154" s="293"/>
      <c r="Z154" s="293"/>
      <c r="AA154" s="293"/>
      <c r="AB154" s="293"/>
      <c r="AC154" s="293"/>
      <c r="AD154" s="293"/>
      <c r="AE154" s="293"/>
      <c r="AF154" s="293"/>
      <c r="AG154" s="293"/>
      <c r="AH154" s="293"/>
      <c r="AI154" s="293"/>
      <c r="AJ154" s="293"/>
      <c r="AK154" s="293"/>
      <c r="AL154" s="293"/>
      <c r="AM154" s="293"/>
      <c r="AN154" s="293"/>
      <c r="AO154" s="293"/>
      <c r="AP154" s="293"/>
      <c r="AQ154" s="293"/>
      <c r="AR154" s="293"/>
      <c r="AS154" s="293"/>
      <c r="AT154" s="293"/>
      <c r="AU154" s="293"/>
      <c r="AV154" s="293"/>
      <c r="AW154" s="293"/>
      <c r="AX154" s="293"/>
      <c r="AY154" s="293"/>
      <c r="AZ154" s="293"/>
      <c r="BA154" s="293"/>
      <c r="BB154" s="293"/>
      <c r="BC154" s="293"/>
      <c r="BD154" s="293"/>
      <c r="BE154" s="293"/>
      <c r="BF154" s="293"/>
      <c r="BG154" s="293"/>
      <c r="BH154" s="293"/>
      <c r="BI154" s="293"/>
      <c r="BJ154" s="293"/>
      <c r="BK154" s="293"/>
      <c r="BL154" s="293"/>
      <c r="BM154" s="293"/>
      <c r="BN154" s="293"/>
      <c r="BO154" s="293"/>
      <c r="BP154" s="293"/>
      <c r="BQ154" s="293"/>
      <c r="BR154" s="293"/>
      <c r="BS154" s="293"/>
      <c r="BT154" s="293"/>
      <c r="BU154" s="293"/>
      <c r="BV154" s="293"/>
      <c r="BW154" s="293"/>
      <c r="BX154" s="293"/>
      <c r="BY154" s="293"/>
      <c r="BZ154" s="293"/>
      <c r="CA154" s="285"/>
      <c r="CB154" s="286"/>
      <c r="CC154" s="286"/>
      <c r="CD154" s="286"/>
      <c r="CE154" s="286"/>
      <c r="CF154" s="286"/>
      <c r="CG154" s="286"/>
      <c r="CH154" s="286"/>
      <c r="CI154" s="286"/>
      <c r="CJ154" s="286"/>
      <c r="CK154" s="286"/>
      <c r="CL154" s="286"/>
      <c r="CM154" s="286"/>
      <c r="CN154" s="286"/>
      <c r="CO154" s="286"/>
      <c r="CP154" s="286"/>
      <c r="CQ154" s="286"/>
      <c r="CR154" s="286"/>
      <c r="CS154" s="286"/>
      <c r="CT154" s="286"/>
      <c r="CU154" s="286"/>
      <c r="CV154" s="286"/>
      <c r="CW154" s="286"/>
      <c r="CX154" s="286"/>
      <c r="CY154" s="286"/>
      <c r="CZ154" s="286"/>
      <c r="DA154" s="286"/>
      <c r="DB154" s="286"/>
      <c r="DC154" s="286"/>
      <c r="DD154" s="286"/>
      <c r="DE154" s="286"/>
      <c r="DF154" s="286"/>
      <c r="DG154" s="286"/>
      <c r="DH154" s="286"/>
      <c r="DI154" s="286"/>
      <c r="DJ154" s="286"/>
      <c r="DK154" s="286"/>
      <c r="DL154" s="286"/>
      <c r="DM154" s="286"/>
      <c r="DN154" s="286"/>
      <c r="DO154" s="286"/>
      <c r="DP154" s="286"/>
      <c r="DR154" s="58" t="str">
        <f>IF(ISNUMBER(MATCH(#REF!,'Audit Characteristic Mapping'!$B$3:$B$500,0)),"Y","")</f>
        <v/>
      </c>
      <c r="DS154" s="58" t="str">
        <f>IF(ISNUMBER(MATCH(#REF!,'Audit Characteristic Mapping'!$C$3:$C$500,0)),"Y","")</f>
        <v/>
      </c>
      <c r="DT154" s="58" t="str">
        <f>IF(ISNUMBER(MATCH(#REF!,'Audit Characteristic Mapping'!$D$3:$D$500,0)),"Y","")</f>
        <v/>
      </c>
      <c r="DU154" s="58" t="str">
        <f>IF(ISNUMBER(MATCH(#REF!,'Audit Characteristic Mapping'!$E$3:$E$500,0)),"Y","")</f>
        <v/>
      </c>
      <c r="DV154" s="58" t="str">
        <f>IF(ISNUMBER(MATCH(#REF!,'Audit Characteristic Mapping'!$F$3:$F$500,0)),"Y","")</f>
        <v/>
      </c>
      <c r="DW154" s="58" t="str">
        <f>IF(ISNUMBER(MATCH(#REF!,'Audit Characteristic Mapping'!$G$3:$G$500,0)),"Y","")</f>
        <v/>
      </c>
      <c r="DX154" s="58" t="str">
        <f>IF(ISNUMBER(MATCH(#REF!,'Audit Characteristic Mapping'!$H$3:$H$500,0)),"Y","")</f>
        <v/>
      </c>
      <c r="DY154" s="58" t="str">
        <f>IF(ISNUMBER(MATCH(#REF!,'Audit Characteristic Mapping'!$I$3:$I$500,0)),"Y","")</f>
        <v/>
      </c>
      <c r="DZ154" s="58" t="str">
        <f>IF(ISNUMBER(MATCH(#REF!,'Audit Characteristic Mapping'!$J$3:$J$500,0)),"Y","")</f>
        <v/>
      </c>
      <c r="EA154" s="58" t="str">
        <f>IF(ISNUMBER(MATCH(#REF!,'Audit Characteristic Mapping'!$K$3:$K$500,0)),"Y","")</f>
        <v/>
      </c>
    </row>
    <row r="155" spans="1:131" ht="16" hidden="1" x14ac:dyDescent="0.2">
      <c r="A155" s="288">
        <v>149</v>
      </c>
      <c r="B155" s="287" t="s">
        <v>253</v>
      </c>
      <c r="C155" s="226" t="s">
        <v>272</v>
      </c>
      <c r="D155" s="170">
        <v>5</v>
      </c>
      <c r="E155" s="288">
        <v>25</v>
      </c>
      <c r="F155" s="291" t="str">
        <f>VLOOKUP(Calculation!A155,'Descriptor maps'!$A$2:$F$1658,2,0)</f>
        <v>Studies &amp; Design</v>
      </c>
      <c r="G155" s="296"/>
      <c r="H155" s="291"/>
      <c r="I155" s="291"/>
      <c r="J155" s="292" t="e" cm="1">
        <f t="array" ref="J155">INDEX('Descriptor maps'!$I$2:$I$1658,MATCH(1,('Descriptor maps'!$A$2:$A$1658=Calculation!$A155)*('Descriptor maps'!$G$2:$G$1658=Calculation!$G155),0))</f>
        <v>#N/A</v>
      </c>
      <c r="K155" s="226"/>
      <c r="L155" s="293"/>
      <c r="M155" s="293"/>
      <c r="N155" s="293"/>
      <c r="O155" s="293"/>
      <c r="P155" s="293"/>
      <c r="Q155" s="293"/>
      <c r="R155" s="293"/>
      <c r="S155" s="293"/>
      <c r="T155" s="293"/>
      <c r="U155" s="293"/>
      <c r="V155" s="293"/>
      <c r="W155" s="293"/>
      <c r="X155" s="293"/>
      <c r="Y155" s="293"/>
      <c r="Z155" s="293"/>
      <c r="AA155" s="293"/>
      <c r="AB155" s="293"/>
      <c r="AC155" s="293"/>
      <c r="AD155" s="293"/>
      <c r="AE155" s="293"/>
      <c r="AF155" s="293"/>
      <c r="AG155" s="293"/>
      <c r="AH155" s="293"/>
      <c r="AI155" s="293"/>
      <c r="AJ155" s="293"/>
      <c r="AK155" s="293"/>
      <c r="AL155" s="293"/>
      <c r="AM155" s="293"/>
      <c r="AN155" s="293"/>
      <c r="AO155" s="293"/>
      <c r="AP155" s="293"/>
      <c r="AQ155" s="293"/>
      <c r="AR155" s="293"/>
      <c r="AS155" s="293"/>
      <c r="AT155" s="293"/>
      <c r="AU155" s="293"/>
      <c r="AV155" s="293"/>
      <c r="AW155" s="293"/>
      <c r="AX155" s="293"/>
      <c r="AY155" s="293"/>
      <c r="AZ155" s="293"/>
      <c r="BA155" s="293"/>
      <c r="BB155" s="293"/>
      <c r="BC155" s="293"/>
      <c r="BD155" s="293"/>
      <c r="BE155" s="293"/>
      <c r="BF155" s="293"/>
      <c r="BG155" s="293"/>
      <c r="BH155" s="293"/>
      <c r="BI155" s="293"/>
      <c r="BJ155" s="293"/>
      <c r="BK155" s="293"/>
      <c r="BL155" s="293"/>
      <c r="BM155" s="293"/>
      <c r="BN155" s="293"/>
      <c r="BO155" s="293"/>
      <c r="BP155" s="293"/>
      <c r="BQ155" s="293"/>
      <c r="BR155" s="293"/>
      <c r="BS155" s="293"/>
      <c r="BT155" s="293"/>
      <c r="BU155" s="293"/>
      <c r="BV155" s="293"/>
      <c r="BW155" s="293"/>
      <c r="BX155" s="293"/>
      <c r="BY155" s="293"/>
      <c r="BZ155" s="293"/>
      <c r="CA155" s="285"/>
      <c r="CB155" s="286"/>
      <c r="CC155" s="286"/>
      <c r="CD155" s="286"/>
      <c r="CE155" s="286"/>
      <c r="CF155" s="286"/>
      <c r="CG155" s="286"/>
      <c r="CH155" s="286"/>
      <c r="CI155" s="286"/>
      <c r="CJ155" s="286"/>
      <c r="CK155" s="286"/>
      <c r="CL155" s="286"/>
      <c r="CM155" s="286"/>
      <c r="CN155" s="286"/>
      <c r="CO155" s="286"/>
      <c r="CP155" s="286"/>
      <c r="CQ155" s="286"/>
      <c r="CR155" s="286"/>
      <c r="CS155" s="286"/>
      <c r="CT155" s="286"/>
      <c r="CU155" s="286"/>
      <c r="CV155" s="286"/>
      <c r="CW155" s="286"/>
      <c r="CX155" s="286"/>
      <c r="CY155" s="286"/>
      <c r="CZ155" s="286"/>
      <c r="DA155" s="286"/>
      <c r="DB155" s="286"/>
      <c r="DC155" s="286"/>
      <c r="DD155" s="286"/>
      <c r="DE155" s="286"/>
      <c r="DF155" s="286"/>
      <c r="DG155" s="286"/>
      <c r="DH155" s="286"/>
      <c r="DI155" s="286"/>
      <c r="DJ155" s="286"/>
      <c r="DK155" s="286"/>
      <c r="DL155" s="286"/>
      <c r="DM155" s="286"/>
      <c r="DN155" s="286"/>
      <c r="DO155" s="286"/>
      <c r="DP155" s="286"/>
      <c r="DR155" s="58" t="str">
        <f>IF(ISNUMBER(MATCH(#REF!,'Audit Characteristic Mapping'!$B$3:$B$500,0)),"Y","")</f>
        <v/>
      </c>
      <c r="DS155" s="58" t="str">
        <f>IF(ISNUMBER(MATCH(#REF!,'Audit Characteristic Mapping'!$C$3:$C$500,0)),"Y","")</f>
        <v/>
      </c>
      <c r="DT155" s="58" t="str">
        <f>IF(ISNUMBER(MATCH(#REF!,'Audit Characteristic Mapping'!$D$3:$D$500,0)),"Y","")</f>
        <v/>
      </c>
      <c r="DU155" s="58" t="str">
        <f>IF(ISNUMBER(MATCH(#REF!,'Audit Characteristic Mapping'!$E$3:$E$500,0)),"Y","")</f>
        <v/>
      </c>
      <c r="DV155" s="58" t="str">
        <f>IF(ISNUMBER(MATCH(#REF!,'Audit Characteristic Mapping'!$F$3:$F$500,0)),"Y","")</f>
        <v/>
      </c>
      <c r="DW155" s="58" t="str">
        <f>IF(ISNUMBER(MATCH(#REF!,'Audit Characteristic Mapping'!$G$3:$G$500,0)),"Y","")</f>
        <v/>
      </c>
      <c r="DX155" s="58" t="str">
        <f>IF(ISNUMBER(MATCH(#REF!,'Audit Characteristic Mapping'!$H$3:$H$500,0)),"Y","")</f>
        <v/>
      </c>
      <c r="DY155" s="58" t="str">
        <f>IF(ISNUMBER(MATCH(#REF!,'Audit Characteristic Mapping'!$I$3:$I$500,0)),"Y","")</f>
        <v/>
      </c>
      <c r="DZ155" s="58" t="str">
        <f>IF(ISNUMBER(MATCH(#REF!,'Audit Characteristic Mapping'!$J$3:$J$500,0)),"Y","")</f>
        <v/>
      </c>
      <c r="EA155" s="58" t="str">
        <f>IF(ISNUMBER(MATCH(#REF!,'Audit Characteristic Mapping'!$K$3:$K$500,0)),"Y","")</f>
        <v/>
      </c>
    </row>
    <row r="156" spans="1:131" ht="16" hidden="1" x14ac:dyDescent="0.2">
      <c r="A156" s="288">
        <v>150</v>
      </c>
      <c r="B156" s="287" t="s">
        <v>253</v>
      </c>
      <c r="C156" s="226" t="s">
        <v>272</v>
      </c>
      <c r="D156" s="170">
        <v>5</v>
      </c>
      <c r="E156" s="288">
        <v>25</v>
      </c>
      <c r="F156" s="291" t="str">
        <f>VLOOKUP(Calculation!A156,'Descriptor maps'!$A$2:$F$1658,2,0)</f>
        <v>Studies &amp; Design</v>
      </c>
      <c r="G156" s="296"/>
      <c r="H156" s="291"/>
      <c r="I156" s="291"/>
      <c r="J156" s="292" t="e" cm="1">
        <f t="array" ref="J156">INDEX('Descriptor maps'!$I$2:$I$1658,MATCH(1,('Descriptor maps'!$A$2:$A$1658=Calculation!$A156)*('Descriptor maps'!$G$2:$G$1658=Calculation!$G156),0))</f>
        <v>#N/A</v>
      </c>
      <c r="K156" s="226"/>
      <c r="L156" s="293"/>
      <c r="M156" s="293"/>
      <c r="N156" s="293"/>
      <c r="O156" s="293"/>
      <c r="P156" s="293"/>
      <c r="Q156" s="293"/>
      <c r="R156" s="293"/>
      <c r="S156" s="293"/>
      <c r="T156" s="293"/>
      <c r="U156" s="293"/>
      <c r="V156" s="293"/>
      <c r="W156" s="293"/>
      <c r="X156" s="293"/>
      <c r="Y156" s="293"/>
      <c r="Z156" s="293"/>
      <c r="AA156" s="293"/>
      <c r="AB156" s="293"/>
      <c r="AC156" s="293"/>
      <c r="AD156" s="293"/>
      <c r="AE156" s="293"/>
      <c r="AF156" s="293"/>
      <c r="AG156" s="293"/>
      <c r="AH156" s="293"/>
      <c r="AI156" s="293"/>
      <c r="AJ156" s="293"/>
      <c r="AK156" s="293"/>
      <c r="AL156" s="293"/>
      <c r="AM156" s="293"/>
      <c r="AN156" s="293"/>
      <c r="AO156" s="293"/>
      <c r="AP156" s="293"/>
      <c r="AQ156" s="293"/>
      <c r="AR156" s="293"/>
      <c r="AS156" s="293"/>
      <c r="AT156" s="293"/>
      <c r="AU156" s="293"/>
      <c r="AV156" s="293"/>
      <c r="AW156" s="293"/>
      <c r="AX156" s="293"/>
      <c r="AY156" s="293"/>
      <c r="AZ156" s="293"/>
      <c r="BA156" s="293"/>
      <c r="BB156" s="293"/>
      <c r="BC156" s="293"/>
      <c r="BD156" s="293"/>
      <c r="BE156" s="293"/>
      <c r="BF156" s="293"/>
      <c r="BG156" s="293"/>
      <c r="BH156" s="293"/>
      <c r="BI156" s="293"/>
      <c r="BJ156" s="293"/>
      <c r="BK156" s="293"/>
      <c r="BL156" s="293"/>
      <c r="BM156" s="293"/>
      <c r="BN156" s="293"/>
      <c r="BO156" s="293"/>
      <c r="BP156" s="293"/>
      <c r="BQ156" s="293"/>
      <c r="BR156" s="293"/>
      <c r="BS156" s="293"/>
      <c r="BT156" s="293"/>
      <c r="BU156" s="293"/>
      <c r="BV156" s="293"/>
      <c r="BW156" s="293"/>
      <c r="BX156" s="293"/>
      <c r="BY156" s="293"/>
      <c r="BZ156" s="293"/>
      <c r="CA156" s="285"/>
      <c r="CB156" s="286"/>
      <c r="CC156" s="286"/>
      <c r="CD156" s="286"/>
      <c r="CE156" s="286"/>
      <c r="CF156" s="286"/>
      <c r="CG156" s="286"/>
      <c r="CH156" s="286"/>
      <c r="CI156" s="286"/>
      <c r="CJ156" s="286"/>
      <c r="CK156" s="286"/>
      <c r="CL156" s="286"/>
      <c r="CM156" s="286"/>
      <c r="CN156" s="286"/>
      <c r="CO156" s="286"/>
      <c r="CP156" s="286"/>
      <c r="CQ156" s="286"/>
      <c r="CR156" s="286"/>
      <c r="CS156" s="286"/>
      <c r="CT156" s="286"/>
      <c r="CU156" s="286"/>
      <c r="CV156" s="286"/>
      <c r="CW156" s="286"/>
      <c r="CX156" s="286"/>
      <c r="CY156" s="286"/>
      <c r="CZ156" s="286"/>
      <c r="DA156" s="286"/>
      <c r="DB156" s="286"/>
      <c r="DC156" s="286"/>
      <c r="DD156" s="286"/>
      <c r="DE156" s="286"/>
      <c r="DF156" s="286"/>
      <c r="DG156" s="286"/>
      <c r="DH156" s="286"/>
      <c r="DI156" s="286"/>
      <c r="DJ156" s="286"/>
      <c r="DK156" s="286"/>
      <c r="DL156" s="286"/>
      <c r="DM156" s="286"/>
      <c r="DN156" s="286"/>
      <c r="DO156" s="286"/>
      <c r="DP156" s="286"/>
      <c r="DR156" s="58" t="str">
        <f>IF(ISNUMBER(MATCH(#REF!,'Audit Characteristic Mapping'!$B$3:$B$500,0)),"Y","")</f>
        <v/>
      </c>
      <c r="DS156" s="58" t="str">
        <f>IF(ISNUMBER(MATCH(#REF!,'Audit Characteristic Mapping'!$C$3:$C$500,0)),"Y","")</f>
        <v/>
      </c>
      <c r="DT156" s="58" t="str">
        <f>IF(ISNUMBER(MATCH(#REF!,'Audit Characteristic Mapping'!$D$3:$D$500,0)),"Y","")</f>
        <v/>
      </c>
      <c r="DU156" s="58" t="str">
        <f>IF(ISNUMBER(MATCH(#REF!,'Audit Characteristic Mapping'!$E$3:$E$500,0)),"Y","")</f>
        <v/>
      </c>
      <c r="DV156" s="58" t="str">
        <f>IF(ISNUMBER(MATCH(#REF!,'Audit Characteristic Mapping'!$F$3:$F$500,0)),"Y","")</f>
        <v/>
      </c>
      <c r="DW156" s="58" t="str">
        <f>IF(ISNUMBER(MATCH(#REF!,'Audit Characteristic Mapping'!$G$3:$G$500,0)),"Y","")</f>
        <v/>
      </c>
      <c r="DX156" s="58" t="str">
        <f>IF(ISNUMBER(MATCH(#REF!,'Audit Characteristic Mapping'!$H$3:$H$500,0)),"Y","")</f>
        <v/>
      </c>
      <c r="DY156" s="58" t="str">
        <f>IF(ISNUMBER(MATCH(#REF!,'Audit Characteristic Mapping'!$I$3:$I$500,0)),"Y","")</f>
        <v/>
      </c>
      <c r="DZ156" s="58" t="str">
        <f>IF(ISNUMBER(MATCH(#REF!,'Audit Characteristic Mapping'!$J$3:$J$500,0)),"Y","")</f>
        <v/>
      </c>
      <c r="EA156" s="58" t="str">
        <f>IF(ISNUMBER(MATCH(#REF!,'Audit Characteristic Mapping'!$K$3:$K$500,0)),"Y","")</f>
        <v/>
      </c>
    </row>
    <row r="157" spans="1:131" ht="16" hidden="1" x14ac:dyDescent="0.2">
      <c r="A157" s="288">
        <v>151</v>
      </c>
      <c r="B157" s="287" t="s">
        <v>253</v>
      </c>
      <c r="C157" s="226" t="s">
        <v>272</v>
      </c>
      <c r="D157" s="170">
        <v>5</v>
      </c>
      <c r="E157" s="288">
        <v>25</v>
      </c>
      <c r="F157" s="291" t="str">
        <f>VLOOKUP(Calculation!A157,'Descriptor maps'!$A$2:$F$1658,2,0)</f>
        <v>Studies &amp; Design</v>
      </c>
      <c r="G157" s="296"/>
      <c r="H157" s="290"/>
      <c r="I157" s="291"/>
      <c r="J157" s="292" t="e" cm="1">
        <f t="array" ref="J157">INDEX('Descriptor maps'!$I$2:$I$1658,MATCH(1,('Descriptor maps'!$A$2:$A$1658=Calculation!$A157)*('Descriptor maps'!$G$2:$G$1658=Calculation!$G157),0))</f>
        <v>#N/A</v>
      </c>
      <c r="K157" s="226"/>
      <c r="L157" s="293"/>
      <c r="M157" s="293"/>
      <c r="N157" s="293"/>
      <c r="O157" s="293"/>
      <c r="P157" s="293"/>
      <c r="Q157" s="293"/>
      <c r="R157" s="293"/>
      <c r="S157" s="293"/>
      <c r="T157" s="293"/>
      <c r="U157" s="293"/>
      <c r="V157" s="293"/>
      <c r="W157" s="293"/>
      <c r="X157" s="293"/>
      <c r="Y157" s="293"/>
      <c r="Z157" s="293"/>
      <c r="AA157" s="293"/>
      <c r="AB157" s="293"/>
      <c r="AC157" s="293"/>
      <c r="AD157" s="293"/>
      <c r="AE157" s="293"/>
      <c r="AF157" s="293"/>
      <c r="AG157" s="293"/>
      <c r="AH157" s="293"/>
      <c r="AI157" s="293"/>
      <c r="AJ157" s="293"/>
      <c r="AK157" s="293"/>
      <c r="AL157" s="293"/>
      <c r="AM157" s="293"/>
      <c r="AN157" s="293"/>
      <c r="AO157" s="293"/>
      <c r="AP157" s="293"/>
      <c r="AQ157" s="293"/>
      <c r="AR157" s="293"/>
      <c r="AS157" s="293"/>
      <c r="AT157" s="293"/>
      <c r="AU157" s="293"/>
      <c r="AV157" s="293"/>
      <c r="AW157" s="293"/>
      <c r="AX157" s="293"/>
      <c r="AY157" s="293"/>
      <c r="AZ157" s="293"/>
      <c r="BA157" s="293"/>
      <c r="BB157" s="293"/>
      <c r="BC157" s="293"/>
      <c r="BD157" s="293"/>
      <c r="BE157" s="293"/>
      <c r="BF157" s="293"/>
      <c r="BG157" s="293"/>
      <c r="BH157" s="293"/>
      <c r="BI157" s="293"/>
      <c r="BJ157" s="293"/>
      <c r="BK157" s="293"/>
      <c r="BL157" s="293"/>
      <c r="BM157" s="293"/>
      <c r="BN157" s="293"/>
      <c r="BO157" s="293"/>
      <c r="BP157" s="293"/>
      <c r="BQ157" s="293"/>
      <c r="BR157" s="293"/>
      <c r="BS157" s="293"/>
      <c r="BT157" s="293"/>
      <c r="BU157" s="293"/>
      <c r="BV157" s="293"/>
      <c r="BW157" s="293"/>
      <c r="BX157" s="293"/>
      <c r="BY157" s="293"/>
      <c r="BZ157" s="293"/>
      <c r="CA157" s="285"/>
      <c r="CB157" s="286"/>
      <c r="CC157" s="286"/>
      <c r="CD157" s="286"/>
      <c r="CE157" s="286"/>
      <c r="CF157" s="286"/>
      <c r="CG157" s="286"/>
      <c r="CH157" s="286"/>
      <c r="CI157" s="286"/>
      <c r="CJ157" s="286"/>
      <c r="CK157" s="286"/>
      <c r="CL157" s="286"/>
      <c r="CM157" s="286"/>
      <c r="CN157" s="286"/>
      <c r="CO157" s="286"/>
      <c r="CP157" s="286"/>
      <c r="CQ157" s="286"/>
      <c r="CR157" s="286"/>
      <c r="CS157" s="286"/>
      <c r="CT157" s="286"/>
      <c r="CU157" s="286"/>
      <c r="CV157" s="286"/>
      <c r="CW157" s="286"/>
      <c r="CX157" s="286"/>
      <c r="CY157" s="286"/>
      <c r="CZ157" s="286"/>
      <c r="DA157" s="286"/>
      <c r="DB157" s="286"/>
      <c r="DC157" s="286"/>
      <c r="DD157" s="286"/>
      <c r="DE157" s="286"/>
      <c r="DF157" s="286"/>
      <c r="DG157" s="286"/>
      <c r="DH157" s="286"/>
      <c r="DI157" s="286"/>
      <c r="DJ157" s="286"/>
      <c r="DK157" s="286"/>
      <c r="DL157" s="286"/>
      <c r="DM157" s="286"/>
      <c r="DN157" s="286"/>
      <c r="DO157" s="286"/>
      <c r="DP157" s="286"/>
      <c r="DR157" s="58" t="str">
        <f>IF(ISNUMBER(MATCH(#REF!,'Audit Characteristic Mapping'!$B$3:$B$500,0)),"Y","")</f>
        <v/>
      </c>
      <c r="DS157" s="58" t="str">
        <f>IF(ISNUMBER(MATCH(#REF!,'Audit Characteristic Mapping'!$C$3:$C$500,0)),"Y","")</f>
        <v/>
      </c>
      <c r="DT157" s="58" t="str">
        <f>IF(ISNUMBER(MATCH(#REF!,'Audit Characteristic Mapping'!$D$3:$D$500,0)),"Y","")</f>
        <v/>
      </c>
      <c r="DU157" s="58" t="str">
        <f>IF(ISNUMBER(MATCH(#REF!,'Audit Characteristic Mapping'!$E$3:$E$500,0)),"Y","")</f>
        <v/>
      </c>
      <c r="DV157" s="58" t="str">
        <f>IF(ISNUMBER(MATCH(#REF!,'Audit Characteristic Mapping'!$F$3:$F$500,0)),"Y","")</f>
        <v/>
      </c>
      <c r="DW157" s="58" t="str">
        <f>IF(ISNUMBER(MATCH(#REF!,'Audit Characteristic Mapping'!$G$3:$G$500,0)),"Y","")</f>
        <v/>
      </c>
      <c r="DX157" s="58" t="str">
        <f>IF(ISNUMBER(MATCH(#REF!,'Audit Characteristic Mapping'!$H$3:$H$500,0)),"Y","")</f>
        <v/>
      </c>
      <c r="DY157" s="58" t="str">
        <f>IF(ISNUMBER(MATCH(#REF!,'Audit Characteristic Mapping'!$I$3:$I$500,0)),"Y","")</f>
        <v/>
      </c>
      <c r="DZ157" s="58" t="str">
        <f>IF(ISNUMBER(MATCH(#REF!,'Audit Characteristic Mapping'!$J$3:$J$500,0)),"Y","")</f>
        <v/>
      </c>
      <c r="EA157" s="58" t="str">
        <f>IF(ISNUMBER(MATCH(#REF!,'Audit Characteristic Mapping'!$K$3:$K$500,0)),"Y","")</f>
        <v/>
      </c>
    </row>
    <row r="158" spans="1:131" ht="16" hidden="1" x14ac:dyDescent="0.2">
      <c r="A158" s="288">
        <v>152</v>
      </c>
      <c r="B158" s="287" t="s">
        <v>253</v>
      </c>
      <c r="C158" s="226" t="s">
        <v>276</v>
      </c>
      <c r="D158" s="170">
        <v>5</v>
      </c>
      <c r="E158" s="288">
        <v>26</v>
      </c>
      <c r="F158" s="291" t="str">
        <f>VLOOKUP(Calculation!A158,'Descriptor maps'!$A$2:$F$1658,2,0)</f>
        <v>Studies &amp; Design</v>
      </c>
      <c r="G158" s="296"/>
      <c r="H158" s="290"/>
      <c r="I158" s="291"/>
      <c r="J158" s="292" t="e" cm="1">
        <f t="array" ref="J158">INDEX('Descriptor maps'!$I$2:$I$1658,MATCH(1,('Descriptor maps'!$A$2:$A$1658=Calculation!$A158)*('Descriptor maps'!$G$2:$G$1658=Calculation!$G158),0))</f>
        <v>#N/A</v>
      </c>
      <c r="K158" s="226"/>
      <c r="L158" s="293"/>
      <c r="M158" s="293"/>
      <c r="N158" s="293"/>
      <c r="O158" s="293"/>
      <c r="P158" s="293"/>
      <c r="Q158" s="293"/>
      <c r="R158" s="293"/>
      <c r="S158" s="293"/>
      <c r="T158" s="293"/>
      <c r="U158" s="293"/>
      <c r="V158" s="293"/>
      <c r="W158" s="293"/>
      <c r="X158" s="293"/>
      <c r="Y158" s="293"/>
      <c r="Z158" s="293"/>
      <c r="AA158" s="293"/>
      <c r="AB158" s="293"/>
      <c r="AC158" s="293"/>
      <c r="AD158" s="293"/>
      <c r="AE158" s="293"/>
      <c r="AF158" s="293"/>
      <c r="AG158" s="293"/>
      <c r="AH158" s="293"/>
      <c r="AI158" s="293"/>
      <c r="AJ158" s="293"/>
      <c r="AK158" s="293"/>
      <c r="AL158" s="293"/>
      <c r="AM158" s="293"/>
      <c r="AN158" s="293"/>
      <c r="AO158" s="293"/>
      <c r="AP158" s="293"/>
      <c r="AQ158" s="293"/>
      <c r="AR158" s="293"/>
      <c r="AS158" s="293"/>
      <c r="AT158" s="293"/>
      <c r="AU158" s="293"/>
      <c r="AV158" s="293"/>
      <c r="AW158" s="293"/>
      <c r="AX158" s="293"/>
      <c r="AY158" s="293"/>
      <c r="AZ158" s="293"/>
      <c r="BA158" s="293"/>
      <c r="BB158" s="293"/>
      <c r="BC158" s="293"/>
      <c r="BD158" s="293"/>
      <c r="BE158" s="293"/>
      <c r="BF158" s="293"/>
      <c r="BG158" s="293"/>
      <c r="BH158" s="293"/>
      <c r="BI158" s="293"/>
      <c r="BJ158" s="293"/>
      <c r="BK158" s="293"/>
      <c r="BL158" s="293"/>
      <c r="BM158" s="293"/>
      <c r="BN158" s="293"/>
      <c r="BO158" s="293"/>
      <c r="BP158" s="293"/>
      <c r="BQ158" s="293"/>
      <c r="BR158" s="293"/>
      <c r="BS158" s="293"/>
      <c r="BT158" s="293"/>
      <c r="BU158" s="293"/>
      <c r="BV158" s="293"/>
      <c r="BW158" s="293"/>
      <c r="BX158" s="293"/>
      <c r="BY158" s="293"/>
      <c r="BZ158" s="293"/>
      <c r="CA158" s="285"/>
      <c r="CB158" s="286"/>
      <c r="CC158" s="286"/>
      <c r="CD158" s="286"/>
      <c r="CE158" s="286"/>
      <c r="CF158" s="286"/>
      <c r="CG158" s="286"/>
      <c r="CH158" s="286"/>
      <c r="CI158" s="286"/>
      <c r="CJ158" s="286"/>
      <c r="CK158" s="286"/>
      <c r="CL158" s="286"/>
      <c r="CM158" s="286"/>
      <c r="CN158" s="286"/>
      <c r="CO158" s="286"/>
      <c r="CP158" s="286"/>
      <c r="CQ158" s="286"/>
      <c r="CR158" s="286"/>
      <c r="CS158" s="286"/>
      <c r="CT158" s="286"/>
      <c r="CU158" s="286"/>
      <c r="CV158" s="286"/>
      <c r="CW158" s="286"/>
      <c r="CX158" s="286"/>
      <c r="CY158" s="286"/>
      <c r="CZ158" s="286"/>
      <c r="DA158" s="286"/>
      <c r="DB158" s="286"/>
      <c r="DC158" s="286"/>
      <c r="DD158" s="286"/>
      <c r="DE158" s="286"/>
      <c r="DF158" s="286"/>
      <c r="DG158" s="286"/>
      <c r="DH158" s="286"/>
      <c r="DI158" s="286"/>
      <c r="DJ158" s="286"/>
      <c r="DK158" s="286"/>
      <c r="DL158" s="286"/>
      <c r="DM158" s="286"/>
      <c r="DN158" s="286"/>
      <c r="DO158" s="286"/>
      <c r="DP158" s="286"/>
      <c r="DR158" s="58" t="str">
        <f>IF(ISNUMBER(MATCH(#REF!,'Audit Characteristic Mapping'!$B$3:$B$500,0)),"Y","")</f>
        <v/>
      </c>
      <c r="DS158" s="58" t="str">
        <f>IF(ISNUMBER(MATCH(#REF!,'Audit Characteristic Mapping'!$C$3:$C$500,0)),"Y","")</f>
        <v/>
      </c>
      <c r="DT158" s="58" t="str">
        <f>IF(ISNUMBER(MATCH(#REF!,'Audit Characteristic Mapping'!$D$3:$D$500,0)),"Y","")</f>
        <v/>
      </c>
      <c r="DU158" s="58" t="str">
        <f>IF(ISNUMBER(MATCH(#REF!,'Audit Characteristic Mapping'!$E$3:$E$500,0)),"Y","")</f>
        <v/>
      </c>
      <c r="DV158" s="58" t="str">
        <f>IF(ISNUMBER(MATCH(#REF!,'Audit Characteristic Mapping'!$F$3:$F$500,0)),"Y","")</f>
        <v/>
      </c>
      <c r="DW158" s="58" t="str">
        <f>IF(ISNUMBER(MATCH(#REF!,'Audit Characteristic Mapping'!$G$3:$G$500,0)),"Y","")</f>
        <v/>
      </c>
      <c r="DX158" s="58" t="str">
        <f>IF(ISNUMBER(MATCH(#REF!,'Audit Characteristic Mapping'!$H$3:$H$500,0)),"Y","")</f>
        <v/>
      </c>
      <c r="DY158" s="58" t="str">
        <f>IF(ISNUMBER(MATCH(#REF!,'Audit Characteristic Mapping'!$I$3:$I$500,0)),"Y","")</f>
        <v/>
      </c>
      <c r="DZ158" s="58" t="str">
        <f>IF(ISNUMBER(MATCH(#REF!,'Audit Characteristic Mapping'!$J$3:$J$500,0)),"Y","")</f>
        <v/>
      </c>
      <c r="EA158" s="58" t="str">
        <f>IF(ISNUMBER(MATCH(#REF!,'Audit Characteristic Mapping'!$K$3:$K$500,0)),"Y","")</f>
        <v/>
      </c>
    </row>
    <row r="159" spans="1:131" ht="16" hidden="1" x14ac:dyDescent="0.2">
      <c r="A159" s="288">
        <v>153</v>
      </c>
      <c r="B159" s="287" t="s">
        <v>253</v>
      </c>
      <c r="C159" s="226" t="s">
        <v>276</v>
      </c>
      <c r="D159" s="170">
        <v>5</v>
      </c>
      <c r="E159" s="288">
        <v>26</v>
      </c>
      <c r="F159" s="291" t="str">
        <f>VLOOKUP(Calculation!A159,'Descriptor maps'!$A$2:$F$1658,2,0)</f>
        <v>Studies &amp; Design</v>
      </c>
      <c r="G159" s="296"/>
      <c r="H159" s="290"/>
      <c r="I159" s="291"/>
      <c r="J159" s="292" t="e" cm="1">
        <f t="array" ref="J159">INDEX('Descriptor maps'!$I$2:$I$1658,MATCH(1,('Descriptor maps'!$A$2:$A$1658=Calculation!$A159)*('Descriptor maps'!$G$2:$G$1658=Calculation!$G159),0))</f>
        <v>#N/A</v>
      </c>
      <c r="K159" s="226"/>
      <c r="L159" s="293"/>
      <c r="M159" s="293"/>
      <c r="N159" s="293"/>
      <c r="O159" s="293"/>
      <c r="P159" s="293"/>
      <c r="Q159" s="293"/>
      <c r="R159" s="293"/>
      <c r="S159" s="293"/>
      <c r="T159" s="293"/>
      <c r="U159" s="293"/>
      <c r="V159" s="293"/>
      <c r="W159" s="293"/>
      <c r="X159" s="293"/>
      <c r="Y159" s="29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c r="AW159" s="293"/>
      <c r="AX159" s="293"/>
      <c r="AY159" s="293"/>
      <c r="AZ159" s="293"/>
      <c r="BA159" s="293"/>
      <c r="BB159" s="293"/>
      <c r="BC159" s="293"/>
      <c r="BD159" s="293"/>
      <c r="BE159" s="293"/>
      <c r="BF159" s="293"/>
      <c r="BG159" s="293"/>
      <c r="BH159" s="293"/>
      <c r="BI159" s="293"/>
      <c r="BJ159" s="293"/>
      <c r="BK159" s="293"/>
      <c r="BL159" s="293"/>
      <c r="BM159" s="293"/>
      <c r="BN159" s="293"/>
      <c r="BO159" s="293"/>
      <c r="BP159" s="293"/>
      <c r="BQ159" s="293"/>
      <c r="BR159" s="293"/>
      <c r="BS159" s="293"/>
      <c r="BT159" s="293"/>
      <c r="BU159" s="293"/>
      <c r="BV159" s="293"/>
      <c r="BW159" s="293"/>
      <c r="BX159" s="293"/>
      <c r="BY159" s="293"/>
      <c r="BZ159" s="293"/>
      <c r="CA159" s="285"/>
      <c r="CB159" s="286"/>
      <c r="CC159" s="286"/>
      <c r="CD159" s="286"/>
      <c r="CE159" s="286"/>
      <c r="CF159" s="286"/>
      <c r="CG159" s="286"/>
      <c r="CH159" s="286"/>
      <c r="CI159" s="286"/>
      <c r="CJ159" s="286"/>
      <c r="CK159" s="286"/>
      <c r="CL159" s="286"/>
      <c r="CM159" s="286"/>
      <c r="CN159" s="286"/>
      <c r="CO159" s="286"/>
      <c r="CP159" s="286"/>
      <c r="CQ159" s="286"/>
      <c r="CR159" s="286"/>
      <c r="CS159" s="286"/>
      <c r="CT159" s="286"/>
      <c r="CU159" s="286"/>
      <c r="CV159" s="286"/>
      <c r="CW159" s="286"/>
      <c r="CX159" s="286"/>
      <c r="CY159" s="286"/>
      <c r="CZ159" s="286"/>
      <c r="DA159" s="286"/>
      <c r="DB159" s="286"/>
      <c r="DC159" s="286"/>
      <c r="DD159" s="286"/>
      <c r="DE159" s="286"/>
      <c r="DF159" s="286"/>
      <c r="DG159" s="286"/>
      <c r="DH159" s="286"/>
      <c r="DI159" s="286"/>
      <c r="DJ159" s="286"/>
      <c r="DK159" s="286"/>
      <c r="DL159" s="286"/>
      <c r="DM159" s="286"/>
      <c r="DN159" s="286"/>
      <c r="DO159" s="286"/>
      <c r="DP159" s="286"/>
      <c r="DR159" s="58" t="str">
        <f>IF(ISNUMBER(MATCH(#REF!,'Audit Characteristic Mapping'!$B$3:$B$500,0)),"Y","")</f>
        <v/>
      </c>
      <c r="DS159" s="58" t="str">
        <f>IF(ISNUMBER(MATCH(#REF!,'Audit Characteristic Mapping'!$C$3:$C$500,0)),"Y","")</f>
        <v/>
      </c>
      <c r="DT159" s="58" t="str">
        <f>IF(ISNUMBER(MATCH(#REF!,'Audit Characteristic Mapping'!$D$3:$D$500,0)),"Y","")</f>
        <v/>
      </c>
      <c r="DU159" s="58" t="str">
        <f>IF(ISNUMBER(MATCH(#REF!,'Audit Characteristic Mapping'!$E$3:$E$500,0)),"Y","")</f>
        <v/>
      </c>
      <c r="DV159" s="58" t="str">
        <f>IF(ISNUMBER(MATCH(#REF!,'Audit Characteristic Mapping'!$F$3:$F$500,0)),"Y","")</f>
        <v/>
      </c>
      <c r="DW159" s="58" t="str">
        <f>IF(ISNUMBER(MATCH(#REF!,'Audit Characteristic Mapping'!$G$3:$G$500,0)),"Y","")</f>
        <v/>
      </c>
      <c r="DX159" s="58" t="str">
        <f>IF(ISNUMBER(MATCH(#REF!,'Audit Characteristic Mapping'!$H$3:$H$500,0)),"Y","")</f>
        <v/>
      </c>
      <c r="DY159" s="58" t="str">
        <f>IF(ISNUMBER(MATCH(#REF!,'Audit Characteristic Mapping'!$I$3:$I$500,0)),"Y","")</f>
        <v/>
      </c>
      <c r="DZ159" s="58" t="str">
        <f>IF(ISNUMBER(MATCH(#REF!,'Audit Characteristic Mapping'!$J$3:$J$500,0)),"Y","")</f>
        <v/>
      </c>
      <c r="EA159" s="58" t="str">
        <f>IF(ISNUMBER(MATCH(#REF!,'Audit Characteristic Mapping'!$K$3:$K$500,0)),"Y","")</f>
        <v/>
      </c>
    </row>
    <row r="160" spans="1:131" ht="16" hidden="1" x14ac:dyDescent="0.2">
      <c r="A160" s="288">
        <v>154</v>
      </c>
      <c r="B160" s="287" t="s">
        <v>253</v>
      </c>
      <c r="C160" s="226" t="s">
        <v>279</v>
      </c>
      <c r="D160" s="170">
        <v>5</v>
      </c>
      <c r="E160" s="288">
        <v>27</v>
      </c>
      <c r="F160" s="291" t="str">
        <f>VLOOKUP(Calculation!A160,'Descriptor maps'!$A$2:$F$1658,2,0)</f>
        <v>Studies &amp; Design</v>
      </c>
      <c r="G160" s="296"/>
      <c r="H160" s="290"/>
      <c r="I160" s="291"/>
      <c r="J160" s="292" t="e" cm="1">
        <f t="array" ref="J160">INDEX('Descriptor maps'!$I$2:$I$1658,MATCH(1,('Descriptor maps'!$A$2:$A$1658=Calculation!$A160)*('Descriptor maps'!$G$2:$G$1658=Calculation!$G160),0))</f>
        <v>#N/A</v>
      </c>
      <c r="K160" s="226"/>
      <c r="L160" s="293"/>
      <c r="M160" s="293"/>
      <c r="N160" s="293"/>
      <c r="O160" s="293"/>
      <c r="P160" s="293"/>
      <c r="Q160" s="293"/>
      <c r="R160" s="293"/>
      <c r="S160" s="293"/>
      <c r="T160" s="293"/>
      <c r="U160" s="293"/>
      <c r="V160" s="293"/>
      <c r="W160" s="293"/>
      <c r="X160" s="293"/>
      <c r="Y160" s="29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c r="AW160" s="293"/>
      <c r="AX160" s="293"/>
      <c r="AY160" s="293"/>
      <c r="AZ160" s="293"/>
      <c r="BA160" s="293"/>
      <c r="BB160" s="293"/>
      <c r="BC160" s="293"/>
      <c r="BD160" s="293"/>
      <c r="BE160" s="293"/>
      <c r="BF160" s="293"/>
      <c r="BG160" s="293"/>
      <c r="BH160" s="293"/>
      <c r="BI160" s="293"/>
      <c r="BJ160" s="293"/>
      <c r="BK160" s="293"/>
      <c r="BL160" s="293"/>
      <c r="BM160" s="293"/>
      <c r="BN160" s="293"/>
      <c r="BO160" s="293"/>
      <c r="BP160" s="293"/>
      <c r="BQ160" s="293"/>
      <c r="BR160" s="293"/>
      <c r="BS160" s="293"/>
      <c r="BT160" s="293"/>
      <c r="BU160" s="293"/>
      <c r="BV160" s="293"/>
      <c r="BW160" s="293"/>
      <c r="BX160" s="293"/>
      <c r="BY160" s="293"/>
      <c r="BZ160" s="293"/>
      <c r="CA160" s="285"/>
      <c r="CB160" s="286"/>
      <c r="CC160" s="286"/>
      <c r="CD160" s="286"/>
      <c r="CE160" s="286"/>
      <c r="CF160" s="286"/>
      <c r="CG160" s="286"/>
      <c r="CH160" s="286"/>
      <c r="CI160" s="286"/>
      <c r="CJ160" s="286"/>
      <c r="CK160" s="286"/>
      <c r="CL160" s="286"/>
      <c r="CM160" s="286"/>
      <c r="CN160" s="286"/>
      <c r="CO160" s="286"/>
      <c r="CP160" s="286"/>
      <c r="CQ160" s="286"/>
      <c r="CR160" s="286"/>
      <c r="CS160" s="286"/>
      <c r="CT160" s="286"/>
      <c r="CU160" s="286"/>
      <c r="CV160" s="286"/>
      <c r="CW160" s="286"/>
      <c r="CX160" s="286"/>
      <c r="CY160" s="286"/>
      <c r="CZ160" s="286"/>
      <c r="DA160" s="286"/>
      <c r="DB160" s="286"/>
      <c r="DC160" s="286"/>
      <c r="DD160" s="286"/>
      <c r="DE160" s="286"/>
      <c r="DF160" s="286"/>
      <c r="DG160" s="286"/>
      <c r="DH160" s="286"/>
      <c r="DI160" s="286"/>
      <c r="DJ160" s="286"/>
      <c r="DK160" s="286"/>
      <c r="DL160" s="286"/>
      <c r="DM160" s="286"/>
      <c r="DN160" s="286"/>
      <c r="DO160" s="286"/>
      <c r="DP160" s="286"/>
      <c r="DR160" s="58" t="str">
        <f>IF(ISNUMBER(MATCH(#REF!,'Audit Characteristic Mapping'!$B$3:$B$500,0)),"Y","")</f>
        <v/>
      </c>
      <c r="DS160" s="58" t="str">
        <f>IF(ISNUMBER(MATCH(#REF!,'Audit Characteristic Mapping'!$C$3:$C$500,0)),"Y","")</f>
        <v/>
      </c>
      <c r="DT160" s="58" t="str">
        <f>IF(ISNUMBER(MATCH(#REF!,'Audit Characteristic Mapping'!$D$3:$D$500,0)),"Y","")</f>
        <v/>
      </c>
      <c r="DU160" s="58" t="str">
        <f>IF(ISNUMBER(MATCH(#REF!,'Audit Characteristic Mapping'!$E$3:$E$500,0)),"Y","")</f>
        <v/>
      </c>
      <c r="DV160" s="58" t="str">
        <f>IF(ISNUMBER(MATCH(#REF!,'Audit Characteristic Mapping'!$F$3:$F$500,0)),"Y","")</f>
        <v/>
      </c>
      <c r="DW160" s="58" t="str">
        <f>IF(ISNUMBER(MATCH(#REF!,'Audit Characteristic Mapping'!$G$3:$G$500,0)),"Y","")</f>
        <v/>
      </c>
      <c r="DX160" s="58" t="str">
        <f>IF(ISNUMBER(MATCH(#REF!,'Audit Characteristic Mapping'!$H$3:$H$500,0)),"Y","")</f>
        <v/>
      </c>
      <c r="DY160" s="58" t="str">
        <f>IF(ISNUMBER(MATCH(#REF!,'Audit Characteristic Mapping'!$I$3:$I$500,0)),"Y","")</f>
        <v/>
      </c>
      <c r="DZ160" s="58" t="str">
        <f>IF(ISNUMBER(MATCH(#REF!,'Audit Characteristic Mapping'!$J$3:$J$500,0)),"Y","")</f>
        <v/>
      </c>
      <c r="EA160" s="58" t="str">
        <f>IF(ISNUMBER(MATCH(#REF!,'Audit Characteristic Mapping'!$K$3:$K$500,0)),"Y","")</f>
        <v/>
      </c>
    </row>
    <row r="161" spans="1:131" ht="16" hidden="1" x14ac:dyDescent="0.2">
      <c r="A161" s="288">
        <v>155</v>
      </c>
      <c r="B161" s="287" t="s">
        <v>253</v>
      </c>
      <c r="C161" s="226" t="s">
        <v>279</v>
      </c>
      <c r="D161" s="170">
        <v>5</v>
      </c>
      <c r="E161" s="288">
        <v>27</v>
      </c>
      <c r="F161" s="291" t="str">
        <f>VLOOKUP(Calculation!A161,'Descriptor maps'!$A$2:$F$1658,2,0)</f>
        <v>Studies &amp; Design</v>
      </c>
      <c r="G161" s="296"/>
      <c r="H161" s="290"/>
      <c r="I161" s="291"/>
      <c r="J161" s="292" t="e" cm="1">
        <f t="array" ref="J161">INDEX('Descriptor maps'!$I$2:$I$1658,MATCH(1,('Descriptor maps'!$A$2:$A$1658=Calculation!$A161)*('Descriptor maps'!$G$2:$G$1658=Calculation!$G161),0))</f>
        <v>#N/A</v>
      </c>
      <c r="K161" s="226"/>
      <c r="L161" s="293"/>
      <c r="M161" s="293"/>
      <c r="N161" s="293"/>
      <c r="O161" s="293"/>
      <c r="P161" s="293"/>
      <c r="Q161" s="293"/>
      <c r="R161" s="293"/>
      <c r="S161" s="293"/>
      <c r="T161" s="293"/>
      <c r="U161" s="293"/>
      <c r="V161" s="293"/>
      <c r="W161" s="293"/>
      <c r="X161" s="293"/>
      <c r="Y161" s="293"/>
      <c r="Z161" s="293"/>
      <c r="AA161" s="293"/>
      <c r="AB161" s="293"/>
      <c r="AC161" s="293"/>
      <c r="AD161" s="293"/>
      <c r="AE161" s="293"/>
      <c r="AF161" s="293"/>
      <c r="AG161" s="293"/>
      <c r="AH161" s="293"/>
      <c r="AI161" s="293"/>
      <c r="AJ161" s="293"/>
      <c r="AK161" s="293"/>
      <c r="AL161" s="293"/>
      <c r="AM161" s="293"/>
      <c r="AN161" s="293"/>
      <c r="AO161" s="293"/>
      <c r="AP161" s="293"/>
      <c r="AQ161" s="293"/>
      <c r="AR161" s="293"/>
      <c r="AS161" s="293"/>
      <c r="AT161" s="293"/>
      <c r="AU161" s="293"/>
      <c r="AV161" s="293"/>
      <c r="AW161" s="293"/>
      <c r="AX161" s="293"/>
      <c r="AY161" s="293"/>
      <c r="AZ161" s="293"/>
      <c r="BA161" s="293"/>
      <c r="BB161" s="293"/>
      <c r="BC161" s="293"/>
      <c r="BD161" s="293"/>
      <c r="BE161" s="293"/>
      <c r="BF161" s="293"/>
      <c r="BG161" s="293"/>
      <c r="BH161" s="293"/>
      <c r="BI161" s="293"/>
      <c r="BJ161" s="293"/>
      <c r="BK161" s="293"/>
      <c r="BL161" s="293"/>
      <c r="BM161" s="293"/>
      <c r="BN161" s="293"/>
      <c r="BO161" s="293"/>
      <c r="BP161" s="293"/>
      <c r="BQ161" s="293"/>
      <c r="BR161" s="293"/>
      <c r="BS161" s="293"/>
      <c r="BT161" s="293"/>
      <c r="BU161" s="293"/>
      <c r="BV161" s="293"/>
      <c r="BW161" s="293"/>
      <c r="BX161" s="293"/>
      <c r="BY161" s="293"/>
      <c r="BZ161" s="293"/>
      <c r="CA161" s="285"/>
      <c r="CB161" s="286"/>
      <c r="CC161" s="286"/>
      <c r="CD161" s="286"/>
      <c r="CE161" s="286"/>
      <c r="CF161" s="286"/>
      <c r="CG161" s="286"/>
      <c r="CH161" s="286"/>
      <c r="CI161" s="286"/>
      <c r="CJ161" s="286"/>
      <c r="CK161" s="286"/>
      <c r="CL161" s="286"/>
      <c r="CM161" s="286"/>
      <c r="CN161" s="286"/>
      <c r="CO161" s="286"/>
      <c r="CP161" s="286"/>
      <c r="CQ161" s="286"/>
      <c r="CR161" s="286"/>
      <c r="CS161" s="286"/>
      <c r="CT161" s="286"/>
      <c r="CU161" s="286"/>
      <c r="CV161" s="286"/>
      <c r="CW161" s="286"/>
      <c r="CX161" s="286"/>
      <c r="CY161" s="286"/>
      <c r="CZ161" s="286"/>
      <c r="DA161" s="286"/>
      <c r="DB161" s="286"/>
      <c r="DC161" s="286"/>
      <c r="DD161" s="286"/>
      <c r="DE161" s="286"/>
      <c r="DF161" s="286"/>
      <c r="DG161" s="286"/>
      <c r="DH161" s="286"/>
      <c r="DI161" s="286"/>
      <c r="DJ161" s="286"/>
      <c r="DK161" s="286"/>
      <c r="DL161" s="286"/>
      <c r="DM161" s="286"/>
      <c r="DN161" s="286"/>
      <c r="DO161" s="286"/>
      <c r="DP161" s="286"/>
      <c r="DR161" s="58" t="str">
        <f>IF(ISNUMBER(MATCH(#REF!,'Audit Characteristic Mapping'!$B$3:$B$500,0)),"Y","")</f>
        <v/>
      </c>
      <c r="DS161" s="58" t="str">
        <f>IF(ISNUMBER(MATCH(#REF!,'Audit Characteristic Mapping'!$C$3:$C$500,0)),"Y","")</f>
        <v/>
      </c>
      <c r="DT161" s="58" t="str">
        <f>IF(ISNUMBER(MATCH(#REF!,'Audit Characteristic Mapping'!$D$3:$D$500,0)),"Y","")</f>
        <v/>
      </c>
      <c r="DU161" s="58" t="str">
        <f>IF(ISNUMBER(MATCH(#REF!,'Audit Characteristic Mapping'!$E$3:$E$500,0)),"Y","")</f>
        <v/>
      </c>
      <c r="DV161" s="58" t="str">
        <f>IF(ISNUMBER(MATCH(#REF!,'Audit Characteristic Mapping'!$F$3:$F$500,0)),"Y","")</f>
        <v/>
      </c>
      <c r="DW161" s="58" t="str">
        <f>IF(ISNUMBER(MATCH(#REF!,'Audit Characteristic Mapping'!$G$3:$G$500,0)),"Y","")</f>
        <v/>
      </c>
      <c r="DX161" s="58" t="str">
        <f>IF(ISNUMBER(MATCH(#REF!,'Audit Characteristic Mapping'!$H$3:$H$500,0)),"Y","")</f>
        <v/>
      </c>
      <c r="DY161" s="58" t="str">
        <f>IF(ISNUMBER(MATCH(#REF!,'Audit Characteristic Mapping'!$I$3:$I$500,0)),"Y","")</f>
        <v/>
      </c>
      <c r="DZ161" s="58" t="str">
        <f>IF(ISNUMBER(MATCH(#REF!,'Audit Characteristic Mapping'!$J$3:$J$500,0)),"Y","")</f>
        <v/>
      </c>
      <c r="EA161" s="58" t="str">
        <f>IF(ISNUMBER(MATCH(#REF!,'Audit Characteristic Mapping'!$K$3:$K$500,0)),"Y","")</f>
        <v/>
      </c>
    </row>
    <row r="162" spans="1:131" ht="16" hidden="1" x14ac:dyDescent="0.2">
      <c r="A162" s="288">
        <v>156</v>
      </c>
      <c r="B162" s="287" t="s">
        <v>253</v>
      </c>
      <c r="C162" s="226" t="s">
        <v>279</v>
      </c>
      <c r="D162" s="170">
        <v>5</v>
      </c>
      <c r="E162" s="288">
        <v>27</v>
      </c>
      <c r="F162" s="291" t="str">
        <f>VLOOKUP(Calculation!A162,'Descriptor maps'!$A$2:$F$1658,2,0)</f>
        <v>Studies &amp; Design</v>
      </c>
      <c r="G162" s="296"/>
      <c r="H162" s="290"/>
      <c r="I162" s="291"/>
      <c r="J162" s="292" t="e" cm="1">
        <f t="array" ref="J162">INDEX('Descriptor maps'!$I$2:$I$1658,MATCH(1,('Descriptor maps'!$A$2:$A$1658=Calculation!$A162)*('Descriptor maps'!$G$2:$G$1658=Calculation!$G162),0))</f>
        <v>#N/A</v>
      </c>
      <c r="K162" s="226"/>
      <c r="L162" s="293"/>
      <c r="M162" s="293"/>
      <c r="N162" s="293"/>
      <c r="O162" s="293"/>
      <c r="P162" s="293"/>
      <c r="Q162" s="293"/>
      <c r="R162" s="293"/>
      <c r="S162" s="293"/>
      <c r="T162" s="293"/>
      <c r="U162" s="293"/>
      <c r="V162" s="293"/>
      <c r="W162" s="293"/>
      <c r="X162" s="293"/>
      <c r="Y162" s="293"/>
      <c r="Z162" s="293"/>
      <c r="AA162" s="293"/>
      <c r="AB162" s="293"/>
      <c r="AC162" s="293"/>
      <c r="AD162" s="293"/>
      <c r="AE162" s="293"/>
      <c r="AF162" s="293"/>
      <c r="AG162" s="293"/>
      <c r="AH162" s="293"/>
      <c r="AI162" s="293"/>
      <c r="AJ162" s="293"/>
      <c r="AK162" s="293"/>
      <c r="AL162" s="293"/>
      <c r="AM162" s="293"/>
      <c r="AN162" s="293"/>
      <c r="AO162" s="293"/>
      <c r="AP162" s="293"/>
      <c r="AQ162" s="293"/>
      <c r="AR162" s="293"/>
      <c r="AS162" s="293"/>
      <c r="AT162" s="293"/>
      <c r="AU162" s="293"/>
      <c r="AV162" s="293"/>
      <c r="AW162" s="293"/>
      <c r="AX162" s="293"/>
      <c r="AY162" s="293"/>
      <c r="AZ162" s="293"/>
      <c r="BA162" s="293"/>
      <c r="BB162" s="293"/>
      <c r="BC162" s="293"/>
      <c r="BD162" s="293"/>
      <c r="BE162" s="293"/>
      <c r="BF162" s="293"/>
      <c r="BG162" s="293"/>
      <c r="BH162" s="293"/>
      <c r="BI162" s="293"/>
      <c r="BJ162" s="293"/>
      <c r="BK162" s="293"/>
      <c r="BL162" s="293"/>
      <c r="BM162" s="293"/>
      <c r="BN162" s="293"/>
      <c r="BO162" s="293"/>
      <c r="BP162" s="293"/>
      <c r="BQ162" s="293"/>
      <c r="BR162" s="293"/>
      <c r="BS162" s="293"/>
      <c r="BT162" s="293"/>
      <c r="BU162" s="293"/>
      <c r="BV162" s="293"/>
      <c r="BW162" s="293"/>
      <c r="BX162" s="293"/>
      <c r="BY162" s="293"/>
      <c r="BZ162" s="293"/>
      <c r="CA162" s="285"/>
      <c r="CB162" s="286"/>
      <c r="CC162" s="286"/>
      <c r="CD162" s="286"/>
      <c r="CE162" s="286"/>
      <c r="CF162" s="286"/>
      <c r="CG162" s="286"/>
      <c r="CH162" s="286"/>
      <c r="CI162" s="286"/>
      <c r="CJ162" s="286"/>
      <c r="CK162" s="286"/>
      <c r="CL162" s="286"/>
      <c r="CM162" s="286"/>
      <c r="CN162" s="286"/>
      <c r="CO162" s="286"/>
      <c r="CP162" s="286"/>
      <c r="CQ162" s="286"/>
      <c r="CR162" s="286"/>
      <c r="CS162" s="286"/>
      <c r="CT162" s="286"/>
      <c r="CU162" s="286"/>
      <c r="CV162" s="286"/>
      <c r="CW162" s="286"/>
      <c r="CX162" s="286"/>
      <c r="CY162" s="286"/>
      <c r="CZ162" s="286"/>
      <c r="DA162" s="286"/>
      <c r="DB162" s="286"/>
      <c r="DC162" s="286"/>
      <c r="DD162" s="286"/>
      <c r="DE162" s="286"/>
      <c r="DF162" s="286"/>
      <c r="DG162" s="286"/>
      <c r="DH162" s="286"/>
      <c r="DI162" s="286"/>
      <c r="DJ162" s="286"/>
      <c r="DK162" s="286"/>
      <c r="DL162" s="286"/>
      <c r="DM162" s="286"/>
      <c r="DN162" s="286"/>
      <c r="DO162" s="286"/>
      <c r="DP162" s="286"/>
      <c r="DR162" s="58" t="str">
        <f>IF(ISNUMBER(MATCH(#REF!,'Audit Characteristic Mapping'!$B$3:$B$500,0)),"Y","")</f>
        <v/>
      </c>
      <c r="DS162" s="58" t="str">
        <f>IF(ISNUMBER(MATCH(#REF!,'Audit Characteristic Mapping'!$C$3:$C$500,0)),"Y","")</f>
        <v/>
      </c>
      <c r="DT162" s="58" t="str">
        <f>IF(ISNUMBER(MATCH(#REF!,'Audit Characteristic Mapping'!$D$3:$D$500,0)),"Y","")</f>
        <v/>
      </c>
      <c r="DU162" s="58" t="str">
        <f>IF(ISNUMBER(MATCH(#REF!,'Audit Characteristic Mapping'!$E$3:$E$500,0)),"Y","")</f>
        <v/>
      </c>
      <c r="DV162" s="58" t="str">
        <f>IF(ISNUMBER(MATCH(#REF!,'Audit Characteristic Mapping'!$F$3:$F$500,0)),"Y","")</f>
        <v/>
      </c>
      <c r="DW162" s="58" t="str">
        <f>IF(ISNUMBER(MATCH(#REF!,'Audit Characteristic Mapping'!$G$3:$G$500,0)),"Y","")</f>
        <v/>
      </c>
      <c r="DX162" s="58" t="str">
        <f>IF(ISNUMBER(MATCH(#REF!,'Audit Characteristic Mapping'!$H$3:$H$500,0)),"Y","")</f>
        <v/>
      </c>
      <c r="DY162" s="58" t="str">
        <f>IF(ISNUMBER(MATCH(#REF!,'Audit Characteristic Mapping'!$I$3:$I$500,0)),"Y","")</f>
        <v/>
      </c>
      <c r="DZ162" s="58" t="str">
        <f>IF(ISNUMBER(MATCH(#REF!,'Audit Characteristic Mapping'!$J$3:$J$500,0)),"Y","")</f>
        <v/>
      </c>
      <c r="EA162" s="58" t="str">
        <f>IF(ISNUMBER(MATCH(#REF!,'Audit Characteristic Mapping'!$K$3:$K$500,0)),"Y","")</f>
        <v/>
      </c>
    </row>
    <row r="163" spans="1:131" ht="16" hidden="1" x14ac:dyDescent="0.2">
      <c r="A163" s="226">
        <v>157</v>
      </c>
      <c r="B163" s="287" t="s">
        <v>253</v>
      </c>
      <c r="C163" s="226" t="s">
        <v>282</v>
      </c>
      <c r="D163" s="170">
        <v>5</v>
      </c>
      <c r="E163" s="288">
        <v>28</v>
      </c>
      <c r="F163" s="291" t="str">
        <f>VLOOKUP(Calculation!A163,'Descriptor maps'!$A$2:$F$1658,2,0)</f>
        <v>Studies &amp; Design</v>
      </c>
      <c r="G163" s="296" t="s">
        <v>7</v>
      </c>
      <c r="H163" s="290"/>
      <c r="I163" s="291"/>
      <c r="J163" s="292" cm="1">
        <f t="array" ref="J163">INDEX('Descriptor maps'!$I$2:$I$1658,MATCH(1,('Descriptor maps'!$A$2:$A$1658=Calculation!$A163)*('Descriptor maps'!$G$2:$G$1658=Calculation!$G163),0))</f>
        <v>1</v>
      </c>
      <c r="K163" s="226"/>
      <c r="L163" s="293"/>
      <c r="M163" s="293"/>
      <c r="N163" s="293"/>
      <c r="O163" s="293"/>
      <c r="P163" s="293"/>
      <c r="Q163" s="293"/>
      <c r="R163" s="293"/>
      <c r="S163" s="293"/>
      <c r="T163" s="293"/>
      <c r="U163" s="293"/>
      <c r="V163" s="293"/>
      <c r="W163" s="293"/>
      <c r="X163" s="293"/>
      <c r="Y163" s="29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c r="AW163" s="293"/>
      <c r="AX163" s="293"/>
      <c r="AY163" s="293"/>
      <c r="AZ163" s="293"/>
      <c r="BA163" s="293"/>
      <c r="BB163" s="293"/>
      <c r="BC163" s="293"/>
      <c r="BD163" s="293"/>
      <c r="BE163" s="293"/>
      <c r="BF163" s="293"/>
      <c r="BG163" s="293"/>
      <c r="BH163" s="293"/>
      <c r="BI163" s="293"/>
      <c r="BJ163" s="293"/>
      <c r="BK163" s="293"/>
      <c r="BL163" s="293"/>
      <c r="BM163" s="293"/>
      <c r="BN163" s="293"/>
      <c r="BO163" s="293"/>
      <c r="BP163" s="293"/>
      <c r="BQ163" s="293"/>
      <c r="BR163" s="293"/>
      <c r="BS163" s="293"/>
      <c r="BT163" s="293"/>
      <c r="BU163" s="293"/>
      <c r="BV163" s="293"/>
      <c r="BW163" s="293"/>
      <c r="BX163" s="293"/>
      <c r="BY163" s="293"/>
      <c r="BZ163" s="293"/>
      <c r="CA163" s="285"/>
      <c r="CB163" s="286"/>
      <c r="CC163" s="286"/>
      <c r="CD163" s="286"/>
      <c r="CE163" s="286"/>
      <c r="CF163" s="286"/>
      <c r="CG163" s="286"/>
      <c r="CH163" s="286"/>
      <c r="CI163" s="286"/>
      <c r="CJ163" s="286"/>
      <c r="CK163" s="286"/>
      <c r="CL163" s="286"/>
      <c r="CM163" s="286"/>
      <c r="CN163" s="286"/>
      <c r="CO163" s="286"/>
      <c r="CP163" s="286"/>
      <c r="CQ163" s="286"/>
      <c r="CR163" s="286"/>
      <c r="CS163" s="286"/>
      <c r="CT163" s="286"/>
      <c r="CU163" s="286"/>
      <c r="CV163" s="286"/>
      <c r="CW163" s="286"/>
      <c r="CX163" s="286"/>
      <c r="CY163" s="286"/>
      <c r="CZ163" s="286"/>
      <c r="DA163" s="286"/>
      <c r="DB163" s="286"/>
      <c r="DC163" s="286"/>
      <c r="DD163" s="286"/>
      <c r="DE163" s="286"/>
      <c r="DF163" s="286"/>
      <c r="DG163" s="286"/>
      <c r="DH163" s="286"/>
      <c r="DI163" s="286"/>
      <c r="DJ163" s="286"/>
      <c r="DK163" s="286"/>
      <c r="DL163" s="286"/>
      <c r="DM163" s="286"/>
      <c r="DN163" s="286"/>
      <c r="DO163" s="286"/>
      <c r="DP163" s="286"/>
      <c r="DR163" s="58" t="str">
        <f>IF(ISNUMBER(MATCH(#REF!,'Audit Characteristic Mapping'!$B$3:$B$500,0)),"Y","")</f>
        <v/>
      </c>
      <c r="DS163" s="58" t="str">
        <f>IF(ISNUMBER(MATCH(#REF!,'Audit Characteristic Mapping'!$C$3:$C$500,0)),"Y","")</f>
        <v/>
      </c>
      <c r="DT163" s="58" t="str">
        <f>IF(ISNUMBER(MATCH(#REF!,'Audit Characteristic Mapping'!$D$3:$D$500,0)),"Y","")</f>
        <v/>
      </c>
      <c r="DU163" s="58" t="str">
        <f>IF(ISNUMBER(MATCH(#REF!,'Audit Characteristic Mapping'!$E$3:$E$500,0)),"Y","")</f>
        <v/>
      </c>
      <c r="DV163" s="58" t="str">
        <f>IF(ISNUMBER(MATCH(#REF!,'Audit Characteristic Mapping'!$F$3:$F$500,0)),"Y","")</f>
        <v/>
      </c>
      <c r="DW163" s="58" t="str">
        <f>IF(ISNUMBER(MATCH(#REF!,'Audit Characteristic Mapping'!$G$3:$G$500,0)),"Y","")</f>
        <v/>
      </c>
      <c r="DX163" s="58" t="str">
        <f>IF(ISNUMBER(MATCH(#REF!,'Audit Characteristic Mapping'!$H$3:$H$500,0)),"Y","")</f>
        <v/>
      </c>
      <c r="DY163" s="58" t="str">
        <f>IF(ISNUMBER(MATCH(#REF!,'Audit Characteristic Mapping'!$I$3:$I$500,0)),"Y","")</f>
        <v/>
      </c>
      <c r="DZ163" s="58" t="str">
        <f>IF(ISNUMBER(MATCH(#REF!,'Audit Characteristic Mapping'!$J$3:$J$500,0)),"Y","")</f>
        <v/>
      </c>
      <c r="EA163" s="58" t="str">
        <f>IF(ISNUMBER(MATCH(#REF!,'Audit Characteristic Mapping'!$K$3:$K$500,0)),"Y","")</f>
        <v/>
      </c>
    </row>
    <row r="164" spans="1:131" ht="48" x14ac:dyDescent="0.2">
      <c r="A164" s="294">
        <v>158</v>
      </c>
      <c r="B164" s="287" t="s">
        <v>253</v>
      </c>
      <c r="C164" s="226" t="s">
        <v>282</v>
      </c>
      <c r="D164" s="170">
        <v>5</v>
      </c>
      <c r="E164" s="288">
        <v>28</v>
      </c>
      <c r="F164" s="291" t="str">
        <f>VLOOKUP(Calculation!A164,'Descriptor maps'!$A$2:$F$1658,6,0)</f>
        <v>Is there clear and detailed documented evidence that the Potential Failure Mode Assessment used objective data and current defensible methods to achieve the objective of identifying all potential failure modes for the facility?</v>
      </c>
      <c r="G164" s="296" t="s">
        <v>1193</v>
      </c>
      <c r="H164" s="290"/>
      <c r="I164" s="291" cm="1">
        <f t="array" ref="I164">INDEX('Descriptor maps'!$H$2:$H$1658,MATCH(1,('Descriptor maps'!$A$2:$A$1658=Calculation!$A164)*('Descriptor maps'!$G$2:$G$1658=Calculation!$G164),0))</f>
        <v>2</v>
      </c>
      <c r="J164" s="292" cm="1">
        <f t="array" ref="J164">INDEX('Descriptor maps'!$I$2:$I$1658,MATCH(1,('Descriptor maps'!$A$2:$A$1658=Calculation!$A164)*('Descriptor maps'!$G$2:$G$1658=Calculation!$G164),0))</f>
        <v>2</v>
      </c>
      <c r="K164" s="226"/>
      <c r="L164" s="293">
        <f>1*$J164</f>
        <v>2</v>
      </c>
      <c r="M164" s="293"/>
      <c r="N164" s="293"/>
      <c r="O164" s="293"/>
      <c r="P164" s="293"/>
      <c r="Q164" s="293"/>
      <c r="R164" s="293"/>
      <c r="S164" s="293">
        <f>1*$J164</f>
        <v>2</v>
      </c>
      <c r="T164" s="293"/>
      <c r="U164" s="293"/>
      <c r="V164" s="293"/>
      <c r="W164" s="293"/>
      <c r="X164" s="293"/>
      <c r="Y164" s="293"/>
      <c r="Z164" s="293">
        <f>1*$J164</f>
        <v>2</v>
      </c>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c r="AW164" s="293"/>
      <c r="AX164" s="293"/>
      <c r="AY164" s="293"/>
      <c r="AZ164" s="293"/>
      <c r="BA164" s="293"/>
      <c r="BB164" s="293"/>
      <c r="BC164" s="293"/>
      <c r="BD164" s="293"/>
      <c r="BE164" s="293"/>
      <c r="BF164" s="293"/>
      <c r="BG164" s="293"/>
      <c r="BH164" s="293"/>
      <c r="BI164" s="293"/>
      <c r="BJ164" s="293"/>
      <c r="BK164" s="293"/>
      <c r="BL164" s="293"/>
      <c r="BM164" s="293"/>
      <c r="BN164" s="293"/>
      <c r="BO164" s="293"/>
      <c r="BP164" s="293"/>
      <c r="BQ164" s="293"/>
      <c r="BR164" s="293"/>
      <c r="BS164" s="293"/>
      <c r="BT164" s="293"/>
      <c r="BU164" s="293"/>
      <c r="BV164" s="293"/>
      <c r="BW164" s="293"/>
      <c r="BX164" s="293"/>
      <c r="BY164" s="293"/>
      <c r="BZ164" s="293"/>
      <c r="CA164" s="285"/>
      <c r="CB164" s="286"/>
      <c r="CC164" s="286"/>
      <c r="CD164" s="286"/>
      <c r="CE164" s="286"/>
      <c r="CF164" s="286"/>
      <c r="CG164" s="286"/>
      <c r="CH164" s="286"/>
      <c r="CI164" s="286"/>
      <c r="CJ164" s="286"/>
      <c r="CK164" s="286"/>
      <c r="CL164" s="286"/>
      <c r="CM164" s="286"/>
      <c r="CN164" s="286"/>
      <c r="CO164" s="286"/>
      <c r="CP164" s="286"/>
      <c r="CQ164" s="286"/>
      <c r="CR164" s="286"/>
      <c r="CS164" s="286"/>
      <c r="CT164" s="286"/>
      <c r="CU164" s="286"/>
      <c r="CV164" s="286"/>
      <c r="CW164" s="286"/>
      <c r="CX164" s="286"/>
      <c r="CY164" s="286"/>
      <c r="CZ164" s="286"/>
      <c r="DA164" s="286"/>
      <c r="DB164" s="286"/>
      <c r="DC164" s="286"/>
      <c r="DD164" s="286"/>
      <c r="DE164" s="286"/>
      <c r="DF164" s="286"/>
      <c r="DG164" s="286"/>
      <c r="DH164" s="286"/>
      <c r="DI164" s="286"/>
      <c r="DJ164" s="286"/>
      <c r="DK164" s="286"/>
      <c r="DL164" s="286"/>
      <c r="DM164" s="286"/>
      <c r="DN164" s="286"/>
      <c r="DO164" s="286"/>
      <c r="DP164" s="286"/>
      <c r="DR164" s="58" t="str">
        <f>IF(ISNUMBER(MATCH(#REF!,'Audit Characteristic Mapping'!$B$3:$B$500,0)),"Y","")</f>
        <v/>
      </c>
      <c r="DS164" s="58" t="str">
        <f>IF(ISNUMBER(MATCH(#REF!,'Audit Characteristic Mapping'!$C$3:$C$500,0)),"Y","")</f>
        <v/>
      </c>
      <c r="DT164" s="58" t="str">
        <f>IF(ISNUMBER(MATCH(#REF!,'Audit Characteristic Mapping'!$D$3:$D$500,0)),"Y","")</f>
        <v/>
      </c>
      <c r="DU164" s="58" t="str">
        <f>IF(ISNUMBER(MATCH(#REF!,'Audit Characteristic Mapping'!$E$3:$E$500,0)),"Y","")</f>
        <v/>
      </c>
      <c r="DV164" s="58" t="str">
        <f>IF(ISNUMBER(MATCH(#REF!,'Audit Characteristic Mapping'!$F$3:$F$500,0)),"Y","")</f>
        <v/>
      </c>
      <c r="DW164" s="58" t="str">
        <f>IF(ISNUMBER(MATCH(#REF!,'Audit Characteristic Mapping'!$G$3:$G$500,0)),"Y","")</f>
        <v/>
      </c>
      <c r="DX164" s="58" t="str">
        <f>IF(ISNUMBER(MATCH(#REF!,'Audit Characteristic Mapping'!$H$3:$H$500,0)),"Y","")</f>
        <v/>
      </c>
      <c r="DY164" s="58" t="str">
        <f>IF(ISNUMBER(MATCH(#REF!,'Audit Characteristic Mapping'!$I$3:$I$500,0)),"Y","")</f>
        <v/>
      </c>
      <c r="DZ164" s="58" t="str">
        <f>IF(ISNUMBER(MATCH(#REF!,'Audit Characteristic Mapping'!$J$3:$J$500,0)),"Y","")</f>
        <v/>
      </c>
      <c r="EA164" s="58" t="str">
        <f>IF(ISNUMBER(MATCH(#REF!,'Audit Characteristic Mapping'!$K$3:$K$500,0)),"Y","")</f>
        <v/>
      </c>
    </row>
    <row r="165" spans="1:131" ht="64" x14ac:dyDescent="0.2">
      <c r="A165" s="294">
        <v>159</v>
      </c>
      <c r="B165" s="287" t="s">
        <v>253</v>
      </c>
      <c r="C165" s="226" t="s">
        <v>282</v>
      </c>
      <c r="D165" s="170">
        <v>5</v>
      </c>
      <c r="E165" s="288">
        <v>28</v>
      </c>
      <c r="F165" s="291" t="str">
        <f>VLOOKUP(Calculation!A165,'Descriptor maps'!$A$2:$F$1658,6,0)</f>
        <v>Is there documented evidence to demonstrate that the Potential Failure Mode Assessment was undertaken using defensible methods that are commensurate with the complexity and potential consequences of the facility, to achieve the objective of understanding the progression of potential failure modes from hazard to failure?</v>
      </c>
      <c r="G165" s="296" t="s">
        <v>1193</v>
      </c>
      <c r="H165" s="290"/>
      <c r="I165" s="291" cm="1">
        <f t="array" ref="I165">INDEX('Descriptor maps'!$H$2:$H$1658,MATCH(1,('Descriptor maps'!$A$2:$A$1658=Calculation!$A165)*('Descriptor maps'!$G$2:$G$1658=Calculation!$G165),0))</f>
        <v>2</v>
      </c>
      <c r="J165" s="292" cm="1">
        <f t="array" ref="J165">INDEX('Descriptor maps'!$I$2:$I$1658,MATCH(1,('Descriptor maps'!$A$2:$A$1658=Calculation!$A165)*('Descriptor maps'!$G$2:$G$1658=Calculation!$G165),0))</f>
        <v>2</v>
      </c>
      <c r="K165" s="226"/>
      <c r="L165" s="293">
        <f>1*$J165</f>
        <v>2</v>
      </c>
      <c r="M165" s="293"/>
      <c r="N165" s="293"/>
      <c r="O165" s="293"/>
      <c r="P165" s="293"/>
      <c r="Q165" s="293"/>
      <c r="R165" s="293"/>
      <c r="S165" s="293">
        <f>1*$J165</f>
        <v>2</v>
      </c>
      <c r="T165" s="293"/>
      <c r="U165" s="293"/>
      <c r="V165" s="293"/>
      <c r="W165" s="293"/>
      <c r="X165" s="293"/>
      <c r="Y165" s="293"/>
      <c r="Z165" s="293">
        <f>1*$J165</f>
        <v>2</v>
      </c>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c r="AW165" s="293"/>
      <c r="AX165" s="293"/>
      <c r="AY165" s="293"/>
      <c r="AZ165" s="293"/>
      <c r="BA165" s="293"/>
      <c r="BB165" s="293"/>
      <c r="BC165" s="293"/>
      <c r="BD165" s="293"/>
      <c r="BE165" s="293"/>
      <c r="BF165" s="293"/>
      <c r="BG165" s="293"/>
      <c r="BH165" s="293"/>
      <c r="BI165" s="293"/>
      <c r="BJ165" s="293"/>
      <c r="BK165" s="293"/>
      <c r="BL165" s="293"/>
      <c r="BM165" s="293"/>
      <c r="BN165" s="293"/>
      <c r="BO165" s="293"/>
      <c r="BP165" s="293"/>
      <c r="BQ165" s="293"/>
      <c r="BR165" s="293"/>
      <c r="BS165" s="293"/>
      <c r="BT165" s="293"/>
      <c r="BU165" s="293"/>
      <c r="BV165" s="293"/>
      <c r="BW165" s="293"/>
      <c r="BX165" s="293"/>
      <c r="BY165" s="293"/>
      <c r="BZ165" s="293"/>
      <c r="CA165" s="285"/>
      <c r="CB165" s="286"/>
      <c r="CC165" s="286"/>
      <c r="CD165" s="286"/>
      <c r="CE165" s="286"/>
      <c r="CF165" s="286"/>
      <c r="CG165" s="286"/>
      <c r="CH165" s="286"/>
      <c r="CI165" s="286"/>
      <c r="CJ165" s="286"/>
      <c r="CK165" s="286"/>
      <c r="CL165" s="286"/>
      <c r="CM165" s="286"/>
      <c r="CN165" s="286"/>
      <c r="CO165" s="286"/>
      <c r="CP165" s="286"/>
      <c r="CQ165" s="286"/>
      <c r="CR165" s="286"/>
      <c r="CS165" s="286"/>
      <c r="CT165" s="286"/>
      <c r="CU165" s="286"/>
      <c r="CV165" s="286"/>
      <c r="CW165" s="286"/>
      <c r="CX165" s="286"/>
      <c r="CY165" s="286"/>
      <c r="CZ165" s="286"/>
      <c r="DA165" s="286"/>
      <c r="DB165" s="286"/>
      <c r="DC165" s="286"/>
      <c r="DD165" s="286"/>
      <c r="DE165" s="286"/>
      <c r="DF165" s="286"/>
      <c r="DG165" s="286"/>
      <c r="DH165" s="286"/>
      <c r="DI165" s="286"/>
      <c r="DJ165" s="286"/>
      <c r="DK165" s="286"/>
      <c r="DL165" s="286"/>
      <c r="DM165" s="286"/>
      <c r="DN165" s="286"/>
      <c r="DO165" s="286"/>
      <c r="DP165" s="286"/>
      <c r="DR165" s="58" t="str">
        <f>IF(ISNUMBER(MATCH(#REF!,'Audit Characteristic Mapping'!$B$3:$B$500,0)),"Y","")</f>
        <v/>
      </c>
      <c r="DS165" s="58" t="str">
        <f>IF(ISNUMBER(MATCH(#REF!,'Audit Characteristic Mapping'!$C$3:$C$500,0)),"Y","")</f>
        <v/>
      </c>
      <c r="DT165" s="58" t="str">
        <f>IF(ISNUMBER(MATCH(#REF!,'Audit Characteristic Mapping'!$D$3:$D$500,0)),"Y","")</f>
        <v/>
      </c>
      <c r="DU165" s="58" t="str">
        <f>IF(ISNUMBER(MATCH(#REF!,'Audit Characteristic Mapping'!$E$3:$E$500,0)),"Y","")</f>
        <v/>
      </c>
      <c r="DV165" s="58" t="str">
        <f>IF(ISNUMBER(MATCH(#REF!,'Audit Characteristic Mapping'!$F$3:$F$500,0)),"Y","")</f>
        <v/>
      </c>
      <c r="DW165" s="58" t="str">
        <f>IF(ISNUMBER(MATCH(#REF!,'Audit Characteristic Mapping'!$G$3:$G$500,0)),"Y","")</f>
        <v/>
      </c>
      <c r="DX165" s="58" t="str">
        <f>IF(ISNUMBER(MATCH(#REF!,'Audit Characteristic Mapping'!$H$3:$H$500,0)),"Y","")</f>
        <v/>
      </c>
      <c r="DY165" s="58" t="str">
        <f>IF(ISNUMBER(MATCH(#REF!,'Audit Characteristic Mapping'!$I$3:$I$500,0)),"Y","")</f>
        <v/>
      </c>
      <c r="DZ165" s="58" t="str">
        <f>IF(ISNUMBER(MATCH(#REF!,'Audit Characteristic Mapping'!$J$3:$J$500,0)),"Y","")</f>
        <v/>
      </c>
      <c r="EA165" s="58" t="str">
        <f>IF(ISNUMBER(MATCH(#REF!,'Audit Characteristic Mapping'!$K$3:$K$500,0)),"Y","")</f>
        <v/>
      </c>
    </row>
    <row r="166" spans="1:131" ht="48" x14ac:dyDescent="0.2">
      <c r="A166" s="294">
        <v>160</v>
      </c>
      <c r="B166" s="287" t="s">
        <v>253</v>
      </c>
      <c r="C166" s="226" t="s">
        <v>282</v>
      </c>
      <c r="D166" s="170">
        <v>5</v>
      </c>
      <c r="E166" s="288">
        <v>28</v>
      </c>
      <c r="F166" s="291" t="str">
        <f>VLOOKUP(Calculation!A166,'Descriptor maps'!$A$2:$F$1658,6,0)</f>
        <v xml:space="preserve">Is there documented evidence that the outcomes of the Potential Failure Mode Assessment were considered throughout the design process with the objective of minimising the likelihood of failure under the identified failure modes? </v>
      </c>
      <c r="G166" s="296" t="s">
        <v>1193</v>
      </c>
      <c r="H166" s="290"/>
      <c r="I166" s="291" cm="1">
        <f t="array" ref="I166">INDEX('Descriptor maps'!$H$2:$H$1658,MATCH(1,('Descriptor maps'!$A$2:$A$1658=Calculation!$A166)*('Descriptor maps'!$G$2:$G$1658=Calculation!$G166),0))</f>
        <v>2</v>
      </c>
      <c r="J166" s="292" cm="1">
        <f t="array" ref="J166">INDEX('Descriptor maps'!$I$2:$I$1658,MATCH(1,('Descriptor maps'!$A$2:$A$1658=Calculation!$A166)*('Descriptor maps'!$G$2:$G$1658=Calculation!$G166),0))</f>
        <v>2</v>
      </c>
      <c r="K166" s="226"/>
      <c r="L166" s="293">
        <f>1*$J166</f>
        <v>2</v>
      </c>
      <c r="M166" s="293"/>
      <c r="N166" s="293"/>
      <c r="O166" s="293"/>
      <c r="P166" s="293"/>
      <c r="Q166" s="293"/>
      <c r="R166" s="293"/>
      <c r="S166" s="293">
        <f>1*$J166</f>
        <v>2</v>
      </c>
      <c r="T166" s="293"/>
      <c r="U166" s="293"/>
      <c r="V166" s="293"/>
      <c r="W166" s="293"/>
      <c r="X166" s="293"/>
      <c r="Y166" s="293"/>
      <c r="Z166" s="293">
        <f>1*$J166</f>
        <v>2</v>
      </c>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c r="AW166" s="293"/>
      <c r="AX166" s="293"/>
      <c r="AY166" s="293"/>
      <c r="AZ166" s="293"/>
      <c r="BA166" s="293"/>
      <c r="BB166" s="293"/>
      <c r="BC166" s="293"/>
      <c r="BD166" s="293"/>
      <c r="BE166" s="293"/>
      <c r="BF166" s="293"/>
      <c r="BG166" s="293"/>
      <c r="BH166" s="293"/>
      <c r="BI166" s="293"/>
      <c r="BJ166" s="293"/>
      <c r="BK166" s="293"/>
      <c r="BL166" s="293"/>
      <c r="BM166" s="293"/>
      <c r="BN166" s="293"/>
      <c r="BO166" s="293"/>
      <c r="BP166" s="293"/>
      <c r="BQ166" s="293"/>
      <c r="BR166" s="293"/>
      <c r="BS166" s="293"/>
      <c r="BT166" s="293"/>
      <c r="BU166" s="293"/>
      <c r="BV166" s="293"/>
      <c r="BW166" s="293"/>
      <c r="BX166" s="293"/>
      <c r="BY166" s="293"/>
      <c r="BZ166" s="293"/>
      <c r="CA166" s="285"/>
      <c r="CB166" s="286"/>
      <c r="CC166" s="286"/>
      <c r="CD166" s="286"/>
      <c r="CE166" s="286"/>
      <c r="CF166" s="286"/>
      <c r="CG166" s="286"/>
      <c r="CH166" s="286"/>
      <c r="CI166" s="286"/>
      <c r="CJ166" s="286"/>
      <c r="CK166" s="286"/>
      <c r="CL166" s="286"/>
      <c r="CM166" s="286"/>
      <c r="CN166" s="286"/>
      <c r="CO166" s="286"/>
      <c r="CP166" s="286"/>
      <c r="CQ166" s="286"/>
      <c r="CR166" s="286"/>
      <c r="CS166" s="286"/>
      <c r="CT166" s="286"/>
      <c r="CU166" s="286"/>
      <c r="CV166" s="286"/>
      <c r="CW166" s="286"/>
      <c r="CX166" s="286"/>
      <c r="CY166" s="286"/>
      <c r="CZ166" s="286"/>
      <c r="DA166" s="286"/>
      <c r="DB166" s="286"/>
      <c r="DC166" s="286"/>
      <c r="DD166" s="286"/>
      <c r="DE166" s="286"/>
      <c r="DF166" s="286"/>
      <c r="DG166" s="286"/>
      <c r="DH166" s="286"/>
      <c r="DI166" s="286"/>
      <c r="DJ166" s="286"/>
      <c r="DK166" s="286"/>
      <c r="DL166" s="286"/>
      <c r="DM166" s="286"/>
      <c r="DN166" s="286"/>
      <c r="DO166" s="286"/>
      <c r="DP166" s="286"/>
      <c r="DR166" s="58" t="str">
        <f>IF(ISNUMBER(MATCH(#REF!,'Audit Characteristic Mapping'!$B$3:$B$500,0)),"Y","")</f>
        <v/>
      </c>
      <c r="DS166" s="58" t="str">
        <f>IF(ISNUMBER(MATCH(#REF!,'Audit Characteristic Mapping'!$C$3:$C$500,0)),"Y","")</f>
        <v/>
      </c>
      <c r="DT166" s="58" t="str">
        <f>IF(ISNUMBER(MATCH(#REF!,'Audit Characteristic Mapping'!$D$3:$D$500,0)),"Y","")</f>
        <v/>
      </c>
      <c r="DU166" s="58" t="str">
        <f>IF(ISNUMBER(MATCH(#REF!,'Audit Characteristic Mapping'!$E$3:$E$500,0)),"Y","")</f>
        <v/>
      </c>
      <c r="DV166" s="58" t="str">
        <f>IF(ISNUMBER(MATCH(#REF!,'Audit Characteristic Mapping'!$F$3:$F$500,0)),"Y","")</f>
        <v/>
      </c>
      <c r="DW166" s="58" t="str">
        <f>IF(ISNUMBER(MATCH(#REF!,'Audit Characteristic Mapping'!$G$3:$G$500,0)),"Y","")</f>
        <v/>
      </c>
      <c r="DX166" s="58" t="str">
        <f>IF(ISNUMBER(MATCH(#REF!,'Audit Characteristic Mapping'!$H$3:$H$500,0)),"Y","")</f>
        <v/>
      </c>
      <c r="DY166" s="58" t="str">
        <f>IF(ISNUMBER(MATCH(#REF!,'Audit Characteristic Mapping'!$I$3:$I$500,0)),"Y","")</f>
        <v/>
      </c>
      <c r="DZ166" s="58" t="str">
        <f>IF(ISNUMBER(MATCH(#REF!,'Audit Characteristic Mapping'!$J$3:$J$500,0)),"Y","")</f>
        <v/>
      </c>
      <c r="EA166" s="58" t="str">
        <f>IF(ISNUMBER(MATCH(#REF!,'Audit Characteristic Mapping'!$K$3:$K$500,0)),"Y","")</f>
        <v/>
      </c>
    </row>
    <row r="167" spans="1:131" ht="16" hidden="1" x14ac:dyDescent="0.2">
      <c r="A167" s="288">
        <v>161</v>
      </c>
      <c r="B167" s="287" t="s">
        <v>253</v>
      </c>
      <c r="C167" s="226" t="s">
        <v>285</v>
      </c>
      <c r="D167" s="170">
        <v>5</v>
      </c>
      <c r="E167" s="288">
        <v>29</v>
      </c>
      <c r="F167" s="291" t="str">
        <f>VLOOKUP(Calculation!A167,'Descriptor maps'!$A$2:$F$1658,2,0)</f>
        <v>Studies &amp; Design</v>
      </c>
      <c r="G167" s="296"/>
      <c r="H167" s="290"/>
      <c r="I167" s="291"/>
      <c r="J167" s="292" t="e" cm="1">
        <f t="array" ref="J167">INDEX('Descriptor maps'!$I$2:$I$1658,MATCH(1,('Descriptor maps'!$A$2:$A$1658=Calculation!$A167)*('Descriptor maps'!$G$2:$G$1658=Calculation!$G167),0))</f>
        <v>#N/A</v>
      </c>
      <c r="K167" s="226"/>
      <c r="L167" s="293"/>
      <c r="M167" s="293"/>
      <c r="N167" s="293"/>
      <c r="O167" s="293"/>
      <c r="P167" s="293"/>
      <c r="Q167" s="293"/>
      <c r="R167" s="293"/>
      <c r="S167" s="293"/>
      <c r="T167" s="293"/>
      <c r="U167" s="293"/>
      <c r="V167" s="293"/>
      <c r="W167" s="293"/>
      <c r="X167" s="293"/>
      <c r="Y167" s="29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c r="AW167" s="293"/>
      <c r="AX167" s="293"/>
      <c r="AY167" s="293"/>
      <c r="AZ167" s="293"/>
      <c r="BA167" s="293"/>
      <c r="BB167" s="293"/>
      <c r="BC167" s="293"/>
      <c r="BD167" s="293"/>
      <c r="BE167" s="293"/>
      <c r="BF167" s="293"/>
      <c r="BG167" s="293"/>
      <c r="BH167" s="293"/>
      <c r="BI167" s="293"/>
      <c r="BJ167" s="293"/>
      <c r="BK167" s="293"/>
      <c r="BL167" s="293"/>
      <c r="BM167" s="293"/>
      <c r="BN167" s="293"/>
      <c r="BO167" s="293"/>
      <c r="BP167" s="293"/>
      <c r="BQ167" s="293"/>
      <c r="BR167" s="293"/>
      <c r="BS167" s="293"/>
      <c r="BT167" s="293"/>
      <c r="BU167" s="293"/>
      <c r="BV167" s="293"/>
      <c r="BW167" s="293"/>
      <c r="BX167" s="293"/>
      <c r="BY167" s="293"/>
      <c r="BZ167" s="293"/>
      <c r="CA167" s="285"/>
      <c r="CB167" s="286"/>
      <c r="CC167" s="286"/>
      <c r="CD167" s="286"/>
      <c r="CE167" s="286"/>
      <c r="CF167" s="286"/>
      <c r="CG167" s="286"/>
      <c r="CH167" s="286"/>
      <c r="CI167" s="286"/>
      <c r="CJ167" s="286"/>
      <c r="CK167" s="286"/>
      <c r="CL167" s="286"/>
      <c r="CM167" s="286"/>
      <c r="CN167" s="286"/>
      <c r="CO167" s="286"/>
      <c r="CP167" s="286"/>
      <c r="CQ167" s="286"/>
      <c r="CR167" s="286"/>
      <c r="CS167" s="286"/>
      <c r="CT167" s="286"/>
      <c r="CU167" s="286"/>
      <c r="CV167" s="286"/>
      <c r="CW167" s="286"/>
      <c r="CX167" s="286"/>
      <c r="CY167" s="286"/>
      <c r="CZ167" s="286"/>
      <c r="DA167" s="286"/>
      <c r="DB167" s="286"/>
      <c r="DC167" s="286"/>
      <c r="DD167" s="286"/>
      <c r="DE167" s="286"/>
      <c r="DF167" s="286"/>
      <c r="DG167" s="286"/>
      <c r="DH167" s="286"/>
      <c r="DI167" s="286"/>
      <c r="DJ167" s="286"/>
      <c r="DK167" s="286"/>
      <c r="DL167" s="286"/>
      <c r="DM167" s="286"/>
      <c r="DN167" s="286"/>
      <c r="DO167" s="286"/>
      <c r="DP167" s="286"/>
      <c r="DR167" s="58" t="str">
        <f>IF(ISNUMBER(MATCH(#REF!,'Audit Characteristic Mapping'!$B$3:$B$500,0)),"Y","")</f>
        <v/>
      </c>
      <c r="DS167" s="58" t="str">
        <f>IF(ISNUMBER(MATCH(#REF!,'Audit Characteristic Mapping'!$C$3:$C$500,0)),"Y","")</f>
        <v/>
      </c>
      <c r="DT167" s="58" t="str">
        <f>IF(ISNUMBER(MATCH(#REF!,'Audit Characteristic Mapping'!$D$3:$D$500,0)),"Y","")</f>
        <v/>
      </c>
      <c r="DU167" s="58" t="str">
        <f>IF(ISNUMBER(MATCH(#REF!,'Audit Characteristic Mapping'!$E$3:$E$500,0)),"Y","")</f>
        <v/>
      </c>
      <c r="DV167" s="58" t="str">
        <f>IF(ISNUMBER(MATCH(#REF!,'Audit Characteristic Mapping'!$F$3:$F$500,0)),"Y","")</f>
        <v/>
      </c>
      <c r="DW167" s="58" t="str">
        <f>IF(ISNUMBER(MATCH(#REF!,'Audit Characteristic Mapping'!$G$3:$G$500,0)),"Y","")</f>
        <v/>
      </c>
      <c r="DX167" s="58" t="str">
        <f>IF(ISNUMBER(MATCH(#REF!,'Audit Characteristic Mapping'!$H$3:$H$500,0)),"Y","")</f>
        <v/>
      </c>
      <c r="DY167" s="58" t="str">
        <f>IF(ISNUMBER(MATCH(#REF!,'Audit Characteristic Mapping'!$I$3:$I$500,0)),"Y","")</f>
        <v/>
      </c>
      <c r="DZ167" s="58" t="str">
        <f>IF(ISNUMBER(MATCH(#REF!,'Audit Characteristic Mapping'!$J$3:$J$500,0)),"Y","")</f>
        <v/>
      </c>
      <c r="EA167" s="58" t="str">
        <f>IF(ISNUMBER(MATCH(#REF!,'Audit Characteristic Mapping'!$K$3:$K$500,0)),"Y","")</f>
        <v/>
      </c>
    </row>
    <row r="168" spans="1:131" ht="16" hidden="1" x14ac:dyDescent="0.2">
      <c r="A168" s="288">
        <v>162</v>
      </c>
      <c r="B168" s="287" t="s">
        <v>253</v>
      </c>
      <c r="C168" s="226" t="s">
        <v>285</v>
      </c>
      <c r="D168" s="170">
        <v>5</v>
      </c>
      <c r="E168" s="288">
        <v>29</v>
      </c>
      <c r="F168" s="291" t="str">
        <f>VLOOKUP(Calculation!A168,'Descriptor maps'!$A$2:$F$1658,2,0)</f>
        <v>Studies &amp; Design</v>
      </c>
      <c r="G168" s="296"/>
      <c r="H168" s="290"/>
      <c r="I168" s="291"/>
      <c r="J168" s="292" t="e" cm="1">
        <f t="array" ref="J168">INDEX('Descriptor maps'!$I$2:$I$1658,MATCH(1,('Descriptor maps'!$A$2:$A$1658=Calculation!$A168)*('Descriptor maps'!$G$2:$G$1658=Calculation!$G168),0))</f>
        <v>#N/A</v>
      </c>
      <c r="K168" s="226"/>
      <c r="L168" s="293"/>
      <c r="M168" s="293"/>
      <c r="N168" s="293"/>
      <c r="O168" s="293"/>
      <c r="P168" s="293"/>
      <c r="Q168" s="293"/>
      <c r="R168" s="293"/>
      <c r="S168" s="293"/>
      <c r="T168" s="293"/>
      <c r="U168" s="293"/>
      <c r="V168" s="293"/>
      <c r="W168" s="293"/>
      <c r="X168" s="293"/>
      <c r="Y168" s="29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c r="AW168" s="293"/>
      <c r="AX168" s="293"/>
      <c r="AY168" s="293"/>
      <c r="AZ168" s="293"/>
      <c r="BA168" s="293"/>
      <c r="BB168" s="293"/>
      <c r="BC168" s="293"/>
      <c r="BD168" s="293"/>
      <c r="BE168" s="293"/>
      <c r="BF168" s="293"/>
      <c r="BG168" s="293"/>
      <c r="BH168" s="293"/>
      <c r="BI168" s="293"/>
      <c r="BJ168" s="293"/>
      <c r="BK168" s="293"/>
      <c r="BL168" s="293"/>
      <c r="BM168" s="293"/>
      <c r="BN168" s="293"/>
      <c r="BO168" s="293"/>
      <c r="BP168" s="293"/>
      <c r="BQ168" s="293"/>
      <c r="BR168" s="293"/>
      <c r="BS168" s="293"/>
      <c r="BT168" s="293"/>
      <c r="BU168" s="293"/>
      <c r="BV168" s="293"/>
      <c r="BW168" s="293"/>
      <c r="BX168" s="293"/>
      <c r="BY168" s="293"/>
      <c r="BZ168" s="293"/>
      <c r="CA168" s="285"/>
      <c r="CB168" s="286"/>
      <c r="CC168" s="286"/>
      <c r="CD168" s="286"/>
      <c r="CE168" s="286"/>
      <c r="CF168" s="286"/>
      <c r="CG168" s="286"/>
      <c r="CH168" s="286"/>
      <c r="CI168" s="286"/>
      <c r="CJ168" s="286"/>
      <c r="CK168" s="286"/>
      <c r="CL168" s="286"/>
      <c r="CM168" s="286"/>
      <c r="CN168" s="286"/>
      <c r="CO168" s="286"/>
      <c r="CP168" s="286"/>
      <c r="CQ168" s="286"/>
      <c r="CR168" s="286"/>
      <c r="CS168" s="286"/>
      <c r="CT168" s="286"/>
      <c r="CU168" s="286"/>
      <c r="CV168" s="286"/>
      <c r="CW168" s="286"/>
      <c r="CX168" s="286"/>
      <c r="CY168" s="286"/>
      <c r="CZ168" s="286"/>
      <c r="DA168" s="286"/>
      <c r="DB168" s="286"/>
      <c r="DC168" s="286"/>
      <c r="DD168" s="286"/>
      <c r="DE168" s="286"/>
      <c r="DF168" s="286"/>
      <c r="DG168" s="286"/>
      <c r="DH168" s="286"/>
      <c r="DI168" s="286"/>
      <c r="DJ168" s="286"/>
      <c r="DK168" s="286"/>
      <c r="DL168" s="286"/>
      <c r="DM168" s="286"/>
      <c r="DN168" s="286"/>
      <c r="DO168" s="286"/>
      <c r="DP168" s="286"/>
      <c r="DR168" s="58" t="str">
        <f>IF(ISNUMBER(MATCH(#REF!,'Audit Characteristic Mapping'!$B$3:$B$500,0)),"Y","")</f>
        <v/>
      </c>
      <c r="DS168" s="58" t="str">
        <f>IF(ISNUMBER(MATCH(#REF!,'Audit Characteristic Mapping'!$C$3:$C$500,0)),"Y","")</f>
        <v/>
      </c>
      <c r="DT168" s="58" t="str">
        <f>IF(ISNUMBER(MATCH(#REF!,'Audit Characteristic Mapping'!$D$3:$D$500,0)),"Y","")</f>
        <v/>
      </c>
      <c r="DU168" s="58" t="str">
        <f>IF(ISNUMBER(MATCH(#REF!,'Audit Characteristic Mapping'!$E$3:$E$500,0)),"Y","")</f>
        <v/>
      </c>
      <c r="DV168" s="58" t="str">
        <f>IF(ISNUMBER(MATCH(#REF!,'Audit Characteristic Mapping'!$F$3:$F$500,0)),"Y","")</f>
        <v/>
      </c>
      <c r="DW168" s="58" t="str">
        <f>IF(ISNUMBER(MATCH(#REF!,'Audit Characteristic Mapping'!$G$3:$G$500,0)),"Y","")</f>
        <v/>
      </c>
      <c r="DX168" s="58" t="str">
        <f>IF(ISNUMBER(MATCH(#REF!,'Audit Characteristic Mapping'!$H$3:$H$500,0)),"Y","")</f>
        <v/>
      </c>
      <c r="DY168" s="58" t="str">
        <f>IF(ISNUMBER(MATCH(#REF!,'Audit Characteristic Mapping'!$I$3:$I$500,0)),"Y","")</f>
        <v/>
      </c>
      <c r="DZ168" s="58" t="str">
        <f>IF(ISNUMBER(MATCH(#REF!,'Audit Characteristic Mapping'!$J$3:$J$500,0)),"Y","")</f>
        <v/>
      </c>
      <c r="EA168" s="58" t="str">
        <f>IF(ISNUMBER(MATCH(#REF!,'Audit Characteristic Mapping'!$K$3:$K$500,0)),"Y","")</f>
        <v/>
      </c>
    </row>
    <row r="169" spans="1:131" ht="16" hidden="1" x14ac:dyDescent="0.2">
      <c r="A169" s="288">
        <v>163</v>
      </c>
      <c r="B169" s="287" t="s">
        <v>253</v>
      </c>
      <c r="C169" s="226" t="s">
        <v>285</v>
      </c>
      <c r="D169" s="170">
        <v>5</v>
      </c>
      <c r="E169" s="288">
        <v>29</v>
      </c>
      <c r="F169" s="291" t="str">
        <f>VLOOKUP(Calculation!A169,'Descriptor maps'!$A$2:$F$1658,2,0)</f>
        <v>Studies &amp; Design</v>
      </c>
      <c r="G169" s="296"/>
      <c r="H169" s="290"/>
      <c r="I169" s="291"/>
      <c r="J169" s="292" t="e" cm="1">
        <f t="array" ref="J169">INDEX('Descriptor maps'!$I$2:$I$1658,MATCH(1,('Descriptor maps'!$A$2:$A$1658=Calculation!$A169)*('Descriptor maps'!$G$2:$G$1658=Calculation!$G169),0))</f>
        <v>#N/A</v>
      </c>
      <c r="K169" s="226"/>
      <c r="L169" s="293"/>
      <c r="M169" s="293"/>
      <c r="N169" s="293"/>
      <c r="O169" s="293"/>
      <c r="P169" s="293"/>
      <c r="Q169" s="293"/>
      <c r="R169" s="293"/>
      <c r="S169" s="293"/>
      <c r="T169" s="293"/>
      <c r="U169" s="293"/>
      <c r="V169" s="293"/>
      <c r="W169" s="293"/>
      <c r="X169" s="293"/>
      <c r="Y169" s="29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c r="AW169" s="293"/>
      <c r="AX169" s="293"/>
      <c r="AY169" s="293"/>
      <c r="AZ169" s="293"/>
      <c r="BA169" s="293"/>
      <c r="BB169" s="293"/>
      <c r="BC169" s="293"/>
      <c r="BD169" s="293"/>
      <c r="BE169" s="293"/>
      <c r="BF169" s="293"/>
      <c r="BG169" s="293"/>
      <c r="BH169" s="293"/>
      <c r="BI169" s="293"/>
      <c r="BJ169" s="293"/>
      <c r="BK169" s="293"/>
      <c r="BL169" s="293"/>
      <c r="BM169" s="293"/>
      <c r="BN169" s="293"/>
      <c r="BO169" s="293"/>
      <c r="BP169" s="293"/>
      <c r="BQ169" s="293"/>
      <c r="BR169" s="293"/>
      <c r="BS169" s="293"/>
      <c r="BT169" s="293"/>
      <c r="BU169" s="293"/>
      <c r="BV169" s="293"/>
      <c r="BW169" s="293"/>
      <c r="BX169" s="293"/>
      <c r="BY169" s="293"/>
      <c r="BZ169" s="293"/>
      <c r="CA169" s="285"/>
      <c r="CB169" s="286"/>
      <c r="CC169" s="286"/>
      <c r="CD169" s="286"/>
      <c r="CE169" s="286"/>
      <c r="CF169" s="286"/>
      <c r="CG169" s="286"/>
      <c r="CH169" s="286"/>
      <c r="CI169" s="286"/>
      <c r="CJ169" s="286"/>
      <c r="CK169" s="286"/>
      <c r="CL169" s="286"/>
      <c r="CM169" s="286"/>
      <c r="CN169" s="286"/>
      <c r="CO169" s="286"/>
      <c r="CP169" s="286"/>
      <c r="CQ169" s="286"/>
      <c r="CR169" s="286"/>
      <c r="CS169" s="286"/>
      <c r="CT169" s="286"/>
      <c r="CU169" s="286"/>
      <c r="CV169" s="286"/>
      <c r="CW169" s="286"/>
      <c r="CX169" s="286"/>
      <c r="CY169" s="286"/>
      <c r="CZ169" s="286"/>
      <c r="DA169" s="286"/>
      <c r="DB169" s="286"/>
      <c r="DC169" s="286"/>
      <c r="DD169" s="286"/>
      <c r="DE169" s="286"/>
      <c r="DF169" s="286"/>
      <c r="DG169" s="286"/>
      <c r="DH169" s="286"/>
      <c r="DI169" s="286"/>
      <c r="DJ169" s="286"/>
      <c r="DK169" s="286"/>
      <c r="DL169" s="286"/>
      <c r="DM169" s="286"/>
      <c r="DN169" s="286"/>
      <c r="DO169" s="286"/>
      <c r="DP169" s="286"/>
      <c r="DR169" s="58" t="str">
        <f>IF(ISNUMBER(MATCH(#REF!,'Audit Characteristic Mapping'!$B$3:$B$500,0)),"Y","")</f>
        <v/>
      </c>
      <c r="DS169" s="58" t="str">
        <f>IF(ISNUMBER(MATCH(#REF!,'Audit Characteristic Mapping'!$C$3:$C$500,0)),"Y","")</f>
        <v/>
      </c>
      <c r="DT169" s="58" t="str">
        <f>IF(ISNUMBER(MATCH(#REF!,'Audit Characteristic Mapping'!$D$3:$D$500,0)),"Y","")</f>
        <v/>
      </c>
      <c r="DU169" s="58" t="str">
        <f>IF(ISNUMBER(MATCH(#REF!,'Audit Characteristic Mapping'!$E$3:$E$500,0)),"Y","")</f>
        <v/>
      </c>
      <c r="DV169" s="58" t="str">
        <f>IF(ISNUMBER(MATCH(#REF!,'Audit Characteristic Mapping'!$F$3:$F$500,0)),"Y","")</f>
        <v/>
      </c>
      <c r="DW169" s="58" t="str">
        <f>IF(ISNUMBER(MATCH(#REF!,'Audit Characteristic Mapping'!$G$3:$G$500,0)),"Y","")</f>
        <v/>
      </c>
      <c r="DX169" s="58" t="str">
        <f>IF(ISNUMBER(MATCH(#REF!,'Audit Characteristic Mapping'!$H$3:$H$500,0)),"Y","")</f>
        <v/>
      </c>
      <c r="DY169" s="58" t="str">
        <f>IF(ISNUMBER(MATCH(#REF!,'Audit Characteristic Mapping'!$I$3:$I$500,0)),"Y","")</f>
        <v/>
      </c>
      <c r="DZ169" s="58" t="str">
        <f>IF(ISNUMBER(MATCH(#REF!,'Audit Characteristic Mapping'!$J$3:$J$500,0)),"Y","")</f>
        <v/>
      </c>
      <c r="EA169" s="58" t="str">
        <f>IF(ISNUMBER(MATCH(#REF!,'Audit Characteristic Mapping'!$K$3:$K$500,0)),"Y","")</f>
        <v/>
      </c>
    </row>
    <row r="170" spans="1:131" ht="16" hidden="1" x14ac:dyDescent="0.2">
      <c r="A170" s="288">
        <v>164</v>
      </c>
      <c r="B170" s="287" t="s">
        <v>253</v>
      </c>
      <c r="C170" s="226" t="s">
        <v>285</v>
      </c>
      <c r="D170" s="170">
        <v>5</v>
      </c>
      <c r="E170" s="288">
        <v>29</v>
      </c>
      <c r="F170" s="291" t="str">
        <f>VLOOKUP(Calculation!A170,'Descriptor maps'!$A$2:$F$1658,2,0)</f>
        <v>Studies &amp; Design</v>
      </c>
      <c r="G170" s="296"/>
      <c r="H170" s="290"/>
      <c r="I170" s="291"/>
      <c r="J170" s="292" t="e" cm="1">
        <f t="array" ref="J170">INDEX('Descriptor maps'!$I$2:$I$1658,MATCH(1,('Descriptor maps'!$A$2:$A$1658=Calculation!$A170)*('Descriptor maps'!$G$2:$G$1658=Calculation!$G170),0))</f>
        <v>#N/A</v>
      </c>
      <c r="K170" s="226"/>
      <c r="L170" s="293"/>
      <c r="M170" s="293"/>
      <c r="N170" s="293"/>
      <c r="O170" s="293"/>
      <c r="P170" s="293"/>
      <c r="Q170" s="293"/>
      <c r="R170" s="293"/>
      <c r="S170" s="293"/>
      <c r="T170" s="293"/>
      <c r="U170" s="293"/>
      <c r="V170" s="293"/>
      <c r="W170" s="293"/>
      <c r="X170" s="293"/>
      <c r="Y170" s="29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c r="AW170" s="293"/>
      <c r="AX170" s="293"/>
      <c r="AY170" s="293"/>
      <c r="AZ170" s="293"/>
      <c r="BA170" s="293"/>
      <c r="BB170" s="293"/>
      <c r="BC170" s="293"/>
      <c r="BD170" s="293"/>
      <c r="BE170" s="293"/>
      <c r="BF170" s="293"/>
      <c r="BG170" s="293"/>
      <c r="BH170" s="293"/>
      <c r="BI170" s="293"/>
      <c r="BJ170" s="293"/>
      <c r="BK170" s="293"/>
      <c r="BL170" s="293"/>
      <c r="BM170" s="293"/>
      <c r="BN170" s="293"/>
      <c r="BO170" s="293"/>
      <c r="BP170" s="293"/>
      <c r="BQ170" s="293"/>
      <c r="BR170" s="293"/>
      <c r="BS170" s="293"/>
      <c r="BT170" s="293"/>
      <c r="BU170" s="293"/>
      <c r="BV170" s="293"/>
      <c r="BW170" s="293"/>
      <c r="BX170" s="293"/>
      <c r="BY170" s="293"/>
      <c r="BZ170" s="293"/>
      <c r="CA170" s="285"/>
      <c r="CB170" s="286"/>
      <c r="CC170" s="286"/>
      <c r="CD170" s="286"/>
      <c r="CE170" s="286"/>
      <c r="CF170" s="286"/>
      <c r="CG170" s="286"/>
      <c r="CH170" s="286"/>
      <c r="CI170" s="286"/>
      <c r="CJ170" s="286"/>
      <c r="CK170" s="286"/>
      <c r="CL170" s="286"/>
      <c r="CM170" s="286"/>
      <c r="CN170" s="286"/>
      <c r="CO170" s="286"/>
      <c r="CP170" s="286"/>
      <c r="CQ170" s="286"/>
      <c r="CR170" s="286"/>
      <c r="CS170" s="286"/>
      <c r="CT170" s="286"/>
      <c r="CU170" s="286"/>
      <c r="CV170" s="286"/>
      <c r="CW170" s="286"/>
      <c r="CX170" s="286"/>
      <c r="CY170" s="286"/>
      <c r="CZ170" s="286"/>
      <c r="DA170" s="286"/>
      <c r="DB170" s="286"/>
      <c r="DC170" s="286"/>
      <c r="DD170" s="286"/>
      <c r="DE170" s="286"/>
      <c r="DF170" s="286"/>
      <c r="DG170" s="286"/>
      <c r="DH170" s="286"/>
      <c r="DI170" s="286"/>
      <c r="DJ170" s="286"/>
      <c r="DK170" s="286"/>
      <c r="DL170" s="286"/>
      <c r="DM170" s="286"/>
      <c r="DN170" s="286"/>
      <c r="DO170" s="286"/>
      <c r="DP170" s="286"/>
      <c r="DR170" s="58" t="str">
        <f>IF(ISNUMBER(MATCH(#REF!,'Audit Characteristic Mapping'!$B$3:$B$500,0)),"Y","")</f>
        <v/>
      </c>
      <c r="DS170" s="58" t="str">
        <f>IF(ISNUMBER(MATCH(#REF!,'Audit Characteristic Mapping'!$C$3:$C$500,0)),"Y","")</f>
        <v/>
      </c>
      <c r="DT170" s="58" t="str">
        <f>IF(ISNUMBER(MATCH(#REF!,'Audit Characteristic Mapping'!$D$3:$D$500,0)),"Y","")</f>
        <v/>
      </c>
      <c r="DU170" s="58" t="str">
        <f>IF(ISNUMBER(MATCH(#REF!,'Audit Characteristic Mapping'!$E$3:$E$500,0)),"Y","")</f>
        <v/>
      </c>
      <c r="DV170" s="58" t="str">
        <f>IF(ISNUMBER(MATCH(#REF!,'Audit Characteristic Mapping'!$F$3:$F$500,0)),"Y","")</f>
        <v/>
      </c>
      <c r="DW170" s="58" t="str">
        <f>IF(ISNUMBER(MATCH(#REF!,'Audit Characteristic Mapping'!$G$3:$G$500,0)),"Y","")</f>
        <v/>
      </c>
      <c r="DX170" s="58" t="str">
        <f>IF(ISNUMBER(MATCH(#REF!,'Audit Characteristic Mapping'!$H$3:$H$500,0)),"Y","")</f>
        <v/>
      </c>
      <c r="DY170" s="58" t="str">
        <f>IF(ISNUMBER(MATCH(#REF!,'Audit Characteristic Mapping'!$I$3:$I$500,0)),"Y","")</f>
        <v/>
      </c>
      <c r="DZ170" s="58" t="str">
        <f>IF(ISNUMBER(MATCH(#REF!,'Audit Characteristic Mapping'!$J$3:$J$500,0)),"Y","")</f>
        <v/>
      </c>
      <c r="EA170" s="58" t="str">
        <f>IF(ISNUMBER(MATCH(#REF!,'Audit Characteristic Mapping'!$K$3:$K$500,0)),"Y","")</f>
        <v/>
      </c>
    </row>
    <row r="171" spans="1:131" ht="16" hidden="1" x14ac:dyDescent="0.2">
      <c r="A171" s="288">
        <v>165</v>
      </c>
      <c r="B171" s="287" t="s">
        <v>253</v>
      </c>
      <c r="C171" s="226" t="s">
        <v>285</v>
      </c>
      <c r="D171" s="170">
        <v>5</v>
      </c>
      <c r="E171" s="288">
        <v>29</v>
      </c>
      <c r="F171" s="291" t="str">
        <f>VLOOKUP(Calculation!A171,'Descriptor maps'!$A$2:$F$1658,2,0)</f>
        <v>Studies &amp; Design</v>
      </c>
      <c r="G171" s="296"/>
      <c r="H171" s="290"/>
      <c r="I171" s="291"/>
      <c r="J171" s="292" t="e" cm="1">
        <f t="array" ref="J171">INDEX('Descriptor maps'!$I$2:$I$1658,MATCH(1,('Descriptor maps'!$A$2:$A$1658=Calculation!$A171)*('Descriptor maps'!$G$2:$G$1658=Calculation!$G171),0))</f>
        <v>#N/A</v>
      </c>
      <c r="K171" s="226"/>
      <c r="L171" s="293"/>
      <c r="M171" s="293"/>
      <c r="N171" s="293"/>
      <c r="O171" s="293"/>
      <c r="P171" s="293"/>
      <c r="Q171" s="293"/>
      <c r="R171" s="293"/>
      <c r="S171" s="293"/>
      <c r="T171" s="293"/>
      <c r="U171" s="293"/>
      <c r="V171" s="293"/>
      <c r="W171" s="293"/>
      <c r="X171" s="293"/>
      <c r="Y171" s="29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c r="AW171" s="293"/>
      <c r="AX171" s="293"/>
      <c r="AY171" s="293"/>
      <c r="AZ171" s="293"/>
      <c r="BA171" s="293"/>
      <c r="BB171" s="293"/>
      <c r="BC171" s="293"/>
      <c r="BD171" s="293"/>
      <c r="BE171" s="293"/>
      <c r="BF171" s="293"/>
      <c r="BG171" s="293"/>
      <c r="BH171" s="293"/>
      <c r="BI171" s="293"/>
      <c r="BJ171" s="293"/>
      <c r="BK171" s="293"/>
      <c r="BL171" s="293"/>
      <c r="BM171" s="293"/>
      <c r="BN171" s="293"/>
      <c r="BO171" s="293"/>
      <c r="BP171" s="293"/>
      <c r="BQ171" s="293"/>
      <c r="BR171" s="293"/>
      <c r="BS171" s="293"/>
      <c r="BT171" s="293"/>
      <c r="BU171" s="293"/>
      <c r="BV171" s="293"/>
      <c r="BW171" s="293"/>
      <c r="BX171" s="293"/>
      <c r="BY171" s="293"/>
      <c r="BZ171" s="293"/>
      <c r="CA171" s="285"/>
      <c r="CB171" s="286"/>
      <c r="CC171" s="286"/>
      <c r="CD171" s="286"/>
      <c r="CE171" s="286"/>
      <c r="CF171" s="286"/>
      <c r="CG171" s="286"/>
      <c r="CH171" s="286"/>
      <c r="CI171" s="286"/>
      <c r="CJ171" s="286"/>
      <c r="CK171" s="286"/>
      <c r="CL171" s="286"/>
      <c r="CM171" s="286"/>
      <c r="CN171" s="286"/>
      <c r="CO171" s="286"/>
      <c r="CP171" s="286"/>
      <c r="CQ171" s="286"/>
      <c r="CR171" s="286"/>
      <c r="CS171" s="286"/>
      <c r="CT171" s="286"/>
      <c r="CU171" s="286"/>
      <c r="CV171" s="286"/>
      <c r="CW171" s="286"/>
      <c r="CX171" s="286"/>
      <c r="CY171" s="286"/>
      <c r="CZ171" s="286"/>
      <c r="DA171" s="286"/>
      <c r="DB171" s="286"/>
      <c r="DC171" s="286"/>
      <c r="DD171" s="286"/>
      <c r="DE171" s="286"/>
      <c r="DF171" s="286"/>
      <c r="DG171" s="286"/>
      <c r="DH171" s="286"/>
      <c r="DI171" s="286"/>
      <c r="DJ171" s="286"/>
      <c r="DK171" s="286"/>
      <c r="DL171" s="286"/>
      <c r="DM171" s="286"/>
      <c r="DN171" s="286"/>
      <c r="DO171" s="286"/>
      <c r="DP171" s="286"/>
      <c r="DR171" s="58" t="str">
        <f>IF(ISNUMBER(MATCH(#REF!,'Audit Characteristic Mapping'!$B$3:$B$500,0)),"Y","")</f>
        <v/>
      </c>
      <c r="DS171" s="58" t="str">
        <f>IF(ISNUMBER(MATCH(#REF!,'Audit Characteristic Mapping'!$C$3:$C$500,0)),"Y","")</f>
        <v/>
      </c>
      <c r="DT171" s="58" t="str">
        <f>IF(ISNUMBER(MATCH(#REF!,'Audit Characteristic Mapping'!$D$3:$D$500,0)),"Y","")</f>
        <v/>
      </c>
      <c r="DU171" s="58" t="str">
        <f>IF(ISNUMBER(MATCH(#REF!,'Audit Characteristic Mapping'!$E$3:$E$500,0)),"Y","")</f>
        <v/>
      </c>
      <c r="DV171" s="58" t="str">
        <f>IF(ISNUMBER(MATCH(#REF!,'Audit Characteristic Mapping'!$F$3:$F$500,0)),"Y","")</f>
        <v/>
      </c>
      <c r="DW171" s="58" t="str">
        <f>IF(ISNUMBER(MATCH(#REF!,'Audit Characteristic Mapping'!$G$3:$G$500,0)),"Y","")</f>
        <v/>
      </c>
      <c r="DX171" s="58" t="str">
        <f>IF(ISNUMBER(MATCH(#REF!,'Audit Characteristic Mapping'!$H$3:$H$500,0)),"Y","")</f>
        <v/>
      </c>
      <c r="DY171" s="58" t="str">
        <f>IF(ISNUMBER(MATCH(#REF!,'Audit Characteristic Mapping'!$I$3:$I$500,0)),"Y","")</f>
        <v/>
      </c>
      <c r="DZ171" s="58" t="str">
        <f>IF(ISNUMBER(MATCH(#REF!,'Audit Characteristic Mapping'!$J$3:$J$500,0)),"Y","")</f>
        <v/>
      </c>
      <c r="EA171" s="58" t="str">
        <f>IF(ISNUMBER(MATCH(#REF!,'Audit Characteristic Mapping'!$K$3:$K$500,0)),"Y","")</f>
        <v/>
      </c>
    </row>
    <row r="172" spans="1:131" ht="16" hidden="1" x14ac:dyDescent="0.2">
      <c r="A172" s="288">
        <v>166</v>
      </c>
      <c r="B172" s="287" t="s">
        <v>253</v>
      </c>
      <c r="C172" s="226" t="s">
        <v>285</v>
      </c>
      <c r="D172" s="170">
        <v>5</v>
      </c>
      <c r="E172" s="288">
        <v>29</v>
      </c>
      <c r="F172" s="291" t="str">
        <f>VLOOKUP(Calculation!A172,'Descriptor maps'!$A$2:$F$1658,2,0)</f>
        <v>Studies &amp; Design</v>
      </c>
      <c r="G172" s="296"/>
      <c r="H172" s="290"/>
      <c r="I172" s="291"/>
      <c r="J172" s="292" t="e" cm="1">
        <f t="array" ref="J172">INDEX('Descriptor maps'!$I$2:$I$1658,MATCH(1,('Descriptor maps'!$A$2:$A$1658=Calculation!$A172)*('Descriptor maps'!$G$2:$G$1658=Calculation!$G172),0))</f>
        <v>#N/A</v>
      </c>
      <c r="K172" s="226"/>
      <c r="L172" s="293"/>
      <c r="M172" s="293"/>
      <c r="N172" s="293"/>
      <c r="O172" s="293"/>
      <c r="P172" s="293"/>
      <c r="Q172" s="293"/>
      <c r="R172" s="293"/>
      <c r="S172" s="293"/>
      <c r="T172" s="293"/>
      <c r="U172" s="293"/>
      <c r="V172" s="293"/>
      <c r="W172" s="293"/>
      <c r="X172" s="293"/>
      <c r="Y172" s="29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c r="AW172" s="293"/>
      <c r="AX172" s="293"/>
      <c r="AY172" s="293"/>
      <c r="AZ172" s="293"/>
      <c r="BA172" s="293"/>
      <c r="BB172" s="293"/>
      <c r="BC172" s="293"/>
      <c r="BD172" s="293"/>
      <c r="BE172" s="293"/>
      <c r="BF172" s="293"/>
      <c r="BG172" s="293"/>
      <c r="BH172" s="293"/>
      <c r="BI172" s="293"/>
      <c r="BJ172" s="293"/>
      <c r="BK172" s="293"/>
      <c r="BL172" s="293"/>
      <c r="BM172" s="293"/>
      <c r="BN172" s="293"/>
      <c r="BO172" s="293"/>
      <c r="BP172" s="293"/>
      <c r="BQ172" s="293"/>
      <c r="BR172" s="293"/>
      <c r="BS172" s="293"/>
      <c r="BT172" s="293"/>
      <c r="BU172" s="293"/>
      <c r="BV172" s="293"/>
      <c r="BW172" s="293"/>
      <c r="BX172" s="293"/>
      <c r="BY172" s="293"/>
      <c r="BZ172" s="293"/>
      <c r="CA172" s="285"/>
      <c r="CB172" s="286"/>
      <c r="CC172" s="286"/>
      <c r="CD172" s="286"/>
      <c r="CE172" s="286"/>
      <c r="CF172" s="286"/>
      <c r="CG172" s="286"/>
      <c r="CH172" s="286"/>
      <c r="CI172" s="286"/>
      <c r="CJ172" s="286"/>
      <c r="CK172" s="286"/>
      <c r="CL172" s="286"/>
      <c r="CM172" s="286"/>
      <c r="CN172" s="286"/>
      <c r="CO172" s="286"/>
      <c r="CP172" s="286"/>
      <c r="CQ172" s="286"/>
      <c r="CR172" s="286"/>
      <c r="CS172" s="286"/>
      <c r="CT172" s="286"/>
      <c r="CU172" s="286"/>
      <c r="CV172" s="286"/>
      <c r="CW172" s="286"/>
      <c r="CX172" s="286"/>
      <c r="CY172" s="286"/>
      <c r="CZ172" s="286"/>
      <c r="DA172" s="286"/>
      <c r="DB172" s="286"/>
      <c r="DC172" s="286"/>
      <c r="DD172" s="286"/>
      <c r="DE172" s="286"/>
      <c r="DF172" s="286"/>
      <c r="DG172" s="286"/>
      <c r="DH172" s="286"/>
      <c r="DI172" s="286"/>
      <c r="DJ172" s="286"/>
      <c r="DK172" s="286"/>
      <c r="DL172" s="286"/>
      <c r="DM172" s="286"/>
      <c r="DN172" s="286"/>
      <c r="DO172" s="286"/>
      <c r="DP172" s="286"/>
      <c r="DR172" s="58" t="str">
        <f>IF(ISNUMBER(MATCH(#REF!,'Audit Characteristic Mapping'!$B$3:$B$500,0)),"Y","")</f>
        <v/>
      </c>
      <c r="DS172" s="58" t="str">
        <f>IF(ISNUMBER(MATCH(#REF!,'Audit Characteristic Mapping'!$C$3:$C$500,0)),"Y","")</f>
        <v/>
      </c>
      <c r="DT172" s="58" t="str">
        <f>IF(ISNUMBER(MATCH(#REF!,'Audit Characteristic Mapping'!$D$3:$D$500,0)),"Y","")</f>
        <v/>
      </c>
      <c r="DU172" s="58" t="str">
        <f>IF(ISNUMBER(MATCH(#REF!,'Audit Characteristic Mapping'!$E$3:$E$500,0)),"Y","")</f>
        <v/>
      </c>
      <c r="DV172" s="58" t="str">
        <f>IF(ISNUMBER(MATCH(#REF!,'Audit Characteristic Mapping'!$F$3:$F$500,0)),"Y","")</f>
        <v/>
      </c>
      <c r="DW172" s="58" t="str">
        <f>IF(ISNUMBER(MATCH(#REF!,'Audit Characteristic Mapping'!$G$3:$G$500,0)),"Y","")</f>
        <v/>
      </c>
      <c r="DX172" s="58" t="str">
        <f>IF(ISNUMBER(MATCH(#REF!,'Audit Characteristic Mapping'!$H$3:$H$500,0)),"Y","")</f>
        <v/>
      </c>
      <c r="DY172" s="58" t="str">
        <f>IF(ISNUMBER(MATCH(#REF!,'Audit Characteristic Mapping'!$I$3:$I$500,0)),"Y","")</f>
        <v/>
      </c>
      <c r="DZ172" s="58" t="str">
        <f>IF(ISNUMBER(MATCH(#REF!,'Audit Characteristic Mapping'!$J$3:$J$500,0)),"Y","")</f>
        <v/>
      </c>
      <c r="EA172" s="58" t="str">
        <f>IF(ISNUMBER(MATCH(#REF!,'Audit Characteristic Mapping'!$K$3:$K$500,0)),"Y","")</f>
        <v/>
      </c>
    </row>
    <row r="173" spans="1:131" ht="16" hidden="1" x14ac:dyDescent="0.2">
      <c r="A173" s="288">
        <v>167</v>
      </c>
      <c r="B173" s="287" t="s">
        <v>253</v>
      </c>
      <c r="C173" s="226" t="s">
        <v>285</v>
      </c>
      <c r="D173" s="170">
        <v>5</v>
      </c>
      <c r="E173" s="288">
        <v>29</v>
      </c>
      <c r="F173" s="291" t="str">
        <f>VLOOKUP(Calculation!A173,'Descriptor maps'!$A$2:$F$1658,2,0)</f>
        <v>Studies &amp; Design</v>
      </c>
      <c r="G173" s="296"/>
      <c r="H173" s="290"/>
      <c r="I173" s="291"/>
      <c r="J173" s="292" t="e" cm="1">
        <f t="array" ref="J173">INDEX('Descriptor maps'!$I$2:$I$1658,MATCH(1,('Descriptor maps'!$A$2:$A$1658=Calculation!$A173)*('Descriptor maps'!$G$2:$G$1658=Calculation!$G173),0))</f>
        <v>#N/A</v>
      </c>
      <c r="K173" s="226"/>
      <c r="L173" s="293"/>
      <c r="M173" s="293"/>
      <c r="N173" s="293"/>
      <c r="O173" s="29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c r="AW173" s="293"/>
      <c r="AX173" s="293"/>
      <c r="AY173" s="293"/>
      <c r="AZ173" s="293"/>
      <c r="BA173" s="293"/>
      <c r="BB173" s="293"/>
      <c r="BC173" s="293"/>
      <c r="BD173" s="293"/>
      <c r="BE173" s="293"/>
      <c r="BF173" s="293"/>
      <c r="BG173" s="293"/>
      <c r="BH173" s="293"/>
      <c r="BI173" s="293"/>
      <c r="BJ173" s="293"/>
      <c r="BK173" s="293"/>
      <c r="BL173" s="293"/>
      <c r="BM173" s="293"/>
      <c r="BN173" s="293"/>
      <c r="BO173" s="293"/>
      <c r="BP173" s="293"/>
      <c r="BQ173" s="293"/>
      <c r="BR173" s="293"/>
      <c r="BS173" s="293"/>
      <c r="BT173" s="293"/>
      <c r="BU173" s="293"/>
      <c r="BV173" s="293"/>
      <c r="BW173" s="293"/>
      <c r="BX173" s="293"/>
      <c r="BY173" s="293"/>
      <c r="BZ173" s="293"/>
      <c r="CA173" s="285"/>
      <c r="CB173" s="286"/>
      <c r="CC173" s="286"/>
      <c r="CD173" s="286"/>
      <c r="CE173" s="286"/>
      <c r="CF173" s="286"/>
      <c r="CG173" s="286"/>
      <c r="CH173" s="286"/>
      <c r="CI173" s="286"/>
      <c r="CJ173" s="286"/>
      <c r="CK173" s="286"/>
      <c r="CL173" s="286"/>
      <c r="CM173" s="286"/>
      <c r="CN173" s="286"/>
      <c r="CO173" s="286"/>
      <c r="CP173" s="286"/>
      <c r="CQ173" s="286"/>
      <c r="CR173" s="286"/>
      <c r="CS173" s="286"/>
      <c r="CT173" s="286"/>
      <c r="CU173" s="286"/>
      <c r="CV173" s="286"/>
      <c r="CW173" s="286"/>
      <c r="CX173" s="286"/>
      <c r="CY173" s="286"/>
      <c r="CZ173" s="286"/>
      <c r="DA173" s="286"/>
      <c r="DB173" s="286"/>
      <c r="DC173" s="286"/>
      <c r="DD173" s="286"/>
      <c r="DE173" s="286"/>
      <c r="DF173" s="286"/>
      <c r="DG173" s="286"/>
      <c r="DH173" s="286"/>
      <c r="DI173" s="286"/>
      <c r="DJ173" s="286"/>
      <c r="DK173" s="286"/>
      <c r="DL173" s="286"/>
      <c r="DM173" s="286"/>
      <c r="DN173" s="286"/>
      <c r="DO173" s="286"/>
      <c r="DP173" s="286"/>
      <c r="DR173" s="58" t="str">
        <f>IF(ISNUMBER(MATCH(#REF!,'Audit Characteristic Mapping'!$B$3:$B$500,0)),"Y","")</f>
        <v/>
      </c>
      <c r="DS173" s="58" t="str">
        <f>IF(ISNUMBER(MATCH(#REF!,'Audit Characteristic Mapping'!$C$3:$C$500,0)),"Y","")</f>
        <v/>
      </c>
      <c r="DT173" s="58" t="str">
        <f>IF(ISNUMBER(MATCH(#REF!,'Audit Characteristic Mapping'!$D$3:$D$500,0)),"Y","")</f>
        <v/>
      </c>
      <c r="DU173" s="58" t="str">
        <f>IF(ISNUMBER(MATCH(#REF!,'Audit Characteristic Mapping'!$E$3:$E$500,0)),"Y","")</f>
        <v/>
      </c>
      <c r="DV173" s="58" t="str">
        <f>IF(ISNUMBER(MATCH(#REF!,'Audit Characteristic Mapping'!$F$3:$F$500,0)),"Y","")</f>
        <v/>
      </c>
      <c r="DW173" s="58" t="str">
        <f>IF(ISNUMBER(MATCH(#REF!,'Audit Characteristic Mapping'!$G$3:$G$500,0)),"Y","")</f>
        <v/>
      </c>
      <c r="DX173" s="58" t="str">
        <f>IF(ISNUMBER(MATCH(#REF!,'Audit Characteristic Mapping'!$H$3:$H$500,0)),"Y","")</f>
        <v/>
      </c>
      <c r="DY173" s="58" t="str">
        <f>IF(ISNUMBER(MATCH(#REF!,'Audit Characteristic Mapping'!$I$3:$I$500,0)),"Y","")</f>
        <v/>
      </c>
      <c r="DZ173" s="58" t="str">
        <f>IF(ISNUMBER(MATCH(#REF!,'Audit Characteristic Mapping'!$J$3:$J$500,0)),"Y","")</f>
        <v/>
      </c>
      <c r="EA173" s="58" t="str">
        <f>IF(ISNUMBER(MATCH(#REF!,'Audit Characteristic Mapping'!$K$3:$K$500,0)),"Y","")</f>
        <v/>
      </c>
    </row>
    <row r="174" spans="1:131" ht="16" hidden="1" x14ac:dyDescent="0.2">
      <c r="A174" s="288">
        <v>168</v>
      </c>
      <c r="B174" s="287" t="s">
        <v>253</v>
      </c>
      <c r="C174" s="226" t="s">
        <v>285</v>
      </c>
      <c r="D174" s="170">
        <v>5</v>
      </c>
      <c r="E174" s="288">
        <v>29</v>
      </c>
      <c r="F174" s="291" t="str">
        <f>VLOOKUP(Calculation!A174,'Descriptor maps'!$A$2:$F$1658,2,0)</f>
        <v>Studies &amp; Design</v>
      </c>
      <c r="G174" s="296"/>
      <c r="H174" s="290"/>
      <c r="I174" s="291"/>
      <c r="J174" s="292" t="e" cm="1">
        <f t="array" ref="J174">INDEX('Descriptor maps'!$I$2:$I$1658,MATCH(1,('Descriptor maps'!$A$2:$A$1658=Calculation!$A174)*('Descriptor maps'!$G$2:$G$1658=Calculation!$G174),0))</f>
        <v>#N/A</v>
      </c>
      <c r="K174" s="226"/>
      <c r="L174" s="293"/>
      <c r="M174" s="293"/>
      <c r="N174" s="293"/>
      <c r="O174" s="293"/>
      <c r="P174" s="293"/>
      <c r="Q174" s="293"/>
      <c r="R174" s="293"/>
      <c r="S174" s="293"/>
      <c r="T174" s="293"/>
      <c r="U174" s="293"/>
      <c r="V174" s="293"/>
      <c r="W174" s="293"/>
      <c r="X174" s="293"/>
      <c r="Y174" s="29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c r="AW174" s="293"/>
      <c r="AX174" s="293"/>
      <c r="AY174" s="293"/>
      <c r="AZ174" s="293"/>
      <c r="BA174" s="293"/>
      <c r="BB174" s="293"/>
      <c r="BC174" s="293"/>
      <c r="BD174" s="293"/>
      <c r="BE174" s="293"/>
      <c r="BF174" s="293"/>
      <c r="BG174" s="293"/>
      <c r="BH174" s="293"/>
      <c r="BI174" s="293"/>
      <c r="BJ174" s="293"/>
      <c r="BK174" s="293"/>
      <c r="BL174" s="293"/>
      <c r="BM174" s="293"/>
      <c r="BN174" s="293"/>
      <c r="BO174" s="293"/>
      <c r="BP174" s="293"/>
      <c r="BQ174" s="293"/>
      <c r="BR174" s="293"/>
      <c r="BS174" s="293"/>
      <c r="BT174" s="293"/>
      <c r="BU174" s="293"/>
      <c r="BV174" s="293"/>
      <c r="BW174" s="293"/>
      <c r="BX174" s="293"/>
      <c r="BY174" s="293"/>
      <c r="BZ174" s="293"/>
      <c r="CA174" s="285"/>
      <c r="CB174" s="286"/>
      <c r="CC174" s="286"/>
      <c r="CD174" s="286"/>
      <c r="CE174" s="286"/>
      <c r="CF174" s="286"/>
      <c r="CG174" s="286"/>
      <c r="CH174" s="286"/>
      <c r="CI174" s="286"/>
      <c r="CJ174" s="286"/>
      <c r="CK174" s="286"/>
      <c r="CL174" s="286"/>
      <c r="CM174" s="286"/>
      <c r="CN174" s="286"/>
      <c r="CO174" s="286"/>
      <c r="CP174" s="286"/>
      <c r="CQ174" s="286"/>
      <c r="CR174" s="286"/>
      <c r="CS174" s="286"/>
      <c r="CT174" s="286"/>
      <c r="CU174" s="286"/>
      <c r="CV174" s="286"/>
      <c r="CW174" s="286"/>
      <c r="CX174" s="286"/>
      <c r="CY174" s="286"/>
      <c r="CZ174" s="286"/>
      <c r="DA174" s="286"/>
      <c r="DB174" s="286"/>
      <c r="DC174" s="286"/>
      <c r="DD174" s="286"/>
      <c r="DE174" s="286"/>
      <c r="DF174" s="286"/>
      <c r="DG174" s="286"/>
      <c r="DH174" s="286"/>
      <c r="DI174" s="286"/>
      <c r="DJ174" s="286"/>
      <c r="DK174" s="286"/>
      <c r="DL174" s="286"/>
      <c r="DM174" s="286"/>
      <c r="DN174" s="286"/>
      <c r="DO174" s="286"/>
      <c r="DP174" s="286"/>
      <c r="DR174" s="58" t="str">
        <f>IF(ISNUMBER(MATCH(#REF!,'Audit Characteristic Mapping'!$B$3:$B$500,0)),"Y","")</f>
        <v/>
      </c>
      <c r="DS174" s="58" t="str">
        <f>IF(ISNUMBER(MATCH(#REF!,'Audit Characteristic Mapping'!$C$3:$C$500,0)),"Y","")</f>
        <v/>
      </c>
      <c r="DT174" s="58" t="str">
        <f>IF(ISNUMBER(MATCH(#REF!,'Audit Characteristic Mapping'!$D$3:$D$500,0)),"Y","")</f>
        <v/>
      </c>
      <c r="DU174" s="58" t="str">
        <f>IF(ISNUMBER(MATCH(#REF!,'Audit Characteristic Mapping'!$E$3:$E$500,0)),"Y","")</f>
        <v/>
      </c>
      <c r="DV174" s="58" t="str">
        <f>IF(ISNUMBER(MATCH(#REF!,'Audit Characteristic Mapping'!$F$3:$F$500,0)),"Y","")</f>
        <v/>
      </c>
      <c r="DW174" s="58" t="str">
        <f>IF(ISNUMBER(MATCH(#REF!,'Audit Characteristic Mapping'!$G$3:$G$500,0)),"Y","")</f>
        <v/>
      </c>
      <c r="DX174" s="58" t="str">
        <f>IF(ISNUMBER(MATCH(#REF!,'Audit Characteristic Mapping'!$H$3:$H$500,0)),"Y","")</f>
        <v/>
      </c>
      <c r="DY174" s="58" t="str">
        <f>IF(ISNUMBER(MATCH(#REF!,'Audit Characteristic Mapping'!$I$3:$I$500,0)),"Y","")</f>
        <v/>
      </c>
      <c r="DZ174" s="58" t="str">
        <f>IF(ISNUMBER(MATCH(#REF!,'Audit Characteristic Mapping'!$J$3:$J$500,0)),"Y","")</f>
        <v/>
      </c>
      <c r="EA174" s="58" t="str">
        <f>IF(ISNUMBER(MATCH(#REF!,'Audit Characteristic Mapping'!$K$3:$K$500,0)),"Y","")</f>
        <v/>
      </c>
    </row>
    <row r="175" spans="1:131" ht="16" hidden="1" x14ac:dyDescent="0.2">
      <c r="A175" s="288">
        <v>169</v>
      </c>
      <c r="B175" s="287" t="s">
        <v>253</v>
      </c>
      <c r="C175" s="226" t="s">
        <v>285</v>
      </c>
      <c r="D175" s="170">
        <v>5</v>
      </c>
      <c r="E175" s="288">
        <v>29</v>
      </c>
      <c r="F175" s="291" t="str">
        <f>VLOOKUP(Calculation!A175,'Descriptor maps'!$A$2:$F$1658,2,0)</f>
        <v>Studies &amp; Design</v>
      </c>
      <c r="G175" s="296"/>
      <c r="H175" s="290"/>
      <c r="I175" s="291"/>
      <c r="J175" s="292" t="e" cm="1">
        <f t="array" ref="J175">INDEX('Descriptor maps'!$I$2:$I$1658,MATCH(1,('Descriptor maps'!$A$2:$A$1658=Calculation!$A175)*('Descriptor maps'!$G$2:$G$1658=Calculation!$G175),0))</f>
        <v>#N/A</v>
      </c>
      <c r="K175" s="226"/>
      <c r="L175" s="293"/>
      <c r="M175" s="293"/>
      <c r="N175" s="293"/>
      <c r="O175" s="293"/>
      <c r="P175" s="293"/>
      <c r="Q175" s="293"/>
      <c r="R175" s="293"/>
      <c r="S175" s="293"/>
      <c r="T175" s="293"/>
      <c r="U175" s="293"/>
      <c r="V175" s="293"/>
      <c r="W175" s="293"/>
      <c r="X175" s="293"/>
      <c r="Y175" s="293"/>
      <c r="Z175" s="293"/>
      <c r="AA175" s="293"/>
      <c r="AB175" s="293"/>
      <c r="AC175" s="293"/>
      <c r="AD175" s="293"/>
      <c r="AE175" s="293"/>
      <c r="AF175" s="293"/>
      <c r="AG175" s="293"/>
      <c r="AH175" s="293"/>
      <c r="AI175" s="293"/>
      <c r="AJ175" s="293"/>
      <c r="AK175" s="293"/>
      <c r="AL175" s="293"/>
      <c r="AM175" s="293"/>
      <c r="AN175" s="293"/>
      <c r="AO175" s="293"/>
      <c r="AP175" s="293"/>
      <c r="AQ175" s="293"/>
      <c r="AR175" s="293"/>
      <c r="AS175" s="293"/>
      <c r="AT175" s="293"/>
      <c r="AU175" s="293"/>
      <c r="AV175" s="293"/>
      <c r="AW175" s="293"/>
      <c r="AX175" s="293"/>
      <c r="AY175" s="293"/>
      <c r="AZ175" s="293"/>
      <c r="BA175" s="293"/>
      <c r="BB175" s="293"/>
      <c r="BC175" s="293"/>
      <c r="BD175" s="293"/>
      <c r="BE175" s="293"/>
      <c r="BF175" s="293"/>
      <c r="BG175" s="293"/>
      <c r="BH175" s="293"/>
      <c r="BI175" s="293"/>
      <c r="BJ175" s="293"/>
      <c r="BK175" s="293"/>
      <c r="BL175" s="293"/>
      <c r="BM175" s="293"/>
      <c r="BN175" s="293"/>
      <c r="BO175" s="293"/>
      <c r="BP175" s="293"/>
      <c r="BQ175" s="293"/>
      <c r="BR175" s="293"/>
      <c r="BS175" s="293"/>
      <c r="BT175" s="293"/>
      <c r="BU175" s="293"/>
      <c r="BV175" s="293"/>
      <c r="BW175" s="293"/>
      <c r="BX175" s="293"/>
      <c r="BY175" s="293"/>
      <c r="BZ175" s="293"/>
      <c r="CA175" s="285"/>
      <c r="CB175" s="286"/>
      <c r="CC175" s="286"/>
      <c r="CD175" s="286"/>
      <c r="CE175" s="286"/>
      <c r="CF175" s="286"/>
      <c r="CG175" s="286"/>
      <c r="CH175" s="286"/>
      <c r="CI175" s="286"/>
      <c r="CJ175" s="286"/>
      <c r="CK175" s="286"/>
      <c r="CL175" s="286"/>
      <c r="CM175" s="286"/>
      <c r="CN175" s="286"/>
      <c r="CO175" s="286"/>
      <c r="CP175" s="286"/>
      <c r="CQ175" s="286"/>
      <c r="CR175" s="286"/>
      <c r="CS175" s="286"/>
      <c r="CT175" s="286"/>
      <c r="CU175" s="286"/>
      <c r="CV175" s="286"/>
      <c r="CW175" s="286"/>
      <c r="CX175" s="286"/>
      <c r="CY175" s="286"/>
      <c r="CZ175" s="286"/>
      <c r="DA175" s="286"/>
      <c r="DB175" s="286"/>
      <c r="DC175" s="286"/>
      <c r="DD175" s="286"/>
      <c r="DE175" s="286"/>
      <c r="DF175" s="286"/>
      <c r="DG175" s="286"/>
      <c r="DH175" s="286"/>
      <c r="DI175" s="286"/>
      <c r="DJ175" s="286"/>
      <c r="DK175" s="286"/>
      <c r="DL175" s="286"/>
      <c r="DM175" s="286"/>
      <c r="DN175" s="286"/>
      <c r="DO175" s="286"/>
      <c r="DP175" s="286"/>
      <c r="DR175" s="58" t="str">
        <f>IF(ISNUMBER(MATCH(#REF!,'Audit Characteristic Mapping'!$B$3:$B$500,0)),"Y","")</f>
        <v/>
      </c>
      <c r="DS175" s="58" t="str">
        <f>IF(ISNUMBER(MATCH(#REF!,'Audit Characteristic Mapping'!$C$3:$C$500,0)),"Y","")</f>
        <v/>
      </c>
      <c r="DT175" s="58" t="str">
        <f>IF(ISNUMBER(MATCH(#REF!,'Audit Characteristic Mapping'!$D$3:$D$500,0)),"Y","")</f>
        <v/>
      </c>
      <c r="DU175" s="58" t="str">
        <f>IF(ISNUMBER(MATCH(#REF!,'Audit Characteristic Mapping'!$E$3:$E$500,0)),"Y","")</f>
        <v/>
      </c>
      <c r="DV175" s="58" t="str">
        <f>IF(ISNUMBER(MATCH(#REF!,'Audit Characteristic Mapping'!$F$3:$F$500,0)),"Y","")</f>
        <v/>
      </c>
      <c r="DW175" s="58" t="str">
        <f>IF(ISNUMBER(MATCH(#REF!,'Audit Characteristic Mapping'!$G$3:$G$500,0)),"Y","")</f>
        <v/>
      </c>
      <c r="DX175" s="58" t="str">
        <f>IF(ISNUMBER(MATCH(#REF!,'Audit Characteristic Mapping'!$H$3:$H$500,0)),"Y","")</f>
        <v/>
      </c>
      <c r="DY175" s="58" t="str">
        <f>IF(ISNUMBER(MATCH(#REF!,'Audit Characteristic Mapping'!$I$3:$I$500,0)),"Y","")</f>
        <v/>
      </c>
      <c r="DZ175" s="58" t="str">
        <f>IF(ISNUMBER(MATCH(#REF!,'Audit Characteristic Mapping'!$J$3:$J$500,0)),"Y","")</f>
        <v/>
      </c>
      <c r="EA175" s="58" t="str">
        <f>IF(ISNUMBER(MATCH(#REF!,'Audit Characteristic Mapping'!$K$3:$K$500,0)),"Y","")</f>
        <v/>
      </c>
    </row>
    <row r="176" spans="1:131" ht="16" hidden="1" x14ac:dyDescent="0.2">
      <c r="A176" s="288">
        <v>170</v>
      </c>
      <c r="B176" s="287" t="s">
        <v>253</v>
      </c>
      <c r="C176" s="226" t="s">
        <v>285</v>
      </c>
      <c r="D176" s="170">
        <v>5</v>
      </c>
      <c r="E176" s="288">
        <v>29</v>
      </c>
      <c r="F176" s="291" t="str">
        <f>VLOOKUP(Calculation!A176,'Descriptor maps'!$A$2:$F$1658,2,0)</f>
        <v>Studies &amp; Design</v>
      </c>
      <c r="G176" s="296"/>
      <c r="H176" s="290"/>
      <c r="I176" s="291"/>
      <c r="J176" s="292" t="e" cm="1">
        <f t="array" ref="J176">INDEX('Descriptor maps'!$I$2:$I$1658,MATCH(1,('Descriptor maps'!$A$2:$A$1658=Calculation!$A176)*('Descriptor maps'!$G$2:$G$1658=Calculation!$G176),0))</f>
        <v>#N/A</v>
      </c>
      <c r="K176" s="226"/>
      <c r="L176" s="293"/>
      <c r="M176" s="293"/>
      <c r="N176" s="293"/>
      <c r="O176" s="293"/>
      <c r="P176" s="293"/>
      <c r="Q176" s="293"/>
      <c r="R176" s="293"/>
      <c r="S176" s="293"/>
      <c r="T176" s="293"/>
      <c r="U176" s="293"/>
      <c r="V176" s="293"/>
      <c r="W176" s="293"/>
      <c r="X176" s="293"/>
      <c r="Y176" s="293"/>
      <c r="Z176" s="293"/>
      <c r="AA176" s="293"/>
      <c r="AB176" s="293"/>
      <c r="AC176" s="293"/>
      <c r="AD176" s="293"/>
      <c r="AE176" s="293"/>
      <c r="AF176" s="293"/>
      <c r="AG176" s="293"/>
      <c r="AH176" s="293"/>
      <c r="AI176" s="293"/>
      <c r="AJ176" s="293"/>
      <c r="AK176" s="293"/>
      <c r="AL176" s="293"/>
      <c r="AM176" s="293"/>
      <c r="AN176" s="293"/>
      <c r="AO176" s="293"/>
      <c r="AP176" s="293"/>
      <c r="AQ176" s="293"/>
      <c r="AR176" s="293"/>
      <c r="AS176" s="293"/>
      <c r="AT176" s="293"/>
      <c r="AU176" s="293"/>
      <c r="AV176" s="293"/>
      <c r="AW176" s="293"/>
      <c r="AX176" s="293"/>
      <c r="AY176" s="293"/>
      <c r="AZ176" s="293"/>
      <c r="BA176" s="293"/>
      <c r="BB176" s="293"/>
      <c r="BC176" s="293"/>
      <c r="BD176" s="293"/>
      <c r="BE176" s="293"/>
      <c r="BF176" s="293"/>
      <c r="BG176" s="293"/>
      <c r="BH176" s="293"/>
      <c r="BI176" s="293"/>
      <c r="BJ176" s="293"/>
      <c r="BK176" s="293"/>
      <c r="BL176" s="293"/>
      <c r="BM176" s="293"/>
      <c r="BN176" s="293"/>
      <c r="BO176" s="293"/>
      <c r="BP176" s="293"/>
      <c r="BQ176" s="293"/>
      <c r="BR176" s="293"/>
      <c r="BS176" s="293"/>
      <c r="BT176" s="293"/>
      <c r="BU176" s="293"/>
      <c r="BV176" s="293"/>
      <c r="BW176" s="293"/>
      <c r="BX176" s="293"/>
      <c r="BY176" s="293"/>
      <c r="BZ176" s="293"/>
      <c r="CA176" s="285"/>
      <c r="CB176" s="286"/>
      <c r="CC176" s="286"/>
      <c r="CD176" s="286"/>
      <c r="CE176" s="286"/>
      <c r="CF176" s="286"/>
      <c r="CG176" s="286"/>
      <c r="CH176" s="286"/>
      <c r="CI176" s="286"/>
      <c r="CJ176" s="286"/>
      <c r="CK176" s="286"/>
      <c r="CL176" s="286"/>
      <c r="CM176" s="286"/>
      <c r="CN176" s="286"/>
      <c r="CO176" s="286"/>
      <c r="CP176" s="286"/>
      <c r="CQ176" s="286"/>
      <c r="CR176" s="286"/>
      <c r="CS176" s="286"/>
      <c r="CT176" s="286"/>
      <c r="CU176" s="286"/>
      <c r="CV176" s="286"/>
      <c r="CW176" s="286"/>
      <c r="CX176" s="286"/>
      <c r="CY176" s="286"/>
      <c r="CZ176" s="286"/>
      <c r="DA176" s="286"/>
      <c r="DB176" s="286"/>
      <c r="DC176" s="286"/>
      <c r="DD176" s="286"/>
      <c r="DE176" s="286"/>
      <c r="DF176" s="286"/>
      <c r="DG176" s="286"/>
      <c r="DH176" s="286"/>
      <c r="DI176" s="286"/>
      <c r="DJ176" s="286"/>
      <c r="DK176" s="286"/>
      <c r="DL176" s="286"/>
      <c r="DM176" s="286"/>
      <c r="DN176" s="286"/>
      <c r="DO176" s="286"/>
      <c r="DP176" s="286"/>
      <c r="DR176" s="58" t="str">
        <f>IF(ISNUMBER(MATCH(#REF!,'Audit Characteristic Mapping'!$B$3:$B$500,0)),"Y","")</f>
        <v/>
      </c>
      <c r="DS176" s="58" t="str">
        <f>IF(ISNUMBER(MATCH(#REF!,'Audit Characteristic Mapping'!$C$3:$C$500,0)),"Y","")</f>
        <v/>
      </c>
      <c r="DT176" s="58" t="str">
        <f>IF(ISNUMBER(MATCH(#REF!,'Audit Characteristic Mapping'!$D$3:$D$500,0)),"Y","")</f>
        <v/>
      </c>
      <c r="DU176" s="58" t="str">
        <f>IF(ISNUMBER(MATCH(#REF!,'Audit Characteristic Mapping'!$E$3:$E$500,0)),"Y","")</f>
        <v/>
      </c>
      <c r="DV176" s="58" t="str">
        <f>IF(ISNUMBER(MATCH(#REF!,'Audit Characteristic Mapping'!$F$3:$F$500,0)),"Y","")</f>
        <v/>
      </c>
      <c r="DW176" s="58" t="str">
        <f>IF(ISNUMBER(MATCH(#REF!,'Audit Characteristic Mapping'!$G$3:$G$500,0)),"Y","")</f>
        <v/>
      </c>
      <c r="DX176" s="58" t="str">
        <f>IF(ISNUMBER(MATCH(#REF!,'Audit Characteristic Mapping'!$H$3:$H$500,0)),"Y","")</f>
        <v/>
      </c>
      <c r="DY176" s="58" t="str">
        <f>IF(ISNUMBER(MATCH(#REF!,'Audit Characteristic Mapping'!$I$3:$I$500,0)),"Y","")</f>
        <v/>
      </c>
      <c r="DZ176" s="58" t="str">
        <f>IF(ISNUMBER(MATCH(#REF!,'Audit Characteristic Mapping'!$J$3:$J$500,0)),"Y","")</f>
        <v/>
      </c>
      <c r="EA176" s="58" t="str">
        <f>IF(ISNUMBER(MATCH(#REF!,'Audit Characteristic Mapping'!$K$3:$K$500,0)),"Y","")</f>
        <v/>
      </c>
    </row>
    <row r="177" spans="1:131" ht="16" hidden="1" x14ac:dyDescent="0.2">
      <c r="A177" s="288">
        <v>171</v>
      </c>
      <c r="B177" s="287" t="s">
        <v>253</v>
      </c>
      <c r="C177" s="226" t="s">
        <v>285</v>
      </c>
      <c r="D177" s="170">
        <v>5</v>
      </c>
      <c r="E177" s="288">
        <v>29</v>
      </c>
      <c r="F177" s="291" t="str">
        <f>VLOOKUP(Calculation!A177,'Descriptor maps'!$A$2:$F$1658,2,0)</f>
        <v>Studies &amp; Design</v>
      </c>
      <c r="G177" s="296"/>
      <c r="H177" s="290"/>
      <c r="I177" s="291"/>
      <c r="J177" s="292" t="e" cm="1">
        <f t="array" ref="J177">INDEX('Descriptor maps'!$I$2:$I$1658,MATCH(1,('Descriptor maps'!$A$2:$A$1658=Calculation!$A177)*('Descriptor maps'!$G$2:$G$1658=Calculation!$G177),0))</f>
        <v>#N/A</v>
      </c>
      <c r="K177" s="226"/>
      <c r="L177" s="293"/>
      <c r="M177" s="293"/>
      <c r="N177" s="293"/>
      <c r="O177" s="293"/>
      <c r="P177" s="293"/>
      <c r="Q177" s="293"/>
      <c r="R177" s="293"/>
      <c r="S177" s="293"/>
      <c r="T177" s="293"/>
      <c r="U177" s="293"/>
      <c r="V177" s="293"/>
      <c r="W177" s="293"/>
      <c r="X177" s="293"/>
      <c r="Y177" s="293"/>
      <c r="Z177" s="293"/>
      <c r="AA177" s="293"/>
      <c r="AB177" s="293"/>
      <c r="AC177" s="293"/>
      <c r="AD177" s="293"/>
      <c r="AE177" s="293"/>
      <c r="AF177" s="293"/>
      <c r="AG177" s="293"/>
      <c r="AH177" s="293"/>
      <c r="AI177" s="293"/>
      <c r="AJ177" s="293"/>
      <c r="AK177" s="293"/>
      <c r="AL177" s="293"/>
      <c r="AM177" s="293"/>
      <c r="AN177" s="293"/>
      <c r="AO177" s="293"/>
      <c r="AP177" s="293"/>
      <c r="AQ177" s="293"/>
      <c r="AR177" s="293"/>
      <c r="AS177" s="293"/>
      <c r="AT177" s="293"/>
      <c r="AU177" s="293"/>
      <c r="AV177" s="293"/>
      <c r="AW177" s="293"/>
      <c r="AX177" s="293"/>
      <c r="AY177" s="293"/>
      <c r="AZ177" s="293"/>
      <c r="BA177" s="293"/>
      <c r="BB177" s="293"/>
      <c r="BC177" s="293"/>
      <c r="BD177" s="293"/>
      <c r="BE177" s="293"/>
      <c r="BF177" s="293"/>
      <c r="BG177" s="293"/>
      <c r="BH177" s="293"/>
      <c r="BI177" s="293"/>
      <c r="BJ177" s="293"/>
      <c r="BK177" s="293"/>
      <c r="BL177" s="293"/>
      <c r="BM177" s="293"/>
      <c r="BN177" s="293"/>
      <c r="BO177" s="293"/>
      <c r="BP177" s="293"/>
      <c r="BQ177" s="293"/>
      <c r="BR177" s="293"/>
      <c r="BS177" s="293"/>
      <c r="BT177" s="293"/>
      <c r="BU177" s="293"/>
      <c r="BV177" s="293"/>
      <c r="BW177" s="293"/>
      <c r="BX177" s="293"/>
      <c r="BY177" s="293"/>
      <c r="BZ177" s="293"/>
      <c r="CA177" s="285"/>
      <c r="CB177" s="286"/>
      <c r="CC177" s="286"/>
      <c r="CD177" s="286"/>
      <c r="CE177" s="286"/>
      <c r="CF177" s="286"/>
      <c r="CG177" s="286"/>
      <c r="CH177" s="286"/>
      <c r="CI177" s="286"/>
      <c r="CJ177" s="286"/>
      <c r="CK177" s="286"/>
      <c r="CL177" s="286"/>
      <c r="CM177" s="286"/>
      <c r="CN177" s="286"/>
      <c r="CO177" s="286"/>
      <c r="CP177" s="286"/>
      <c r="CQ177" s="286"/>
      <c r="CR177" s="286"/>
      <c r="CS177" s="286"/>
      <c r="CT177" s="286"/>
      <c r="CU177" s="286"/>
      <c r="CV177" s="286"/>
      <c r="CW177" s="286"/>
      <c r="CX177" s="286"/>
      <c r="CY177" s="286"/>
      <c r="CZ177" s="286"/>
      <c r="DA177" s="286"/>
      <c r="DB177" s="286"/>
      <c r="DC177" s="286"/>
      <c r="DD177" s="286"/>
      <c r="DE177" s="286"/>
      <c r="DF177" s="286"/>
      <c r="DG177" s="286"/>
      <c r="DH177" s="286"/>
      <c r="DI177" s="286"/>
      <c r="DJ177" s="286"/>
      <c r="DK177" s="286"/>
      <c r="DL177" s="286"/>
      <c r="DM177" s="286"/>
      <c r="DN177" s="286"/>
      <c r="DO177" s="286"/>
      <c r="DP177" s="286"/>
      <c r="DR177" s="58" t="str">
        <f>IF(ISNUMBER(MATCH(#REF!,'Audit Characteristic Mapping'!$B$3:$B$500,0)),"Y","")</f>
        <v/>
      </c>
      <c r="DS177" s="58" t="str">
        <f>IF(ISNUMBER(MATCH(#REF!,'Audit Characteristic Mapping'!$C$3:$C$500,0)),"Y","")</f>
        <v/>
      </c>
      <c r="DT177" s="58" t="str">
        <f>IF(ISNUMBER(MATCH(#REF!,'Audit Characteristic Mapping'!$D$3:$D$500,0)),"Y","")</f>
        <v/>
      </c>
      <c r="DU177" s="58" t="str">
        <f>IF(ISNUMBER(MATCH(#REF!,'Audit Characteristic Mapping'!$E$3:$E$500,0)),"Y","")</f>
        <v/>
      </c>
      <c r="DV177" s="58" t="str">
        <f>IF(ISNUMBER(MATCH(#REF!,'Audit Characteristic Mapping'!$F$3:$F$500,0)),"Y","")</f>
        <v/>
      </c>
      <c r="DW177" s="58" t="str">
        <f>IF(ISNUMBER(MATCH(#REF!,'Audit Characteristic Mapping'!$G$3:$G$500,0)),"Y","")</f>
        <v/>
      </c>
      <c r="DX177" s="58" t="str">
        <f>IF(ISNUMBER(MATCH(#REF!,'Audit Characteristic Mapping'!$H$3:$H$500,0)),"Y","")</f>
        <v/>
      </c>
      <c r="DY177" s="58" t="str">
        <f>IF(ISNUMBER(MATCH(#REF!,'Audit Characteristic Mapping'!$I$3:$I$500,0)),"Y","")</f>
        <v/>
      </c>
      <c r="DZ177" s="58" t="str">
        <f>IF(ISNUMBER(MATCH(#REF!,'Audit Characteristic Mapping'!$J$3:$J$500,0)),"Y","")</f>
        <v/>
      </c>
      <c r="EA177" s="58" t="str">
        <f>IF(ISNUMBER(MATCH(#REF!,'Audit Characteristic Mapping'!$K$3:$K$500,0)),"Y","")</f>
        <v/>
      </c>
    </row>
    <row r="178" spans="1:131" ht="16" hidden="1" x14ac:dyDescent="0.2">
      <c r="A178" s="288">
        <v>172</v>
      </c>
      <c r="B178" s="287" t="s">
        <v>253</v>
      </c>
      <c r="C178" s="226" t="s">
        <v>285</v>
      </c>
      <c r="D178" s="170">
        <v>5</v>
      </c>
      <c r="E178" s="288">
        <v>29</v>
      </c>
      <c r="F178" s="291" t="str">
        <f>VLOOKUP(Calculation!A178,'Descriptor maps'!$A$2:$F$1658,2,0)</f>
        <v>Studies &amp; Design</v>
      </c>
      <c r="G178" s="296"/>
      <c r="H178" s="290"/>
      <c r="I178" s="291"/>
      <c r="J178" s="292" t="e" cm="1">
        <f t="array" ref="J178">INDEX('Descriptor maps'!$I$2:$I$1658,MATCH(1,('Descriptor maps'!$A$2:$A$1658=Calculation!$A178)*('Descriptor maps'!$G$2:$G$1658=Calculation!$G178),0))</f>
        <v>#N/A</v>
      </c>
      <c r="K178" s="226"/>
      <c r="L178" s="293"/>
      <c r="M178" s="293"/>
      <c r="N178" s="293"/>
      <c r="O178" s="293"/>
      <c r="P178" s="293"/>
      <c r="Q178" s="293"/>
      <c r="R178" s="293"/>
      <c r="S178" s="293"/>
      <c r="T178" s="293"/>
      <c r="U178" s="293"/>
      <c r="V178" s="293"/>
      <c r="W178" s="293"/>
      <c r="X178" s="293"/>
      <c r="Y178" s="293"/>
      <c r="Z178" s="293"/>
      <c r="AA178" s="293"/>
      <c r="AB178" s="293"/>
      <c r="AC178" s="293"/>
      <c r="AD178" s="293"/>
      <c r="AE178" s="293"/>
      <c r="AF178" s="293"/>
      <c r="AG178" s="293"/>
      <c r="AH178" s="293"/>
      <c r="AI178" s="293"/>
      <c r="AJ178" s="293"/>
      <c r="AK178" s="293"/>
      <c r="AL178" s="293"/>
      <c r="AM178" s="293"/>
      <c r="AN178" s="293"/>
      <c r="AO178" s="293"/>
      <c r="AP178" s="293"/>
      <c r="AQ178" s="293"/>
      <c r="AR178" s="293"/>
      <c r="AS178" s="293"/>
      <c r="AT178" s="293"/>
      <c r="AU178" s="293"/>
      <c r="AV178" s="293"/>
      <c r="AW178" s="293"/>
      <c r="AX178" s="293"/>
      <c r="AY178" s="293"/>
      <c r="AZ178" s="293"/>
      <c r="BA178" s="293"/>
      <c r="BB178" s="293"/>
      <c r="BC178" s="293"/>
      <c r="BD178" s="293"/>
      <c r="BE178" s="293"/>
      <c r="BF178" s="293"/>
      <c r="BG178" s="293"/>
      <c r="BH178" s="293"/>
      <c r="BI178" s="293"/>
      <c r="BJ178" s="293"/>
      <c r="BK178" s="293"/>
      <c r="BL178" s="293"/>
      <c r="BM178" s="293"/>
      <c r="BN178" s="293"/>
      <c r="BO178" s="293"/>
      <c r="BP178" s="293"/>
      <c r="BQ178" s="293"/>
      <c r="BR178" s="293"/>
      <c r="BS178" s="293"/>
      <c r="BT178" s="293"/>
      <c r="BU178" s="293"/>
      <c r="BV178" s="293"/>
      <c r="BW178" s="293"/>
      <c r="BX178" s="293"/>
      <c r="BY178" s="293"/>
      <c r="BZ178" s="293"/>
      <c r="CA178" s="285"/>
      <c r="CB178" s="286"/>
      <c r="CC178" s="286"/>
      <c r="CD178" s="286"/>
      <c r="CE178" s="286"/>
      <c r="CF178" s="286"/>
      <c r="CG178" s="286"/>
      <c r="CH178" s="286"/>
      <c r="CI178" s="286"/>
      <c r="CJ178" s="286"/>
      <c r="CK178" s="286"/>
      <c r="CL178" s="286"/>
      <c r="CM178" s="286"/>
      <c r="CN178" s="286"/>
      <c r="CO178" s="286"/>
      <c r="CP178" s="286"/>
      <c r="CQ178" s="286"/>
      <c r="CR178" s="286"/>
      <c r="CS178" s="286"/>
      <c r="CT178" s="286"/>
      <c r="CU178" s="286"/>
      <c r="CV178" s="286"/>
      <c r="CW178" s="286"/>
      <c r="CX178" s="286"/>
      <c r="CY178" s="286"/>
      <c r="CZ178" s="286"/>
      <c r="DA178" s="286"/>
      <c r="DB178" s="286"/>
      <c r="DC178" s="286"/>
      <c r="DD178" s="286"/>
      <c r="DE178" s="286"/>
      <c r="DF178" s="286"/>
      <c r="DG178" s="286"/>
      <c r="DH178" s="286"/>
      <c r="DI178" s="286"/>
      <c r="DJ178" s="286"/>
      <c r="DK178" s="286"/>
      <c r="DL178" s="286"/>
      <c r="DM178" s="286"/>
      <c r="DN178" s="286"/>
      <c r="DO178" s="286"/>
      <c r="DP178" s="286"/>
      <c r="DR178" s="58" t="str">
        <f>IF(ISNUMBER(MATCH(#REF!,'Audit Characteristic Mapping'!$B$3:$B$500,0)),"Y","")</f>
        <v/>
      </c>
      <c r="DS178" s="58" t="str">
        <f>IF(ISNUMBER(MATCH(#REF!,'Audit Characteristic Mapping'!$C$3:$C$500,0)),"Y","")</f>
        <v/>
      </c>
      <c r="DT178" s="58" t="str">
        <f>IF(ISNUMBER(MATCH(#REF!,'Audit Characteristic Mapping'!$D$3:$D$500,0)),"Y","")</f>
        <v/>
      </c>
      <c r="DU178" s="58" t="str">
        <f>IF(ISNUMBER(MATCH(#REF!,'Audit Characteristic Mapping'!$E$3:$E$500,0)),"Y","")</f>
        <v/>
      </c>
      <c r="DV178" s="58" t="str">
        <f>IF(ISNUMBER(MATCH(#REF!,'Audit Characteristic Mapping'!$F$3:$F$500,0)),"Y","")</f>
        <v/>
      </c>
      <c r="DW178" s="58" t="str">
        <f>IF(ISNUMBER(MATCH(#REF!,'Audit Characteristic Mapping'!$G$3:$G$500,0)),"Y","")</f>
        <v/>
      </c>
      <c r="DX178" s="58" t="str">
        <f>IF(ISNUMBER(MATCH(#REF!,'Audit Characteristic Mapping'!$H$3:$H$500,0)),"Y","")</f>
        <v/>
      </c>
      <c r="DY178" s="58" t="str">
        <f>IF(ISNUMBER(MATCH(#REF!,'Audit Characteristic Mapping'!$I$3:$I$500,0)),"Y","")</f>
        <v/>
      </c>
      <c r="DZ178" s="58" t="str">
        <f>IF(ISNUMBER(MATCH(#REF!,'Audit Characteristic Mapping'!$J$3:$J$500,0)),"Y","")</f>
        <v/>
      </c>
      <c r="EA178" s="58" t="str">
        <f>IF(ISNUMBER(MATCH(#REF!,'Audit Characteristic Mapping'!$K$3:$K$500,0)),"Y","")</f>
        <v/>
      </c>
    </row>
    <row r="179" spans="1:131" ht="16" hidden="1" x14ac:dyDescent="0.2">
      <c r="A179" s="288">
        <v>173</v>
      </c>
      <c r="B179" s="287" t="s">
        <v>253</v>
      </c>
      <c r="C179" s="226" t="s">
        <v>285</v>
      </c>
      <c r="D179" s="170">
        <v>5</v>
      </c>
      <c r="E179" s="288">
        <v>29</v>
      </c>
      <c r="F179" s="291" t="str">
        <f>VLOOKUP(Calculation!A179,'Descriptor maps'!$A$2:$F$1658,2,0)</f>
        <v>Studies &amp; Design</v>
      </c>
      <c r="G179" s="296"/>
      <c r="H179" s="290"/>
      <c r="I179" s="291"/>
      <c r="J179" s="292" t="e" cm="1">
        <f t="array" ref="J179">INDEX('Descriptor maps'!$I$2:$I$1658,MATCH(1,('Descriptor maps'!$A$2:$A$1658=Calculation!$A179)*('Descriptor maps'!$G$2:$G$1658=Calculation!$G179),0))</f>
        <v>#N/A</v>
      </c>
      <c r="K179" s="226"/>
      <c r="L179" s="293"/>
      <c r="M179" s="293"/>
      <c r="N179" s="293"/>
      <c r="O179" s="293"/>
      <c r="P179" s="293"/>
      <c r="Q179" s="293"/>
      <c r="R179" s="293"/>
      <c r="S179" s="293"/>
      <c r="T179" s="293"/>
      <c r="U179" s="293"/>
      <c r="V179" s="293"/>
      <c r="W179" s="293"/>
      <c r="X179" s="293"/>
      <c r="Y179" s="293"/>
      <c r="Z179" s="293"/>
      <c r="AA179" s="293"/>
      <c r="AB179" s="293"/>
      <c r="AC179" s="293"/>
      <c r="AD179" s="293"/>
      <c r="AE179" s="293"/>
      <c r="AF179" s="293"/>
      <c r="AG179" s="293"/>
      <c r="AH179" s="293"/>
      <c r="AI179" s="293"/>
      <c r="AJ179" s="293"/>
      <c r="AK179" s="293"/>
      <c r="AL179" s="293"/>
      <c r="AM179" s="293"/>
      <c r="AN179" s="293"/>
      <c r="AO179" s="293"/>
      <c r="AP179" s="293"/>
      <c r="AQ179" s="293"/>
      <c r="AR179" s="293"/>
      <c r="AS179" s="293"/>
      <c r="AT179" s="293"/>
      <c r="AU179" s="293"/>
      <c r="AV179" s="293"/>
      <c r="AW179" s="293"/>
      <c r="AX179" s="293"/>
      <c r="AY179" s="293"/>
      <c r="AZ179" s="293"/>
      <c r="BA179" s="293"/>
      <c r="BB179" s="293"/>
      <c r="BC179" s="293"/>
      <c r="BD179" s="293"/>
      <c r="BE179" s="293"/>
      <c r="BF179" s="293"/>
      <c r="BG179" s="293"/>
      <c r="BH179" s="293"/>
      <c r="BI179" s="293"/>
      <c r="BJ179" s="293"/>
      <c r="BK179" s="293"/>
      <c r="BL179" s="293"/>
      <c r="BM179" s="293"/>
      <c r="BN179" s="293"/>
      <c r="BO179" s="293"/>
      <c r="BP179" s="293"/>
      <c r="BQ179" s="293"/>
      <c r="BR179" s="293"/>
      <c r="BS179" s="293"/>
      <c r="BT179" s="293"/>
      <c r="BU179" s="293"/>
      <c r="BV179" s="293"/>
      <c r="BW179" s="293"/>
      <c r="BX179" s="293"/>
      <c r="BY179" s="293"/>
      <c r="BZ179" s="293"/>
      <c r="CA179" s="285"/>
      <c r="CB179" s="286"/>
      <c r="CC179" s="286"/>
      <c r="CD179" s="286"/>
      <c r="CE179" s="286"/>
      <c r="CF179" s="286"/>
      <c r="CG179" s="286"/>
      <c r="CH179" s="286"/>
      <c r="CI179" s="286"/>
      <c r="CJ179" s="286"/>
      <c r="CK179" s="286"/>
      <c r="CL179" s="286"/>
      <c r="CM179" s="286"/>
      <c r="CN179" s="286"/>
      <c r="CO179" s="286"/>
      <c r="CP179" s="286"/>
      <c r="CQ179" s="286"/>
      <c r="CR179" s="286"/>
      <c r="CS179" s="286"/>
      <c r="CT179" s="286"/>
      <c r="CU179" s="286"/>
      <c r="CV179" s="286"/>
      <c r="CW179" s="286"/>
      <c r="CX179" s="286"/>
      <c r="CY179" s="286"/>
      <c r="CZ179" s="286"/>
      <c r="DA179" s="286"/>
      <c r="DB179" s="286"/>
      <c r="DC179" s="286"/>
      <c r="DD179" s="286"/>
      <c r="DE179" s="286"/>
      <c r="DF179" s="286"/>
      <c r="DG179" s="286"/>
      <c r="DH179" s="286"/>
      <c r="DI179" s="286"/>
      <c r="DJ179" s="286"/>
      <c r="DK179" s="286"/>
      <c r="DL179" s="286"/>
      <c r="DM179" s="286"/>
      <c r="DN179" s="286"/>
      <c r="DO179" s="286"/>
      <c r="DP179" s="286"/>
      <c r="DR179" s="58" t="str">
        <f>IF(ISNUMBER(MATCH(#REF!,'Audit Characteristic Mapping'!$B$3:$B$500,0)),"Y","")</f>
        <v/>
      </c>
      <c r="DS179" s="58" t="str">
        <f>IF(ISNUMBER(MATCH(#REF!,'Audit Characteristic Mapping'!$C$3:$C$500,0)),"Y","")</f>
        <v/>
      </c>
      <c r="DT179" s="58" t="str">
        <f>IF(ISNUMBER(MATCH(#REF!,'Audit Characteristic Mapping'!$D$3:$D$500,0)),"Y","")</f>
        <v/>
      </c>
      <c r="DU179" s="58" t="str">
        <f>IF(ISNUMBER(MATCH(#REF!,'Audit Characteristic Mapping'!$E$3:$E$500,0)),"Y","")</f>
        <v/>
      </c>
      <c r="DV179" s="58" t="str">
        <f>IF(ISNUMBER(MATCH(#REF!,'Audit Characteristic Mapping'!$F$3:$F$500,0)),"Y","")</f>
        <v/>
      </c>
      <c r="DW179" s="58" t="str">
        <f>IF(ISNUMBER(MATCH(#REF!,'Audit Characteristic Mapping'!$G$3:$G$500,0)),"Y","")</f>
        <v/>
      </c>
      <c r="DX179" s="58" t="str">
        <f>IF(ISNUMBER(MATCH(#REF!,'Audit Characteristic Mapping'!$H$3:$H$500,0)),"Y","")</f>
        <v/>
      </c>
      <c r="DY179" s="58" t="str">
        <f>IF(ISNUMBER(MATCH(#REF!,'Audit Characteristic Mapping'!$I$3:$I$500,0)),"Y","")</f>
        <v/>
      </c>
      <c r="DZ179" s="58" t="str">
        <f>IF(ISNUMBER(MATCH(#REF!,'Audit Characteristic Mapping'!$J$3:$J$500,0)),"Y","")</f>
        <v/>
      </c>
      <c r="EA179" s="58" t="str">
        <f>IF(ISNUMBER(MATCH(#REF!,'Audit Characteristic Mapping'!$K$3:$K$500,0)),"Y","")</f>
        <v/>
      </c>
    </row>
    <row r="180" spans="1:131" ht="16" hidden="1" x14ac:dyDescent="0.2">
      <c r="A180" s="288">
        <v>174</v>
      </c>
      <c r="B180" s="287" t="s">
        <v>253</v>
      </c>
      <c r="C180" s="226" t="s">
        <v>285</v>
      </c>
      <c r="D180" s="170">
        <v>5</v>
      </c>
      <c r="E180" s="288">
        <v>29</v>
      </c>
      <c r="F180" s="291" t="str">
        <f>VLOOKUP(Calculation!A180,'Descriptor maps'!$A$2:$F$1658,2,0)</f>
        <v>Studies &amp; Design</v>
      </c>
      <c r="G180" s="296"/>
      <c r="H180" s="290"/>
      <c r="I180" s="291"/>
      <c r="J180" s="292" t="e" cm="1">
        <f t="array" ref="J180">INDEX('Descriptor maps'!$I$2:$I$1658,MATCH(1,('Descriptor maps'!$A$2:$A$1658=Calculation!$A180)*('Descriptor maps'!$G$2:$G$1658=Calculation!$G180),0))</f>
        <v>#N/A</v>
      </c>
      <c r="K180" s="226"/>
      <c r="L180" s="293"/>
      <c r="M180" s="293"/>
      <c r="N180" s="293"/>
      <c r="O180" s="293"/>
      <c r="P180" s="293"/>
      <c r="Q180" s="293"/>
      <c r="R180" s="293"/>
      <c r="S180" s="293"/>
      <c r="T180" s="293"/>
      <c r="U180" s="293"/>
      <c r="V180" s="293"/>
      <c r="W180" s="293"/>
      <c r="X180" s="293"/>
      <c r="Y180" s="293"/>
      <c r="Z180" s="293"/>
      <c r="AA180" s="293"/>
      <c r="AB180" s="293"/>
      <c r="AC180" s="293"/>
      <c r="AD180" s="293"/>
      <c r="AE180" s="293"/>
      <c r="AF180" s="293"/>
      <c r="AG180" s="293"/>
      <c r="AH180" s="293"/>
      <c r="AI180" s="293"/>
      <c r="AJ180" s="293"/>
      <c r="AK180" s="293"/>
      <c r="AL180" s="293"/>
      <c r="AM180" s="293"/>
      <c r="AN180" s="293"/>
      <c r="AO180" s="293"/>
      <c r="AP180" s="293"/>
      <c r="AQ180" s="293"/>
      <c r="AR180" s="293"/>
      <c r="AS180" s="293"/>
      <c r="AT180" s="293"/>
      <c r="AU180" s="293"/>
      <c r="AV180" s="293"/>
      <c r="AW180" s="293"/>
      <c r="AX180" s="293"/>
      <c r="AY180" s="293"/>
      <c r="AZ180" s="293"/>
      <c r="BA180" s="293"/>
      <c r="BB180" s="293"/>
      <c r="BC180" s="293"/>
      <c r="BD180" s="293"/>
      <c r="BE180" s="293"/>
      <c r="BF180" s="293"/>
      <c r="BG180" s="293"/>
      <c r="BH180" s="293"/>
      <c r="BI180" s="293"/>
      <c r="BJ180" s="293"/>
      <c r="BK180" s="293"/>
      <c r="BL180" s="293"/>
      <c r="BM180" s="293"/>
      <c r="BN180" s="293"/>
      <c r="BO180" s="293"/>
      <c r="BP180" s="293"/>
      <c r="BQ180" s="293"/>
      <c r="BR180" s="293"/>
      <c r="BS180" s="293"/>
      <c r="BT180" s="293"/>
      <c r="BU180" s="293"/>
      <c r="BV180" s="293"/>
      <c r="BW180" s="293"/>
      <c r="BX180" s="293"/>
      <c r="BY180" s="293"/>
      <c r="BZ180" s="293"/>
      <c r="CA180" s="285"/>
      <c r="CB180" s="286"/>
      <c r="CC180" s="286"/>
      <c r="CD180" s="286"/>
      <c r="CE180" s="286"/>
      <c r="CF180" s="286"/>
      <c r="CG180" s="286"/>
      <c r="CH180" s="286"/>
      <c r="CI180" s="286"/>
      <c r="CJ180" s="286"/>
      <c r="CK180" s="286"/>
      <c r="CL180" s="286"/>
      <c r="CM180" s="286"/>
      <c r="CN180" s="286"/>
      <c r="CO180" s="286"/>
      <c r="CP180" s="286"/>
      <c r="CQ180" s="286"/>
      <c r="CR180" s="286"/>
      <c r="CS180" s="286"/>
      <c r="CT180" s="286"/>
      <c r="CU180" s="286"/>
      <c r="CV180" s="286"/>
      <c r="CW180" s="286"/>
      <c r="CX180" s="286"/>
      <c r="CY180" s="286"/>
      <c r="CZ180" s="286"/>
      <c r="DA180" s="286"/>
      <c r="DB180" s="286"/>
      <c r="DC180" s="286"/>
      <c r="DD180" s="286"/>
      <c r="DE180" s="286"/>
      <c r="DF180" s="286"/>
      <c r="DG180" s="286"/>
      <c r="DH180" s="286"/>
      <c r="DI180" s="286"/>
      <c r="DJ180" s="286"/>
      <c r="DK180" s="286"/>
      <c r="DL180" s="286"/>
      <c r="DM180" s="286"/>
      <c r="DN180" s="286"/>
      <c r="DO180" s="286"/>
      <c r="DP180" s="286"/>
      <c r="DR180" s="58" t="str">
        <f>IF(ISNUMBER(MATCH(#REF!,'Audit Characteristic Mapping'!$B$3:$B$500,0)),"Y","")</f>
        <v/>
      </c>
      <c r="DS180" s="58" t="str">
        <f>IF(ISNUMBER(MATCH(#REF!,'Audit Characteristic Mapping'!$C$3:$C$500,0)),"Y","")</f>
        <v/>
      </c>
      <c r="DT180" s="58" t="str">
        <f>IF(ISNUMBER(MATCH(#REF!,'Audit Characteristic Mapping'!$D$3:$D$500,0)),"Y","")</f>
        <v/>
      </c>
      <c r="DU180" s="58" t="str">
        <f>IF(ISNUMBER(MATCH(#REF!,'Audit Characteristic Mapping'!$E$3:$E$500,0)),"Y","")</f>
        <v/>
      </c>
      <c r="DV180" s="58" t="str">
        <f>IF(ISNUMBER(MATCH(#REF!,'Audit Characteristic Mapping'!$F$3:$F$500,0)),"Y","")</f>
        <v/>
      </c>
      <c r="DW180" s="58" t="str">
        <f>IF(ISNUMBER(MATCH(#REF!,'Audit Characteristic Mapping'!$G$3:$G$500,0)),"Y","")</f>
        <v/>
      </c>
      <c r="DX180" s="58" t="str">
        <f>IF(ISNUMBER(MATCH(#REF!,'Audit Characteristic Mapping'!$H$3:$H$500,0)),"Y","")</f>
        <v/>
      </c>
      <c r="DY180" s="58" t="str">
        <f>IF(ISNUMBER(MATCH(#REF!,'Audit Characteristic Mapping'!$I$3:$I$500,0)),"Y","")</f>
        <v/>
      </c>
      <c r="DZ180" s="58" t="str">
        <f>IF(ISNUMBER(MATCH(#REF!,'Audit Characteristic Mapping'!$J$3:$J$500,0)),"Y","")</f>
        <v/>
      </c>
      <c r="EA180" s="58" t="str">
        <f>IF(ISNUMBER(MATCH(#REF!,'Audit Characteristic Mapping'!$K$3:$K$500,0)),"Y","")</f>
        <v/>
      </c>
    </row>
    <row r="181" spans="1:131" ht="16" hidden="1" x14ac:dyDescent="0.2">
      <c r="A181" s="288">
        <v>175</v>
      </c>
      <c r="B181" s="287" t="s">
        <v>253</v>
      </c>
      <c r="C181" s="226" t="s">
        <v>297</v>
      </c>
      <c r="D181" s="170">
        <v>5</v>
      </c>
      <c r="E181" s="288">
        <v>30</v>
      </c>
      <c r="F181" s="291" t="str">
        <f>VLOOKUP(Calculation!A181,'Descriptor maps'!$A$2:$F$1658,2,0)</f>
        <v>Studies &amp; Design</v>
      </c>
      <c r="G181" s="296"/>
      <c r="H181" s="290"/>
      <c r="I181" s="291"/>
      <c r="J181" s="292" t="e" cm="1">
        <f t="array" ref="J181">INDEX('Descriptor maps'!$I$2:$I$1658,MATCH(1,('Descriptor maps'!$A$2:$A$1658=Calculation!$A181)*('Descriptor maps'!$G$2:$G$1658=Calculation!$G181),0))</f>
        <v>#N/A</v>
      </c>
      <c r="K181" s="226"/>
      <c r="L181" s="293"/>
      <c r="M181" s="293"/>
      <c r="N181" s="293"/>
      <c r="O181" s="293"/>
      <c r="P181" s="293"/>
      <c r="Q181" s="293"/>
      <c r="R181" s="293"/>
      <c r="S181" s="293"/>
      <c r="T181" s="293"/>
      <c r="U181" s="293"/>
      <c r="V181" s="293"/>
      <c r="W181" s="293"/>
      <c r="X181" s="293"/>
      <c r="Y181" s="293"/>
      <c r="Z181" s="293"/>
      <c r="AA181" s="293"/>
      <c r="AB181" s="293"/>
      <c r="AC181" s="293"/>
      <c r="AD181" s="293"/>
      <c r="AE181" s="293"/>
      <c r="AF181" s="293"/>
      <c r="AG181" s="293"/>
      <c r="AH181" s="293"/>
      <c r="AI181" s="293"/>
      <c r="AJ181" s="293"/>
      <c r="AK181" s="293"/>
      <c r="AL181" s="293"/>
      <c r="AM181" s="293"/>
      <c r="AN181" s="293"/>
      <c r="AO181" s="293"/>
      <c r="AP181" s="293"/>
      <c r="AQ181" s="293"/>
      <c r="AR181" s="293"/>
      <c r="AS181" s="293"/>
      <c r="AT181" s="293"/>
      <c r="AU181" s="293"/>
      <c r="AV181" s="293"/>
      <c r="AW181" s="293"/>
      <c r="AX181" s="293"/>
      <c r="AY181" s="293"/>
      <c r="AZ181" s="293"/>
      <c r="BA181" s="293"/>
      <c r="BB181" s="293"/>
      <c r="BC181" s="293"/>
      <c r="BD181" s="293"/>
      <c r="BE181" s="293"/>
      <c r="BF181" s="293"/>
      <c r="BG181" s="293"/>
      <c r="BH181" s="293"/>
      <c r="BI181" s="293"/>
      <c r="BJ181" s="293"/>
      <c r="BK181" s="293"/>
      <c r="BL181" s="293"/>
      <c r="BM181" s="293"/>
      <c r="BN181" s="293"/>
      <c r="BO181" s="293"/>
      <c r="BP181" s="293"/>
      <c r="BQ181" s="293"/>
      <c r="BR181" s="293"/>
      <c r="BS181" s="293"/>
      <c r="BT181" s="293"/>
      <c r="BU181" s="293"/>
      <c r="BV181" s="293"/>
      <c r="BW181" s="293"/>
      <c r="BX181" s="293"/>
      <c r="BY181" s="293"/>
      <c r="BZ181" s="293"/>
      <c r="CA181" s="285"/>
      <c r="CB181" s="286"/>
      <c r="CC181" s="286"/>
      <c r="CD181" s="286"/>
      <c r="CE181" s="286"/>
      <c r="CF181" s="286"/>
      <c r="CG181" s="286"/>
      <c r="CH181" s="286"/>
      <c r="CI181" s="286"/>
      <c r="CJ181" s="286"/>
      <c r="CK181" s="286"/>
      <c r="CL181" s="286"/>
      <c r="CM181" s="286"/>
      <c r="CN181" s="286"/>
      <c r="CO181" s="286"/>
      <c r="CP181" s="286"/>
      <c r="CQ181" s="286"/>
      <c r="CR181" s="286"/>
      <c r="CS181" s="286"/>
      <c r="CT181" s="286"/>
      <c r="CU181" s="286"/>
      <c r="CV181" s="286"/>
      <c r="CW181" s="286"/>
      <c r="CX181" s="286"/>
      <c r="CY181" s="286"/>
      <c r="CZ181" s="286"/>
      <c r="DA181" s="286"/>
      <c r="DB181" s="286"/>
      <c r="DC181" s="286"/>
      <c r="DD181" s="286"/>
      <c r="DE181" s="286"/>
      <c r="DF181" s="286"/>
      <c r="DG181" s="286"/>
      <c r="DH181" s="286"/>
      <c r="DI181" s="286"/>
      <c r="DJ181" s="286"/>
      <c r="DK181" s="286"/>
      <c r="DL181" s="286"/>
      <c r="DM181" s="286"/>
      <c r="DN181" s="286"/>
      <c r="DO181" s="286"/>
      <c r="DP181" s="286"/>
      <c r="DR181" s="58" t="str">
        <f>IF(ISNUMBER(MATCH(#REF!,'Audit Characteristic Mapping'!$B$3:$B$500,0)),"Y","")</f>
        <v/>
      </c>
      <c r="DS181" s="58" t="str">
        <f>IF(ISNUMBER(MATCH(#REF!,'Audit Characteristic Mapping'!$C$3:$C$500,0)),"Y","")</f>
        <v/>
      </c>
      <c r="DT181" s="58" t="str">
        <f>IF(ISNUMBER(MATCH(#REF!,'Audit Characteristic Mapping'!$D$3:$D$500,0)),"Y","")</f>
        <v/>
      </c>
      <c r="DU181" s="58" t="str">
        <f>IF(ISNUMBER(MATCH(#REF!,'Audit Characteristic Mapping'!$E$3:$E$500,0)),"Y","")</f>
        <v/>
      </c>
      <c r="DV181" s="58" t="str">
        <f>IF(ISNUMBER(MATCH(#REF!,'Audit Characteristic Mapping'!$F$3:$F$500,0)),"Y","")</f>
        <v/>
      </c>
      <c r="DW181" s="58" t="str">
        <f>IF(ISNUMBER(MATCH(#REF!,'Audit Characteristic Mapping'!$G$3:$G$500,0)),"Y","")</f>
        <v/>
      </c>
      <c r="DX181" s="58" t="str">
        <f>IF(ISNUMBER(MATCH(#REF!,'Audit Characteristic Mapping'!$H$3:$H$500,0)),"Y","")</f>
        <v/>
      </c>
      <c r="DY181" s="58" t="str">
        <f>IF(ISNUMBER(MATCH(#REF!,'Audit Characteristic Mapping'!$I$3:$I$500,0)),"Y","")</f>
        <v/>
      </c>
      <c r="DZ181" s="58" t="str">
        <f>IF(ISNUMBER(MATCH(#REF!,'Audit Characteristic Mapping'!$J$3:$J$500,0)),"Y","")</f>
        <v/>
      </c>
      <c r="EA181" s="58" t="str">
        <f>IF(ISNUMBER(MATCH(#REF!,'Audit Characteristic Mapping'!$K$3:$K$500,0)),"Y","")</f>
        <v/>
      </c>
    </row>
    <row r="182" spans="1:131" ht="16" hidden="1" x14ac:dyDescent="0.2">
      <c r="A182" s="288">
        <v>176</v>
      </c>
      <c r="B182" s="287" t="s">
        <v>253</v>
      </c>
      <c r="C182" s="226" t="s">
        <v>297</v>
      </c>
      <c r="D182" s="170">
        <v>5</v>
      </c>
      <c r="E182" s="288">
        <v>30</v>
      </c>
      <c r="F182" s="291" t="str">
        <f>VLOOKUP(Calculation!A182,'Descriptor maps'!$A$2:$F$1658,2,0)</f>
        <v>Studies &amp; Design</v>
      </c>
      <c r="G182" s="296"/>
      <c r="H182" s="290"/>
      <c r="I182" s="291"/>
      <c r="J182" s="292" t="e" cm="1">
        <f t="array" ref="J182">INDEX('Descriptor maps'!$I$2:$I$1658,MATCH(1,('Descriptor maps'!$A$2:$A$1658=Calculation!$A182)*('Descriptor maps'!$G$2:$G$1658=Calculation!$G182),0))</f>
        <v>#N/A</v>
      </c>
      <c r="K182" s="226"/>
      <c r="L182" s="293"/>
      <c r="M182" s="293"/>
      <c r="N182" s="293"/>
      <c r="O182" s="293"/>
      <c r="P182" s="293"/>
      <c r="Q182" s="293"/>
      <c r="R182" s="293"/>
      <c r="S182" s="293"/>
      <c r="T182" s="293"/>
      <c r="U182" s="293"/>
      <c r="V182" s="293"/>
      <c r="W182" s="293"/>
      <c r="X182" s="293"/>
      <c r="Y182" s="293"/>
      <c r="Z182" s="293"/>
      <c r="AA182" s="293"/>
      <c r="AB182" s="293"/>
      <c r="AC182" s="293"/>
      <c r="AD182" s="293"/>
      <c r="AE182" s="293"/>
      <c r="AF182" s="293"/>
      <c r="AG182" s="293"/>
      <c r="AH182" s="293"/>
      <c r="AI182" s="293"/>
      <c r="AJ182" s="293"/>
      <c r="AK182" s="293"/>
      <c r="AL182" s="293"/>
      <c r="AM182" s="293"/>
      <c r="AN182" s="293"/>
      <c r="AO182" s="293"/>
      <c r="AP182" s="293"/>
      <c r="AQ182" s="293"/>
      <c r="AR182" s="293"/>
      <c r="AS182" s="293"/>
      <c r="AT182" s="293"/>
      <c r="AU182" s="293"/>
      <c r="AV182" s="293"/>
      <c r="AW182" s="293"/>
      <c r="AX182" s="293"/>
      <c r="AY182" s="293"/>
      <c r="AZ182" s="293"/>
      <c r="BA182" s="293"/>
      <c r="BB182" s="293"/>
      <c r="BC182" s="293"/>
      <c r="BD182" s="293"/>
      <c r="BE182" s="293"/>
      <c r="BF182" s="293"/>
      <c r="BG182" s="293"/>
      <c r="BH182" s="293"/>
      <c r="BI182" s="293"/>
      <c r="BJ182" s="293"/>
      <c r="BK182" s="293"/>
      <c r="BL182" s="293"/>
      <c r="BM182" s="293"/>
      <c r="BN182" s="293"/>
      <c r="BO182" s="293"/>
      <c r="BP182" s="293"/>
      <c r="BQ182" s="293"/>
      <c r="BR182" s="293"/>
      <c r="BS182" s="293"/>
      <c r="BT182" s="293"/>
      <c r="BU182" s="293"/>
      <c r="BV182" s="293"/>
      <c r="BW182" s="293"/>
      <c r="BX182" s="293"/>
      <c r="BY182" s="293"/>
      <c r="BZ182" s="293"/>
      <c r="CA182" s="285"/>
      <c r="CB182" s="286"/>
      <c r="CC182" s="286"/>
      <c r="CD182" s="286"/>
      <c r="CE182" s="286"/>
      <c r="CF182" s="286"/>
      <c r="CG182" s="286"/>
      <c r="CH182" s="286"/>
      <c r="CI182" s="286"/>
      <c r="CJ182" s="286"/>
      <c r="CK182" s="286"/>
      <c r="CL182" s="286"/>
      <c r="CM182" s="286"/>
      <c r="CN182" s="286"/>
      <c r="CO182" s="286"/>
      <c r="CP182" s="286"/>
      <c r="CQ182" s="286"/>
      <c r="CR182" s="286"/>
      <c r="CS182" s="286"/>
      <c r="CT182" s="286"/>
      <c r="CU182" s="286"/>
      <c r="CV182" s="286"/>
      <c r="CW182" s="286"/>
      <c r="CX182" s="286"/>
      <c r="CY182" s="286"/>
      <c r="CZ182" s="286"/>
      <c r="DA182" s="286"/>
      <c r="DB182" s="286"/>
      <c r="DC182" s="286"/>
      <c r="DD182" s="286"/>
      <c r="DE182" s="286"/>
      <c r="DF182" s="286"/>
      <c r="DG182" s="286"/>
      <c r="DH182" s="286"/>
      <c r="DI182" s="286"/>
      <c r="DJ182" s="286"/>
      <c r="DK182" s="286"/>
      <c r="DL182" s="286"/>
      <c r="DM182" s="286"/>
      <c r="DN182" s="286"/>
      <c r="DO182" s="286"/>
      <c r="DP182" s="286"/>
      <c r="DR182" s="58" t="str">
        <f>IF(ISNUMBER(MATCH(#REF!,'Audit Characteristic Mapping'!$B$3:$B$500,0)),"Y","")</f>
        <v/>
      </c>
      <c r="DS182" s="58" t="str">
        <f>IF(ISNUMBER(MATCH(#REF!,'Audit Characteristic Mapping'!$C$3:$C$500,0)),"Y","")</f>
        <v/>
      </c>
      <c r="DT182" s="58" t="str">
        <f>IF(ISNUMBER(MATCH(#REF!,'Audit Characteristic Mapping'!$D$3:$D$500,0)),"Y","")</f>
        <v/>
      </c>
      <c r="DU182" s="58" t="str">
        <f>IF(ISNUMBER(MATCH(#REF!,'Audit Characteristic Mapping'!$E$3:$E$500,0)),"Y","")</f>
        <v/>
      </c>
      <c r="DV182" s="58" t="str">
        <f>IF(ISNUMBER(MATCH(#REF!,'Audit Characteristic Mapping'!$F$3:$F$500,0)),"Y","")</f>
        <v/>
      </c>
      <c r="DW182" s="58" t="str">
        <f>IF(ISNUMBER(MATCH(#REF!,'Audit Characteristic Mapping'!$G$3:$G$500,0)),"Y","")</f>
        <v/>
      </c>
      <c r="DX182" s="58" t="str">
        <f>IF(ISNUMBER(MATCH(#REF!,'Audit Characteristic Mapping'!$H$3:$H$500,0)),"Y","")</f>
        <v/>
      </c>
      <c r="DY182" s="58" t="str">
        <f>IF(ISNUMBER(MATCH(#REF!,'Audit Characteristic Mapping'!$I$3:$I$500,0)),"Y","")</f>
        <v/>
      </c>
      <c r="DZ182" s="58" t="str">
        <f>IF(ISNUMBER(MATCH(#REF!,'Audit Characteristic Mapping'!$J$3:$J$500,0)),"Y","")</f>
        <v/>
      </c>
      <c r="EA182" s="58" t="str">
        <f>IF(ISNUMBER(MATCH(#REF!,'Audit Characteristic Mapping'!$K$3:$K$500,0)),"Y","")</f>
        <v/>
      </c>
    </row>
    <row r="183" spans="1:131" ht="16" hidden="1" x14ac:dyDescent="0.2">
      <c r="A183" s="288">
        <v>177</v>
      </c>
      <c r="B183" s="287" t="s">
        <v>253</v>
      </c>
      <c r="C183" s="226" t="s">
        <v>297</v>
      </c>
      <c r="D183" s="170">
        <v>5</v>
      </c>
      <c r="E183" s="288">
        <v>30</v>
      </c>
      <c r="F183" s="291" t="str">
        <f>VLOOKUP(Calculation!A183,'Descriptor maps'!$A$2:$F$1658,2,0)</f>
        <v>Studies &amp; Design</v>
      </c>
      <c r="G183" s="296"/>
      <c r="H183" s="290"/>
      <c r="I183" s="291"/>
      <c r="J183" s="292" t="e" cm="1">
        <f t="array" ref="J183">INDEX('Descriptor maps'!$I$2:$I$1658,MATCH(1,('Descriptor maps'!$A$2:$A$1658=Calculation!$A183)*('Descriptor maps'!$G$2:$G$1658=Calculation!$G183),0))</f>
        <v>#N/A</v>
      </c>
      <c r="K183" s="226"/>
      <c r="L183" s="293"/>
      <c r="M183" s="293"/>
      <c r="N183" s="293"/>
      <c r="O183" s="293"/>
      <c r="P183" s="293"/>
      <c r="Q183" s="293"/>
      <c r="R183" s="293"/>
      <c r="S183" s="293"/>
      <c r="T183" s="293"/>
      <c r="U183" s="293"/>
      <c r="V183" s="293"/>
      <c r="W183" s="293"/>
      <c r="X183" s="293"/>
      <c r="Y183" s="293"/>
      <c r="Z183" s="293"/>
      <c r="AA183" s="293"/>
      <c r="AB183" s="293"/>
      <c r="AC183" s="293"/>
      <c r="AD183" s="293"/>
      <c r="AE183" s="293"/>
      <c r="AF183" s="293"/>
      <c r="AG183" s="293"/>
      <c r="AH183" s="293"/>
      <c r="AI183" s="293"/>
      <c r="AJ183" s="293"/>
      <c r="AK183" s="293"/>
      <c r="AL183" s="293"/>
      <c r="AM183" s="293"/>
      <c r="AN183" s="293"/>
      <c r="AO183" s="293"/>
      <c r="AP183" s="293"/>
      <c r="AQ183" s="293"/>
      <c r="AR183" s="293"/>
      <c r="AS183" s="293"/>
      <c r="AT183" s="293"/>
      <c r="AU183" s="293"/>
      <c r="AV183" s="293"/>
      <c r="AW183" s="293"/>
      <c r="AX183" s="293"/>
      <c r="AY183" s="293"/>
      <c r="AZ183" s="293"/>
      <c r="BA183" s="293"/>
      <c r="BB183" s="293"/>
      <c r="BC183" s="293"/>
      <c r="BD183" s="293"/>
      <c r="BE183" s="293"/>
      <c r="BF183" s="293"/>
      <c r="BG183" s="293"/>
      <c r="BH183" s="293"/>
      <c r="BI183" s="293"/>
      <c r="BJ183" s="293"/>
      <c r="BK183" s="293"/>
      <c r="BL183" s="293"/>
      <c r="BM183" s="293"/>
      <c r="BN183" s="293"/>
      <c r="BO183" s="293"/>
      <c r="BP183" s="293"/>
      <c r="BQ183" s="293"/>
      <c r="BR183" s="293"/>
      <c r="BS183" s="293"/>
      <c r="BT183" s="293"/>
      <c r="BU183" s="293"/>
      <c r="BV183" s="293"/>
      <c r="BW183" s="293"/>
      <c r="BX183" s="293"/>
      <c r="BY183" s="293"/>
      <c r="BZ183" s="293"/>
      <c r="CA183" s="285"/>
      <c r="CB183" s="286"/>
      <c r="CC183" s="286"/>
      <c r="CD183" s="286"/>
      <c r="CE183" s="286"/>
      <c r="CF183" s="286"/>
      <c r="CG183" s="286"/>
      <c r="CH183" s="286"/>
      <c r="CI183" s="286"/>
      <c r="CJ183" s="286"/>
      <c r="CK183" s="286"/>
      <c r="CL183" s="286"/>
      <c r="CM183" s="286"/>
      <c r="CN183" s="286"/>
      <c r="CO183" s="286"/>
      <c r="CP183" s="286"/>
      <c r="CQ183" s="286"/>
      <c r="CR183" s="286"/>
      <c r="CS183" s="286"/>
      <c r="CT183" s="286"/>
      <c r="CU183" s="286"/>
      <c r="CV183" s="286"/>
      <c r="CW183" s="286"/>
      <c r="CX183" s="286"/>
      <c r="CY183" s="286"/>
      <c r="CZ183" s="286"/>
      <c r="DA183" s="286"/>
      <c r="DB183" s="286"/>
      <c r="DC183" s="286"/>
      <c r="DD183" s="286"/>
      <c r="DE183" s="286"/>
      <c r="DF183" s="286"/>
      <c r="DG183" s="286"/>
      <c r="DH183" s="286"/>
      <c r="DI183" s="286"/>
      <c r="DJ183" s="286"/>
      <c r="DK183" s="286"/>
      <c r="DL183" s="286"/>
      <c r="DM183" s="286"/>
      <c r="DN183" s="286"/>
      <c r="DO183" s="286"/>
      <c r="DP183" s="286"/>
      <c r="DR183" s="58" t="str">
        <f>IF(ISNUMBER(MATCH(#REF!,'Audit Characteristic Mapping'!$B$3:$B$500,0)),"Y","")</f>
        <v/>
      </c>
      <c r="DS183" s="58" t="str">
        <f>IF(ISNUMBER(MATCH(#REF!,'Audit Characteristic Mapping'!$C$3:$C$500,0)),"Y","")</f>
        <v/>
      </c>
      <c r="DT183" s="58" t="str">
        <f>IF(ISNUMBER(MATCH(#REF!,'Audit Characteristic Mapping'!$D$3:$D$500,0)),"Y","")</f>
        <v/>
      </c>
      <c r="DU183" s="58" t="str">
        <f>IF(ISNUMBER(MATCH(#REF!,'Audit Characteristic Mapping'!$E$3:$E$500,0)),"Y","")</f>
        <v/>
      </c>
      <c r="DV183" s="58" t="str">
        <f>IF(ISNUMBER(MATCH(#REF!,'Audit Characteristic Mapping'!$F$3:$F$500,0)),"Y","")</f>
        <v/>
      </c>
      <c r="DW183" s="58" t="str">
        <f>IF(ISNUMBER(MATCH(#REF!,'Audit Characteristic Mapping'!$G$3:$G$500,0)),"Y","")</f>
        <v/>
      </c>
      <c r="DX183" s="58" t="str">
        <f>IF(ISNUMBER(MATCH(#REF!,'Audit Characteristic Mapping'!$H$3:$H$500,0)),"Y","")</f>
        <v/>
      </c>
      <c r="DY183" s="58" t="str">
        <f>IF(ISNUMBER(MATCH(#REF!,'Audit Characteristic Mapping'!$I$3:$I$500,0)),"Y","")</f>
        <v/>
      </c>
      <c r="DZ183" s="58" t="str">
        <f>IF(ISNUMBER(MATCH(#REF!,'Audit Characteristic Mapping'!$J$3:$J$500,0)),"Y","")</f>
        <v/>
      </c>
      <c r="EA183" s="58" t="str">
        <f>IF(ISNUMBER(MATCH(#REF!,'Audit Characteristic Mapping'!$K$3:$K$500,0)),"Y","")</f>
        <v/>
      </c>
    </row>
    <row r="184" spans="1:131" ht="16" hidden="1" x14ac:dyDescent="0.2">
      <c r="A184" s="288">
        <v>178</v>
      </c>
      <c r="B184" s="287" t="s">
        <v>253</v>
      </c>
      <c r="C184" s="226" t="s">
        <v>297</v>
      </c>
      <c r="D184" s="170">
        <v>5</v>
      </c>
      <c r="E184" s="288">
        <v>30</v>
      </c>
      <c r="F184" s="291" t="str">
        <f>VLOOKUP(Calculation!A184,'Descriptor maps'!$A$2:$F$1658,2,0)</f>
        <v>Studies &amp; Design</v>
      </c>
      <c r="G184" s="296"/>
      <c r="H184" s="290"/>
      <c r="I184" s="291"/>
      <c r="J184" s="292" t="e" cm="1">
        <f t="array" ref="J184">INDEX('Descriptor maps'!$I$2:$I$1658,MATCH(1,('Descriptor maps'!$A$2:$A$1658=Calculation!$A184)*('Descriptor maps'!$G$2:$G$1658=Calculation!$G184),0))</f>
        <v>#N/A</v>
      </c>
      <c r="K184" s="226"/>
      <c r="L184" s="293"/>
      <c r="M184" s="293"/>
      <c r="N184" s="293"/>
      <c r="O184" s="293"/>
      <c r="P184" s="293"/>
      <c r="Q184" s="293"/>
      <c r="R184" s="293"/>
      <c r="S184" s="293"/>
      <c r="T184" s="293"/>
      <c r="U184" s="293"/>
      <c r="V184" s="293"/>
      <c r="W184" s="293"/>
      <c r="X184" s="293"/>
      <c r="Y184" s="293"/>
      <c r="Z184" s="293"/>
      <c r="AA184" s="293"/>
      <c r="AB184" s="293"/>
      <c r="AC184" s="293"/>
      <c r="AD184" s="293"/>
      <c r="AE184" s="293"/>
      <c r="AF184" s="293"/>
      <c r="AG184" s="293"/>
      <c r="AH184" s="293"/>
      <c r="AI184" s="293"/>
      <c r="AJ184" s="293"/>
      <c r="AK184" s="293"/>
      <c r="AL184" s="293"/>
      <c r="AM184" s="293"/>
      <c r="AN184" s="293"/>
      <c r="AO184" s="293"/>
      <c r="AP184" s="293"/>
      <c r="AQ184" s="293"/>
      <c r="AR184" s="293"/>
      <c r="AS184" s="293"/>
      <c r="AT184" s="293"/>
      <c r="AU184" s="293"/>
      <c r="AV184" s="293"/>
      <c r="AW184" s="293"/>
      <c r="AX184" s="293"/>
      <c r="AY184" s="293"/>
      <c r="AZ184" s="293"/>
      <c r="BA184" s="293"/>
      <c r="BB184" s="293"/>
      <c r="BC184" s="293"/>
      <c r="BD184" s="293"/>
      <c r="BE184" s="293"/>
      <c r="BF184" s="293"/>
      <c r="BG184" s="293"/>
      <c r="BH184" s="293"/>
      <c r="BI184" s="293"/>
      <c r="BJ184" s="293"/>
      <c r="BK184" s="293"/>
      <c r="BL184" s="293"/>
      <c r="BM184" s="293"/>
      <c r="BN184" s="293"/>
      <c r="BO184" s="293"/>
      <c r="BP184" s="293"/>
      <c r="BQ184" s="293"/>
      <c r="BR184" s="293"/>
      <c r="BS184" s="293"/>
      <c r="BT184" s="293"/>
      <c r="BU184" s="293"/>
      <c r="BV184" s="293"/>
      <c r="BW184" s="293"/>
      <c r="BX184" s="293"/>
      <c r="BY184" s="293"/>
      <c r="BZ184" s="293"/>
      <c r="CA184" s="285"/>
      <c r="CB184" s="286"/>
      <c r="CC184" s="286"/>
      <c r="CD184" s="286"/>
      <c r="CE184" s="286"/>
      <c r="CF184" s="286"/>
      <c r="CG184" s="286"/>
      <c r="CH184" s="286"/>
      <c r="CI184" s="286"/>
      <c r="CJ184" s="286"/>
      <c r="CK184" s="286"/>
      <c r="CL184" s="286"/>
      <c r="CM184" s="286"/>
      <c r="CN184" s="286"/>
      <c r="CO184" s="286"/>
      <c r="CP184" s="286"/>
      <c r="CQ184" s="286"/>
      <c r="CR184" s="286"/>
      <c r="CS184" s="286"/>
      <c r="CT184" s="286"/>
      <c r="CU184" s="286"/>
      <c r="CV184" s="286"/>
      <c r="CW184" s="286"/>
      <c r="CX184" s="286"/>
      <c r="CY184" s="286"/>
      <c r="CZ184" s="286"/>
      <c r="DA184" s="286"/>
      <c r="DB184" s="286"/>
      <c r="DC184" s="286"/>
      <c r="DD184" s="286"/>
      <c r="DE184" s="286"/>
      <c r="DF184" s="286"/>
      <c r="DG184" s="286"/>
      <c r="DH184" s="286"/>
      <c r="DI184" s="286"/>
      <c r="DJ184" s="286"/>
      <c r="DK184" s="286"/>
      <c r="DL184" s="286"/>
      <c r="DM184" s="286"/>
      <c r="DN184" s="286"/>
      <c r="DO184" s="286"/>
      <c r="DP184" s="286"/>
      <c r="DR184" s="58" t="str">
        <f>IF(ISNUMBER(MATCH(#REF!,'Audit Characteristic Mapping'!$B$3:$B$500,0)),"Y","")</f>
        <v/>
      </c>
      <c r="DS184" s="58" t="str">
        <f>IF(ISNUMBER(MATCH(#REF!,'Audit Characteristic Mapping'!$C$3:$C$500,0)),"Y","")</f>
        <v/>
      </c>
      <c r="DT184" s="58" t="str">
        <f>IF(ISNUMBER(MATCH(#REF!,'Audit Characteristic Mapping'!$D$3:$D$500,0)),"Y","")</f>
        <v/>
      </c>
      <c r="DU184" s="58" t="str">
        <f>IF(ISNUMBER(MATCH(#REF!,'Audit Characteristic Mapping'!$E$3:$E$500,0)),"Y","")</f>
        <v/>
      </c>
      <c r="DV184" s="58" t="str">
        <f>IF(ISNUMBER(MATCH(#REF!,'Audit Characteristic Mapping'!$F$3:$F$500,0)),"Y","")</f>
        <v/>
      </c>
      <c r="DW184" s="58" t="str">
        <f>IF(ISNUMBER(MATCH(#REF!,'Audit Characteristic Mapping'!$G$3:$G$500,0)),"Y","")</f>
        <v/>
      </c>
      <c r="DX184" s="58" t="str">
        <f>IF(ISNUMBER(MATCH(#REF!,'Audit Characteristic Mapping'!$H$3:$H$500,0)),"Y","")</f>
        <v/>
      </c>
      <c r="DY184" s="58" t="str">
        <f>IF(ISNUMBER(MATCH(#REF!,'Audit Characteristic Mapping'!$I$3:$I$500,0)),"Y","")</f>
        <v/>
      </c>
      <c r="DZ184" s="58" t="str">
        <f>IF(ISNUMBER(MATCH(#REF!,'Audit Characteristic Mapping'!$J$3:$J$500,0)),"Y","")</f>
        <v/>
      </c>
      <c r="EA184" s="58" t="str">
        <f>IF(ISNUMBER(MATCH(#REF!,'Audit Characteristic Mapping'!$K$3:$K$500,0)),"Y","")</f>
        <v/>
      </c>
    </row>
    <row r="185" spans="1:131" ht="16" hidden="1" x14ac:dyDescent="0.2">
      <c r="A185" s="288">
        <v>179</v>
      </c>
      <c r="B185" s="287" t="s">
        <v>253</v>
      </c>
      <c r="C185" s="226" t="s">
        <v>297</v>
      </c>
      <c r="D185" s="170">
        <v>5</v>
      </c>
      <c r="E185" s="288">
        <v>30</v>
      </c>
      <c r="F185" s="291" t="str">
        <f>VLOOKUP(Calculation!A185,'Descriptor maps'!$A$2:$F$1658,2,0)</f>
        <v>Studies &amp; Design</v>
      </c>
      <c r="G185" s="296"/>
      <c r="H185" s="290"/>
      <c r="I185" s="291"/>
      <c r="J185" s="292" t="e" cm="1">
        <f t="array" ref="J185">INDEX('Descriptor maps'!$I$2:$I$1658,MATCH(1,('Descriptor maps'!$A$2:$A$1658=Calculation!$A185)*('Descriptor maps'!$G$2:$G$1658=Calculation!$G185),0))</f>
        <v>#N/A</v>
      </c>
      <c r="K185" s="226"/>
      <c r="L185" s="293"/>
      <c r="M185" s="293"/>
      <c r="N185" s="293"/>
      <c r="O185" s="293"/>
      <c r="P185" s="293"/>
      <c r="Q185" s="293"/>
      <c r="R185" s="293"/>
      <c r="S185" s="293"/>
      <c r="T185" s="293"/>
      <c r="U185" s="293"/>
      <c r="V185" s="293"/>
      <c r="W185" s="293"/>
      <c r="X185" s="293"/>
      <c r="Y185" s="293"/>
      <c r="Z185" s="293"/>
      <c r="AA185" s="293"/>
      <c r="AB185" s="293"/>
      <c r="AC185" s="293"/>
      <c r="AD185" s="293"/>
      <c r="AE185" s="293"/>
      <c r="AF185" s="293"/>
      <c r="AG185" s="293"/>
      <c r="AH185" s="293"/>
      <c r="AI185" s="293"/>
      <c r="AJ185" s="293"/>
      <c r="AK185" s="293"/>
      <c r="AL185" s="293"/>
      <c r="AM185" s="293"/>
      <c r="AN185" s="293"/>
      <c r="AO185" s="293"/>
      <c r="AP185" s="293"/>
      <c r="AQ185" s="293"/>
      <c r="AR185" s="293"/>
      <c r="AS185" s="293"/>
      <c r="AT185" s="293"/>
      <c r="AU185" s="293"/>
      <c r="AV185" s="293"/>
      <c r="AW185" s="293"/>
      <c r="AX185" s="293"/>
      <c r="AY185" s="293"/>
      <c r="AZ185" s="293"/>
      <c r="BA185" s="293"/>
      <c r="BB185" s="293"/>
      <c r="BC185" s="293"/>
      <c r="BD185" s="293"/>
      <c r="BE185" s="293"/>
      <c r="BF185" s="293"/>
      <c r="BG185" s="293"/>
      <c r="BH185" s="293"/>
      <c r="BI185" s="293"/>
      <c r="BJ185" s="293"/>
      <c r="BK185" s="293"/>
      <c r="BL185" s="293"/>
      <c r="BM185" s="293"/>
      <c r="BN185" s="293"/>
      <c r="BO185" s="293"/>
      <c r="BP185" s="293"/>
      <c r="BQ185" s="293"/>
      <c r="BR185" s="293"/>
      <c r="BS185" s="293"/>
      <c r="BT185" s="293"/>
      <c r="BU185" s="293"/>
      <c r="BV185" s="293"/>
      <c r="BW185" s="293"/>
      <c r="BX185" s="293"/>
      <c r="BY185" s="293"/>
      <c r="BZ185" s="293"/>
      <c r="CA185" s="285"/>
      <c r="CB185" s="286"/>
      <c r="CC185" s="286"/>
      <c r="CD185" s="286"/>
      <c r="CE185" s="286"/>
      <c r="CF185" s="286"/>
      <c r="CG185" s="286"/>
      <c r="CH185" s="286"/>
      <c r="CI185" s="286"/>
      <c r="CJ185" s="286"/>
      <c r="CK185" s="286"/>
      <c r="CL185" s="286"/>
      <c r="CM185" s="286"/>
      <c r="CN185" s="286"/>
      <c r="CO185" s="286"/>
      <c r="CP185" s="286"/>
      <c r="CQ185" s="286"/>
      <c r="CR185" s="286"/>
      <c r="CS185" s="286"/>
      <c r="CT185" s="286"/>
      <c r="CU185" s="286"/>
      <c r="CV185" s="286"/>
      <c r="CW185" s="286"/>
      <c r="CX185" s="286"/>
      <c r="CY185" s="286"/>
      <c r="CZ185" s="286"/>
      <c r="DA185" s="286"/>
      <c r="DB185" s="286"/>
      <c r="DC185" s="286"/>
      <c r="DD185" s="286"/>
      <c r="DE185" s="286"/>
      <c r="DF185" s="286"/>
      <c r="DG185" s="286"/>
      <c r="DH185" s="286"/>
      <c r="DI185" s="286"/>
      <c r="DJ185" s="286"/>
      <c r="DK185" s="286"/>
      <c r="DL185" s="286"/>
      <c r="DM185" s="286"/>
      <c r="DN185" s="286"/>
      <c r="DO185" s="286"/>
      <c r="DP185" s="286"/>
      <c r="DR185" s="58" t="str">
        <f>IF(ISNUMBER(MATCH(#REF!,'Audit Characteristic Mapping'!$B$3:$B$500,0)),"Y","")</f>
        <v/>
      </c>
      <c r="DS185" s="58" t="str">
        <f>IF(ISNUMBER(MATCH(#REF!,'Audit Characteristic Mapping'!$C$3:$C$500,0)),"Y","")</f>
        <v/>
      </c>
      <c r="DT185" s="58" t="str">
        <f>IF(ISNUMBER(MATCH(#REF!,'Audit Characteristic Mapping'!$D$3:$D$500,0)),"Y","")</f>
        <v/>
      </c>
      <c r="DU185" s="58" t="str">
        <f>IF(ISNUMBER(MATCH(#REF!,'Audit Characteristic Mapping'!$E$3:$E$500,0)),"Y","")</f>
        <v/>
      </c>
      <c r="DV185" s="58" t="str">
        <f>IF(ISNUMBER(MATCH(#REF!,'Audit Characteristic Mapping'!$F$3:$F$500,0)),"Y","")</f>
        <v/>
      </c>
      <c r="DW185" s="58" t="str">
        <f>IF(ISNUMBER(MATCH(#REF!,'Audit Characteristic Mapping'!$G$3:$G$500,0)),"Y","")</f>
        <v/>
      </c>
      <c r="DX185" s="58" t="str">
        <f>IF(ISNUMBER(MATCH(#REF!,'Audit Characteristic Mapping'!$H$3:$H$500,0)),"Y","")</f>
        <v/>
      </c>
      <c r="DY185" s="58" t="str">
        <f>IF(ISNUMBER(MATCH(#REF!,'Audit Characteristic Mapping'!$I$3:$I$500,0)),"Y","")</f>
        <v/>
      </c>
      <c r="DZ185" s="58" t="str">
        <f>IF(ISNUMBER(MATCH(#REF!,'Audit Characteristic Mapping'!$J$3:$J$500,0)),"Y","")</f>
        <v/>
      </c>
      <c r="EA185" s="58" t="str">
        <f>IF(ISNUMBER(MATCH(#REF!,'Audit Characteristic Mapping'!$K$3:$K$500,0)),"Y","")</f>
        <v/>
      </c>
    </row>
    <row r="186" spans="1:131" ht="16" hidden="1" x14ac:dyDescent="0.2">
      <c r="A186" s="288">
        <v>180</v>
      </c>
      <c r="B186" s="287" t="s">
        <v>253</v>
      </c>
      <c r="C186" s="226" t="s">
        <v>297</v>
      </c>
      <c r="D186" s="170">
        <v>5</v>
      </c>
      <c r="E186" s="288">
        <v>30</v>
      </c>
      <c r="F186" s="291" t="str">
        <f>VLOOKUP(Calculation!A186,'Descriptor maps'!$A$2:$F$1658,2,0)</f>
        <v>Studies &amp; Design</v>
      </c>
      <c r="G186" s="296"/>
      <c r="H186" s="290"/>
      <c r="I186" s="291"/>
      <c r="J186" s="292" t="e" cm="1">
        <f t="array" ref="J186">INDEX('Descriptor maps'!$I$2:$I$1658,MATCH(1,('Descriptor maps'!$A$2:$A$1658=Calculation!$A186)*('Descriptor maps'!$G$2:$G$1658=Calculation!$G186),0))</f>
        <v>#N/A</v>
      </c>
      <c r="K186" s="226"/>
      <c r="L186" s="293"/>
      <c r="M186" s="293"/>
      <c r="N186" s="293"/>
      <c r="O186" s="293"/>
      <c r="P186" s="293"/>
      <c r="Q186" s="293"/>
      <c r="R186" s="293"/>
      <c r="S186" s="293"/>
      <c r="T186" s="293"/>
      <c r="U186" s="293"/>
      <c r="V186" s="293"/>
      <c r="W186" s="293"/>
      <c r="X186" s="293"/>
      <c r="Y186" s="293"/>
      <c r="Z186" s="293"/>
      <c r="AA186" s="293"/>
      <c r="AB186" s="293"/>
      <c r="AC186" s="293"/>
      <c r="AD186" s="293"/>
      <c r="AE186" s="293"/>
      <c r="AF186" s="293"/>
      <c r="AG186" s="293"/>
      <c r="AH186" s="293"/>
      <c r="AI186" s="293"/>
      <c r="AJ186" s="293"/>
      <c r="AK186" s="293"/>
      <c r="AL186" s="293"/>
      <c r="AM186" s="293"/>
      <c r="AN186" s="293"/>
      <c r="AO186" s="293"/>
      <c r="AP186" s="293"/>
      <c r="AQ186" s="293"/>
      <c r="AR186" s="293"/>
      <c r="AS186" s="293"/>
      <c r="AT186" s="293"/>
      <c r="AU186" s="293"/>
      <c r="AV186" s="293"/>
      <c r="AW186" s="293"/>
      <c r="AX186" s="293"/>
      <c r="AY186" s="293"/>
      <c r="AZ186" s="293"/>
      <c r="BA186" s="293"/>
      <c r="BB186" s="293"/>
      <c r="BC186" s="293"/>
      <c r="BD186" s="293"/>
      <c r="BE186" s="293"/>
      <c r="BF186" s="293"/>
      <c r="BG186" s="293"/>
      <c r="BH186" s="293"/>
      <c r="BI186" s="293"/>
      <c r="BJ186" s="293"/>
      <c r="BK186" s="293"/>
      <c r="BL186" s="293"/>
      <c r="BM186" s="293"/>
      <c r="BN186" s="293"/>
      <c r="BO186" s="293"/>
      <c r="BP186" s="293"/>
      <c r="BQ186" s="293"/>
      <c r="BR186" s="293"/>
      <c r="BS186" s="293"/>
      <c r="BT186" s="293"/>
      <c r="BU186" s="293"/>
      <c r="BV186" s="293"/>
      <c r="BW186" s="293"/>
      <c r="BX186" s="293"/>
      <c r="BY186" s="293"/>
      <c r="BZ186" s="293"/>
      <c r="CA186" s="285"/>
      <c r="CB186" s="286"/>
      <c r="CC186" s="286"/>
      <c r="CD186" s="286"/>
      <c r="CE186" s="286"/>
      <c r="CF186" s="286"/>
      <c r="CG186" s="286"/>
      <c r="CH186" s="286"/>
      <c r="CI186" s="286"/>
      <c r="CJ186" s="286"/>
      <c r="CK186" s="286"/>
      <c r="CL186" s="286"/>
      <c r="CM186" s="286"/>
      <c r="CN186" s="286"/>
      <c r="CO186" s="286"/>
      <c r="CP186" s="286"/>
      <c r="CQ186" s="286"/>
      <c r="CR186" s="286"/>
      <c r="CS186" s="286"/>
      <c r="CT186" s="286"/>
      <c r="CU186" s="286"/>
      <c r="CV186" s="286"/>
      <c r="CW186" s="286"/>
      <c r="CX186" s="286"/>
      <c r="CY186" s="286"/>
      <c r="CZ186" s="286"/>
      <c r="DA186" s="286"/>
      <c r="DB186" s="286"/>
      <c r="DC186" s="286"/>
      <c r="DD186" s="286"/>
      <c r="DE186" s="286"/>
      <c r="DF186" s="286"/>
      <c r="DG186" s="286"/>
      <c r="DH186" s="286"/>
      <c r="DI186" s="286"/>
      <c r="DJ186" s="286"/>
      <c r="DK186" s="286"/>
      <c r="DL186" s="286"/>
      <c r="DM186" s="286"/>
      <c r="DN186" s="286"/>
      <c r="DO186" s="286"/>
      <c r="DP186" s="286"/>
      <c r="DR186" s="58" t="str">
        <f>IF(ISNUMBER(MATCH(#REF!,'Audit Characteristic Mapping'!$B$3:$B$500,0)),"Y","")</f>
        <v/>
      </c>
      <c r="DS186" s="58" t="str">
        <f>IF(ISNUMBER(MATCH(#REF!,'Audit Characteristic Mapping'!$C$3:$C$500,0)),"Y","")</f>
        <v/>
      </c>
      <c r="DT186" s="58" t="str">
        <f>IF(ISNUMBER(MATCH(#REF!,'Audit Characteristic Mapping'!$D$3:$D$500,0)),"Y","")</f>
        <v/>
      </c>
      <c r="DU186" s="58" t="str">
        <f>IF(ISNUMBER(MATCH(#REF!,'Audit Characteristic Mapping'!$E$3:$E$500,0)),"Y","")</f>
        <v/>
      </c>
      <c r="DV186" s="58" t="str">
        <f>IF(ISNUMBER(MATCH(#REF!,'Audit Characteristic Mapping'!$F$3:$F$500,0)),"Y","")</f>
        <v/>
      </c>
      <c r="DW186" s="58" t="str">
        <f>IF(ISNUMBER(MATCH(#REF!,'Audit Characteristic Mapping'!$G$3:$G$500,0)),"Y","")</f>
        <v/>
      </c>
      <c r="DX186" s="58" t="str">
        <f>IF(ISNUMBER(MATCH(#REF!,'Audit Characteristic Mapping'!$H$3:$H$500,0)),"Y","")</f>
        <v/>
      </c>
      <c r="DY186" s="58" t="str">
        <f>IF(ISNUMBER(MATCH(#REF!,'Audit Characteristic Mapping'!$I$3:$I$500,0)),"Y","")</f>
        <v/>
      </c>
      <c r="DZ186" s="58" t="str">
        <f>IF(ISNUMBER(MATCH(#REF!,'Audit Characteristic Mapping'!$J$3:$J$500,0)),"Y","")</f>
        <v/>
      </c>
      <c r="EA186" s="58" t="str">
        <f>IF(ISNUMBER(MATCH(#REF!,'Audit Characteristic Mapping'!$K$3:$K$500,0)),"Y","")</f>
        <v/>
      </c>
    </row>
    <row r="187" spans="1:131" ht="16" hidden="1" x14ac:dyDescent="0.2">
      <c r="A187" s="288">
        <v>181</v>
      </c>
      <c r="B187" s="287" t="s">
        <v>253</v>
      </c>
      <c r="C187" s="226" t="s">
        <v>297</v>
      </c>
      <c r="D187" s="170">
        <v>5</v>
      </c>
      <c r="E187" s="288">
        <v>30</v>
      </c>
      <c r="F187" s="291" t="str">
        <f>VLOOKUP(Calculation!A187,'Descriptor maps'!$A$2:$F$1658,2,0)</f>
        <v>Studies &amp; Design</v>
      </c>
      <c r="G187" s="296"/>
      <c r="H187" s="290"/>
      <c r="I187" s="291"/>
      <c r="J187" s="292" t="e" cm="1">
        <f t="array" ref="J187">INDEX('Descriptor maps'!$I$2:$I$1658,MATCH(1,('Descriptor maps'!$A$2:$A$1658=Calculation!$A187)*('Descriptor maps'!$G$2:$G$1658=Calculation!$G187),0))</f>
        <v>#N/A</v>
      </c>
      <c r="K187" s="226"/>
      <c r="L187" s="293"/>
      <c r="M187" s="293"/>
      <c r="N187" s="293"/>
      <c r="O187" s="293"/>
      <c r="P187" s="293"/>
      <c r="Q187" s="293"/>
      <c r="R187" s="293"/>
      <c r="S187" s="293"/>
      <c r="T187" s="293"/>
      <c r="U187" s="293"/>
      <c r="V187" s="293"/>
      <c r="W187" s="293"/>
      <c r="X187" s="293"/>
      <c r="Y187" s="293"/>
      <c r="Z187" s="293"/>
      <c r="AA187" s="293"/>
      <c r="AB187" s="293"/>
      <c r="AC187" s="293"/>
      <c r="AD187" s="293"/>
      <c r="AE187" s="293"/>
      <c r="AF187" s="293"/>
      <c r="AG187" s="293"/>
      <c r="AH187" s="293"/>
      <c r="AI187" s="293"/>
      <c r="AJ187" s="293"/>
      <c r="AK187" s="293"/>
      <c r="AL187" s="293"/>
      <c r="AM187" s="293"/>
      <c r="AN187" s="293"/>
      <c r="AO187" s="293"/>
      <c r="AP187" s="293"/>
      <c r="AQ187" s="293"/>
      <c r="AR187" s="293"/>
      <c r="AS187" s="293"/>
      <c r="AT187" s="293"/>
      <c r="AU187" s="293"/>
      <c r="AV187" s="293"/>
      <c r="AW187" s="293"/>
      <c r="AX187" s="293"/>
      <c r="AY187" s="293"/>
      <c r="AZ187" s="293"/>
      <c r="BA187" s="293"/>
      <c r="BB187" s="293"/>
      <c r="BC187" s="293"/>
      <c r="BD187" s="293"/>
      <c r="BE187" s="293"/>
      <c r="BF187" s="293"/>
      <c r="BG187" s="293"/>
      <c r="BH187" s="293"/>
      <c r="BI187" s="293"/>
      <c r="BJ187" s="293"/>
      <c r="BK187" s="293"/>
      <c r="BL187" s="293"/>
      <c r="BM187" s="293"/>
      <c r="BN187" s="293"/>
      <c r="BO187" s="293"/>
      <c r="BP187" s="293"/>
      <c r="BQ187" s="293"/>
      <c r="BR187" s="293"/>
      <c r="BS187" s="293"/>
      <c r="BT187" s="293"/>
      <c r="BU187" s="293"/>
      <c r="BV187" s="293"/>
      <c r="BW187" s="293"/>
      <c r="BX187" s="293"/>
      <c r="BY187" s="293"/>
      <c r="BZ187" s="293"/>
      <c r="CA187" s="285"/>
      <c r="CB187" s="286"/>
      <c r="CC187" s="286"/>
      <c r="CD187" s="286"/>
      <c r="CE187" s="286"/>
      <c r="CF187" s="286"/>
      <c r="CG187" s="286"/>
      <c r="CH187" s="286"/>
      <c r="CI187" s="286"/>
      <c r="CJ187" s="286"/>
      <c r="CK187" s="286"/>
      <c r="CL187" s="286"/>
      <c r="CM187" s="286"/>
      <c r="CN187" s="286"/>
      <c r="CO187" s="286"/>
      <c r="CP187" s="286"/>
      <c r="CQ187" s="286"/>
      <c r="CR187" s="286"/>
      <c r="CS187" s="286"/>
      <c r="CT187" s="286"/>
      <c r="CU187" s="286"/>
      <c r="CV187" s="286"/>
      <c r="CW187" s="286"/>
      <c r="CX187" s="286"/>
      <c r="CY187" s="286"/>
      <c r="CZ187" s="286"/>
      <c r="DA187" s="286"/>
      <c r="DB187" s="286"/>
      <c r="DC187" s="286"/>
      <c r="DD187" s="286"/>
      <c r="DE187" s="286"/>
      <c r="DF187" s="286"/>
      <c r="DG187" s="286"/>
      <c r="DH187" s="286"/>
      <c r="DI187" s="286"/>
      <c r="DJ187" s="286"/>
      <c r="DK187" s="286"/>
      <c r="DL187" s="286"/>
      <c r="DM187" s="286"/>
      <c r="DN187" s="286"/>
      <c r="DO187" s="286"/>
      <c r="DP187" s="286"/>
      <c r="DR187" s="58" t="str">
        <f>IF(ISNUMBER(MATCH(#REF!,'Audit Characteristic Mapping'!$B$3:$B$500,0)),"Y","")</f>
        <v/>
      </c>
      <c r="DS187" s="58" t="str">
        <f>IF(ISNUMBER(MATCH(#REF!,'Audit Characteristic Mapping'!$C$3:$C$500,0)),"Y","")</f>
        <v/>
      </c>
      <c r="DT187" s="58" t="str">
        <f>IF(ISNUMBER(MATCH(#REF!,'Audit Characteristic Mapping'!$D$3:$D$500,0)),"Y","")</f>
        <v/>
      </c>
      <c r="DU187" s="58" t="str">
        <f>IF(ISNUMBER(MATCH(#REF!,'Audit Characteristic Mapping'!$E$3:$E$500,0)),"Y","")</f>
        <v/>
      </c>
      <c r="DV187" s="58" t="str">
        <f>IF(ISNUMBER(MATCH(#REF!,'Audit Characteristic Mapping'!$F$3:$F$500,0)),"Y","")</f>
        <v/>
      </c>
      <c r="DW187" s="58" t="str">
        <f>IF(ISNUMBER(MATCH(#REF!,'Audit Characteristic Mapping'!$G$3:$G$500,0)),"Y","")</f>
        <v/>
      </c>
      <c r="DX187" s="58" t="str">
        <f>IF(ISNUMBER(MATCH(#REF!,'Audit Characteristic Mapping'!$H$3:$H$500,0)),"Y","")</f>
        <v/>
      </c>
      <c r="DY187" s="58" t="str">
        <f>IF(ISNUMBER(MATCH(#REF!,'Audit Characteristic Mapping'!$I$3:$I$500,0)),"Y","")</f>
        <v/>
      </c>
      <c r="DZ187" s="58" t="str">
        <f>IF(ISNUMBER(MATCH(#REF!,'Audit Characteristic Mapping'!$J$3:$J$500,0)),"Y","")</f>
        <v/>
      </c>
      <c r="EA187" s="58" t="str">
        <f>IF(ISNUMBER(MATCH(#REF!,'Audit Characteristic Mapping'!$K$3:$K$500,0)),"Y","")</f>
        <v/>
      </c>
    </row>
    <row r="188" spans="1:131" ht="16" hidden="1" x14ac:dyDescent="0.2">
      <c r="A188" s="288">
        <v>182</v>
      </c>
      <c r="B188" s="287" t="s">
        <v>253</v>
      </c>
      <c r="C188" s="226" t="s">
        <v>305</v>
      </c>
      <c r="D188" s="170">
        <v>5</v>
      </c>
      <c r="E188" s="288">
        <v>31</v>
      </c>
      <c r="F188" s="291" t="str">
        <f>VLOOKUP(Calculation!A188,'Descriptor maps'!$A$2:$F$1658,2,0)</f>
        <v>Studies &amp; Design</v>
      </c>
      <c r="G188" s="296"/>
      <c r="H188" s="290"/>
      <c r="I188" s="291"/>
      <c r="J188" s="292" t="e" cm="1">
        <f t="array" ref="J188">INDEX('Descriptor maps'!$I$2:$I$1658,MATCH(1,('Descriptor maps'!$A$2:$A$1658=Calculation!$A188)*('Descriptor maps'!$G$2:$G$1658=Calculation!$G188),0))</f>
        <v>#N/A</v>
      </c>
      <c r="K188" s="226"/>
      <c r="L188" s="293"/>
      <c r="M188" s="293"/>
      <c r="N188" s="293"/>
      <c r="O188" s="293"/>
      <c r="P188" s="293"/>
      <c r="Q188" s="293"/>
      <c r="R188" s="293"/>
      <c r="S188" s="293"/>
      <c r="T188" s="293"/>
      <c r="U188" s="293"/>
      <c r="V188" s="293"/>
      <c r="W188" s="293"/>
      <c r="X188" s="293"/>
      <c r="Y188" s="293"/>
      <c r="Z188" s="293"/>
      <c r="AA188" s="293"/>
      <c r="AB188" s="293"/>
      <c r="AC188" s="293"/>
      <c r="AD188" s="293"/>
      <c r="AE188" s="293"/>
      <c r="AF188" s="293"/>
      <c r="AG188" s="293"/>
      <c r="AH188" s="293"/>
      <c r="AI188" s="293"/>
      <c r="AJ188" s="293"/>
      <c r="AK188" s="293"/>
      <c r="AL188" s="293"/>
      <c r="AM188" s="293"/>
      <c r="AN188" s="293"/>
      <c r="AO188" s="293"/>
      <c r="AP188" s="293"/>
      <c r="AQ188" s="293"/>
      <c r="AR188" s="293"/>
      <c r="AS188" s="293"/>
      <c r="AT188" s="293"/>
      <c r="AU188" s="293"/>
      <c r="AV188" s="293"/>
      <c r="AW188" s="293"/>
      <c r="AX188" s="293"/>
      <c r="AY188" s="293"/>
      <c r="AZ188" s="293"/>
      <c r="BA188" s="293"/>
      <c r="BB188" s="293"/>
      <c r="BC188" s="293"/>
      <c r="BD188" s="293"/>
      <c r="BE188" s="293"/>
      <c r="BF188" s="293"/>
      <c r="BG188" s="293"/>
      <c r="BH188" s="293"/>
      <c r="BI188" s="293"/>
      <c r="BJ188" s="293"/>
      <c r="BK188" s="293"/>
      <c r="BL188" s="293"/>
      <c r="BM188" s="293"/>
      <c r="BN188" s="293"/>
      <c r="BO188" s="293"/>
      <c r="BP188" s="293"/>
      <c r="BQ188" s="293"/>
      <c r="BR188" s="293"/>
      <c r="BS188" s="293"/>
      <c r="BT188" s="293"/>
      <c r="BU188" s="293"/>
      <c r="BV188" s="293"/>
      <c r="BW188" s="293"/>
      <c r="BX188" s="293"/>
      <c r="BY188" s="293"/>
      <c r="BZ188" s="293"/>
      <c r="CA188" s="285"/>
      <c r="CB188" s="286"/>
      <c r="CC188" s="286"/>
      <c r="CD188" s="286"/>
      <c r="CE188" s="286"/>
      <c r="CF188" s="286"/>
      <c r="CG188" s="286"/>
      <c r="CH188" s="286"/>
      <c r="CI188" s="286"/>
      <c r="CJ188" s="286"/>
      <c r="CK188" s="286"/>
      <c r="CL188" s="286"/>
      <c r="CM188" s="286"/>
      <c r="CN188" s="286"/>
      <c r="CO188" s="286"/>
      <c r="CP188" s="286"/>
      <c r="CQ188" s="286"/>
      <c r="CR188" s="286"/>
      <c r="CS188" s="286"/>
      <c r="CT188" s="286"/>
      <c r="CU188" s="286"/>
      <c r="CV188" s="286"/>
      <c r="CW188" s="286"/>
      <c r="CX188" s="286"/>
      <c r="CY188" s="286"/>
      <c r="CZ188" s="286"/>
      <c r="DA188" s="286"/>
      <c r="DB188" s="286"/>
      <c r="DC188" s="286"/>
      <c r="DD188" s="286"/>
      <c r="DE188" s="286"/>
      <c r="DF188" s="286"/>
      <c r="DG188" s="286"/>
      <c r="DH188" s="286"/>
      <c r="DI188" s="286"/>
      <c r="DJ188" s="286"/>
      <c r="DK188" s="286"/>
      <c r="DL188" s="286"/>
      <c r="DM188" s="286"/>
      <c r="DN188" s="286"/>
      <c r="DO188" s="286"/>
      <c r="DP188" s="286"/>
      <c r="DR188" s="58" t="str">
        <f>IF(ISNUMBER(MATCH(#REF!,'Audit Characteristic Mapping'!$B$3:$B$500,0)),"Y","")</f>
        <v/>
      </c>
      <c r="DS188" s="58" t="str">
        <f>IF(ISNUMBER(MATCH(#REF!,'Audit Characteristic Mapping'!$C$3:$C$500,0)),"Y","")</f>
        <v/>
      </c>
      <c r="DT188" s="58" t="str">
        <f>IF(ISNUMBER(MATCH(#REF!,'Audit Characteristic Mapping'!$D$3:$D$500,0)),"Y","")</f>
        <v/>
      </c>
      <c r="DU188" s="58" t="str">
        <f>IF(ISNUMBER(MATCH(#REF!,'Audit Characteristic Mapping'!$E$3:$E$500,0)),"Y","")</f>
        <v/>
      </c>
      <c r="DV188" s="58" t="str">
        <f>IF(ISNUMBER(MATCH(#REF!,'Audit Characteristic Mapping'!$F$3:$F$500,0)),"Y","")</f>
        <v/>
      </c>
      <c r="DW188" s="58" t="str">
        <f>IF(ISNUMBER(MATCH(#REF!,'Audit Characteristic Mapping'!$G$3:$G$500,0)),"Y","")</f>
        <v/>
      </c>
      <c r="DX188" s="58" t="str">
        <f>IF(ISNUMBER(MATCH(#REF!,'Audit Characteristic Mapping'!$H$3:$H$500,0)),"Y","")</f>
        <v/>
      </c>
      <c r="DY188" s="58" t="str">
        <f>IF(ISNUMBER(MATCH(#REF!,'Audit Characteristic Mapping'!$I$3:$I$500,0)),"Y","")</f>
        <v/>
      </c>
      <c r="DZ188" s="58" t="str">
        <f>IF(ISNUMBER(MATCH(#REF!,'Audit Characteristic Mapping'!$J$3:$J$500,0)),"Y","")</f>
        <v/>
      </c>
      <c r="EA188" s="58" t="str">
        <f>IF(ISNUMBER(MATCH(#REF!,'Audit Characteristic Mapping'!$K$3:$K$500,0)),"Y","")</f>
        <v/>
      </c>
    </row>
    <row r="189" spans="1:131" ht="16" hidden="1" x14ac:dyDescent="0.2">
      <c r="A189" s="288">
        <v>183</v>
      </c>
      <c r="B189" s="287" t="s">
        <v>253</v>
      </c>
      <c r="C189" s="226" t="s">
        <v>305</v>
      </c>
      <c r="D189" s="170">
        <v>5</v>
      </c>
      <c r="E189" s="288">
        <v>31</v>
      </c>
      <c r="F189" s="291" t="str">
        <f>VLOOKUP(Calculation!A189,'Descriptor maps'!$A$2:$F$1658,2,0)</f>
        <v>Studies &amp; Design</v>
      </c>
      <c r="G189" s="296"/>
      <c r="H189" s="290"/>
      <c r="I189" s="291"/>
      <c r="J189" s="292" t="e" cm="1">
        <f t="array" ref="J189">INDEX('Descriptor maps'!$I$2:$I$1658,MATCH(1,('Descriptor maps'!$A$2:$A$1658=Calculation!$A189)*('Descriptor maps'!$G$2:$G$1658=Calculation!$G189),0))</f>
        <v>#N/A</v>
      </c>
      <c r="K189" s="226"/>
      <c r="L189" s="293"/>
      <c r="M189" s="293"/>
      <c r="N189" s="293"/>
      <c r="O189" s="293"/>
      <c r="P189" s="293"/>
      <c r="Q189" s="293"/>
      <c r="R189" s="293"/>
      <c r="S189" s="293"/>
      <c r="T189" s="293"/>
      <c r="U189" s="293"/>
      <c r="V189" s="293"/>
      <c r="W189" s="293"/>
      <c r="X189" s="293"/>
      <c r="Y189" s="293"/>
      <c r="Z189" s="293"/>
      <c r="AA189" s="293"/>
      <c r="AB189" s="293"/>
      <c r="AC189" s="293"/>
      <c r="AD189" s="293"/>
      <c r="AE189" s="293"/>
      <c r="AF189" s="293"/>
      <c r="AG189" s="293"/>
      <c r="AH189" s="293"/>
      <c r="AI189" s="293"/>
      <c r="AJ189" s="293"/>
      <c r="AK189" s="293"/>
      <c r="AL189" s="293"/>
      <c r="AM189" s="293"/>
      <c r="AN189" s="293"/>
      <c r="AO189" s="293"/>
      <c r="AP189" s="293"/>
      <c r="AQ189" s="293"/>
      <c r="AR189" s="293"/>
      <c r="AS189" s="293"/>
      <c r="AT189" s="293"/>
      <c r="AU189" s="293"/>
      <c r="AV189" s="293"/>
      <c r="AW189" s="293"/>
      <c r="AX189" s="293"/>
      <c r="AY189" s="293"/>
      <c r="AZ189" s="293"/>
      <c r="BA189" s="293"/>
      <c r="BB189" s="293"/>
      <c r="BC189" s="293"/>
      <c r="BD189" s="293"/>
      <c r="BE189" s="293"/>
      <c r="BF189" s="293"/>
      <c r="BG189" s="293"/>
      <c r="BH189" s="293"/>
      <c r="BI189" s="293"/>
      <c r="BJ189" s="293"/>
      <c r="BK189" s="293"/>
      <c r="BL189" s="293"/>
      <c r="BM189" s="293"/>
      <c r="BN189" s="293"/>
      <c r="BO189" s="293"/>
      <c r="BP189" s="293"/>
      <c r="BQ189" s="293"/>
      <c r="BR189" s="293"/>
      <c r="BS189" s="293"/>
      <c r="BT189" s="293"/>
      <c r="BU189" s="293"/>
      <c r="BV189" s="293"/>
      <c r="BW189" s="293"/>
      <c r="BX189" s="293"/>
      <c r="BY189" s="293"/>
      <c r="BZ189" s="293"/>
      <c r="CA189" s="285"/>
      <c r="CB189" s="286"/>
      <c r="CC189" s="286"/>
      <c r="CD189" s="286"/>
      <c r="CE189" s="286"/>
      <c r="CF189" s="286"/>
      <c r="CG189" s="286"/>
      <c r="CH189" s="286"/>
      <c r="CI189" s="286"/>
      <c r="CJ189" s="286"/>
      <c r="CK189" s="286"/>
      <c r="CL189" s="286"/>
      <c r="CM189" s="286"/>
      <c r="CN189" s="286"/>
      <c r="CO189" s="286"/>
      <c r="CP189" s="286"/>
      <c r="CQ189" s="286"/>
      <c r="CR189" s="286"/>
      <c r="CS189" s="286"/>
      <c r="CT189" s="286"/>
      <c r="CU189" s="286"/>
      <c r="CV189" s="286"/>
      <c r="CW189" s="286"/>
      <c r="CX189" s="286"/>
      <c r="CY189" s="286"/>
      <c r="CZ189" s="286"/>
      <c r="DA189" s="286"/>
      <c r="DB189" s="286"/>
      <c r="DC189" s="286"/>
      <c r="DD189" s="286"/>
      <c r="DE189" s="286"/>
      <c r="DF189" s="286"/>
      <c r="DG189" s="286"/>
      <c r="DH189" s="286"/>
      <c r="DI189" s="286"/>
      <c r="DJ189" s="286"/>
      <c r="DK189" s="286"/>
      <c r="DL189" s="286"/>
      <c r="DM189" s="286"/>
      <c r="DN189" s="286"/>
      <c r="DO189" s="286"/>
      <c r="DP189" s="286"/>
      <c r="DR189" s="58" t="str">
        <f>IF(ISNUMBER(MATCH(#REF!,'Audit Characteristic Mapping'!$B$3:$B$500,0)),"Y","")</f>
        <v/>
      </c>
      <c r="DS189" s="58" t="str">
        <f>IF(ISNUMBER(MATCH(#REF!,'Audit Characteristic Mapping'!$C$3:$C$500,0)),"Y","")</f>
        <v/>
      </c>
      <c r="DT189" s="58" t="str">
        <f>IF(ISNUMBER(MATCH(#REF!,'Audit Characteristic Mapping'!$D$3:$D$500,0)),"Y","")</f>
        <v/>
      </c>
      <c r="DU189" s="58" t="str">
        <f>IF(ISNUMBER(MATCH(#REF!,'Audit Characteristic Mapping'!$E$3:$E$500,0)),"Y","")</f>
        <v/>
      </c>
      <c r="DV189" s="58" t="str">
        <f>IF(ISNUMBER(MATCH(#REF!,'Audit Characteristic Mapping'!$F$3:$F$500,0)),"Y","")</f>
        <v/>
      </c>
      <c r="DW189" s="58" t="str">
        <f>IF(ISNUMBER(MATCH(#REF!,'Audit Characteristic Mapping'!$G$3:$G$500,0)),"Y","")</f>
        <v/>
      </c>
      <c r="DX189" s="58" t="str">
        <f>IF(ISNUMBER(MATCH(#REF!,'Audit Characteristic Mapping'!$H$3:$H$500,0)),"Y","")</f>
        <v/>
      </c>
      <c r="DY189" s="58" t="str">
        <f>IF(ISNUMBER(MATCH(#REF!,'Audit Characteristic Mapping'!$I$3:$I$500,0)),"Y","")</f>
        <v/>
      </c>
      <c r="DZ189" s="58" t="str">
        <f>IF(ISNUMBER(MATCH(#REF!,'Audit Characteristic Mapping'!$J$3:$J$500,0)),"Y","")</f>
        <v/>
      </c>
      <c r="EA189" s="58" t="str">
        <f>IF(ISNUMBER(MATCH(#REF!,'Audit Characteristic Mapping'!$K$3:$K$500,0)),"Y","")</f>
        <v/>
      </c>
    </row>
    <row r="190" spans="1:131" ht="16" hidden="1" x14ac:dyDescent="0.2">
      <c r="A190" s="288">
        <v>184</v>
      </c>
      <c r="B190" s="287" t="s">
        <v>253</v>
      </c>
      <c r="C190" s="226" t="s">
        <v>305</v>
      </c>
      <c r="D190" s="170">
        <v>5</v>
      </c>
      <c r="E190" s="288">
        <v>31</v>
      </c>
      <c r="F190" s="291" t="str">
        <f>VLOOKUP(Calculation!A190,'Descriptor maps'!$A$2:$F$1658,2,0)</f>
        <v>Studies &amp; Design</v>
      </c>
      <c r="G190" s="296"/>
      <c r="H190" s="290"/>
      <c r="I190" s="291"/>
      <c r="J190" s="292" t="e" cm="1">
        <f t="array" ref="J190">INDEX('Descriptor maps'!$I$2:$I$1658,MATCH(1,('Descriptor maps'!$A$2:$A$1658=Calculation!$A190)*('Descriptor maps'!$G$2:$G$1658=Calculation!$G190),0))</f>
        <v>#N/A</v>
      </c>
      <c r="K190" s="226"/>
      <c r="L190" s="293"/>
      <c r="M190" s="293"/>
      <c r="N190" s="293"/>
      <c r="O190" s="293"/>
      <c r="P190" s="293"/>
      <c r="Q190" s="293"/>
      <c r="R190" s="293"/>
      <c r="S190" s="293"/>
      <c r="T190" s="293"/>
      <c r="U190" s="293"/>
      <c r="V190" s="293"/>
      <c r="W190" s="293"/>
      <c r="X190" s="293"/>
      <c r="Y190" s="293"/>
      <c r="Z190" s="293"/>
      <c r="AA190" s="293"/>
      <c r="AB190" s="293"/>
      <c r="AC190" s="293"/>
      <c r="AD190" s="293"/>
      <c r="AE190" s="293"/>
      <c r="AF190" s="293"/>
      <c r="AG190" s="293"/>
      <c r="AH190" s="293"/>
      <c r="AI190" s="293"/>
      <c r="AJ190" s="293"/>
      <c r="AK190" s="293"/>
      <c r="AL190" s="293"/>
      <c r="AM190" s="293"/>
      <c r="AN190" s="293"/>
      <c r="AO190" s="293"/>
      <c r="AP190" s="293"/>
      <c r="AQ190" s="293"/>
      <c r="AR190" s="293"/>
      <c r="AS190" s="293"/>
      <c r="AT190" s="293"/>
      <c r="AU190" s="293"/>
      <c r="AV190" s="293"/>
      <c r="AW190" s="293"/>
      <c r="AX190" s="293"/>
      <c r="AY190" s="293"/>
      <c r="AZ190" s="293"/>
      <c r="BA190" s="293"/>
      <c r="BB190" s="293"/>
      <c r="BC190" s="293"/>
      <c r="BD190" s="293"/>
      <c r="BE190" s="293"/>
      <c r="BF190" s="293"/>
      <c r="BG190" s="293"/>
      <c r="BH190" s="293"/>
      <c r="BI190" s="293"/>
      <c r="BJ190" s="293"/>
      <c r="BK190" s="293"/>
      <c r="BL190" s="293"/>
      <c r="BM190" s="293"/>
      <c r="BN190" s="293"/>
      <c r="BO190" s="293"/>
      <c r="BP190" s="293"/>
      <c r="BQ190" s="293"/>
      <c r="BR190" s="293"/>
      <c r="BS190" s="293"/>
      <c r="BT190" s="293"/>
      <c r="BU190" s="293"/>
      <c r="BV190" s="293"/>
      <c r="BW190" s="293"/>
      <c r="BX190" s="293"/>
      <c r="BY190" s="293"/>
      <c r="BZ190" s="293"/>
      <c r="CA190" s="285"/>
      <c r="CB190" s="286"/>
      <c r="CC190" s="286"/>
      <c r="CD190" s="286"/>
      <c r="CE190" s="286"/>
      <c r="CF190" s="286"/>
      <c r="CG190" s="286"/>
      <c r="CH190" s="286"/>
      <c r="CI190" s="286"/>
      <c r="CJ190" s="286"/>
      <c r="CK190" s="286"/>
      <c r="CL190" s="286"/>
      <c r="CM190" s="286"/>
      <c r="CN190" s="286"/>
      <c r="CO190" s="286"/>
      <c r="CP190" s="286"/>
      <c r="CQ190" s="286"/>
      <c r="CR190" s="286"/>
      <c r="CS190" s="286"/>
      <c r="CT190" s="286"/>
      <c r="CU190" s="286"/>
      <c r="CV190" s="286"/>
      <c r="CW190" s="286"/>
      <c r="CX190" s="286"/>
      <c r="CY190" s="286"/>
      <c r="CZ190" s="286"/>
      <c r="DA190" s="286"/>
      <c r="DB190" s="286"/>
      <c r="DC190" s="286"/>
      <c r="DD190" s="286"/>
      <c r="DE190" s="286"/>
      <c r="DF190" s="286"/>
      <c r="DG190" s="286"/>
      <c r="DH190" s="286"/>
      <c r="DI190" s="286"/>
      <c r="DJ190" s="286"/>
      <c r="DK190" s="286"/>
      <c r="DL190" s="286"/>
      <c r="DM190" s="286"/>
      <c r="DN190" s="286"/>
      <c r="DO190" s="286"/>
      <c r="DP190" s="286"/>
      <c r="DR190" s="58" t="str">
        <f>IF(ISNUMBER(MATCH(#REF!,'Audit Characteristic Mapping'!$B$3:$B$500,0)),"Y","")</f>
        <v/>
      </c>
      <c r="DS190" s="58" t="str">
        <f>IF(ISNUMBER(MATCH(#REF!,'Audit Characteristic Mapping'!$C$3:$C$500,0)),"Y","")</f>
        <v/>
      </c>
      <c r="DT190" s="58" t="str">
        <f>IF(ISNUMBER(MATCH(#REF!,'Audit Characteristic Mapping'!$D$3:$D$500,0)),"Y","")</f>
        <v/>
      </c>
      <c r="DU190" s="58" t="str">
        <f>IF(ISNUMBER(MATCH(#REF!,'Audit Characteristic Mapping'!$E$3:$E$500,0)),"Y","")</f>
        <v/>
      </c>
      <c r="DV190" s="58" t="str">
        <f>IF(ISNUMBER(MATCH(#REF!,'Audit Characteristic Mapping'!$F$3:$F$500,0)),"Y","")</f>
        <v/>
      </c>
      <c r="DW190" s="58" t="str">
        <f>IF(ISNUMBER(MATCH(#REF!,'Audit Characteristic Mapping'!$G$3:$G$500,0)),"Y","")</f>
        <v/>
      </c>
      <c r="DX190" s="58" t="str">
        <f>IF(ISNUMBER(MATCH(#REF!,'Audit Characteristic Mapping'!$H$3:$H$500,0)),"Y","")</f>
        <v/>
      </c>
      <c r="DY190" s="58" t="str">
        <f>IF(ISNUMBER(MATCH(#REF!,'Audit Characteristic Mapping'!$I$3:$I$500,0)),"Y","")</f>
        <v/>
      </c>
      <c r="DZ190" s="58" t="str">
        <f>IF(ISNUMBER(MATCH(#REF!,'Audit Characteristic Mapping'!$J$3:$J$500,0)),"Y","")</f>
        <v/>
      </c>
      <c r="EA190" s="58" t="str">
        <f>IF(ISNUMBER(MATCH(#REF!,'Audit Characteristic Mapping'!$K$3:$K$500,0)),"Y","")</f>
        <v/>
      </c>
    </row>
    <row r="191" spans="1:131" ht="16" hidden="1" x14ac:dyDescent="0.2">
      <c r="A191" s="288">
        <v>185</v>
      </c>
      <c r="B191" s="287" t="s">
        <v>253</v>
      </c>
      <c r="C191" s="226" t="s">
        <v>305</v>
      </c>
      <c r="D191" s="170">
        <v>5</v>
      </c>
      <c r="E191" s="288">
        <v>31</v>
      </c>
      <c r="F191" s="291" t="str">
        <f>VLOOKUP(Calculation!A191,'Descriptor maps'!$A$2:$F$1658,2,0)</f>
        <v>Studies &amp; Design</v>
      </c>
      <c r="G191" s="296"/>
      <c r="H191" s="290"/>
      <c r="I191" s="291"/>
      <c r="J191" s="292" t="e" cm="1">
        <f t="array" ref="J191">INDEX('Descriptor maps'!$I$2:$I$1658,MATCH(1,('Descriptor maps'!$A$2:$A$1658=Calculation!$A191)*('Descriptor maps'!$G$2:$G$1658=Calculation!$G191),0))</f>
        <v>#N/A</v>
      </c>
      <c r="K191" s="226"/>
      <c r="L191" s="293"/>
      <c r="M191" s="293"/>
      <c r="N191" s="293"/>
      <c r="O191" s="293"/>
      <c r="P191" s="293"/>
      <c r="Q191" s="293"/>
      <c r="R191" s="293"/>
      <c r="S191" s="293"/>
      <c r="T191" s="293"/>
      <c r="U191" s="293"/>
      <c r="V191" s="293"/>
      <c r="W191" s="293"/>
      <c r="X191" s="293"/>
      <c r="Y191" s="293"/>
      <c r="Z191" s="293"/>
      <c r="AA191" s="293"/>
      <c r="AB191" s="293"/>
      <c r="AC191" s="293"/>
      <c r="AD191" s="293"/>
      <c r="AE191" s="293"/>
      <c r="AF191" s="293"/>
      <c r="AG191" s="293"/>
      <c r="AH191" s="293"/>
      <c r="AI191" s="293"/>
      <c r="AJ191" s="293"/>
      <c r="AK191" s="293"/>
      <c r="AL191" s="293"/>
      <c r="AM191" s="293"/>
      <c r="AN191" s="293"/>
      <c r="AO191" s="293"/>
      <c r="AP191" s="293"/>
      <c r="AQ191" s="293"/>
      <c r="AR191" s="293"/>
      <c r="AS191" s="293"/>
      <c r="AT191" s="293"/>
      <c r="AU191" s="293"/>
      <c r="AV191" s="293"/>
      <c r="AW191" s="293"/>
      <c r="AX191" s="293"/>
      <c r="AY191" s="293"/>
      <c r="AZ191" s="293"/>
      <c r="BA191" s="293"/>
      <c r="BB191" s="293"/>
      <c r="BC191" s="293"/>
      <c r="BD191" s="293"/>
      <c r="BE191" s="293"/>
      <c r="BF191" s="293"/>
      <c r="BG191" s="293"/>
      <c r="BH191" s="293"/>
      <c r="BI191" s="293"/>
      <c r="BJ191" s="293"/>
      <c r="BK191" s="293"/>
      <c r="BL191" s="293"/>
      <c r="BM191" s="293"/>
      <c r="BN191" s="293"/>
      <c r="BO191" s="293"/>
      <c r="BP191" s="293"/>
      <c r="BQ191" s="293"/>
      <c r="BR191" s="293"/>
      <c r="BS191" s="293"/>
      <c r="BT191" s="293"/>
      <c r="BU191" s="293"/>
      <c r="BV191" s="293"/>
      <c r="BW191" s="293"/>
      <c r="BX191" s="293"/>
      <c r="BY191" s="293"/>
      <c r="BZ191" s="293"/>
      <c r="CA191" s="285"/>
      <c r="CB191" s="286"/>
      <c r="CC191" s="286"/>
      <c r="CD191" s="286"/>
      <c r="CE191" s="286"/>
      <c r="CF191" s="286"/>
      <c r="CG191" s="286"/>
      <c r="CH191" s="286"/>
      <c r="CI191" s="286"/>
      <c r="CJ191" s="286"/>
      <c r="CK191" s="286"/>
      <c r="CL191" s="286"/>
      <c r="CM191" s="286"/>
      <c r="CN191" s="286"/>
      <c r="CO191" s="286"/>
      <c r="CP191" s="286"/>
      <c r="CQ191" s="286"/>
      <c r="CR191" s="286"/>
      <c r="CS191" s="286"/>
      <c r="CT191" s="286"/>
      <c r="CU191" s="286"/>
      <c r="CV191" s="286"/>
      <c r="CW191" s="286"/>
      <c r="CX191" s="286"/>
      <c r="CY191" s="286"/>
      <c r="CZ191" s="286"/>
      <c r="DA191" s="286"/>
      <c r="DB191" s="286"/>
      <c r="DC191" s="286"/>
      <c r="DD191" s="286"/>
      <c r="DE191" s="286"/>
      <c r="DF191" s="286"/>
      <c r="DG191" s="286"/>
      <c r="DH191" s="286"/>
      <c r="DI191" s="286"/>
      <c r="DJ191" s="286"/>
      <c r="DK191" s="286"/>
      <c r="DL191" s="286"/>
      <c r="DM191" s="286"/>
      <c r="DN191" s="286"/>
      <c r="DO191" s="286"/>
      <c r="DP191" s="286"/>
      <c r="DR191" s="58" t="str">
        <f>IF(ISNUMBER(MATCH(#REF!,'Audit Characteristic Mapping'!$B$3:$B$500,0)),"Y","")</f>
        <v/>
      </c>
      <c r="DS191" s="58" t="str">
        <f>IF(ISNUMBER(MATCH(#REF!,'Audit Characteristic Mapping'!$C$3:$C$500,0)),"Y","")</f>
        <v/>
      </c>
      <c r="DT191" s="58" t="str">
        <f>IF(ISNUMBER(MATCH(#REF!,'Audit Characteristic Mapping'!$D$3:$D$500,0)),"Y","")</f>
        <v/>
      </c>
      <c r="DU191" s="58" t="str">
        <f>IF(ISNUMBER(MATCH(#REF!,'Audit Characteristic Mapping'!$E$3:$E$500,0)),"Y","")</f>
        <v/>
      </c>
      <c r="DV191" s="58" t="str">
        <f>IF(ISNUMBER(MATCH(#REF!,'Audit Characteristic Mapping'!$F$3:$F$500,0)),"Y","")</f>
        <v/>
      </c>
      <c r="DW191" s="58" t="str">
        <f>IF(ISNUMBER(MATCH(#REF!,'Audit Characteristic Mapping'!$G$3:$G$500,0)),"Y","")</f>
        <v/>
      </c>
      <c r="DX191" s="58" t="str">
        <f>IF(ISNUMBER(MATCH(#REF!,'Audit Characteristic Mapping'!$H$3:$H$500,0)),"Y","")</f>
        <v/>
      </c>
      <c r="DY191" s="58" t="str">
        <f>IF(ISNUMBER(MATCH(#REF!,'Audit Characteristic Mapping'!$I$3:$I$500,0)),"Y","")</f>
        <v/>
      </c>
      <c r="DZ191" s="58" t="str">
        <f>IF(ISNUMBER(MATCH(#REF!,'Audit Characteristic Mapping'!$J$3:$J$500,0)),"Y","")</f>
        <v/>
      </c>
      <c r="EA191" s="58" t="str">
        <f>IF(ISNUMBER(MATCH(#REF!,'Audit Characteristic Mapping'!$K$3:$K$500,0)),"Y","")</f>
        <v/>
      </c>
    </row>
    <row r="192" spans="1:131" ht="64" x14ac:dyDescent="0.2">
      <c r="A192" s="294">
        <v>186</v>
      </c>
      <c r="B192" s="287" t="s">
        <v>253</v>
      </c>
      <c r="C192" s="226" t="s">
        <v>310</v>
      </c>
      <c r="D192" s="170">
        <v>5</v>
      </c>
      <c r="E192" s="288">
        <v>32</v>
      </c>
      <c r="F192" s="291" t="str">
        <f>VLOOKUP(Calculation!A192,'Descriptor maps'!$A$2:$F$1658,6,0)</f>
        <v>Is there documented evidence that stability analyses for drained conditions were undertaken at suitable locations, to achieve the objective of the drained stability analyses taking into account variability of cross-section, embankment material properties, foundation material properties and loading conditions?</v>
      </c>
      <c r="G192" s="296" t="s">
        <v>1193</v>
      </c>
      <c r="H192" s="290"/>
      <c r="I192" s="291" cm="1">
        <f t="array" ref="I192">INDEX('Descriptor maps'!$H$2:$H$1658,MATCH(1,('Descriptor maps'!$A$2:$A$1658=Calculation!$A192)*('Descriptor maps'!$G$2:$G$1658=Calculation!$G192),0))</f>
        <v>2</v>
      </c>
      <c r="J192" s="292" cm="1">
        <f t="array" ref="J192">INDEX('Descriptor maps'!$I$2:$I$1658,MATCH(1,('Descriptor maps'!$A$2:$A$1658=Calculation!$A192)*('Descriptor maps'!$G$2:$G$1658=Calculation!$G192),0))</f>
        <v>2</v>
      </c>
      <c r="K192" s="226"/>
      <c r="L192" s="293"/>
      <c r="M192" s="293"/>
      <c r="N192" s="293">
        <f>1*$J192</f>
        <v>2</v>
      </c>
      <c r="O192" s="293"/>
      <c r="P192" s="293"/>
      <c r="Q192" s="293"/>
      <c r="R192" s="293"/>
      <c r="S192" s="293"/>
      <c r="T192" s="293"/>
      <c r="U192" s="293"/>
      <c r="V192" s="293"/>
      <c r="W192" s="293"/>
      <c r="X192" s="293"/>
      <c r="Y192" s="293"/>
      <c r="Z192" s="293"/>
      <c r="AA192" s="293"/>
      <c r="AB192" s="293"/>
      <c r="AC192" s="293"/>
      <c r="AD192" s="293"/>
      <c r="AE192" s="293"/>
      <c r="AF192" s="293"/>
      <c r="AG192" s="293"/>
      <c r="AH192" s="293"/>
      <c r="AI192" s="293"/>
      <c r="AJ192" s="293"/>
      <c r="AK192" s="293"/>
      <c r="AL192" s="293"/>
      <c r="AM192" s="293"/>
      <c r="AN192" s="293"/>
      <c r="AO192" s="293"/>
      <c r="AP192" s="293"/>
      <c r="AQ192" s="293"/>
      <c r="AR192" s="293"/>
      <c r="AS192" s="293"/>
      <c r="AT192" s="293"/>
      <c r="AU192" s="293"/>
      <c r="AV192" s="293"/>
      <c r="AW192" s="293"/>
      <c r="AX192" s="293"/>
      <c r="AY192" s="293"/>
      <c r="AZ192" s="293"/>
      <c r="BA192" s="293"/>
      <c r="BB192" s="293"/>
      <c r="BC192" s="293"/>
      <c r="BD192" s="293"/>
      <c r="BE192" s="293"/>
      <c r="BF192" s="293"/>
      <c r="BG192" s="293"/>
      <c r="BH192" s="293"/>
      <c r="BI192" s="293"/>
      <c r="BJ192" s="293"/>
      <c r="BK192" s="293"/>
      <c r="BL192" s="293"/>
      <c r="BM192" s="293"/>
      <c r="BN192" s="293"/>
      <c r="BO192" s="293"/>
      <c r="BP192" s="293"/>
      <c r="BQ192" s="293"/>
      <c r="BR192" s="293"/>
      <c r="BS192" s="293"/>
      <c r="BT192" s="293"/>
      <c r="BU192" s="293"/>
      <c r="BV192" s="293"/>
      <c r="BW192" s="293"/>
      <c r="BX192" s="293"/>
      <c r="BY192" s="293"/>
      <c r="BZ192" s="293"/>
      <c r="CA192" s="285"/>
      <c r="CB192" s="286"/>
      <c r="CC192" s="286"/>
      <c r="CD192" s="286"/>
      <c r="CE192" s="286">
        <v>1</v>
      </c>
      <c r="CF192" s="286"/>
      <c r="CG192" s="286"/>
      <c r="CH192" s="286"/>
      <c r="CI192" s="286"/>
      <c r="CJ192" s="286"/>
      <c r="CK192" s="286"/>
      <c r="CL192" s="286"/>
      <c r="CM192" s="286"/>
      <c r="CN192" s="286"/>
      <c r="CO192" s="286"/>
      <c r="CP192" s="286"/>
      <c r="CQ192" s="286"/>
      <c r="CR192" s="286"/>
      <c r="CS192" s="286"/>
      <c r="CT192" s="286"/>
      <c r="CU192" s="286"/>
      <c r="CV192" s="286"/>
      <c r="CW192" s="286"/>
      <c r="CX192" s="286"/>
      <c r="CY192" s="286"/>
      <c r="CZ192" s="286"/>
      <c r="DA192" s="286"/>
      <c r="DB192" s="286"/>
      <c r="DC192" s="286"/>
      <c r="DD192" s="286"/>
      <c r="DE192" s="286"/>
      <c r="DF192" s="286"/>
      <c r="DG192" s="286"/>
      <c r="DH192" s="286"/>
      <c r="DI192" s="286"/>
      <c r="DJ192" s="286"/>
      <c r="DK192" s="286"/>
      <c r="DL192" s="286"/>
      <c r="DM192" s="286"/>
      <c r="DN192" s="286"/>
      <c r="DO192" s="286"/>
      <c r="DP192" s="286"/>
      <c r="DR192" s="58" t="str">
        <f>IF(ISNUMBER(MATCH(#REF!,'Audit Characteristic Mapping'!$B$3:$B$500,0)),"Y","")</f>
        <v/>
      </c>
      <c r="DS192" s="58" t="str">
        <f>IF(ISNUMBER(MATCH(#REF!,'Audit Characteristic Mapping'!$C$3:$C$500,0)),"Y","")</f>
        <v/>
      </c>
      <c r="DT192" s="58" t="str">
        <f>IF(ISNUMBER(MATCH(#REF!,'Audit Characteristic Mapping'!$D$3:$D$500,0)),"Y","")</f>
        <v/>
      </c>
      <c r="DU192" s="58" t="str">
        <f>IF(ISNUMBER(MATCH(#REF!,'Audit Characteristic Mapping'!$E$3:$E$500,0)),"Y","")</f>
        <v/>
      </c>
      <c r="DV192" s="58" t="str">
        <f>IF(ISNUMBER(MATCH(#REF!,'Audit Characteristic Mapping'!$F$3:$F$500,0)),"Y","")</f>
        <v/>
      </c>
      <c r="DW192" s="58" t="str">
        <f>IF(ISNUMBER(MATCH(#REF!,'Audit Characteristic Mapping'!$G$3:$G$500,0)),"Y","")</f>
        <v/>
      </c>
      <c r="DX192" s="58" t="str">
        <f>IF(ISNUMBER(MATCH(#REF!,'Audit Characteristic Mapping'!$H$3:$H$500,0)),"Y","")</f>
        <v/>
      </c>
      <c r="DY192" s="58" t="str">
        <f>IF(ISNUMBER(MATCH(#REF!,'Audit Characteristic Mapping'!$I$3:$I$500,0)),"Y","")</f>
        <v/>
      </c>
      <c r="DZ192" s="58" t="str">
        <f>IF(ISNUMBER(MATCH(#REF!,'Audit Characteristic Mapping'!$J$3:$J$500,0)),"Y","")</f>
        <v/>
      </c>
      <c r="EA192" s="58" t="str">
        <f>IF(ISNUMBER(MATCH(#REF!,'Audit Characteristic Mapping'!$K$3:$K$500,0)),"Y","")</f>
        <v/>
      </c>
    </row>
    <row r="193" spans="1:131" ht="64" x14ac:dyDescent="0.2">
      <c r="A193" s="294">
        <v>187</v>
      </c>
      <c r="B193" s="287" t="s">
        <v>253</v>
      </c>
      <c r="C193" s="226" t="s">
        <v>310</v>
      </c>
      <c r="D193" s="170">
        <v>5</v>
      </c>
      <c r="E193" s="288">
        <v>32</v>
      </c>
      <c r="F193" s="291" t="str">
        <f>VLOOKUP(Calculation!A193,'Descriptor maps'!$A$2:$F$1658,6,0)</f>
        <v>Is there documented evidence that stability analyses for undrained conditions were undertaken at suitable locations, to achieve the objective of the undrained stability analyses taking into account variability of cross-section, embankment material properties, foundation material properties and loading conditions?</v>
      </c>
      <c r="G193" s="296" t="s">
        <v>1193</v>
      </c>
      <c r="H193" s="290"/>
      <c r="I193" s="291" cm="1">
        <f t="array" ref="I193">INDEX('Descriptor maps'!$H$2:$H$1658,MATCH(1,('Descriptor maps'!$A$2:$A$1658=Calculation!$A193)*('Descriptor maps'!$G$2:$G$1658=Calculation!$G193),0))</f>
        <v>2</v>
      </c>
      <c r="J193" s="292" cm="1">
        <f t="array" ref="J193">INDEX('Descriptor maps'!$I$2:$I$1658,MATCH(1,('Descriptor maps'!$A$2:$A$1658=Calculation!$A193)*('Descriptor maps'!$G$2:$G$1658=Calculation!$G193),0))</f>
        <v>2</v>
      </c>
      <c r="K193" s="226"/>
      <c r="L193" s="293"/>
      <c r="M193" s="293"/>
      <c r="N193" s="293"/>
      <c r="O193" s="293"/>
      <c r="P193" s="293"/>
      <c r="Q193" s="293"/>
      <c r="R193" s="293"/>
      <c r="S193" s="293"/>
      <c r="T193" s="293"/>
      <c r="U193" s="293">
        <f>1*$J193</f>
        <v>2</v>
      </c>
      <c r="V193" s="293"/>
      <c r="W193" s="293"/>
      <c r="X193" s="293"/>
      <c r="Y193" s="293"/>
      <c r="Z193" s="293"/>
      <c r="AA193" s="293"/>
      <c r="AB193" s="300"/>
      <c r="AC193" s="293"/>
      <c r="AD193" s="293"/>
      <c r="AE193" s="293"/>
      <c r="AF193" s="293"/>
      <c r="AG193" s="293"/>
      <c r="AH193" s="293"/>
      <c r="AI193" s="293"/>
      <c r="AJ193" s="293"/>
      <c r="AK193" s="293"/>
      <c r="AL193" s="293"/>
      <c r="AM193" s="293"/>
      <c r="AN193" s="293"/>
      <c r="AO193" s="293"/>
      <c r="AP193" s="293"/>
      <c r="AQ193" s="293"/>
      <c r="AR193" s="293"/>
      <c r="AS193" s="293"/>
      <c r="AT193" s="293"/>
      <c r="AU193" s="293"/>
      <c r="AV193" s="293"/>
      <c r="AW193" s="293"/>
      <c r="AX193" s="293"/>
      <c r="AY193" s="293"/>
      <c r="AZ193" s="293"/>
      <c r="BA193" s="293"/>
      <c r="BB193" s="293"/>
      <c r="BC193" s="293"/>
      <c r="BD193" s="293"/>
      <c r="BE193" s="293"/>
      <c r="BF193" s="293"/>
      <c r="BG193" s="293"/>
      <c r="BH193" s="293"/>
      <c r="BI193" s="293"/>
      <c r="BJ193" s="293"/>
      <c r="BK193" s="293"/>
      <c r="BL193" s="293"/>
      <c r="BM193" s="293"/>
      <c r="BN193" s="293"/>
      <c r="BO193" s="293"/>
      <c r="BP193" s="293"/>
      <c r="BQ193" s="293"/>
      <c r="BR193" s="293"/>
      <c r="BS193" s="293"/>
      <c r="BT193" s="293"/>
      <c r="BU193" s="293"/>
      <c r="BV193" s="293"/>
      <c r="BW193" s="293"/>
      <c r="BX193" s="293"/>
      <c r="BY193" s="293"/>
      <c r="BZ193" s="293"/>
      <c r="CA193" s="285"/>
      <c r="CB193" s="286"/>
      <c r="CC193" s="286"/>
      <c r="CD193" s="286"/>
      <c r="CE193" s="286"/>
      <c r="CF193" s="286"/>
      <c r="CG193" s="286"/>
      <c r="CH193" s="286"/>
      <c r="CI193" s="286"/>
      <c r="CJ193" s="286"/>
      <c r="CK193" s="286"/>
      <c r="CL193" s="286"/>
      <c r="CM193" s="286"/>
      <c r="CN193" s="286">
        <v>1</v>
      </c>
      <c r="CO193" s="286"/>
      <c r="CP193" s="286"/>
      <c r="CQ193" s="286"/>
      <c r="CR193" s="286"/>
      <c r="CS193" s="286"/>
      <c r="CT193" s="286"/>
      <c r="CU193" s="286"/>
      <c r="CV193" s="286"/>
      <c r="CW193" s="286"/>
      <c r="CX193" s="286"/>
      <c r="CY193" s="286"/>
      <c r="CZ193" s="286"/>
      <c r="DA193" s="286"/>
      <c r="DB193" s="286"/>
      <c r="DC193" s="286"/>
      <c r="DD193" s="286"/>
      <c r="DE193" s="286"/>
      <c r="DF193" s="286"/>
      <c r="DG193" s="286"/>
      <c r="DH193" s="286"/>
      <c r="DI193" s="286"/>
      <c r="DJ193" s="286"/>
      <c r="DK193" s="286"/>
      <c r="DL193" s="286"/>
      <c r="DM193" s="286"/>
      <c r="DN193" s="286"/>
      <c r="DO193" s="286"/>
      <c r="DP193" s="286"/>
      <c r="DR193" s="58" t="str">
        <f>IF(ISNUMBER(MATCH(#REF!,'Audit Characteristic Mapping'!$B$3:$B$500,0)),"Y","")</f>
        <v/>
      </c>
      <c r="DS193" s="58" t="str">
        <f>IF(ISNUMBER(MATCH(#REF!,'Audit Characteristic Mapping'!$C$3:$C$500,0)),"Y","")</f>
        <v/>
      </c>
      <c r="DT193" s="58" t="str">
        <f>IF(ISNUMBER(MATCH(#REF!,'Audit Characteristic Mapping'!$D$3:$D$500,0)),"Y","")</f>
        <v/>
      </c>
      <c r="DU193" s="58" t="str">
        <f>IF(ISNUMBER(MATCH(#REF!,'Audit Characteristic Mapping'!$E$3:$E$500,0)),"Y","")</f>
        <v/>
      </c>
      <c r="DV193" s="58" t="str">
        <f>IF(ISNUMBER(MATCH(#REF!,'Audit Characteristic Mapping'!$F$3:$F$500,0)),"Y","")</f>
        <v/>
      </c>
      <c r="DW193" s="58" t="str">
        <f>IF(ISNUMBER(MATCH(#REF!,'Audit Characteristic Mapping'!$G$3:$G$500,0)),"Y","")</f>
        <v/>
      </c>
      <c r="DX193" s="58" t="str">
        <f>IF(ISNUMBER(MATCH(#REF!,'Audit Characteristic Mapping'!$H$3:$H$500,0)),"Y","")</f>
        <v/>
      </c>
      <c r="DY193" s="58" t="str">
        <f>IF(ISNUMBER(MATCH(#REF!,'Audit Characteristic Mapping'!$I$3:$I$500,0)),"Y","")</f>
        <v/>
      </c>
      <c r="DZ193" s="58" t="str">
        <f>IF(ISNUMBER(MATCH(#REF!,'Audit Characteristic Mapping'!$J$3:$J$500,0)),"Y","")</f>
        <v/>
      </c>
      <c r="EA193" s="58" t="str">
        <f>IF(ISNUMBER(MATCH(#REF!,'Audit Characteristic Mapping'!$K$3:$K$500,0)),"Y","")</f>
        <v/>
      </c>
    </row>
    <row r="194" spans="1:131" ht="64" x14ac:dyDescent="0.2">
      <c r="A194" s="294">
        <v>188</v>
      </c>
      <c r="B194" s="287" t="s">
        <v>253</v>
      </c>
      <c r="C194" s="226" t="s">
        <v>310</v>
      </c>
      <c r="D194" s="170">
        <v>5</v>
      </c>
      <c r="E194" s="288">
        <v>32</v>
      </c>
      <c r="F194" s="291" t="str">
        <f>VLOOKUP(Calculation!A194,'Descriptor maps'!$A$2:$F$1658,6,0)</f>
        <v>Is there documented evidence that stability analyses for post-seismic conditions were undertaken at suitable locations, to achieve the objective of the post-seismic stability analyses taking into account variability of cross-section, embankment material properties, foundation material properties and loading conditions?</v>
      </c>
      <c r="G194" s="296" t="s">
        <v>1193</v>
      </c>
      <c r="H194" s="290"/>
      <c r="I194" s="291" cm="1">
        <f t="array" ref="I194">INDEX('Descriptor maps'!$H$2:$H$1658,MATCH(1,('Descriptor maps'!$A$2:$A$1658=Calculation!$A194)*('Descriptor maps'!$G$2:$G$1658=Calculation!$G194),0))</f>
        <v>2</v>
      </c>
      <c r="J194" s="292" cm="1">
        <f t="array" ref="J194">INDEX('Descriptor maps'!$I$2:$I$1658,MATCH(1,('Descriptor maps'!$A$2:$A$1658=Calculation!$A194)*('Descriptor maps'!$G$2:$G$1658=Calculation!$G194),0))</f>
        <v>2</v>
      </c>
      <c r="K194" s="226"/>
      <c r="L194" s="293"/>
      <c r="M194" s="293"/>
      <c r="N194" s="293"/>
      <c r="O194" s="293"/>
      <c r="P194" s="293"/>
      <c r="Q194" s="293"/>
      <c r="R194" s="293"/>
      <c r="S194" s="293"/>
      <c r="T194" s="293"/>
      <c r="U194" s="293"/>
      <c r="V194" s="293"/>
      <c r="W194" s="293"/>
      <c r="X194" s="293"/>
      <c r="Y194" s="293"/>
      <c r="Z194" s="293"/>
      <c r="AA194" s="293"/>
      <c r="AB194" s="301">
        <f>1*$J194</f>
        <v>2</v>
      </c>
      <c r="AC194" s="293"/>
      <c r="AD194" s="293"/>
      <c r="AE194" s="293"/>
      <c r="AF194" s="293"/>
      <c r="AG194" s="293"/>
      <c r="AH194" s="293"/>
      <c r="AI194" s="293"/>
      <c r="AJ194" s="293"/>
      <c r="AK194" s="293"/>
      <c r="AL194" s="293"/>
      <c r="AM194" s="293"/>
      <c r="AN194" s="293"/>
      <c r="AO194" s="293"/>
      <c r="AP194" s="293"/>
      <c r="AQ194" s="293"/>
      <c r="AR194" s="293"/>
      <c r="AS194" s="293"/>
      <c r="AT194" s="293"/>
      <c r="AU194" s="293"/>
      <c r="AV194" s="293"/>
      <c r="AW194" s="293"/>
      <c r="AX194" s="293"/>
      <c r="AY194" s="293"/>
      <c r="AZ194" s="293"/>
      <c r="BA194" s="293"/>
      <c r="BB194" s="293"/>
      <c r="BC194" s="293"/>
      <c r="BD194" s="293"/>
      <c r="BE194" s="293"/>
      <c r="BF194" s="293"/>
      <c r="BG194" s="293"/>
      <c r="BH194" s="293"/>
      <c r="BI194" s="293"/>
      <c r="BJ194" s="293"/>
      <c r="BK194" s="293"/>
      <c r="BL194" s="293"/>
      <c r="BM194" s="293"/>
      <c r="BN194" s="293"/>
      <c r="BO194" s="293"/>
      <c r="BP194" s="293"/>
      <c r="BQ194" s="293"/>
      <c r="BR194" s="293"/>
      <c r="BS194" s="293"/>
      <c r="BT194" s="293"/>
      <c r="BU194" s="293"/>
      <c r="BV194" s="293"/>
      <c r="BW194" s="293"/>
      <c r="BX194" s="293"/>
      <c r="BY194" s="293"/>
      <c r="BZ194" s="293"/>
      <c r="CA194" s="285"/>
      <c r="CB194" s="286"/>
      <c r="CC194" s="286"/>
      <c r="CD194" s="286"/>
      <c r="CE194" s="286"/>
      <c r="CF194" s="286"/>
      <c r="CG194" s="286"/>
      <c r="CH194" s="286"/>
      <c r="CI194" s="286"/>
      <c r="CJ194" s="286"/>
      <c r="CK194" s="286"/>
      <c r="CL194" s="286"/>
      <c r="CM194" s="286"/>
      <c r="CN194" s="286"/>
      <c r="CO194" s="286"/>
      <c r="CP194" s="286"/>
      <c r="CQ194" s="286"/>
      <c r="CR194" s="286"/>
      <c r="CS194" s="286"/>
      <c r="CT194" s="286"/>
      <c r="CU194" s="286">
        <v>1</v>
      </c>
      <c r="CV194" s="286"/>
      <c r="CW194" s="286"/>
      <c r="CX194" s="286"/>
      <c r="CY194" s="286"/>
      <c r="CZ194" s="286"/>
      <c r="DA194" s="286"/>
      <c r="DB194" s="286"/>
      <c r="DC194" s="286"/>
      <c r="DD194" s="286"/>
      <c r="DE194" s="286"/>
      <c r="DF194" s="286"/>
      <c r="DG194" s="286"/>
      <c r="DH194" s="286"/>
      <c r="DI194" s="286"/>
      <c r="DJ194" s="286"/>
      <c r="DK194" s="286"/>
      <c r="DL194" s="286"/>
      <c r="DM194" s="286"/>
      <c r="DN194" s="286"/>
      <c r="DO194" s="286"/>
      <c r="DP194" s="286"/>
      <c r="DR194" s="58" t="str">
        <f>IF(ISNUMBER(MATCH(#REF!,'Audit Characteristic Mapping'!$B$3:$B$500,0)),"Y","")</f>
        <v/>
      </c>
      <c r="DS194" s="58" t="str">
        <f>IF(ISNUMBER(MATCH(#REF!,'Audit Characteristic Mapping'!$C$3:$C$500,0)),"Y","")</f>
        <v/>
      </c>
      <c r="DT194" s="58" t="str">
        <f>IF(ISNUMBER(MATCH(#REF!,'Audit Characteristic Mapping'!$D$3:$D$500,0)),"Y","")</f>
        <v/>
      </c>
      <c r="DU194" s="58" t="str">
        <f>IF(ISNUMBER(MATCH(#REF!,'Audit Characteristic Mapping'!$E$3:$E$500,0)),"Y","")</f>
        <v/>
      </c>
      <c r="DV194" s="58" t="str">
        <f>IF(ISNUMBER(MATCH(#REF!,'Audit Characteristic Mapping'!$F$3:$F$500,0)),"Y","")</f>
        <v/>
      </c>
      <c r="DW194" s="58" t="str">
        <f>IF(ISNUMBER(MATCH(#REF!,'Audit Characteristic Mapping'!$G$3:$G$500,0)),"Y","")</f>
        <v/>
      </c>
      <c r="DX194" s="58" t="str">
        <f>IF(ISNUMBER(MATCH(#REF!,'Audit Characteristic Mapping'!$H$3:$H$500,0)),"Y","")</f>
        <v/>
      </c>
      <c r="DY194" s="58" t="str">
        <f>IF(ISNUMBER(MATCH(#REF!,'Audit Characteristic Mapping'!$I$3:$I$500,0)),"Y","")</f>
        <v/>
      </c>
      <c r="DZ194" s="58" t="str">
        <f>IF(ISNUMBER(MATCH(#REF!,'Audit Characteristic Mapping'!$J$3:$J$500,0)),"Y","")</f>
        <v/>
      </c>
      <c r="EA194" s="58" t="str">
        <f>IF(ISNUMBER(MATCH(#REF!,'Audit Characteristic Mapping'!$K$3:$K$500,0)),"Y","")</f>
        <v/>
      </c>
    </row>
    <row r="195" spans="1:131" ht="96" x14ac:dyDescent="0.2">
      <c r="A195" s="294">
        <v>189</v>
      </c>
      <c r="B195" s="287" t="s">
        <v>253</v>
      </c>
      <c r="C195" s="226" t="s">
        <v>314</v>
      </c>
      <c r="D195" s="170">
        <v>5</v>
      </c>
      <c r="E195" s="288">
        <v>33</v>
      </c>
      <c r="F195" s="291" t="str">
        <f>VLOOKUP(Calculation!A195,'Descriptor maps'!$A$2:$F$1658,6,0)</f>
        <v>Is there documented evidence that the stability of the facility has been assessed under suitable loading conditions (e.g. normal operating conditions, extreme loading conditions) based on the likely operating and extreme conditions and identified consequence category of the facility, to achieve the objective of the stability modelling reflecting various conditions the facility may be exposed to as required by relevant design standards and guidelines?</v>
      </c>
      <c r="G195" s="296" t="s">
        <v>1192</v>
      </c>
      <c r="H195" s="290"/>
      <c r="I195" s="291" cm="1">
        <f t="array" ref="I195">INDEX('Descriptor maps'!$H$2:$H$1658,MATCH(1,('Descriptor maps'!$A$2:$A$1658=Calculation!$A195)*('Descriptor maps'!$G$2:$G$1658=Calculation!$G195),0))</f>
        <v>1</v>
      </c>
      <c r="J195" s="292" cm="1">
        <f t="array" ref="J195">INDEX('Descriptor maps'!$I$2:$I$1658,MATCH(1,('Descriptor maps'!$A$2:$A$1658=Calculation!$A195)*('Descriptor maps'!$G$2:$G$1658=Calculation!$G195),0))</f>
        <v>1</v>
      </c>
      <c r="K195" s="226"/>
      <c r="L195" s="293"/>
      <c r="M195" s="293"/>
      <c r="N195" s="293">
        <f>1*$J195</f>
        <v>1</v>
      </c>
      <c r="O195" s="293"/>
      <c r="P195" s="293"/>
      <c r="Q195" s="293"/>
      <c r="R195" s="293"/>
      <c r="S195" s="293"/>
      <c r="T195" s="293"/>
      <c r="U195" s="293">
        <f>1*$J195</f>
        <v>1</v>
      </c>
      <c r="V195" s="293"/>
      <c r="W195" s="293"/>
      <c r="X195" s="293"/>
      <c r="Y195" s="293"/>
      <c r="Z195" s="293"/>
      <c r="AA195" s="293"/>
      <c r="AB195" s="293">
        <f>1*$J195</f>
        <v>1</v>
      </c>
      <c r="AC195" s="293"/>
      <c r="AD195" s="293"/>
      <c r="AE195" s="293"/>
      <c r="AF195" s="293"/>
      <c r="AG195" s="293"/>
      <c r="AH195" s="293"/>
      <c r="AI195" s="293"/>
      <c r="AJ195" s="293"/>
      <c r="AK195" s="293"/>
      <c r="AL195" s="293"/>
      <c r="AM195" s="293"/>
      <c r="AN195" s="293"/>
      <c r="AO195" s="293"/>
      <c r="AP195" s="293"/>
      <c r="AQ195" s="293"/>
      <c r="AR195" s="293"/>
      <c r="AS195" s="293"/>
      <c r="AT195" s="293"/>
      <c r="AU195" s="293"/>
      <c r="AV195" s="293"/>
      <c r="AW195" s="293"/>
      <c r="AX195" s="293"/>
      <c r="AY195" s="293"/>
      <c r="AZ195" s="293"/>
      <c r="BA195" s="293"/>
      <c r="BB195" s="293"/>
      <c r="BC195" s="293"/>
      <c r="BD195" s="293"/>
      <c r="BE195" s="293"/>
      <c r="BF195" s="293"/>
      <c r="BG195" s="293"/>
      <c r="BH195" s="293"/>
      <c r="BI195" s="293"/>
      <c r="BJ195" s="293"/>
      <c r="BK195" s="293"/>
      <c r="BL195" s="293"/>
      <c r="BM195" s="293"/>
      <c r="BN195" s="293"/>
      <c r="BO195" s="293"/>
      <c r="BP195" s="293"/>
      <c r="BQ195" s="293"/>
      <c r="BR195" s="293"/>
      <c r="BS195" s="293"/>
      <c r="BT195" s="293"/>
      <c r="BU195" s="293"/>
      <c r="BV195" s="293"/>
      <c r="BW195" s="293"/>
      <c r="BX195" s="293"/>
      <c r="BY195" s="293"/>
      <c r="BZ195" s="293"/>
      <c r="CA195" s="285"/>
      <c r="CB195" s="286"/>
      <c r="CC195" s="286"/>
      <c r="CD195" s="286"/>
      <c r="CE195" s="286">
        <v>1</v>
      </c>
      <c r="CF195" s="286"/>
      <c r="CG195" s="286"/>
      <c r="CH195" s="286"/>
      <c r="CI195" s="286"/>
      <c r="CJ195" s="286"/>
      <c r="CK195" s="286"/>
      <c r="CL195" s="286"/>
      <c r="CM195" s="286"/>
      <c r="CN195" s="286">
        <v>1</v>
      </c>
      <c r="CO195" s="286"/>
      <c r="CP195" s="286"/>
      <c r="CQ195" s="286"/>
      <c r="CR195" s="286"/>
      <c r="CS195" s="286"/>
      <c r="CT195" s="286"/>
      <c r="CU195" s="286">
        <v>1</v>
      </c>
      <c r="CV195" s="286"/>
      <c r="CW195" s="286"/>
      <c r="CX195" s="286"/>
      <c r="CY195" s="286"/>
      <c r="CZ195" s="286"/>
      <c r="DA195" s="286"/>
      <c r="DB195" s="286"/>
      <c r="DC195" s="286"/>
      <c r="DD195" s="286"/>
      <c r="DE195" s="286"/>
      <c r="DF195" s="286"/>
      <c r="DG195" s="286"/>
      <c r="DH195" s="286"/>
      <c r="DI195" s="286"/>
      <c r="DJ195" s="286"/>
      <c r="DK195" s="286"/>
      <c r="DL195" s="286"/>
      <c r="DM195" s="286"/>
      <c r="DN195" s="286"/>
      <c r="DO195" s="286"/>
      <c r="DP195" s="286"/>
      <c r="DR195" s="58" t="str">
        <f>IF(ISNUMBER(MATCH(#REF!,'Audit Characteristic Mapping'!$B$3:$B$500,0)),"Y","")</f>
        <v/>
      </c>
      <c r="DS195" s="58" t="str">
        <f>IF(ISNUMBER(MATCH(#REF!,'Audit Characteristic Mapping'!$C$3:$C$500,0)),"Y","")</f>
        <v/>
      </c>
      <c r="DT195" s="58" t="str">
        <f>IF(ISNUMBER(MATCH(#REF!,'Audit Characteristic Mapping'!$D$3:$D$500,0)),"Y","")</f>
        <v/>
      </c>
      <c r="DU195" s="58" t="str">
        <f>IF(ISNUMBER(MATCH(#REF!,'Audit Characteristic Mapping'!$E$3:$E$500,0)),"Y","")</f>
        <v/>
      </c>
      <c r="DV195" s="58" t="str">
        <f>IF(ISNUMBER(MATCH(#REF!,'Audit Characteristic Mapping'!$F$3:$F$500,0)),"Y","")</f>
        <v/>
      </c>
      <c r="DW195" s="58" t="str">
        <f>IF(ISNUMBER(MATCH(#REF!,'Audit Characteristic Mapping'!$G$3:$G$500,0)),"Y","")</f>
        <v/>
      </c>
      <c r="DX195" s="58" t="str">
        <f>IF(ISNUMBER(MATCH(#REF!,'Audit Characteristic Mapping'!$H$3:$H$500,0)),"Y","")</f>
        <v/>
      </c>
      <c r="DY195" s="58" t="str">
        <f>IF(ISNUMBER(MATCH(#REF!,'Audit Characteristic Mapping'!$I$3:$I$500,0)),"Y","")</f>
        <v/>
      </c>
      <c r="DZ195" s="58" t="str">
        <f>IF(ISNUMBER(MATCH(#REF!,'Audit Characteristic Mapping'!$J$3:$J$500,0)),"Y","")</f>
        <v/>
      </c>
      <c r="EA195" s="58" t="str">
        <f>IF(ISNUMBER(MATCH(#REF!,'Audit Characteristic Mapping'!$K$3:$K$500,0)),"Y","")</f>
        <v/>
      </c>
    </row>
    <row r="196" spans="1:131" ht="64" x14ac:dyDescent="0.2">
      <c r="A196" s="294">
        <v>190</v>
      </c>
      <c r="B196" s="287" t="s">
        <v>253</v>
      </c>
      <c r="C196" s="226" t="s">
        <v>316</v>
      </c>
      <c r="D196" s="170">
        <v>5</v>
      </c>
      <c r="E196" s="288">
        <v>34</v>
      </c>
      <c r="F196" s="291" t="str">
        <f>VLOOKUP(Calculation!A196,'Descriptor maps'!$A$2:$F$1658,6,0)</f>
        <v>Is there documented evidence that the computational model(s) used for the embankment stability assessment(s) was derived from the analytical model using defendable engineering principles with the objective of presenting design material zones and properties for specific loading conditions?</v>
      </c>
      <c r="G196" s="296" t="s">
        <v>1194</v>
      </c>
      <c r="H196" s="290"/>
      <c r="I196" s="291" cm="1">
        <f t="array" ref="I196">INDEX('Descriptor maps'!$H$2:$H$1658,MATCH(1,('Descriptor maps'!$A$2:$A$1658=Calculation!$A196)*('Descriptor maps'!$G$2:$G$1658=Calculation!$G196),0))</f>
        <v>3</v>
      </c>
      <c r="J196" s="292" cm="1">
        <f t="array" ref="J196">INDEX('Descriptor maps'!$I$2:$I$1658,MATCH(1,('Descriptor maps'!$A$2:$A$1658=Calculation!$A196)*('Descriptor maps'!$G$2:$G$1658=Calculation!$G196),0))</f>
        <v>3</v>
      </c>
      <c r="K196" s="226"/>
      <c r="L196" s="293"/>
      <c r="M196" s="293"/>
      <c r="N196" s="293">
        <f>1*$J196</f>
        <v>3</v>
      </c>
      <c r="O196" s="293"/>
      <c r="P196" s="293"/>
      <c r="Q196" s="293"/>
      <c r="R196" s="293"/>
      <c r="S196" s="293"/>
      <c r="T196" s="293"/>
      <c r="U196" s="293">
        <f>1*$J196</f>
        <v>3</v>
      </c>
      <c r="V196" s="293"/>
      <c r="W196" s="293"/>
      <c r="X196" s="293"/>
      <c r="Y196" s="293"/>
      <c r="Z196" s="293"/>
      <c r="AA196" s="293"/>
      <c r="AB196" s="293">
        <f>1*$J196</f>
        <v>3</v>
      </c>
      <c r="AC196" s="293"/>
      <c r="AD196" s="293"/>
      <c r="AE196" s="293"/>
      <c r="AF196" s="293"/>
      <c r="AG196" s="293"/>
      <c r="AH196" s="293"/>
      <c r="AI196" s="293"/>
      <c r="AJ196" s="293"/>
      <c r="AK196" s="293"/>
      <c r="AL196" s="293"/>
      <c r="AM196" s="293"/>
      <c r="AN196" s="293"/>
      <c r="AO196" s="293"/>
      <c r="AP196" s="293"/>
      <c r="AQ196" s="293"/>
      <c r="AR196" s="293"/>
      <c r="AS196" s="293"/>
      <c r="AT196" s="293"/>
      <c r="AU196" s="293"/>
      <c r="AV196" s="293"/>
      <c r="AW196" s="293"/>
      <c r="AX196" s="293"/>
      <c r="AY196" s="293"/>
      <c r="AZ196" s="293"/>
      <c r="BA196" s="293"/>
      <c r="BB196" s="293"/>
      <c r="BC196" s="293"/>
      <c r="BD196" s="293"/>
      <c r="BE196" s="293"/>
      <c r="BF196" s="293"/>
      <c r="BG196" s="293"/>
      <c r="BH196" s="293"/>
      <c r="BI196" s="293"/>
      <c r="BJ196" s="293"/>
      <c r="BK196" s="293"/>
      <c r="BL196" s="293"/>
      <c r="BM196" s="293"/>
      <c r="BN196" s="293"/>
      <c r="BO196" s="293"/>
      <c r="BP196" s="293"/>
      <c r="BQ196" s="293"/>
      <c r="BR196" s="293"/>
      <c r="BS196" s="293"/>
      <c r="BT196" s="293"/>
      <c r="BU196" s="293"/>
      <c r="BV196" s="293"/>
      <c r="BW196" s="293"/>
      <c r="BX196" s="293"/>
      <c r="BY196" s="293"/>
      <c r="BZ196" s="293"/>
      <c r="CA196" s="285"/>
      <c r="CB196" s="286"/>
      <c r="CC196" s="286"/>
      <c r="CD196" s="286"/>
      <c r="CE196" s="286">
        <v>1</v>
      </c>
      <c r="CF196" s="286"/>
      <c r="CG196" s="286"/>
      <c r="CH196" s="286"/>
      <c r="CI196" s="286"/>
      <c r="CJ196" s="286"/>
      <c r="CK196" s="286"/>
      <c r="CL196" s="286"/>
      <c r="CM196" s="286"/>
      <c r="CN196" s="286">
        <v>1</v>
      </c>
      <c r="CO196" s="286"/>
      <c r="CP196" s="286"/>
      <c r="CQ196" s="286"/>
      <c r="CR196" s="286"/>
      <c r="CS196" s="286"/>
      <c r="CT196" s="286"/>
      <c r="CU196" s="286">
        <v>1</v>
      </c>
      <c r="CV196" s="286"/>
      <c r="CW196" s="286"/>
      <c r="CX196" s="286"/>
      <c r="CY196" s="286"/>
      <c r="CZ196" s="286"/>
      <c r="DA196" s="286"/>
      <c r="DB196" s="286"/>
      <c r="DC196" s="286"/>
      <c r="DD196" s="286"/>
      <c r="DE196" s="286"/>
      <c r="DF196" s="286"/>
      <c r="DG196" s="286"/>
      <c r="DH196" s="286"/>
      <c r="DI196" s="286"/>
      <c r="DJ196" s="286"/>
      <c r="DK196" s="286"/>
      <c r="DL196" s="286"/>
      <c r="DM196" s="286"/>
      <c r="DN196" s="286"/>
      <c r="DO196" s="286"/>
      <c r="DP196" s="286"/>
      <c r="DR196" s="58" t="str">
        <f>IF(ISNUMBER(MATCH(#REF!,'Audit Characteristic Mapping'!$B$3:$B$500,0)),"Y","")</f>
        <v/>
      </c>
      <c r="DS196" s="58" t="str">
        <f>IF(ISNUMBER(MATCH(#REF!,'Audit Characteristic Mapping'!$C$3:$C$500,0)),"Y","")</f>
        <v/>
      </c>
      <c r="DT196" s="58" t="str">
        <f>IF(ISNUMBER(MATCH(#REF!,'Audit Characteristic Mapping'!$D$3:$D$500,0)),"Y","")</f>
        <v/>
      </c>
      <c r="DU196" s="58" t="str">
        <f>IF(ISNUMBER(MATCH(#REF!,'Audit Characteristic Mapping'!$E$3:$E$500,0)),"Y","")</f>
        <v/>
      </c>
      <c r="DV196" s="58" t="str">
        <f>IF(ISNUMBER(MATCH(#REF!,'Audit Characteristic Mapping'!$F$3:$F$500,0)),"Y","")</f>
        <v/>
      </c>
      <c r="DW196" s="58" t="str">
        <f>IF(ISNUMBER(MATCH(#REF!,'Audit Characteristic Mapping'!$G$3:$G$500,0)),"Y","")</f>
        <v/>
      </c>
      <c r="DX196" s="58" t="str">
        <f>IF(ISNUMBER(MATCH(#REF!,'Audit Characteristic Mapping'!$H$3:$H$500,0)),"Y","")</f>
        <v/>
      </c>
      <c r="DY196" s="58" t="str">
        <f>IF(ISNUMBER(MATCH(#REF!,'Audit Characteristic Mapping'!$I$3:$I$500,0)),"Y","")</f>
        <v/>
      </c>
      <c r="DZ196" s="58" t="str">
        <f>IF(ISNUMBER(MATCH(#REF!,'Audit Characteristic Mapping'!$J$3:$J$500,0)),"Y","")</f>
        <v/>
      </c>
      <c r="EA196" s="58" t="str">
        <f>IF(ISNUMBER(MATCH(#REF!,'Audit Characteristic Mapping'!$K$3:$K$500,0)),"Y","")</f>
        <v/>
      </c>
    </row>
    <row r="197" spans="1:131" ht="80" x14ac:dyDescent="0.2">
      <c r="A197" s="294">
        <v>191</v>
      </c>
      <c r="B197" s="287" t="s">
        <v>253</v>
      </c>
      <c r="C197" s="226" t="s">
        <v>317</v>
      </c>
      <c r="D197" s="170">
        <v>5</v>
      </c>
      <c r="E197" s="288">
        <v>35</v>
      </c>
      <c r="F197" s="291" t="str">
        <f>VLOOKUP(Calculation!A197,'Descriptor maps'!$A$2:$F$1658,6,0)</f>
        <v>Is there documented evidence that modelled phreatic conditions for each scenario were based on objectively measured data or suitable assessment of pore pressure conditions for each scenario (e.g. seepage modelling, accounting for development of excess pore water pressures, etc.), to achieve the objective of accounting for pore pressures in the confining structures?</v>
      </c>
      <c r="G197" s="296" t="s">
        <v>1193</v>
      </c>
      <c r="H197" s="290"/>
      <c r="I197" s="291" cm="1">
        <f t="array" ref="I197">INDEX('Descriptor maps'!$H$2:$H$1658,MATCH(1,('Descriptor maps'!$A$2:$A$1658=Calculation!$A197)*('Descriptor maps'!$G$2:$G$1658=Calculation!$G197),0))</f>
        <v>2</v>
      </c>
      <c r="J197" s="292" cm="1">
        <f t="array" ref="J197">INDEX('Descriptor maps'!$I$2:$I$1658,MATCH(1,('Descriptor maps'!$A$2:$A$1658=Calculation!$A197)*('Descriptor maps'!$G$2:$G$1658=Calculation!$G197),0))</f>
        <v>2</v>
      </c>
      <c r="K197" s="226"/>
      <c r="L197" s="293"/>
      <c r="M197" s="293"/>
      <c r="N197" s="293">
        <f>1*$J197</f>
        <v>2</v>
      </c>
      <c r="O197" s="293"/>
      <c r="P197" s="293"/>
      <c r="Q197" s="293"/>
      <c r="R197" s="293"/>
      <c r="S197" s="293"/>
      <c r="T197" s="293"/>
      <c r="U197" s="293">
        <f>1*$J197</f>
        <v>2</v>
      </c>
      <c r="V197" s="293"/>
      <c r="W197" s="293"/>
      <c r="X197" s="293"/>
      <c r="Y197" s="293"/>
      <c r="Z197" s="293"/>
      <c r="AA197" s="293"/>
      <c r="AB197" s="293">
        <f>1*$J197</f>
        <v>2</v>
      </c>
      <c r="AC197" s="293"/>
      <c r="AD197" s="293"/>
      <c r="AE197" s="293"/>
      <c r="AF197" s="293"/>
      <c r="AG197" s="293"/>
      <c r="AH197" s="293"/>
      <c r="AI197" s="293"/>
      <c r="AJ197" s="293"/>
      <c r="AK197" s="293"/>
      <c r="AL197" s="293"/>
      <c r="AM197" s="293"/>
      <c r="AN197" s="293"/>
      <c r="AO197" s="293"/>
      <c r="AP197" s="293"/>
      <c r="AQ197" s="293"/>
      <c r="AR197" s="293"/>
      <c r="AS197" s="293"/>
      <c r="AT197" s="293"/>
      <c r="AU197" s="293"/>
      <c r="AV197" s="293"/>
      <c r="AW197" s="293"/>
      <c r="AX197" s="293"/>
      <c r="AY197" s="293"/>
      <c r="AZ197" s="293"/>
      <c r="BA197" s="293"/>
      <c r="BB197" s="293"/>
      <c r="BC197" s="293"/>
      <c r="BD197" s="293"/>
      <c r="BE197" s="293"/>
      <c r="BF197" s="293"/>
      <c r="BG197" s="293"/>
      <c r="BH197" s="293"/>
      <c r="BI197" s="293"/>
      <c r="BJ197" s="293"/>
      <c r="BK197" s="293"/>
      <c r="BL197" s="293"/>
      <c r="BM197" s="293"/>
      <c r="BN197" s="293"/>
      <c r="BO197" s="293"/>
      <c r="BP197" s="293"/>
      <c r="BQ197" s="293"/>
      <c r="BR197" s="293"/>
      <c r="BS197" s="293"/>
      <c r="BT197" s="293"/>
      <c r="BU197" s="293"/>
      <c r="BV197" s="293"/>
      <c r="BW197" s="293"/>
      <c r="BX197" s="293"/>
      <c r="BY197" s="293"/>
      <c r="BZ197" s="293"/>
      <c r="CA197" s="285">
        <v>1</v>
      </c>
      <c r="CB197" s="286"/>
      <c r="CC197" s="286"/>
      <c r="CD197" s="286"/>
      <c r="CE197" s="286"/>
      <c r="CF197" s="286"/>
      <c r="CG197" s="286"/>
      <c r="CH197" s="286"/>
      <c r="CI197" s="286"/>
      <c r="CJ197" s="286">
        <v>1</v>
      </c>
      <c r="CK197" s="286"/>
      <c r="CL197" s="286"/>
      <c r="CM197" s="286"/>
      <c r="CN197" s="286">
        <v>1</v>
      </c>
      <c r="CO197" s="286"/>
      <c r="CP197" s="286"/>
      <c r="CQ197" s="286">
        <v>1</v>
      </c>
      <c r="CR197" s="286"/>
      <c r="CS197" s="286"/>
      <c r="CT197" s="286"/>
      <c r="CU197" s="286"/>
      <c r="CV197" s="286"/>
      <c r="CW197" s="286"/>
      <c r="CX197" s="286"/>
      <c r="CY197" s="286"/>
      <c r="CZ197" s="286"/>
      <c r="DA197" s="286"/>
      <c r="DB197" s="286"/>
      <c r="DC197" s="286"/>
      <c r="DD197" s="286"/>
      <c r="DE197" s="286"/>
      <c r="DF197" s="286"/>
      <c r="DG197" s="286"/>
      <c r="DH197" s="286"/>
      <c r="DI197" s="286"/>
      <c r="DJ197" s="286"/>
      <c r="DK197" s="286"/>
      <c r="DL197" s="286"/>
      <c r="DM197" s="286"/>
      <c r="DN197" s="286"/>
      <c r="DO197" s="286"/>
      <c r="DP197" s="286"/>
      <c r="DR197" s="58" t="str">
        <f>IF(ISNUMBER(MATCH(#REF!,'Audit Characteristic Mapping'!$B$3:$B$500,0)),"Y","")</f>
        <v/>
      </c>
      <c r="DS197" s="58" t="str">
        <f>IF(ISNUMBER(MATCH(#REF!,'Audit Characteristic Mapping'!$C$3:$C$500,0)),"Y","")</f>
        <v/>
      </c>
      <c r="DT197" s="58" t="str">
        <f>IF(ISNUMBER(MATCH(#REF!,'Audit Characteristic Mapping'!$D$3:$D$500,0)),"Y","")</f>
        <v/>
      </c>
      <c r="DU197" s="58" t="str">
        <f>IF(ISNUMBER(MATCH(#REF!,'Audit Characteristic Mapping'!$E$3:$E$500,0)),"Y","")</f>
        <v/>
      </c>
      <c r="DV197" s="58" t="str">
        <f>IF(ISNUMBER(MATCH(#REF!,'Audit Characteristic Mapping'!$F$3:$F$500,0)),"Y","")</f>
        <v/>
      </c>
      <c r="DW197" s="58" t="str">
        <f>IF(ISNUMBER(MATCH(#REF!,'Audit Characteristic Mapping'!$G$3:$G$500,0)),"Y","")</f>
        <v/>
      </c>
      <c r="DX197" s="58" t="str">
        <f>IF(ISNUMBER(MATCH(#REF!,'Audit Characteristic Mapping'!$H$3:$H$500,0)),"Y","")</f>
        <v/>
      </c>
      <c r="DY197" s="58" t="str">
        <f>IF(ISNUMBER(MATCH(#REF!,'Audit Characteristic Mapping'!$I$3:$I$500,0)),"Y","")</f>
        <v/>
      </c>
      <c r="DZ197" s="58" t="str">
        <f>IF(ISNUMBER(MATCH(#REF!,'Audit Characteristic Mapping'!$J$3:$J$500,0)),"Y","")</f>
        <v/>
      </c>
      <c r="EA197" s="58" t="str">
        <f>IF(ISNUMBER(MATCH(#REF!,'Audit Characteristic Mapping'!$K$3:$K$500,0)),"Y","")</f>
        <v/>
      </c>
    </row>
    <row r="198" spans="1:131" ht="48" x14ac:dyDescent="0.2">
      <c r="A198" s="294">
        <v>192</v>
      </c>
      <c r="B198" s="287" t="s">
        <v>253</v>
      </c>
      <c r="C198" s="226" t="s">
        <v>319</v>
      </c>
      <c r="D198" s="170">
        <v>5</v>
      </c>
      <c r="E198" s="288">
        <v>36</v>
      </c>
      <c r="F198" s="291" t="str">
        <f>VLOOKUP(Calculation!A198,'Descriptor maps'!$A$2:$F$1658,6,0)</f>
        <v xml:space="preserve">Are the stability assessment results presented with the objective of clearly showing the boundary conditions, materials zoning, geometry and all parameters and loading conditions used? </v>
      </c>
      <c r="G198" s="296" t="s">
        <v>1192</v>
      </c>
      <c r="H198" s="290"/>
      <c r="I198" s="291" cm="1">
        <f t="array" ref="I198">INDEX('Descriptor maps'!$H$2:$H$1658,MATCH(1,('Descriptor maps'!$A$2:$A$1658=Calculation!$A198)*('Descriptor maps'!$G$2:$G$1658=Calculation!$G198),0))</f>
        <v>1</v>
      </c>
      <c r="J198" s="292" cm="1">
        <f t="array" ref="J198">INDEX('Descriptor maps'!$I$2:$I$1658,MATCH(1,('Descriptor maps'!$A$2:$A$1658=Calculation!$A198)*('Descriptor maps'!$G$2:$G$1658=Calculation!$G198),0))</f>
        <v>1</v>
      </c>
      <c r="K198" s="226"/>
      <c r="L198" s="293"/>
      <c r="M198" s="293"/>
      <c r="N198" s="293">
        <f>1*$J198</f>
        <v>1</v>
      </c>
      <c r="O198" s="293"/>
      <c r="P198" s="293"/>
      <c r="Q198" s="293"/>
      <c r="R198" s="293"/>
      <c r="S198" s="293"/>
      <c r="T198" s="293"/>
      <c r="U198" s="293">
        <f>1*$J198</f>
        <v>1</v>
      </c>
      <c r="V198" s="293"/>
      <c r="W198" s="293"/>
      <c r="X198" s="293"/>
      <c r="Y198" s="293"/>
      <c r="Z198" s="293"/>
      <c r="AA198" s="293"/>
      <c r="AB198" s="293">
        <f>1*$J198</f>
        <v>1</v>
      </c>
      <c r="AC198" s="293"/>
      <c r="AD198" s="293"/>
      <c r="AE198" s="293"/>
      <c r="AF198" s="293"/>
      <c r="AG198" s="293"/>
      <c r="AH198" s="293"/>
      <c r="AI198" s="293"/>
      <c r="AJ198" s="293"/>
      <c r="AK198" s="293"/>
      <c r="AL198" s="293"/>
      <c r="AM198" s="293"/>
      <c r="AN198" s="293"/>
      <c r="AO198" s="293"/>
      <c r="AP198" s="293"/>
      <c r="AQ198" s="293"/>
      <c r="AR198" s="293"/>
      <c r="AS198" s="293"/>
      <c r="AT198" s="293"/>
      <c r="AU198" s="293"/>
      <c r="AV198" s="293"/>
      <c r="AW198" s="293"/>
      <c r="AX198" s="293"/>
      <c r="AY198" s="293"/>
      <c r="AZ198" s="293"/>
      <c r="BA198" s="293"/>
      <c r="BB198" s="293"/>
      <c r="BC198" s="293"/>
      <c r="BD198" s="293"/>
      <c r="BE198" s="293"/>
      <c r="BF198" s="293"/>
      <c r="BG198" s="293"/>
      <c r="BH198" s="293"/>
      <c r="BI198" s="293"/>
      <c r="BJ198" s="293"/>
      <c r="BK198" s="293"/>
      <c r="BL198" s="293"/>
      <c r="BM198" s="293"/>
      <c r="BN198" s="293"/>
      <c r="BO198" s="293"/>
      <c r="BP198" s="293"/>
      <c r="BQ198" s="293"/>
      <c r="BR198" s="293"/>
      <c r="BS198" s="293"/>
      <c r="BT198" s="293"/>
      <c r="BU198" s="293"/>
      <c r="BV198" s="293"/>
      <c r="BW198" s="293"/>
      <c r="BX198" s="293"/>
      <c r="BY198" s="293"/>
      <c r="BZ198" s="293"/>
      <c r="CA198" s="285"/>
      <c r="CB198" s="286"/>
      <c r="CC198" s="286"/>
      <c r="CD198" s="286"/>
      <c r="CE198" s="286"/>
      <c r="CF198" s="286"/>
      <c r="CG198" s="286"/>
      <c r="CH198" s="286"/>
      <c r="CI198" s="286"/>
      <c r="CJ198" s="286"/>
      <c r="CK198" s="286"/>
      <c r="CL198" s="286"/>
      <c r="CM198" s="286"/>
      <c r="CN198" s="286"/>
      <c r="CO198" s="286"/>
      <c r="CP198" s="286"/>
      <c r="CQ198" s="286"/>
      <c r="CR198" s="286"/>
      <c r="CS198" s="286"/>
      <c r="CT198" s="286"/>
      <c r="CU198" s="286"/>
      <c r="CV198" s="286"/>
      <c r="CW198" s="286"/>
      <c r="CX198" s="286"/>
      <c r="CY198" s="286"/>
      <c r="CZ198" s="286"/>
      <c r="DA198" s="286"/>
      <c r="DB198" s="286"/>
      <c r="DC198" s="286"/>
      <c r="DD198" s="286"/>
      <c r="DE198" s="286"/>
      <c r="DF198" s="286"/>
      <c r="DG198" s="286"/>
      <c r="DH198" s="286"/>
      <c r="DI198" s="286"/>
      <c r="DJ198" s="286"/>
      <c r="DK198" s="286"/>
      <c r="DL198" s="286"/>
      <c r="DM198" s="286"/>
      <c r="DN198" s="286"/>
      <c r="DO198" s="286"/>
      <c r="DP198" s="286"/>
      <c r="DR198" s="58" t="str">
        <f>IF(ISNUMBER(MATCH(#REF!,'Audit Characteristic Mapping'!$B$3:$B$500,0)),"Y","")</f>
        <v/>
      </c>
      <c r="DS198" s="58" t="str">
        <f>IF(ISNUMBER(MATCH(#REF!,'Audit Characteristic Mapping'!$C$3:$C$500,0)),"Y","")</f>
        <v/>
      </c>
      <c r="DT198" s="58" t="str">
        <f>IF(ISNUMBER(MATCH(#REF!,'Audit Characteristic Mapping'!$D$3:$D$500,0)),"Y","")</f>
        <v/>
      </c>
      <c r="DU198" s="58" t="str">
        <f>IF(ISNUMBER(MATCH(#REF!,'Audit Characteristic Mapping'!$E$3:$E$500,0)),"Y","")</f>
        <v/>
      </c>
      <c r="DV198" s="58" t="str">
        <f>IF(ISNUMBER(MATCH(#REF!,'Audit Characteristic Mapping'!$F$3:$F$500,0)),"Y","")</f>
        <v/>
      </c>
      <c r="DW198" s="58" t="str">
        <f>IF(ISNUMBER(MATCH(#REF!,'Audit Characteristic Mapping'!$G$3:$G$500,0)),"Y","")</f>
        <v/>
      </c>
      <c r="DX198" s="58" t="str">
        <f>IF(ISNUMBER(MATCH(#REF!,'Audit Characteristic Mapping'!$H$3:$H$500,0)),"Y","")</f>
        <v/>
      </c>
      <c r="DY198" s="58" t="str">
        <f>IF(ISNUMBER(MATCH(#REF!,'Audit Characteristic Mapping'!$I$3:$I$500,0)),"Y","")</f>
        <v/>
      </c>
      <c r="DZ198" s="58" t="str">
        <f>IF(ISNUMBER(MATCH(#REF!,'Audit Characteristic Mapping'!$J$3:$J$500,0)),"Y","")</f>
        <v/>
      </c>
      <c r="EA198" s="58" t="str">
        <f>IF(ISNUMBER(MATCH(#REF!,'Audit Characteristic Mapping'!$K$3:$K$500,0)),"Y","")</f>
        <v/>
      </c>
    </row>
    <row r="199" spans="1:131" ht="16" hidden="1" x14ac:dyDescent="0.2">
      <c r="A199" s="288">
        <v>193</v>
      </c>
      <c r="B199" s="287" t="s">
        <v>253</v>
      </c>
      <c r="C199" s="226" t="s">
        <v>319</v>
      </c>
      <c r="D199" s="170">
        <v>5</v>
      </c>
      <c r="E199" s="288">
        <v>36</v>
      </c>
      <c r="F199" s="291" t="str">
        <f>VLOOKUP(Calculation!A199,'Descriptor maps'!$A$2:$F$1658,2,0)</f>
        <v>Studies &amp; Design</v>
      </c>
      <c r="G199" s="296" t="s">
        <v>1192</v>
      </c>
      <c r="H199" s="290"/>
      <c r="I199" s="291"/>
      <c r="J199" s="292" cm="1">
        <f t="array" ref="J199">INDEX('Descriptor maps'!$I$2:$I$1658,MATCH(1,('Descriptor maps'!$A$2:$A$1658=Calculation!$A199)*('Descriptor maps'!$G$2:$G$1658=Calculation!$G199),0))</f>
        <v>1</v>
      </c>
      <c r="K199" s="226"/>
      <c r="L199" s="293"/>
      <c r="M199" s="293"/>
      <c r="N199" s="293"/>
      <c r="O199" s="293"/>
      <c r="P199" s="293"/>
      <c r="Q199" s="293"/>
      <c r="R199" s="293"/>
      <c r="S199" s="293"/>
      <c r="T199" s="293"/>
      <c r="U199" s="293"/>
      <c r="V199" s="293"/>
      <c r="W199" s="293"/>
      <c r="X199" s="293"/>
      <c r="Y199" s="293"/>
      <c r="Z199" s="293"/>
      <c r="AA199" s="293"/>
      <c r="AB199" s="293"/>
      <c r="AC199" s="293"/>
      <c r="AD199" s="293"/>
      <c r="AE199" s="293"/>
      <c r="AF199" s="293"/>
      <c r="AG199" s="293"/>
      <c r="AH199" s="293"/>
      <c r="AI199" s="293"/>
      <c r="AJ199" s="293"/>
      <c r="AK199" s="293"/>
      <c r="AL199" s="293"/>
      <c r="AM199" s="293"/>
      <c r="AN199" s="293"/>
      <c r="AO199" s="293"/>
      <c r="AP199" s="293"/>
      <c r="AQ199" s="293"/>
      <c r="AR199" s="293"/>
      <c r="AS199" s="293"/>
      <c r="AT199" s="293"/>
      <c r="AU199" s="293"/>
      <c r="AV199" s="293"/>
      <c r="AW199" s="293"/>
      <c r="AX199" s="293"/>
      <c r="AY199" s="293"/>
      <c r="AZ199" s="293"/>
      <c r="BA199" s="293"/>
      <c r="BB199" s="293"/>
      <c r="BC199" s="293"/>
      <c r="BD199" s="293"/>
      <c r="BE199" s="293"/>
      <c r="BF199" s="293"/>
      <c r="BG199" s="293"/>
      <c r="BH199" s="293"/>
      <c r="BI199" s="293"/>
      <c r="BJ199" s="293"/>
      <c r="BK199" s="293"/>
      <c r="BL199" s="293"/>
      <c r="BM199" s="293"/>
      <c r="BN199" s="293"/>
      <c r="BO199" s="293"/>
      <c r="BP199" s="293"/>
      <c r="BQ199" s="293"/>
      <c r="BR199" s="293"/>
      <c r="BS199" s="293"/>
      <c r="BT199" s="293"/>
      <c r="BU199" s="293"/>
      <c r="BV199" s="293"/>
      <c r="BW199" s="293"/>
      <c r="BX199" s="293"/>
      <c r="BY199" s="293"/>
      <c r="BZ199" s="293"/>
      <c r="CA199" s="285"/>
      <c r="CB199" s="286"/>
      <c r="CC199" s="286"/>
      <c r="CD199" s="286"/>
      <c r="CE199" s="286"/>
      <c r="CF199" s="286"/>
      <c r="CG199" s="286"/>
      <c r="CH199" s="286"/>
      <c r="CI199" s="286"/>
      <c r="CJ199" s="286"/>
      <c r="CK199" s="286"/>
      <c r="CL199" s="286"/>
      <c r="CM199" s="286"/>
      <c r="CN199" s="286"/>
      <c r="CO199" s="286"/>
      <c r="CP199" s="286"/>
      <c r="CQ199" s="286"/>
      <c r="CR199" s="286"/>
      <c r="CS199" s="286"/>
      <c r="CT199" s="286"/>
      <c r="CU199" s="286"/>
      <c r="CV199" s="286"/>
      <c r="CW199" s="286"/>
      <c r="CX199" s="286"/>
      <c r="CY199" s="286"/>
      <c r="CZ199" s="286"/>
      <c r="DA199" s="286"/>
      <c r="DB199" s="286"/>
      <c r="DC199" s="286"/>
      <c r="DD199" s="286"/>
      <c r="DE199" s="286"/>
      <c r="DF199" s="286"/>
      <c r="DG199" s="286"/>
      <c r="DH199" s="286"/>
      <c r="DI199" s="286"/>
      <c r="DJ199" s="286"/>
      <c r="DK199" s="286"/>
      <c r="DL199" s="286"/>
      <c r="DM199" s="286"/>
      <c r="DN199" s="286"/>
      <c r="DO199" s="286"/>
      <c r="DP199" s="286"/>
      <c r="DR199" s="58" t="str">
        <f>IF(ISNUMBER(MATCH(#REF!,'Audit Characteristic Mapping'!$B$3:$B$500,0)),"Y","")</f>
        <v/>
      </c>
      <c r="DS199" s="58" t="str">
        <f>IF(ISNUMBER(MATCH(#REF!,'Audit Characteristic Mapping'!$C$3:$C$500,0)),"Y","")</f>
        <v/>
      </c>
      <c r="DT199" s="58" t="str">
        <f>IF(ISNUMBER(MATCH(#REF!,'Audit Characteristic Mapping'!$D$3:$D$500,0)),"Y","")</f>
        <v/>
      </c>
      <c r="DU199" s="58" t="str">
        <f>IF(ISNUMBER(MATCH(#REF!,'Audit Characteristic Mapping'!$E$3:$E$500,0)),"Y","")</f>
        <v/>
      </c>
      <c r="DV199" s="58" t="str">
        <f>IF(ISNUMBER(MATCH(#REF!,'Audit Characteristic Mapping'!$F$3:$F$500,0)),"Y","")</f>
        <v/>
      </c>
      <c r="DW199" s="58" t="str">
        <f>IF(ISNUMBER(MATCH(#REF!,'Audit Characteristic Mapping'!$G$3:$G$500,0)),"Y","")</f>
        <v/>
      </c>
      <c r="DX199" s="58" t="str">
        <f>IF(ISNUMBER(MATCH(#REF!,'Audit Characteristic Mapping'!$H$3:$H$500,0)),"Y","")</f>
        <v/>
      </c>
      <c r="DY199" s="58" t="str">
        <f>IF(ISNUMBER(MATCH(#REF!,'Audit Characteristic Mapping'!$I$3:$I$500,0)),"Y","")</f>
        <v/>
      </c>
      <c r="DZ199" s="58" t="str">
        <f>IF(ISNUMBER(MATCH(#REF!,'Audit Characteristic Mapping'!$J$3:$J$500,0)),"Y","")</f>
        <v/>
      </c>
      <c r="EA199" s="58" t="str">
        <f>IF(ISNUMBER(MATCH(#REF!,'Audit Characteristic Mapping'!$K$3:$K$500,0)),"Y","")</f>
        <v/>
      </c>
    </row>
    <row r="200" spans="1:131" ht="16" hidden="1" x14ac:dyDescent="0.2">
      <c r="A200" s="288">
        <v>194</v>
      </c>
      <c r="B200" s="287" t="s">
        <v>253</v>
      </c>
      <c r="C200" s="226" t="s">
        <v>319</v>
      </c>
      <c r="D200" s="170">
        <v>5</v>
      </c>
      <c r="E200" s="288">
        <v>36</v>
      </c>
      <c r="F200" s="291" t="str">
        <f>VLOOKUP(Calculation!A200,'Descriptor maps'!$A$2:$F$1658,2,0)</f>
        <v>Studies &amp; Design</v>
      </c>
      <c r="G200" s="296"/>
      <c r="H200" s="290"/>
      <c r="I200" s="291"/>
      <c r="J200" s="292" t="e" cm="1">
        <f t="array" ref="J200">INDEX('Descriptor maps'!$I$2:$I$1658,MATCH(1,('Descriptor maps'!$A$2:$A$1658=Calculation!$A200)*('Descriptor maps'!$G$2:$G$1658=Calculation!$G200),0))</f>
        <v>#N/A</v>
      </c>
      <c r="K200" s="226"/>
      <c r="L200" s="293"/>
      <c r="M200" s="293"/>
      <c r="N200" s="293"/>
      <c r="O200" s="293"/>
      <c r="P200" s="293"/>
      <c r="Q200" s="293"/>
      <c r="R200" s="293"/>
      <c r="S200" s="293"/>
      <c r="T200" s="293"/>
      <c r="U200" s="293"/>
      <c r="V200" s="293"/>
      <c r="W200" s="293"/>
      <c r="X200" s="293"/>
      <c r="Y200" s="293"/>
      <c r="Z200" s="293"/>
      <c r="AA200" s="293"/>
      <c r="AB200" s="293"/>
      <c r="AC200" s="293"/>
      <c r="AD200" s="293"/>
      <c r="AE200" s="293"/>
      <c r="AF200" s="293"/>
      <c r="AG200" s="293"/>
      <c r="AH200" s="293"/>
      <c r="AI200" s="293"/>
      <c r="AJ200" s="293"/>
      <c r="AK200" s="293"/>
      <c r="AL200" s="293"/>
      <c r="AM200" s="293"/>
      <c r="AN200" s="293"/>
      <c r="AO200" s="293"/>
      <c r="AP200" s="293"/>
      <c r="AQ200" s="293"/>
      <c r="AR200" s="293"/>
      <c r="AS200" s="293"/>
      <c r="AT200" s="293"/>
      <c r="AU200" s="293"/>
      <c r="AV200" s="293"/>
      <c r="AW200" s="293"/>
      <c r="AX200" s="293"/>
      <c r="AY200" s="293"/>
      <c r="AZ200" s="293"/>
      <c r="BA200" s="293"/>
      <c r="BB200" s="293"/>
      <c r="BC200" s="293"/>
      <c r="BD200" s="293"/>
      <c r="BE200" s="293"/>
      <c r="BF200" s="293"/>
      <c r="BG200" s="293"/>
      <c r="BH200" s="293"/>
      <c r="BI200" s="293"/>
      <c r="BJ200" s="293"/>
      <c r="BK200" s="293"/>
      <c r="BL200" s="293"/>
      <c r="BM200" s="293"/>
      <c r="BN200" s="293"/>
      <c r="BO200" s="293"/>
      <c r="BP200" s="293"/>
      <c r="BQ200" s="293"/>
      <c r="BR200" s="293"/>
      <c r="BS200" s="293"/>
      <c r="BT200" s="293"/>
      <c r="BU200" s="293"/>
      <c r="BV200" s="293"/>
      <c r="BW200" s="293"/>
      <c r="BX200" s="293"/>
      <c r="BY200" s="293"/>
      <c r="BZ200" s="293"/>
      <c r="CA200" s="285"/>
      <c r="CB200" s="286"/>
      <c r="CC200" s="286"/>
      <c r="CD200" s="286"/>
      <c r="CE200" s="286"/>
      <c r="CF200" s="286"/>
      <c r="CG200" s="286"/>
      <c r="CH200" s="286"/>
      <c r="CI200" s="286"/>
      <c r="CJ200" s="286"/>
      <c r="CK200" s="286"/>
      <c r="CL200" s="286"/>
      <c r="CM200" s="286"/>
      <c r="CN200" s="286"/>
      <c r="CO200" s="286"/>
      <c r="CP200" s="286"/>
      <c r="CQ200" s="286"/>
      <c r="CR200" s="286"/>
      <c r="CS200" s="286"/>
      <c r="CT200" s="286"/>
      <c r="CU200" s="286"/>
      <c r="CV200" s="286"/>
      <c r="CW200" s="286"/>
      <c r="CX200" s="286"/>
      <c r="CY200" s="286"/>
      <c r="CZ200" s="286"/>
      <c r="DA200" s="286"/>
      <c r="DB200" s="286"/>
      <c r="DC200" s="286"/>
      <c r="DD200" s="286"/>
      <c r="DE200" s="286"/>
      <c r="DF200" s="286"/>
      <c r="DG200" s="286"/>
      <c r="DH200" s="286"/>
      <c r="DI200" s="286"/>
      <c r="DJ200" s="286"/>
      <c r="DK200" s="286"/>
      <c r="DL200" s="286"/>
      <c r="DM200" s="286"/>
      <c r="DN200" s="286"/>
      <c r="DO200" s="286"/>
      <c r="DP200" s="286"/>
      <c r="DR200" s="58" t="str">
        <f>IF(ISNUMBER(MATCH(#REF!,'Audit Characteristic Mapping'!$B$3:$B$500,0)),"Y","")</f>
        <v/>
      </c>
      <c r="DS200" s="58" t="str">
        <f>IF(ISNUMBER(MATCH(#REF!,'Audit Characteristic Mapping'!$C$3:$C$500,0)),"Y","")</f>
        <v/>
      </c>
      <c r="DT200" s="58" t="str">
        <f>IF(ISNUMBER(MATCH(#REF!,'Audit Characteristic Mapping'!$D$3:$D$500,0)),"Y","")</f>
        <v/>
      </c>
      <c r="DU200" s="58" t="str">
        <f>IF(ISNUMBER(MATCH(#REF!,'Audit Characteristic Mapping'!$E$3:$E$500,0)),"Y","")</f>
        <v/>
      </c>
      <c r="DV200" s="58" t="str">
        <f>IF(ISNUMBER(MATCH(#REF!,'Audit Characteristic Mapping'!$F$3:$F$500,0)),"Y","")</f>
        <v/>
      </c>
      <c r="DW200" s="58" t="str">
        <f>IF(ISNUMBER(MATCH(#REF!,'Audit Characteristic Mapping'!$G$3:$G$500,0)),"Y","")</f>
        <v/>
      </c>
      <c r="DX200" s="58" t="str">
        <f>IF(ISNUMBER(MATCH(#REF!,'Audit Characteristic Mapping'!$H$3:$H$500,0)),"Y","")</f>
        <v/>
      </c>
      <c r="DY200" s="58" t="str">
        <f>IF(ISNUMBER(MATCH(#REF!,'Audit Characteristic Mapping'!$I$3:$I$500,0)),"Y","")</f>
        <v/>
      </c>
      <c r="DZ200" s="58" t="str">
        <f>IF(ISNUMBER(MATCH(#REF!,'Audit Characteristic Mapping'!$J$3:$J$500,0)),"Y","")</f>
        <v/>
      </c>
      <c r="EA200" s="58" t="str">
        <f>IF(ISNUMBER(MATCH(#REF!,'Audit Characteristic Mapping'!$K$3:$K$500,0)),"Y","")</f>
        <v/>
      </c>
    </row>
    <row r="201" spans="1:131" ht="16" hidden="1" x14ac:dyDescent="0.2">
      <c r="A201" s="288">
        <v>195</v>
      </c>
      <c r="B201" s="287" t="s">
        <v>253</v>
      </c>
      <c r="C201" s="226" t="s">
        <v>319</v>
      </c>
      <c r="D201" s="170">
        <v>5</v>
      </c>
      <c r="E201" s="288">
        <v>36</v>
      </c>
      <c r="F201" s="291" t="str">
        <f>VLOOKUP(Calculation!A201,'Descriptor maps'!$A$2:$F$1658,2,0)</f>
        <v>Studies &amp; Design</v>
      </c>
      <c r="G201" s="296"/>
      <c r="H201" s="290"/>
      <c r="I201" s="291"/>
      <c r="J201" s="292" t="e" cm="1">
        <f t="array" ref="J201">INDEX('Descriptor maps'!$I$2:$I$1658,MATCH(1,('Descriptor maps'!$A$2:$A$1658=Calculation!$A201)*('Descriptor maps'!$G$2:$G$1658=Calculation!$G201),0))</f>
        <v>#N/A</v>
      </c>
      <c r="K201" s="226"/>
      <c r="L201" s="293"/>
      <c r="M201" s="293"/>
      <c r="N201" s="293"/>
      <c r="O201" s="293"/>
      <c r="P201" s="293"/>
      <c r="Q201" s="293"/>
      <c r="R201" s="293"/>
      <c r="S201" s="293"/>
      <c r="T201" s="293"/>
      <c r="U201" s="293"/>
      <c r="V201" s="293"/>
      <c r="W201" s="293"/>
      <c r="X201" s="293"/>
      <c r="Y201" s="293"/>
      <c r="Z201" s="293"/>
      <c r="AA201" s="293"/>
      <c r="AB201" s="293"/>
      <c r="AC201" s="293"/>
      <c r="AD201" s="293"/>
      <c r="AE201" s="293"/>
      <c r="AF201" s="293"/>
      <c r="AG201" s="293"/>
      <c r="AH201" s="293"/>
      <c r="AI201" s="293"/>
      <c r="AJ201" s="293"/>
      <c r="AK201" s="293"/>
      <c r="AL201" s="293"/>
      <c r="AM201" s="293"/>
      <c r="AN201" s="293"/>
      <c r="AO201" s="293"/>
      <c r="AP201" s="293"/>
      <c r="AQ201" s="293"/>
      <c r="AR201" s="293"/>
      <c r="AS201" s="293"/>
      <c r="AT201" s="293"/>
      <c r="AU201" s="293"/>
      <c r="AV201" s="293"/>
      <c r="AW201" s="293"/>
      <c r="AX201" s="293"/>
      <c r="AY201" s="293"/>
      <c r="AZ201" s="293"/>
      <c r="BA201" s="293"/>
      <c r="BB201" s="293"/>
      <c r="BC201" s="293"/>
      <c r="BD201" s="293"/>
      <c r="BE201" s="293"/>
      <c r="BF201" s="293"/>
      <c r="BG201" s="293"/>
      <c r="BH201" s="293"/>
      <c r="BI201" s="293"/>
      <c r="BJ201" s="293"/>
      <c r="BK201" s="293"/>
      <c r="BL201" s="293"/>
      <c r="BM201" s="293"/>
      <c r="BN201" s="293"/>
      <c r="BO201" s="293"/>
      <c r="BP201" s="293"/>
      <c r="BQ201" s="293"/>
      <c r="BR201" s="293"/>
      <c r="BS201" s="293"/>
      <c r="BT201" s="293"/>
      <c r="BU201" s="293"/>
      <c r="BV201" s="293"/>
      <c r="BW201" s="293"/>
      <c r="BX201" s="293"/>
      <c r="BY201" s="293"/>
      <c r="BZ201" s="293"/>
      <c r="CA201" s="285"/>
      <c r="CB201" s="286"/>
      <c r="CC201" s="286"/>
      <c r="CD201" s="286"/>
      <c r="CE201" s="286"/>
      <c r="CF201" s="286"/>
      <c r="CG201" s="286"/>
      <c r="CH201" s="286"/>
      <c r="CI201" s="286"/>
      <c r="CJ201" s="286"/>
      <c r="CK201" s="286"/>
      <c r="CL201" s="286"/>
      <c r="CM201" s="286"/>
      <c r="CN201" s="286"/>
      <c r="CO201" s="286"/>
      <c r="CP201" s="286"/>
      <c r="CQ201" s="286"/>
      <c r="CR201" s="286"/>
      <c r="CS201" s="286"/>
      <c r="CT201" s="286"/>
      <c r="CU201" s="286"/>
      <c r="CV201" s="286"/>
      <c r="CW201" s="286"/>
      <c r="CX201" s="286"/>
      <c r="CY201" s="286"/>
      <c r="CZ201" s="286"/>
      <c r="DA201" s="286"/>
      <c r="DB201" s="286"/>
      <c r="DC201" s="286"/>
      <c r="DD201" s="286"/>
      <c r="DE201" s="286"/>
      <c r="DF201" s="286"/>
      <c r="DG201" s="286"/>
      <c r="DH201" s="286"/>
      <c r="DI201" s="286"/>
      <c r="DJ201" s="286"/>
      <c r="DK201" s="286"/>
      <c r="DL201" s="286"/>
      <c r="DM201" s="286"/>
      <c r="DN201" s="286"/>
      <c r="DO201" s="286"/>
      <c r="DP201" s="286"/>
      <c r="DR201" s="58" t="str">
        <f>IF(ISNUMBER(MATCH(#REF!,'Audit Characteristic Mapping'!$B$3:$B$500,0)),"Y","")</f>
        <v/>
      </c>
      <c r="DS201" s="58" t="str">
        <f>IF(ISNUMBER(MATCH(#REF!,'Audit Characteristic Mapping'!$C$3:$C$500,0)),"Y","")</f>
        <v/>
      </c>
      <c r="DT201" s="58" t="str">
        <f>IF(ISNUMBER(MATCH(#REF!,'Audit Characteristic Mapping'!$D$3:$D$500,0)),"Y","")</f>
        <v/>
      </c>
      <c r="DU201" s="58" t="str">
        <f>IF(ISNUMBER(MATCH(#REF!,'Audit Characteristic Mapping'!$E$3:$E$500,0)),"Y","")</f>
        <v/>
      </c>
      <c r="DV201" s="58" t="str">
        <f>IF(ISNUMBER(MATCH(#REF!,'Audit Characteristic Mapping'!$F$3:$F$500,0)),"Y","")</f>
        <v/>
      </c>
      <c r="DW201" s="58" t="str">
        <f>IF(ISNUMBER(MATCH(#REF!,'Audit Characteristic Mapping'!$G$3:$G$500,0)),"Y","")</f>
        <v/>
      </c>
      <c r="DX201" s="58" t="str">
        <f>IF(ISNUMBER(MATCH(#REF!,'Audit Characteristic Mapping'!$H$3:$H$500,0)),"Y","")</f>
        <v/>
      </c>
      <c r="DY201" s="58" t="str">
        <f>IF(ISNUMBER(MATCH(#REF!,'Audit Characteristic Mapping'!$I$3:$I$500,0)),"Y","")</f>
        <v/>
      </c>
      <c r="DZ201" s="58" t="str">
        <f>IF(ISNUMBER(MATCH(#REF!,'Audit Characteristic Mapping'!$J$3:$J$500,0)),"Y","")</f>
        <v/>
      </c>
      <c r="EA201" s="58" t="str">
        <f>IF(ISNUMBER(MATCH(#REF!,'Audit Characteristic Mapping'!$K$3:$K$500,0)),"Y","")</f>
        <v/>
      </c>
    </row>
    <row r="202" spans="1:131" ht="16" hidden="1" x14ac:dyDescent="0.2">
      <c r="A202" s="288">
        <v>196</v>
      </c>
      <c r="B202" s="287" t="s">
        <v>253</v>
      </c>
      <c r="C202" s="226" t="s">
        <v>323</v>
      </c>
      <c r="D202" s="170">
        <v>5</v>
      </c>
      <c r="E202" s="288">
        <v>37</v>
      </c>
      <c r="F202" s="291" t="str">
        <f>VLOOKUP(Calculation!A202,'Descriptor maps'!$A$2:$F$1658,2,0)</f>
        <v>Studies &amp; Design</v>
      </c>
      <c r="G202" s="296"/>
      <c r="H202" s="290"/>
      <c r="I202" s="291"/>
      <c r="J202" s="292" t="e" cm="1">
        <f t="array" ref="J202">INDEX('Descriptor maps'!$I$2:$I$1658,MATCH(1,('Descriptor maps'!$A$2:$A$1658=Calculation!$A202)*('Descriptor maps'!$G$2:$G$1658=Calculation!$G202),0))</f>
        <v>#N/A</v>
      </c>
      <c r="K202" s="226"/>
      <c r="L202" s="293"/>
      <c r="M202" s="293"/>
      <c r="N202" s="293"/>
      <c r="O202" s="293"/>
      <c r="P202" s="293"/>
      <c r="Q202" s="293"/>
      <c r="R202" s="293"/>
      <c r="S202" s="293"/>
      <c r="T202" s="293"/>
      <c r="U202" s="293"/>
      <c r="V202" s="293"/>
      <c r="W202" s="293"/>
      <c r="X202" s="293"/>
      <c r="Y202" s="293"/>
      <c r="Z202" s="293"/>
      <c r="AA202" s="293"/>
      <c r="AB202" s="293"/>
      <c r="AC202" s="293"/>
      <c r="AD202" s="293"/>
      <c r="AE202" s="293"/>
      <c r="AF202" s="293"/>
      <c r="AG202" s="293"/>
      <c r="AH202" s="293"/>
      <c r="AI202" s="293"/>
      <c r="AJ202" s="293"/>
      <c r="AK202" s="293"/>
      <c r="AL202" s="293"/>
      <c r="AM202" s="293"/>
      <c r="AN202" s="293"/>
      <c r="AO202" s="293"/>
      <c r="AP202" s="293"/>
      <c r="AQ202" s="293"/>
      <c r="AR202" s="293"/>
      <c r="AS202" s="293"/>
      <c r="AT202" s="293"/>
      <c r="AU202" s="293"/>
      <c r="AV202" s="293"/>
      <c r="AW202" s="293"/>
      <c r="AX202" s="293"/>
      <c r="AY202" s="293"/>
      <c r="AZ202" s="293"/>
      <c r="BA202" s="293"/>
      <c r="BB202" s="293"/>
      <c r="BC202" s="293"/>
      <c r="BD202" s="293"/>
      <c r="BE202" s="293"/>
      <c r="BF202" s="293"/>
      <c r="BG202" s="293"/>
      <c r="BH202" s="293"/>
      <c r="BI202" s="293"/>
      <c r="BJ202" s="293"/>
      <c r="BK202" s="293"/>
      <c r="BL202" s="293"/>
      <c r="BM202" s="293"/>
      <c r="BN202" s="293"/>
      <c r="BO202" s="293"/>
      <c r="BP202" s="293"/>
      <c r="BQ202" s="293"/>
      <c r="BR202" s="293"/>
      <c r="BS202" s="293"/>
      <c r="BT202" s="293"/>
      <c r="BU202" s="293"/>
      <c r="BV202" s="293"/>
      <c r="BW202" s="293"/>
      <c r="BX202" s="293"/>
      <c r="BY202" s="293"/>
      <c r="BZ202" s="293"/>
      <c r="CA202" s="285"/>
      <c r="CB202" s="286"/>
      <c r="CC202" s="286"/>
      <c r="CD202" s="286"/>
      <c r="CE202" s="286"/>
      <c r="CF202" s="286"/>
      <c r="CG202" s="286"/>
      <c r="CH202" s="286"/>
      <c r="CI202" s="286"/>
      <c r="CJ202" s="286"/>
      <c r="CK202" s="286"/>
      <c r="CL202" s="286"/>
      <c r="CM202" s="286"/>
      <c r="CN202" s="286"/>
      <c r="CO202" s="286"/>
      <c r="CP202" s="286"/>
      <c r="CQ202" s="286"/>
      <c r="CR202" s="286"/>
      <c r="CS202" s="286"/>
      <c r="CT202" s="286"/>
      <c r="CU202" s="286"/>
      <c r="CV202" s="286"/>
      <c r="CW202" s="286"/>
      <c r="CX202" s="286"/>
      <c r="CY202" s="286"/>
      <c r="CZ202" s="286"/>
      <c r="DA202" s="286"/>
      <c r="DB202" s="286"/>
      <c r="DC202" s="286"/>
      <c r="DD202" s="286"/>
      <c r="DE202" s="286"/>
      <c r="DF202" s="286"/>
      <c r="DG202" s="286"/>
      <c r="DH202" s="286"/>
      <c r="DI202" s="286"/>
      <c r="DJ202" s="286"/>
      <c r="DK202" s="286"/>
      <c r="DL202" s="286"/>
      <c r="DM202" s="286"/>
      <c r="DN202" s="286"/>
      <c r="DO202" s="286"/>
      <c r="DP202" s="286"/>
      <c r="DR202" s="58" t="str">
        <f>IF(ISNUMBER(MATCH(#REF!,'Audit Characteristic Mapping'!$B$3:$B$500,0)),"Y","")</f>
        <v/>
      </c>
      <c r="DS202" s="58" t="str">
        <f>IF(ISNUMBER(MATCH(#REF!,'Audit Characteristic Mapping'!$C$3:$C$500,0)),"Y","")</f>
        <v/>
      </c>
      <c r="DT202" s="58" t="str">
        <f>IF(ISNUMBER(MATCH(#REF!,'Audit Characteristic Mapping'!$D$3:$D$500,0)),"Y","")</f>
        <v/>
      </c>
      <c r="DU202" s="58" t="str">
        <f>IF(ISNUMBER(MATCH(#REF!,'Audit Characteristic Mapping'!$E$3:$E$500,0)),"Y","")</f>
        <v/>
      </c>
      <c r="DV202" s="58" t="str">
        <f>IF(ISNUMBER(MATCH(#REF!,'Audit Characteristic Mapping'!$F$3:$F$500,0)),"Y","")</f>
        <v/>
      </c>
      <c r="DW202" s="58" t="str">
        <f>IF(ISNUMBER(MATCH(#REF!,'Audit Characteristic Mapping'!$G$3:$G$500,0)),"Y","")</f>
        <v/>
      </c>
      <c r="DX202" s="58" t="str">
        <f>IF(ISNUMBER(MATCH(#REF!,'Audit Characteristic Mapping'!$H$3:$H$500,0)),"Y","")</f>
        <v/>
      </c>
      <c r="DY202" s="58" t="str">
        <f>IF(ISNUMBER(MATCH(#REF!,'Audit Characteristic Mapping'!$I$3:$I$500,0)),"Y","")</f>
        <v/>
      </c>
      <c r="DZ202" s="58" t="str">
        <f>IF(ISNUMBER(MATCH(#REF!,'Audit Characteristic Mapping'!$J$3:$J$500,0)),"Y","")</f>
        <v/>
      </c>
      <c r="EA202" s="58" t="str">
        <f>IF(ISNUMBER(MATCH(#REF!,'Audit Characteristic Mapping'!$K$3:$K$500,0)),"Y","")</f>
        <v/>
      </c>
    </row>
    <row r="203" spans="1:131" ht="16" hidden="1" x14ac:dyDescent="0.2">
      <c r="A203" s="288">
        <v>197</v>
      </c>
      <c r="B203" s="287" t="s">
        <v>253</v>
      </c>
      <c r="C203" s="226" t="s">
        <v>323</v>
      </c>
      <c r="D203" s="170">
        <v>5</v>
      </c>
      <c r="E203" s="288">
        <v>37</v>
      </c>
      <c r="F203" s="291" t="str">
        <f>VLOOKUP(Calculation!A203,'Descriptor maps'!$A$2:$F$1658,2,0)</f>
        <v>Studies &amp; Design</v>
      </c>
      <c r="G203" s="296"/>
      <c r="H203" s="290"/>
      <c r="I203" s="291"/>
      <c r="J203" s="292" t="e" cm="1">
        <f t="array" ref="J203">INDEX('Descriptor maps'!$I$2:$I$1658,MATCH(1,('Descriptor maps'!$A$2:$A$1658=Calculation!$A203)*('Descriptor maps'!$G$2:$G$1658=Calculation!$G203),0))</f>
        <v>#N/A</v>
      </c>
      <c r="K203" s="226"/>
      <c r="L203" s="293"/>
      <c r="M203" s="293"/>
      <c r="N203" s="293"/>
      <c r="O203" s="293"/>
      <c r="P203" s="293"/>
      <c r="Q203" s="293"/>
      <c r="R203" s="293"/>
      <c r="S203" s="293"/>
      <c r="T203" s="293"/>
      <c r="U203" s="293"/>
      <c r="V203" s="293"/>
      <c r="W203" s="293"/>
      <c r="X203" s="293"/>
      <c r="Y203" s="293"/>
      <c r="Z203" s="293"/>
      <c r="AA203" s="293"/>
      <c r="AB203" s="293"/>
      <c r="AC203" s="293"/>
      <c r="AD203" s="293"/>
      <c r="AE203" s="293"/>
      <c r="AF203" s="293"/>
      <c r="AG203" s="293"/>
      <c r="AH203" s="293"/>
      <c r="AI203" s="293"/>
      <c r="AJ203" s="293"/>
      <c r="AK203" s="293"/>
      <c r="AL203" s="293"/>
      <c r="AM203" s="293"/>
      <c r="AN203" s="293"/>
      <c r="AO203" s="293"/>
      <c r="AP203" s="293"/>
      <c r="AQ203" s="293"/>
      <c r="AR203" s="293"/>
      <c r="AS203" s="293"/>
      <c r="AT203" s="293"/>
      <c r="AU203" s="293"/>
      <c r="AV203" s="293"/>
      <c r="AW203" s="293"/>
      <c r="AX203" s="293"/>
      <c r="AY203" s="293"/>
      <c r="AZ203" s="293"/>
      <c r="BA203" s="293"/>
      <c r="BB203" s="293"/>
      <c r="BC203" s="293"/>
      <c r="BD203" s="293"/>
      <c r="BE203" s="293"/>
      <c r="BF203" s="293"/>
      <c r="BG203" s="293"/>
      <c r="BH203" s="293"/>
      <c r="BI203" s="293"/>
      <c r="BJ203" s="293"/>
      <c r="BK203" s="293"/>
      <c r="BL203" s="293"/>
      <c r="BM203" s="293"/>
      <c r="BN203" s="293"/>
      <c r="BO203" s="293"/>
      <c r="BP203" s="293"/>
      <c r="BQ203" s="293"/>
      <c r="BR203" s="293"/>
      <c r="BS203" s="293"/>
      <c r="BT203" s="293"/>
      <c r="BU203" s="293"/>
      <c r="BV203" s="293"/>
      <c r="BW203" s="293"/>
      <c r="BX203" s="293"/>
      <c r="BY203" s="293"/>
      <c r="BZ203" s="293"/>
      <c r="CA203" s="285"/>
      <c r="CB203" s="286"/>
      <c r="CC203" s="286"/>
      <c r="CD203" s="286"/>
      <c r="CE203" s="286"/>
      <c r="CF203" s="286"/>
      <c r="CG203" s="286"/>
      <c r="CH203" s="286"/>
      <c r="CI203" s="286"/>
      <c r="CJ203" s="286"/>
      <c r="CK203" s="286"/>
      <c r="CL203" s="286"/>
      <c r="CM203" s="286"/>
      <c r="CN203" s="286"/>
      <c r="CO203" s="286"/>
      <c r="CP203" s="286"/>
      <c r="CQ203" s="286"/>
      <c r="CR203" s="286"/>
      <c r="CS203" s="286"/>
      <c r="CT203" s="286"/>
      <c r="CU203" s="286"/>
      <c r="CV203" s="286"/>
      <c r="CW203" s="286"/>
      <c r="CX203" s="286"/>
      <c r="CY203" s="286"/>
      <c r="CZ203" s="286"/>
      <c r="DA203" s="286"/>
      <c r="DB203" s="286"/>
      <c r="DC203" s="286"/>
      <c r="DD203" s="286"/>
      <c r="DE203" s="286"/>
      <c r="DF203" s="286"/>
      <c r="DG203" s="286"/>
      <c r="DH203" s="286"/>
      <c r="DI203" s="286"/>
      <c r="DJ203" s="286"/>
      <c r="DK203" s="286"/>
      <c r="DL203" s="286"/>
      <c r="DM203" s="286"/>
      <c r="DN203" s="286"/>
      <c r="DO203" s="286"/>
      <c r="DP203" s="286"/>
      <c r="DR203" s="58" t="str">
        <f>IF(ISNUMBER(MATCH(#REF!,'Audit Characteristic Mapping'!$B$3:$B$500,0)),"Y","")</f>
        <v/>
      </c>
      <c r="DS203" s="58" t="str">
        <f>IF(ISNUMBER(MATCH(#REF!,'Audit Characteristic Mapping'!$C$3:$C$500,0)),"Y","")</f>
        <v/>
      </c>
      <c r="DT203" s="58" t="str">
        <f>IF(ISNUMBER(MATCH(#REF!,'Audit Characteristic Mapping'!$D$3:$D$500,0)),"Y","")</f>
        <v/>
      </c>
      <c r="DU203" s="58" t="str">
        <f>IF(ISNUMBER(MATCH(#REF!,'Audit Characteristic Mapping'!$E$3:$E$500,0)),"Y","")</f>
        <v/>
      </c>
      <c r="DV203" s="58" t="str">
        <f>IF(ISNUMBER(MATCH(#REF!,'Audit Characteristic Mapping'!$F$3:$F$500,0)),"Y","")</f>
        <v/>
      </c>
      <c r="DW203" s="58" t="str">
        <f>IF(ISNUMBER(MATCH(#REF!,'Audit Characteristic Mapping'!$G$3:$G$500,0)),"Y","")</f>
        <v/>
      </c>
      <c r="DX203" s="58" t="str">
        <f>IF(ISNUMBER(MATCH(#REF!,'Audit Characteristic Mapping'!$H$3:$H$500,0)),"Y","")</f>
        <v/>
      </c>
      <c r="DY203" s="58" t="str">
        <f>IF(ISNUMBER(MATCH(#REF!,'Audit Characteristic Mapping'!$I$3:$I$500,0)),"Y","")</f>
        <v/>
      </c>
      <c r="DZ203" s="58" t="str">
        <f>IF(ISNUMBER(MATCH(#REF!,'Audit Characteristic Mapping'!$J$3:$J$500,0)),"Y","")</f>
        <v/>
      </c>
      <c r="EA203" s="58" t="str">
        <f>IF(ISNUMBER(MATCH(#REF!,'Audit Characteristic Mapping'!$K$3:$K$500,0)),"Y","")</f>
        <v/>
      </c>
    </row>
    <row r="204" spans="1:131" ht="16" hidden="1" x14ac:dyDescent="0.2">
      <c r="A204" s="288">
        <v>198</v>
      </c>
      <c r="B204" s="287" t="s">
        <v>253</v>
      </c>
      <c r="C204" s="226" t="s">
        <v>323</v>
      </c>
      <c r="D204" s="170">
        <v>5</v>
      </c>
      <c r="E204" s="288">
        <v>37</v>
      </c>
      <c r="F204" s="291" t="str">
        <f>VLOOKUP(Calculation!A204,'Descriptor maps'!$A$2:$F$1658,2,0)</f>
        <v>Studies &amp; Design</v>
      </c>
      <c r="G204" s="296"/>
      <c r="H204" s="290"/>
      <c r="I204" s="291"/>
      <c r="J204" s="292" t="e" cm="1">
        <f t="array" ref="J204">INDEX('Descriptor maps'!$I$2:$I$1658,MATCH(1,('Descriptor maps'!$A$2:$A$1658=Calculation!$A204)*('Descriptor maps'!$G$2:$G$1658=Calculation!$G204),0))</f>
        <v>#N/A</v>
      </c>
      <c r="K204" s="226"/>
      <c r="L204" s="293"/>
      <c r="M204" s="293"/>
      <c r="N204" s="293"/>
      <c r="O204" s="293"/>
      <c r="P204" s="293"/>
      <c r="Q204" s="293"/>
      <c r="R204" s="293"/>
      <c r="S204" s="293"/>
      <c r="T204" s="293"/>
      <c r="U204" s="293"/>
      <c r="V204" s="293"/>
      <c r="W204" s="293"/>
      <c r="X204" s="293"/>
      <c r="Y204" s="293"/>
      <c r="Z204" s="293"/>
      <c r="AA204" s="293"/>
      <c r="AB204" s="293"/>
      <c r="AC204" s="293"/>
      <c r="AD204" s="293"/>
      <c r="AE204" s="293"/>
      <c r="AF204" s="293"/>
      <c r="AG204" s="293"/>
      <c r="AH204" s="293"/>
      <c r="AI204" s="293"/>
      <c r="AJ204" s="293"/>
      <c r="AK204" s="293"/>
      <c r="AL204" s="293"/>
      <c r="AM204" s="293"/>
      <c r="AN204" s="293"/>
      <c r="AO204" s="293"/>
      <c r="AP204" s="293"/>
      <c r="AQ204" s="293"/>
      <c r="AR204" s="293"/>
      <c r="AS204" s="293"/>
      <c r="AT204" s="293"/>
      <c r="AU204" s="293"/>
      <c r="AV204" s="293"/>
      <c r="AW204" s="293"/>
      <c r="AX204" s="293"/>
      <c r="AY204" s="293"/>
      <c r="AZ204" s="293"/>
      <c r="BA204" s="293"/>
      <c r="BB204" s="293"/>
      <c r="BC204" s="293"/>
      <c r="BD204" s="293"/>
      <c r="BE204" s="293"/>
      <c r="BF204" s="293"/>
      <c r="BG204" s="293"/>
      <c r="BH204" s="293"/>
      <c r="BI204" s="293"/>
      <c r="BJ204" s="293"/>
      <c r="BK204" s="293"/>
      <c r="BL204" s="293"/>
      <c r="BM204" s="293"/>
      <c r="BN204" s="293"/>
      <c r="BO204" s="293"/>
      <c r="BP204" s="293"/>
      <c r="BQ204" s="293"/>
      <c r="BR204" s="293"/>
      <c r="BS204" s="293"/>
      <c r="BT204" s="293"/>
      <c r="BU204" s="293"/>
      <c r="BV204" s="293"/>
      <c r="BW204" s="293"/>
      <c r="BX204" s="293"/>
      <c r="BY204" s="293"/>
      <c r="BZ204" s="293"/>
      <c r="CA204" s="285"/>
      <c r="CB204" s="286"/>
      <c r="CC204" s="286"/>
      <c r="CD204" s="286"/>
      <c r="CE204" s="286"/>
      <c r="CF204" s="286"/>
      <c r="CG204" s="286"/>
      <c r="CH204" s="286"/>
      <c r="CI204" s="286"/>
      <c r="CJ204" s="286"/>
      <c r="CK204" s="286"/>
      <c r="CL204" s="286"/>
      <c r="CM204" s="286"/>
      <c r="CN204" s="286"/>
      <c r="CO204" s="286"/>
      <c r="CP204" s="286"/>
      <c r="CQ204" s="286"/>
      <c r="CR204" s="286"/>
      <c r="CS204" s="286"/>
      <c r="CT204" s="286"/>
      <c r="CU204" s="286"/>
      <c r="CV204" s="286"/>
      <c r="CW204" s="286"/>
      <c r="CX204" s="286"/>
      <c r="CY204" s="286"/>
      <c r="CZ204" s="286"/>
      <c r="DA204" s="286"/>
      <c r="DB204" s="286"/>
      <c r="DC204" s="286"/>
      <c r="DD204" s="286"/>
      <c r="DE204" s="286"/>
      <c r="DF204" s="286"/>
      <c r="DG204" s="286"/>
      <c r="DH204" s="286"/>
      <c r="DI204" s="286"/>
      <c r="DJ204" s="286"/>
      <c r="DK204" s="286"/>
      <c r="DL204" s="286"/>
      <c r="DM204" s="286"/>
      <c r="DN204" s="286"/>
      <c r="DO204" s="286"/>
      <c r="DP204" s="286"/>
      <c r="DR204" s="58" t="str">
        <f>IF(ISNUMBER(MATCH(#REF!,'Audit Characteristic Mapping'!$B$3:$B$500,0)),"Y","")</f>
        <v/>
      </c>
      <c r="DS204" s="58" t="str">
        <f>IF(ISNUMBER(MATCH(#REF!,'Audit Characteristic Mapping'!$C$3:$C$500,0)),"Y","")</f>
        <v/>
      </c>
      <c r="DT204" s="58" t="str">
        <f>IF(ISNUMBER(MATCH(#REF!,'Audit Characteristic Mapping'!$D$3:$D$500,0)),"Y","")</f>
        <v/>
      </c>
      <c r="DU204" s="58" t="str">
        <f>IF(ISNUMBER(MATCH(#REF!,'Audit Characteristic Mapping'!$E$3:$E$500,0)),"Y","")</f>
        <v/>
      </c>
      <c r="DV204" s="58" t="str">
        <f>IF(ISNUMBER(MATCH(#REF!,'Audit Characteristic Mapping'!$F$3:$F$500,0)),"Y","")</f>
        <v/>
      </c>
      <c r="DW204" s="58" t="str">
        <f>IF(ISNUMBER(MATCH(#REF!,'Audit Characteristic Mapping'!$G$3:$G$500,0)),"Y","")</f>
        <v/>
      </c>
      <c r="DX204" s="58" t="str">
        <f>IF(ISNUMBER(MATCH(#REF!,'Audit Characteristic Mapping'!$H$3:$H$500,0)),"Y","")</f>
        <v/>
      </c>
      <c r="DY204" s="58" t="str">
        <f>IF(ISNUMBER(MATCH(#REF!,'Audit Characteristic Mapping'!$I$3:$I$500,0)),"Y","")</f>
        <v/>
      </c>
      <c r="DZ204" s="58" t="str">
        <f>IF(ISNUMBER(MATCH(#REF!,'Audit Characteristic Mapping'!$J$3:$J$500,0)),"Y","")</f>
        <v/>
      </c>
      <c r="EA204" s="58" t="str">
        <f>IF(ISNUMBER(MATCH(#REF!,'Audit Characteristic Mapping'!$K$3:$K$500,0)),"Y","")</f>
        <v/>
      </c>
    </row>
    <row r="205" spans="1:131" ht="16" hidden="1" x14ac:dyDescent="0.2">
      <c r="A205" s="288">
        <v>199</v>
      </c>
      <c r="B205" s="287" t="s">
        <v>253</v>
      </c>
      <c r="C205" s="226" t="s">
        <v>323</v>
      </c>
      <c r="D205" s="170">
        <v>5</v>
      </c>
      <c r="E205" s="288">
        <v>37</v>
      </c>
      <c r="F205" s="291" t="str">
        <f>VLOOKUP(Calculation!A205,'Descriptor maps'!$A$2:$F$1658,2,0)</f>
        <v>Studies &amp; Design</v>
      </c>
      <c r="G205" s="296"/>
      <c r="H205" s="290"/>
      <c r="I205" s="291"/>
      <c r="J205" s="292" t="e" cm="1">
        <f t="array" ref="J205">INDEX('Descriptor maps'!$I$2:$I$1658,MATCH(1,('Descriptor maps'!$A$2:$A$1658=Calculation!$A205)*('Descriptor maps'!$G$2:$G$1658=Calculation!$G205),0))</f>
        <v>#N/A</v>
      </c>
      <c r="K205" s="226"/>
      <c r="L205" s="293"/>
      <c r="M205" s="293"/>
      <c r="N205" s="293"/>
      <c r="O205" s="293"/>
      <c r="P205" s="293"/>
      <c r="Q205" s="293"/>
      <c r="R205" s="293"/>
      <c r="S205" s="293"/>
      <c r="T205" s="293"/>
      <c r="U205" s="293"/>
      <c r="V205" s="293"/>
      <c r="W205" s="293"/>
      <c r="X205" s="293"/>
      <c r="Y205" s="293"/>
      <c r="Z205" s="293"/>
      <c r="AA205" s="293"/>
      <c r="AB205" s="293"/>
      <c r="AC205" s="293"/>
      <c r="AD205" s="293"/>
      <c r="AE205" s="293"/>
      <c r="AF205" s="293"/>
      <c r="AG205" s="293"/>
      <c r="AH205" s="293"/>
      <c r="AI205" s="293"/>
      <c r="AJ205" s="293"/>
      <c r="AK205" s="293"/>
      <c r="AL205" s="293"/>
      <c r="AM205" s="293"/>
      <c r="AN205" s="293"/>
      <c r="AO205" s="293"/>
      <c r="AP205" s="293"/>
      <c r="AQ205" s="293"/>
      <c r="AR205" s="293"/>
      <c r="AS205" s="293"/>
      <c r="AT205" s="293"/>
      <c r="AU205" s="293"/>
      <c r="AV205" s="293"/>
      <c r="AW205" s="293"/>
      <c r="AX205" s="293"/>
      <c r="AY205" s="293"/>
      <c r="AZ205" s="293"/>
      <c r="BA205" s="293"/>
      <c r="BB205" s="293"/>
      <c r="BC205" s="293"/>
      <c r="BD205" s="293"/>
      <c r="BE205" s="293"/>
      <c r="BF205" s="293"/>
      <c r="BG205" s="293"/>
      <c r="BH205" s="293"/>
      <c r="BI205" s="293"/>
      <c r="BJ205" s="293"/>
      <c r="BK205" s="293"/>
      <c r="BL205" s="293"/>
      <c r="BM205" s="293"/>
      <c r="BN205" s="293"/>
      <c r="BO205" s="293"/>
      <c r="BP205" s="293"/>
      <c r="BQ205" s="293"/>
      <c r="BR205" s="293"/>
      <c r="BS205" s="293"/>
      <c r="BT205" s="293"/>
      <c r="BU205" s="293"/>
      <c r="BV205" s="293"/>
      <c r="BW205" s="293"/>
      <c r="BX205" s="293"/>
      <c r="BY205" s="293"/>
      <c r="BZ205" s="293"/>
      <c r="CA205" s="285"/>
      <c r="CB205" s="286"/>
      <c r="CC205" s="286"/>
      <c r="CD205" s="286"/>
      <c r="CE205" s="286"/>
      <c r="CF205" s="286"/>
      <c r="CG205" s="286"/>
      <c r="CH205" s="286"/>
      <c r="CI205" s="286"/>
      <c r="CJ205" s="286"/>
      <c r="CK205" s="286"/>
      <c r="CL205" s="286"/>
      <c r="CM205" s="286"/>
      <c r="CN205" s="286"/>
      <c r="CO205" s="286"/>
      <c r="CP205" s="286"/>
      <c r="CQ205" s="286"/>
      <c r="CR205" s="286"/>
      <c r="CS205" s="286"/>
      <c r="CT205" s="286"/>
      <c r="CU205" s="286"/>
      <c r="CV205" s="286"/>
      <c r="CW205" s="286"/>
      <c r="CX205" s="286"/>
      <c r="CY205" s="286"/>
      <c r="CZ205" s="286"/>
      <c r="DA205" s="286"/>
      <c r="DB205" s="286"/>
      <c r="DC205" s="286"/>
      <c r="DD205" s="286"/>
      <c r="DE205" s="286"/>
      <c r="DF205" s="286"/>
      <c r="DG205" s="286"/>
      <c r="DH205" s="286"/>
      <c r="DI205" s="286"/>
      <c r="DJ205" s="286"/>
      <c r="DK205" s="286"/>
      <c r="DL205" s="286"/>
      <c r="DM205" s="286"/>
      <c r="DN205" s="286"/>
      <c r="DO205" s="286"/>
      <c r="DP205" s="286"/>
      <c r="DR205" s="58" t="str">
        <f>IF(ISNUMBER(MATCH(#REF!,'Audit Characteristic Mapping'!$B$3:$B$500,0)),"Y","")</f>
        <v/>
      </c>
      <c r="DS205" s="58" t="str">
        <f>IF(ISNUMBER(MATCH(#REF!,'Audit Characteristic Mapping'!$C$3:$C$500,0)),"Y","")</f>
        <v/>
      </c>
      <c r="DT205" s="58" t="str">
        <f>IF(ISNUMBER(MATCH(#REF!,'Audit Characteristic Mapping'!$D$3:$D$500,0)),"Y","")</f>
        <v/>
      </c>
      <c r="DU205" s="58" t="str">
        <f>IF(ISNUMBER(MATCH(#REF!,'Audit Characteristic Mapping'!$E$3:$E$500,0)),"Y","")</f>
        <v/>
      </c>
      <c r="DV205" s="58" t="str">
        <f>IF(ISNUMBER(MATCH(#REF!,'Audit Characteristic Mapping'!$F$3:$F$500,0)),"Y","")</f>
        <v/>
      </c>
      <c r="DW205" s="58" t="str">
        <f>IF(ISNUMBER(MATCH(#REF!,'Audit Characteristic Mapping'!$G$3:$G$500,0)),"Y","")</f>
        <v/>
      </c>
      <c r="DX205" s="58" t="str">
        <f>IF(ISNUMBER(MATCH(#REF!,'Audit Characteristic Mapping'!$H$3:$H$500,0)),"Y","")</f>
        <v/>
      </c>
      <c r="DY205" s="58" t="str">
        <f>IF(ISNUMBER(MATCH(#REF!,'Audit Characteristic Mapping'!$I$3:$I$500,0)),"Y","")</f>
        <v/>
      </c>
      <c r="DZ205" s="58" t="str">
        <f>IF(ISNUMBER(MATCH(#REF!,'Audit Characteristic Mapping'!$J$3:$J$500,0)),"Y","")</f>
        <v/>
      </c>
      <c r="EA205" s="58" t="str">
        <f>IF(ISNUMBER(MATCH(#REF!,'Audit Characteristic Mapping'!$K$3:$K$500,0)),"Y","")</f>
        <v/>
      </c>
    </row>
    <row r="206" spans="1:131" ht="16" hidden="1" x14ac:dyDescent="0.2">
      <c r="A206" s="226">
        <v>200</v>
      </c>
      <c r="B206" s="287" t="s">
        <v>253</v>
      </c>
      <c r="C206" s="226" t="s">
        <v>328</v>
      </c>
      <c r="D206" s="170">
        <v>5</v>
      </c>
      <c r="E206" s="288">
        <v>38</v>
      </c>
      <c r="F206" s="291" t="str">
        <f>VLOOKUP(Calculation!A206,'Descriptor maps'!$A$2:$F$1658,2,0)</f>
        <v>Studies &amp; Design</v>
      </c>
      <c r="G206" s="296" t="s">
        <v>1195</v>
      </c>
      <c r="H206" s="290"/>
      <c r="I206" s="291"/>
      <c r="J206" s="292" cm="1">
        <f t="array" ref="J206">INDEX('Descriptor maps'!$I$2:$I$1658,MATCH(1,('Descriptor maps'!$A$2:$A$1658=Calculation!$A206)*('Descriptor maps'!$G$2:$G$1658=Calculation!$G206),0))</f>
        <v>4</v>
      </c>
      <c r="K206" s="226"/>
      <c r="L206" s="293"/>
      <c r="M206" s="293"/>
      <c r="N206" s="293"/>
      <c r="O206" s="293"/>
      <c r="P206" s="293"/>
      <c r="Q206" s="293"/>
      <c r="R206" s="293"/>
      <c r="S206" s="293"/>
      <c r="T206" s="293"/>
      <c r="U206" s="293"/>
      <c r="V206" s="293"/>
      <c r="W206" s="293"/>
      <c r="X206" s="293"/>
      <c r="Y206" s="293"/>
      <c r="Z206" s="293"/>
      <c r="AA206" s="293"/>
      <c r="AB206" s="293"/>
      <c r="AC206" s="293"/>
      <c r="AD206" s="293"/>
      <c r="AE206" s="293"/>
      <c r="AF206" s="293"/>
      <c r="AG206" s="293"/>
      <c r="AH206" s="293"/>
      <c r="AI206" s="293"/>
      <c r="AJ206" s="293"/>
      <c r="AK206" s="293"/>
      <c r="AL206" s="293"/>
      <c r="AM206" s="293"/>
      <c r="AN206" s="293"/>
      <c r="AO206" s="293"/>
      <c r="AP206" s="293"/>
      <c r="AQ206" s="293"/>
      <c r="AR206" s="293"/>
      <c r="AS206" s="293"/>
      <c r="AT206" s="293"/>
      <c r="AU206" s="293"/>
      <c r="AV206" s="293"/>
      <c r="AW206" s="293"/>
      <c r="AX206" s="293"/>
      <c r="AY206" s="293"/>
      <c r="AZ206" s="293"/>
      <c r="BA206" s="293"/>
      <c r="BB206" s="293"/>
      <c r="BC206" s="293"/>
      <c r="BD206" s="293"/>
      <c r="BE206" s="293"/>
      <c r="BF206" s="293"/>
      <c r="BG206" s="293"/>
      <c r="BH206" s="293"/>
      <c r="BI206" s="293"/>
      <c r="BJ206" s="293"/>
      <c r="BK206" s="293"/>
      <c r="BL206" s="293"/>
      <c r="BM206" s="293"/>
      <c r="BN206" s="293"/>
      <c r="BO206" s="293"/>
      <c r="BP206" s="293"/>
      <c r="BQ206" s="293"/>
      <c r="BR206" s="293"/>
      <c r="BS206" s="293"/>
      <c r="BT206" s="293"/>
      <c r="BU206" s="293"/>
      <c r="BV206" s="293"/>
      <c r="BW206" s="293"/>
      <c r="BX206" s="293"/>
      <c r="BY206" s="293"/>
      <c r="BZ206" s="293"/>
      <c r="CA206" s="285"/>
      <c r="CB206" s="286"/>
      <c r="CC206" s="286"/>
      <c r="CD206" s="286"/>
      <c r="CE206" s="286"/>
      <c r="CF206" s="286"/>
      <c r="CG206" s="286"/>
      <c r="CH206" s="286"/>
      <c r="CI206" s="286"/>
      <c r="CJ206" s="286"/>
      <c r="CK206" s="286"/>
      <c r="CL206" s="286"/>
      <c r="CM206" s="286"/>
      <c r="CN206" s="286"/>
      <c r="CO206" s="286"/>
      <c r="CP206" s="286"/>
      <c r="CQ206" s="286"/>
      <c r="CR206" s="286"/>
      <c r="CS206" s="286"/>
      <c r="CT206" s="286"/>
      <c r="CU206" s="286"/>
      <c r="CV206" s="286"/>
      <c r="CW206" s="286"/>
      <c r="CX206" s="286"/>
      <c r="CY206" s="286"/>
      <c r="CZ206" s="286"/>
      <c r="DA206" s="286"/>
      <c r="DB206" s="286"/>
      <c r="DC206" s="286"/>
      <c r="DD206" s="286"/>
      <c r="DE206" s="286"/>
      <c r="DF206" s="286"/>
      <c r="DG206" s="286"/>
      <c r="DH206" s="286"/>
      <c r="DI206" s="286"/>
      <c r="DJ206" s="286"/>
      <c r="DK206" s="286"/>
      <c r="DL206" s="286"/>
      <c r="DM206" s="286"/>
      <c r="DN206" s="286"/>
      <c r="DO206" s="286"/>
      <c r="DP206" s="286"/>
      <c r="DR206" s="58" t="str">
        <f>IF(ISNUMBER(MATCH(#REF!,'Audit Characteristic Mapping'!$B$3:$B$500,0)),"Y","")</f>
        <v/>
      </c>
      <c r="DS206" s="58" t="str">
        <f>IF(ISNUMBER(MATCH(#REF!,'Audit Characteristic Mapping'!$C$3:$C$500,0)),"Y","")</f>
        <v/>
      </c>
      <c r="DT206" s="58" t="str">
        <f>IF(ISNUMBER(MATCH(#REF!,'Audit Characteristic Mapping'!$D$3:$D$500,0)),"Y","")</f>
        <v/>
      </c>
      <c r="DU206" s="58" t="str">
        <f>IF(ISNUMBER(MATCH(#REF!,'Audit Characteristic Mapping'!$E$3:$E$500,0)),"Y","")</f>
        <v/>
      </c>
      <c r="DV206" s="58" t="str">
        <f>IF(ISNUMBER(MATCH(#REF!,'Audit Characteristic Mapping'!$F$3:$F$500,0)),"Y","")</f>
        <v/>
      </c>
      <c r="DW206" s="58" t="str">
        <f>IF(ISNUMBER(MATCH(#REF!,'Audit Characteristic Mapping'!$G$3:$G$500,0)),"Y","")</f>
        <v/>
      </c>
      <c r="DX206" s="58" t="str">
        <f>IF(ISNUMBER(MATCH(#REF!,'Audit Characteristic Mapping'!$H$3:$H$500,0)),"Y","")</f>
        <v/>
      </c>
      <c r="DY206" s="58" t="str">
        <f>IF(ISNUMBER(MATCH(#REF!,'Audit Characteristic Mapping'!$I$3:$I$500,0)),"Y","")</f>
        <v/>
      </c>
      <c r="DZ206" s="58" t="str">
        <f>IF(ISNUMBER(MATCH(#REF!,'Audit Characteristic Mapping'!$J$3:$J$500,0)),"Y","")</f>
        <v/>
      </c>
      <c r="EA206" s="58" t="str">
        <f>IF(ISNUMBER(MATCH(#REF!,'Audit Characteristic Mapping'!$K$3:$K$500,0)),"Y","")</f>
        <v/>
      </c>
    </row>
    <row r="207" spans="1:131" ht="16" hidden="1" x14ac:dyDescent="0.2">
      <c r="A207" s="226">
        <v>201</v>
      </c>
      <c r="B207" s="287" t="s">
        <v>253</v>
      </c>
      <c r="C207" s="226" t="s">
        <v>328</v>
      </c>
      <c r="D207" s="170">
        <v>5</v>
      </c>
      <c r="E207" s="288">
        <v>38</v>
      </c>
      <c r="F207" s="291" t="str">
        <f>VLOOKUP(Calculation!A207,'Descriptor maps'!$A$2:$F$1658,2,0)</f>
        <v>Studies &amp; Design</v>
      </c>
      <c r="G207" s="296" t="s">
        <v>1195</v>
      </c>
      <c r="H207" s="290"/>
      <c r="I207" s="291"/>
      <c r="J207" s="292"/>
      <c r="K207" s="226"/>
      <c r="L207" s="293"/>
      <c r="M207" s="293"/>
      <c r="N207" s="293"/>
      <c r="O207" s="293"/>
      <c r="P207" s="293"/>
      <c r="Q207" s="293"/>
      <c r="R207" s="293"/>
      <c r="S207" s="293"/>
      <c r="T207" s="293"/>
      <c r="U207" s="293"/>
      <c r="V207" s="293"/>
      <c r="W207" s="293"/>
      <c r="X207" s="293"/>
      <c r="Y207" s="293"/>
      <c r="Z207" s="293"/>
      <c r="AA207" s="293"/>
      <c r="AB207" s="293"/>
      <c r="AC207" s="293"/>
      <c r="AD207" s="293"/>
      <c r="AE207" s="293"/>
      <c r="AF207" s="293"/>
      <c r="AG207" s="293"/>
      <c r="AH207" s="293"/>
      <c r="AI207" s="293"/>
      <c r="AJ207" s="293"/>
      <c r="AK207" s="293"/>
      <c r="AL207" s="293"/>
      <c r="AM207" s="293"/>
      <c r="AN207" s="293"/>
      <c r="AO207" s="293"/>
      <c r="AP207" s="293"/>
      <c r="AQ207" s="293"/>
      <c r="AR207" s="293"/>
      <c r="AS207" s="293"/>
      <c r="AT207" s="293"/>
      <c r="AU207" s="293"/>
      <c r="AV207" s="293"/>
      <c r="AW207" s="293"/>
      <c r="AX207" s="293"/>
      <c r="AY207" s="293"/>
      <c r="AZ207" s="293"/>
      <c r="BA207" s="293"/>
      <c r="BB207" s="293"/>
      <c r="BC207" s="293"/>
      <c r="BD207" s="293"/>
      <c r="BE207" s="293"/>
      <c r="BF207" s="293"/>
      <c r="BG207" s="293"/>
      <c r="BH207" s="293"/>
      <c r="BI207" s="293"/>
      <c r="BJ207" s="293"/>
      <c r="BK207" s="293"/>
      <c r="BL207" s="293"/>
      <c r="BM207" s="293"/>
      <c r="BN207" s="293"/>
      <c r="BO207" s="293"/>
      <c r="BP207" s="293"/>
      <c r="BQ207" s="293"/>
      <c r="BR207" s="293"/>
      <c r="BS207" s="293"/>
      <c r="BT207" s="293"/>
      <c r="BU207" s="293"/>
      <c r="BV207" s="293"/>
      <c r="BW207" s="293"/>
      <c r="BX207" s="293"/>
      <c r="BY207" s="293"/>
      <c r="BZ207" s="293"/>
      <c r="CA207" s="285"/>
      <c r="CB207" s="286"/>
      <c r="CC207" s="286"/>
      <c r="CD207" s="286"/>
      <c r="CE207" s="286"/>
      <c r="CF207" s="286"/>
      <c r="CG207" s="286"/>
      <c r="CH207" s="286"/>
      <c r="CI207" s="286"/>
      <c r="CJ207" s="286"/>
      <c r="CK207" s="286"/>
      <c r="CL207" s="286"/>
      <c r="CM207" s="286"/>
      <c r="CN207" s="286"/>
      <c r="CO207" s="286"/>
      <c r="CP207" s="286"/>
      <c r="CQ207" s="286"/>
      <c r="CR207" s="286"/>
      <c r="CS207" s="286"/>
      <c r="CT207" s="286"/>
      <c r="CU207" s="286"/>
      <c r="CV207" s="286"/>
      <c r="CW207" s="286"/>
      <c r="CX207" s="286"/>
      <c r="CY207" s="286"/>
      <c r="CZ207" s="286"/>
      <c r="DA207" s="286"/>
      <c r="DB207" s="286"/>
      <c r="DC207" s="286"/>
      <c r="DD207" s="286"/>
      <c r="DE207" s="286"/>
      <c r="DF207" s="286"/>
      <c r="DG207" s="286"/>
      <c r="DH207" s="286"/>
      <c r="DI207" s="286"/>
      <c r="DJ207" s="286"/>
      <c r="DK207" s="286"/>
      <c r="DL207" s="286"/>
      <c r="DM207" s="286"/>
      <c r="DN207" s="286"/>
      <c r="DO207" s="286"/>
      <c r="DP207" s="286"/>
      <c r="DS207" s="58" t="str">
        <f>IF(ISNUMBER(MATCH(#REF!,'Audit Characteristic Mapping'!$C$3:$C$500,0)),"Y","")</f>
        <v/>
      </c>
      <c r="DT207" s="58" t="str">
        <f>IF(ISNUMBER(MATCH(#REF!,'Audit Characteristic Mapping'!$D$3:$D$500,0)),"Y","")</f>
        <v/>
      </c>
      <c r="DU207" s="58" t="str">
        <f>IF(ISNUMBER(MATCH(#REF!,'Audit Characteristic Mapping'!$E$3:$E$500,0)),"Y","")</f>
        <v/>
      </c>
      <c r="DV207" s="58" t="str">
        <f>IF(ISNUMBER(MATCH(#REF!,'Audit Characteristic Mapping'!$F$3:$F$500,0)),"Y","")</f>
        <v/>
      </c>
      <c r="DW207" s="58" t="str">
        <f>IF(ISNUMBER(MATCH(#REF!,'Audit Characteristic Mapping'!$G$3:$G$500,0)),"Y","")</f>
        <v/>
      </c>
      <c r="DX207" s="58" t="str">
        <f>IF(ISNUMBER(MATCH(#REF!,'Audit Characteristic Mapping'!$H$3:$H$500,0)),"Y","")</f>
        <v/>
      </c>
      <c r="DY207" s="58" t="str">
        <f>IF(ISNUMBER(MATCH(#REF!,'Audit Characteristic Mapping'!$I$3:$I$500,0)),"Y","")</f>
        <v/>
      </c>
      <c r="DZ207" s="58" t="str">
        <f>IF(ISNUMBER(MATCH(#REF!,'Audit Characteristic Mapping'!$J$3:$J$500,0)),"Y","")</f>
        <v/>
      </c>
      <c r="EA207" s="58" t="str">
        <f>IF(ISNUMBER(MATCH(#REF!,'Audit Characteristic Mapping'!$K$3:$K$500,0)),"Y","")</f>
        <v/>
      </c>
    </row>
    <row r="208" spans="1:131" ht="16" hidden="1" x14ac:dyDescent="0.2">
      <c r="A208" s="226">
        <v>237</v>
      </c>
      <c r="B208" s="287" t="s">
        <v>253</v>
      </c>
      <c r="C208" s="226" t="s">
        <v>368</v>
      </c>
      <c r="D208" s="170">
        <v>5</v>
      </c>
      <c r="E208" s="288">
        <v>44</v>
      </c>
      <c r="F208" s="291" t="str">
        <f>VLOOKUP(Calculation!A208,'Descriptor maps'!$A$2:$F$1658,2,0)</f>
        <v>Studies &amp; Design</v>
      </c>
      <c r="G208" s="296" t="s">
        <v>1192</v>
      </c>
      <c r="H208" s="290"/>
      <c r="I208" s="291"/>
      <c r="J208" s="292"/>
      <c r="K208" s="226"/>
      <c r="L208" s="293"/>
      <c r="M208" s="293"/>
      <c r="N208" s="293"/>
      <c r="O208" s="293"/>
      <c r="P208" s="293"/>
      <c r="Q208" s="293"/>
      <c r="R208" s="293"/>
      <c r="S208" s="293"/>
      <c r="T208" s="293"/>
      <c r="U208" s="293"/>
      <c r="V208" s="293"/>
      <c r="W208" s="293"/>
      <c r="X208" s="293"/>
      <c r="Y208" s="293"/>
      <c r="Z208" s="293"/>
      <c r="AA208" s="293"/>
      <c r="AB208" s="293"/>
      <c r="AC208" s="293"/>
      <c r="AD208" s="293"/>
      <c r="AE208" s="293"/>
      <c r="AF208" s="293"/>
      <c r="AG208" s="293"/>
      <c r="AH208" s="293"/>
      <c r="AI208" s="293"/>
      <c r="AJ208" s="293"/>
      <c r="AK208" s="293"/>
      <c r="AL208" s="293"/>
      <c r="AM208" s="293"/>
      <c r="AN208" s="293"/>
      <c r="AO208" s="293"/>
      <c r="AP208" s="293"/>
      <c r="AQ208" s="293"/>
      <c r="AR208" s="293"/>
      <c r="AS208" s="293"/>
      <c r="AT208" s="293"/>
      <c r="AU208" s="293"/>
      <c r="AV208" s="293"/>
      <c r="AW208" s="293"/>
      <c r="AX208" s="293"/>
      <c r="AY208" s="293"/>
      <c r="AZ208" s="293"/>
      <c r="BA208" s="293"/>
      <c r="BB208" s="293"/>
      <c r="BC208" s="293"/>
      <c r="BD208" s="293"/>
      <c r="BE208" s="293"/>
      <c r="BF208" s="293"/>
      <c r="BG208" s="293"/>
      <c r="BH208" s="293"/>
      <c r="BI208" s="293"/>
      <c r="BJ208" s="293"/>
      <c r="BK208" s="293"/>
      <c r="BL208" s="293"/>
      <c r="BM208" s="293"/>
      <c r="BN208" s="293"/>
      <c r="BO208" s="293"/>
      <c r="BP208" s="293"/>
      <c r="BQ208" s="293"/>
      <c r="BR208" s="293"/>
      <c r="BS208" s="293"/>
      <c r="BT208" s="293"/>
      <c r="BU208" s="293"/>
      <c r="BV208" s="293"/>
      <c r="BW208" s="293"/>
      <c r="BX208" s="293"/>
      <c r="BY208" s="293"/>
      <c r="BZ208" s="293"/>
      <c r="CA208" s="285"/>
      <c r="CB208" s="286"/>
      <c r="CC208" s="286"/>
      <c r="CD208" s="286"/>
      <c r="CE208" s="286"/>
      <c r="CF208" s="286"/>
      <c r="CG208" s="286"/>
      <c r="CH208" s="286"/>
      <c r="CI208" s="286"/>
      <c r="CJ208" s="286"/>
      <c r="CK208" s="286"/>
      <c r="CL208" s="286"/>
      <c r="CM208" s="286"/>
      <c r="CN208" s="286"/>
      <c r="CO208" s="286"/>
      <c r="CP208" s="286"/>
      <c r="CQ208" s="286"/>
      <c r="CR208" s="286"/>
      <c r="CS208" s="286"/>
      <c r="CT208" s="286"/>
      <c r="CU208" s="286"/>
      <c r="CV208" s="286"/>
      <c r="CW208" s="286"/>
      <c r="CX208" s="286"/>
      <c r="CY208" s="286"/>
      <c r="CZ208" s="286"/>
      <c r="DA208" s="286"/>
      <c r="DB208" s="286"/>
      <c r="DC208" s="286"/>
      <c r="DD208" s="286"/>
      <c r="DE208" s="286"/>
      <c r="DF208" s="286"/>
      <c r="DG208" s="286"/>
      <c r="DH208" s="286"/>
      <c r="DI208" s="286"/>
      <c r="DJ208" s="286"/>
      <c r="DK208" s="286"/>
      <c r="DL208" s="286"/>
      <c r="DM208" s="286"/>
      <c r="DN208" s="286"/>
      <c r="DO208" s="286"/>
      <c r="DP208" s="286"/>
      <c r="DR208" s="58" t="str">
        <f>IF(ISNUMBER(MATCH(#REF!,'Audit Characteristic Mapping'!$B$3:$B$500,0)),"Y","")</f>
        <v/>
      </c>
      <c r="DS208" s="58" t="str">
        <f>IF(ISNUMBER(MATCH(#REF!,'Audit Characteristic Mapping'!$C$3:$C$500,0)),"Y","")</f>
        <v/>
      </c>
      <c r="DT208" s="58" t="str">
        <f>IF(ISNUMBER(MATCH(#REF!,'Audit Characteristic Mapping'!$D$3:$D$500,0)),"Y","")</f>
        <v/>
      </c>
      <c r="DU208" s="58" t="str">
        <f>IF(ISNUMBER(MATCH(#REF!,'Audit Characteristic Mapping'!$E$3:$E$500,0)),"Y","")</f>
        <v/>
      </c>
      <c r="DV208" s="58" t="str">
        <f>IF(ISNUMBER(MATCH(#REF!,'Audit Characteristic Mapping'!$F$3:$F$500,0)),"Y","")</f>
        <v/>
      </c>
      <c r="DW208" s="58" t="str">
        <f>IF(ISNUMBER(MATCH(#REF!,'Audit Characteristic Mapping'!$G$3:$G$500,0)),"Y","")</f>
        <v/>
      </c>
      <c r="DX208" s="58" t="str">
        <f>IF(ISNUMBER(MATCH(#REF!,'Audit Characteristic Mapping'!$H$3:$H$500,0)),"Y","")</f>
        <v/>
      </c>
      <c r="DY208" s="58" t="str">
        <f>IF(ISNUMBER(MATCH(#REF!,'Audit Characteristic Mapping'!$I$3:$I$500,0)),"Y","")</f>
        <v/>
      </c>
      <c r="DZ208" s="58" t="str">
        <f>IF(ISNUMBER(MATCH(#REF!,'Audit Characteristic Mapping'!$J$3:$J$500,0)),"Y","")</f>
        <v/>
      </c>
      <c r="EA208" s="58" t="str">
        <f>IF(ISNUMBER(MATCH(#REF!,'Audit Characteristic Mapping'!$K$3:$K$500,0)),"Y","")</f>
        <v/>
      </c>
    </row>
    <row r="209" spans="1:131" ht="64" x14ac:dyDescent="0.2">
      <c r="A209" s="294">
        <v>244</v>
      </c>
      <c r="B209" s="287" t="s">
        <v>253</v>
      </c>
      <c r="C209" s="226" t="s">
        <v>381</v>
      </c>
      <c r="D209" s="170">
        <v>5</v>
      </c>
      <c r="E209" s="288">
        <v>50</v>
      </c>
      <c r="F209" s="291" t="str">
        <f>VLOOKUP(Calculation!A209,'Descriptor maps'!$A$2:$F$1658,6,0)</f>
        <v>Is there documented evidence that independent reviews were completed for all design studies by appropriately qualified reviewers, to achieve the objective of producing defensible design studies and to meet the requirements of relevant standards and guidelines?</v>
      </c>
      <c r="G209" s="296" t="s">
        <v>1192</v>
      </c>
      <c r="H209" s="290"/>
      <c r="I209" s="291" cm="1">
        <f t="array" ref="I209">INDEX('Descriptor maps'!$H$2:$H$1658,MATCH(1,('Descriptor maps'!$A$2:$A$1658=Calculation!$A209)*('Descriptor maps'!$G$2:$G$1658=Calculation!$G209),0))</f>
        <v>1</v>
      </c>
      <c r="J209" s="292" cm="1">
        <f t="array" ref="J209">INDEX('Descriptor maps'!$I$2:$I$1658,MATCH(1,('Descriptor maps'!$A$2:$A$1658=Calculation!$A209)*('Descriptor maps'!$G$2:$G$1658=Calculation!$G209),0))</f>
        <v>1</v>
      </c>
      <c r="K209" s="226"/>
      <c r="L209" s="293"/>
      <c r="M209" s="293"/>
      <c r="N209" s="293">
        <f>1*$J209</f>
        <v>1</v>
      </c>
      <c r="O209" s="293"/>
      <c r="P209" s="293"/>
      <c r="Q209" s="293"/>
      <c r="R209" s="293"/>
      <c r="S209" s="293"/>
      <c r="T209" s="293"/>
      <c r="U209" s="293">
        <f>1*$J209</f>
        <v>1</v>
      </c>
      <c r="V209" s="293"/>
      <c r="W209" s="293"/>
      <c r="X209" s="293"/>
      <c r="Y209" s="293"/>
      <c r="Z209" s="293"/>
      <c r="AA209" s="293"/>
      <c r="AB209" s="293">
        <f>1*$J209</f>
        <v>1</v>
      </c>
      <c r="AC209" s="293"/>
      <c r="AD209" s="293"/>
      <c r="AE209" s="293"/>
      <c r="AF209" s="293"/>
      <c r="AG209" s="293"/>
      <c r="AH209" s="293"/>
      <c r="AI209" s="293">
        <v>1</v>
      </c>
      <c r="AJ209" s="293"/>
      <c r="AK209" s="293"/>
      <c r="AL209" s="293"/>
      <c r="AM209" s="293"/>
      <c r="AN209" s="293"/>
      <c r="AO209" s="293"/>
      <c r="AP209" s="293"/>
      <c r="AQ209" s="293"/>
      <c r="AR209" s="293"/>
      <c r="AS209" s="293"/>
      <c r="AT209" s="293"/>
      <c r="AU209" s="293"/>
      <c r="AV209" s="293"/>
      <c r="AW209" s="293"/>
      <c r="AX209" s="293"/>
      <c r="AY209" s="293"/>
      <c r="AZ209" s="293"/>
      <c r="BA209" s="293"/>
      <c r="BB209" s="293"/>
      <c r="BC209" s="293"/>
      <c r="BD209" s="293"/>
      <c r="BE209" s="293"/>
      <c r="BF209" s="293"/>
      <c r="BG209" s="293"/>
      <c r="BH209" s="293"/>
      <c r="BI209" s="293"/>
      <c r="BJ209" s="293"/>
      <c r="BK209" s="293"/>
      <c r="BL209" s="293"/>
      <c r="BM209" s="293"/>
      <c r="BN209" s="293"/>
      <c r="BO209" s="293"/>
      <c r="BP209" s="293"/>
      <c r="BQ209" s="293"/>
      <c r="BR209" s="293"/>
      <c r="BS209" s="293"/>
      <c r="BT209" s="293"/>
      <c r="BU209" s="293"/>
      <c r="BV209" s="293"/>
      <c r="BW209" s="293"/>
      <c r="BX209" s="293"/>
      <c r="BY209" s="293"/>
      <c r="BZ209" s="293"/>
      <c r="CA209" s="285"/>
      <c r="CB209" s="286"/>
      <c r="CC209" s="286"/>
      <c r="CD209" s="286"/>
      <c r="CE209" s="286"/>
      <c r="CF209" s="286"/>
      <c r="CG209" s="286"/>
      <c r="CH209" s="286"/>
      <c r="CI209" s="286"/>
      <c r="CJ209" s="286"/>
      <c r="CK209" s="286"/>
      <c r="CL209" s="286"/>
      <c r="CM209" s="286"/>
      <c r="CN209" s="286"/>
      <c r="CO209" s="286"/>
      <c r="CP209" s="286"/>
      <c r="CQ209" s="286"/>
      <c r="CR209" s="286"/>
      <c r="CS209" s="286"/>
      <c r="CT209" s="286"/>
      <c r="CU209" s="286"/>
      <c r="CV209" s="286"/>
      <c r="CW209" s="286"/>
      <c r="CX209" s="286"/>
      <c r="CY209" s="286"/>
      <c r="CZ209" s="286"/>
      <c r="DA209" s="286">
        <v>1</v>
      </c>
      <c r="DB209" s="286"/>
      <c r="DC209" s="286"/>
      <c r="DD209" s="286"/>
      <c r="DE209" s="286"/>
      <c r="DF209" s="286">
        <v>1</v>
      </c>
      <c r="DG209" s="286"/>
      <c r="DH209" s="286"/>
      <c r="DI209" s="286"/>
      <c r="DJ209" s="286"/>
      <c r="DK209" s="286"/>
      <c r="DL209" s="286"/>
      <c r="DM209" s="286"/>
      <c r="DN209" s="286"/>
      <c r="DO209" s="286"/>
      <c r="DP209" s="286"/>
      <c r="DR209" s="58" t="str">
        <f>IF(ISNUMBER(MATCH(#REF!,'Audit Characteristic Mapping'!$B$3:$B$500,0)),"Y","")</f>
        <v/>
      </c>
      <c r="DS209" s="58" t="str">
        <f>IF(ISNUMBER(MATCH(#REF!,'Audit Characteristic Mapping'!$C$3:$C$500,0)),"Y","")</f>
        <v/>
      </c>
      <c r="DT209" s="58" t="str">
        <f>IF(ISNUMBER(MATCH(#REF!,'Audit Characteristic Mapping'!$D$3:$D$500,0)),"Y","")</f>
        <v/>
      </c>
      <c r="DU209" s="58" t="str">
        <f>IF(ISNUMBER(MATCH(#REF!,'Audit Characteristic Mapping'!$E$3:$E$500,0)),"Y","")</f>
        <v/>
      </c>
      <c r="DV209" s="58" t="str">
        <f>IF(ISNUMBER(MATCH(#REF!,'Audit Characteristic Mapping'!$F$3:$F$500,0)),"Y","")</f>
        <v/>
      </c>
      <c r="DW209" s="58" t="str">
        <f>IF(ISNUMBER(MATCH(#REF!,'Audit Characteristic Mapping'!$G$3:$G$500,0)),"Y","")</f>
        <v/>
      </c>
      <c r="DX209" s="58" t="str">
        <f>IF(ISNUMBER(MATCH(#REF!,'Audit Characteristic Mapping'!$H$3:$H$500,0)),"Y","")</f>
        <v/>
      </c>
      <c r="DY209" s="58" t="str">
        <f>IF(ISNUMBER(MATCH(#REF!,'Audit Characteristic Mapping'!$I$3:$I$500,0)),"Y","")</f>
        <v/>
      </c>
      <c r="DZ209" s="58" t="str">
        <f>IF(ISNUMBER(MATCH(#REF!,'Audit Characteristic Mapping'!$J$3:$J$500,0)),"Y","")</f>
        <v/>
      </c>
      <c r="EA209" s="58" t="str">
        <f>IF(ISNUMBER(MATCH(#REF!,'Audit Characteristic Mapping'!$K$3:$K$500,0)),"Y","")</f>
        <v/>
      </c>
    </row>
    <row r="210" spans="1:131" ht="64" x14ac:dyDescent="0.2">
      <c r="A210" s="294">
        <v>270</v>
      </c>
      <c r="B210" s="287" t="s">
        <v>412</v>
      </c>
      <c r="C210" s="226" t="s">
        <v>413</v>
      </c>
      <c r="D210" s="170">
        <v>7</v>
      </c>
      <c r="E210" s="288">
        <v>55</v>
      </c>
      <c r="F210" s="291" t="str">
        <f>VLOOKUP(Calculation!A210,'Descriptor maps'!$A$2:$F$1658,6,0)</f>
        <v>Is there documented evidence that there was appropriately qualified and experienced supervisors present during construction of all expansions, remedial works and closure works to achieve the objective of ensuring that construction activities adhered to the requirements of technical specificationd and that the design intent was met?</v>
      </c>
      <c r="G210" s="296" t="s">
        <v>1192</v>
      </c>
      <c r="H210" s="290"/>
      <c r="I210" s="291" cm="1">
        <f t="array" ref="I210">INDEX('Descriptor maps'!$H$2:$H$1658,MATCH(1,('Descriptor maps'!$A$2:$A$1658=Calculation!$A210)*('Descriptor maps'!$G$2:$G$1658=Calculation!$G210),0))</f>
        <v>1</v>
      </c>
      <c r="J210" s="292" cm="1">
        <f t="array" ref="J210">INDEX('Descriptor maps'!$I$2:$I$1658,MATCH(1,('Descriptor maps'!$A$2:$A$1658=Calculation!$A210)*('Descriptor maps'!$G$2:$G$1658=Calculation!$G210),0))</f>
        <v>1</v>
      </c>
      <c r="K210" s="226"/>
      <c r="L210" s="293"/>
      <c r="M210" s="293"/>
      <c r="N210" s="293"/>
      <c r="O210" s="293">
        <f>1*$J210</f>
        <v>1</v>
      </c>
      <c r="P210" s="293"/>
      <c r="Q210" s="293"/>
      <c r="R210" s="293"/>
      <c r="S210" s="293"/>
      <c r="T210" s="293"/>
      <c r="U210" s="293"/>
      <c r="V210" s="293">
        <f>1*$J210</f>
        <v>1</v>
      </c>
      <c r="W210" s="293"/>
      <c r="X210" s="293"/>
      <c r="Y210" s="293"/>
      <c r="Z210" s="293"/>
      <c r="AA210" s="293"/>
      <c r="AB210" s="293"/>
      <c r="AC210" s="293">
        <f>1*$J210</f>
        <v>1</v>
      </c>
      <c r="AD210" s="293"/>
      <c r="AE210" s="293"/>
      <c r="AF210" s="293"/>
      <c r="AG210" s="293"/>
      <c r="AH210" s="293"/>
      <c r="AI210" s="293">
        <f>1*$J210</f>
        <v>1</v>
      </c>
      <c r="AJ210" s="293"/>
      <c r="AK210" s="293"/>
      <c r="AL210" s="293">
        <f>1*$J210</f>
        <v>1</v>
      </c>
      <c r="AM210" s="293"/>
      <c r="AN210" s="293"/>
      <c r="AO210" s="293"/>
      <c r="AP210" s="293"/>
      <c r="AQ210" s="293"/>
      <c r="AR210" s="293"/>
      <c r="AS210" s="293"/>
      <c r="AT210" s="293"/>
      <c r="AU210" s="293"/>
      <c r="AV210" s="293"/>
      <c r="AW210" s="293">
        <f>J210</f>
        <v>1</v>
      </c>
      <c r="AX210" s="293"/>
      <c r="AY210" s="293"/>
      <c r="AZ210" s="293"/>
      <c r="BA210" s="293"/>
      <c r="BB210" s="293"/>
      <c r="BC210" s="293"/>
      <c r="BD210" s="293"/>
      <c r="BE210" s="293"/>
      <c r="BF210" s="293"/>
      <c r="BG210" s="293"/>
      <c r="BH210" s="293"/>
      <c r="BI210" s="293"/>
      <c r="BJ210" s="293"/>
      <c r="BK210" s="293"/>
      <c r="BL210" s="293"/>
      <c r="BM210" s="293"/>
      <c r="BN210" s="293"/>
      <c r="BO210" s="293"/>
      <c r="BP210" s="293"/>
      <c r="BQ210" s="293"/>
      <c r="BR210" s="293"/>
      <c r="BS210" s="293"/>
      <c r="BT210" s="293"/>
      <c r="BU210" s="293"/>
      <c r="BV210" s="293"/>
      <c r="BW210" s="293"/>
      <c r="BX210" s="293"/>
      <c r="BY210" s="293"/>
      <c r="BZ210" s="293"/>
      <c r="CA210" s="285"/>
      <c r="CB210" s="286"/>
      <c r="CC210" s="286"/>
      <c r="CD210" s="286"/>
      <c r="CE210" s="286"/>
      <c r="CF210" s="286"/>
      <c r="CG210" s="286"/>
      <c r="CH210" s="286"/>
      <c r="CI210" s="286"/>
      <c r="CJ210" s="286"/>
      <c r="CK210" s="286"/>
      <c r="CL210" s="286"/>
      <c r="CM210" s="286"/>
      <c r="CN210" s="286"/>
      <c r="CO210" s="286"/>
      <c r="CP210" s="286"/>
      <c r="CQ210" s="286"/>
      <c r="CR210" s="286"/>
      <c r="CS210" s="286"/>
      <c r="CT210" s="286"/>
      <c r="CU210" s="286"/>
      <c r="CV210" s="286"/>
      <c r="CW210" s="286"/>
      <c r="CX210" s="286">
        <v>1</v>
      </c>
      <c r="CY210" s="286"/>
      <c r="CZ210" s="286"/>
      <c r="DA210" s="286"/>
      <c r="DB210" s="286">
        <v>1</v>
      </c>
      <c r="DC210" s="286"/>
      <c r="DD210" s="286"/>
      <c r="DE210" s="286"/>
      <c r="DF210" s="286"/>
      <c r="DG210" s="286">
        <v>1</v>
      </c>
      <c r="DH210" s="286">
        <v>1</v>
      </c>
      <c r="DI210" s="286"/>
      <c r="DJ210" s="286"/>
      <c r="DK210" s="286"/>
      <c r="DL210" s="286">
        <v>1</v>
      </c>
      <c r="DM210" s="286"/>
      <c r="DN210" s="286"/>
      <c r="DO210" s="286"/>
      <c r="DP210" s="286"/>
      <c r="DR210" s="58" t="str">
        <f>IF(ISNUMBER(MATCH(#REF!,'Audit Characteristic Mapping'!$B$3:$B$500,0)),"Y","")</f>
        <v/>
      </c>
      <c r="DS210" s="58" t="str">
        <f>IF(ISNUMBER(MATCH(#REF!,'Audit Characteristic Mapping'!$C$3:$C$500,0)),"Y","")</f>
        <v/>
      </c>
      <c r="DT210" s="58" t="str">
        <f>IF(ISNUMBER(MATCH(#REF!,'Audit Characteristic Mapping'!$D$3:$D$500,0)),"Y","")</f>
        <v/>
      </c>
      <c r="DU210" s="58" t="str">
        <f>IF(ISNUMBER(MATCH(#REF!,'Audit Characteristic Mapping'!$E$3:$E$500,0)),"Y","")</f>
        <v/>
      </c>
      <c r="DV210" s="58" t="str">
        <f>IF(ISNUMBER(MATCH(#REF!,'Audit Characteristic Mapping'!$F$3:$F$500,0)),"Y","")</f>
        <v/>
      </c>
      <c r="DW210" s="58" t="str">
        <f>IF(ISNUMBER(MATCH(#REF!,'Audit Characteristic Mapping'!$G$3:$G$500,0)),"Y","")</f>
        <v/>
      </c>
      <c r="DX210" s="58" t="str">
        <f>IF(ISNUMBER(MATCH(#REF!,'Audit Characteristic Mapping'!$H$3:$H$500,0)),"Y","")</f>
        <v/>
      </c>
      <c r="DY210" s="58" t="str">
        <f>IF(ISNUMBER(MATCH(#REF!,'Audit Characteristic Mapping'!$I$3:$I$500,0)),"Y","")</f>
        <v/>
      </c>
      <c r="DZ210" s="58" t="str">
        <f>IF(ISNUMBER(MATCH(#REF!,'Audit Characteristic Mapping'!$J$3:$J$500,0)),"Y","")</f>
        <v/>
      </c>
      <c r="EA210" s="58" t="str">
        <f>IF(ISNUMBER(MATCH(#REF!,'Audit Characteristic Mapping'!$K$3:$K$500,0)),"Y","")</f>
        <v/>
      </c>
    </row>
    <row r="211" spans="1:131" ht="16" hidden="1" x14ac:dyDescent="0.2">
      <c r="A211" s="288">
        <v>202</v>
      </c>
      <c r="B211" s="287" t="s">
        <v>253</v>
      </c>
      <c r="C211" s="226" t="s">
        <v>331</v>
      </c>
      <c r="D211" s="170">
        <v>5</v>
      </c>
      <c r="E211" s="288">
        <v>39</v>
      </c>
      <c r="F211" s="291" t="str">
        <f>VLOOKUP(Calculation!A211,'Descriptor maps'!$A$2:$F$1658,2,0)</f>
        <v>Studies &amp; Design</v>
      </c>
      <c r="G211" s="296"/>
      <c r="H211" s="290"/>
      <c r="I211" s="291"/>
      <c r="J211" s="292" t="e" cm="1">
        <f t="array" ref="J211">INDEX('Descriptor maps'!$I$2:$I$1658,MATCH(1,('Descriptor maps'!$A$2:$A$1658=Calculation!$A211)*('Descriptor maps'!$G$2:$G$1658=Calculation!$G211),0))</f>
        <v>#N/A</v>
      </c>
      <c r="K211" s="226"/>
      <c r="L211" s="293"/>
      <c r="M211" s="293"/>
      <c r="N211" s="293"/>
      <c r="O211" s="293"/>
      <c r="P211" s="293"/>
      <c r="Q211" s="293"/>
      <c r="R211" s="293"/>
      <c r="S211" s="293"/>
      <c r="T211" s="293"/>
      <c r="U211" s="293"/>
      <c r="V211" s="293"/>
      <c r="W211" s="293"/>
      <c r="X211" s="293"/>
      <c r="Y211" s="293"/>
      <c r="Z211" s="293"/>
      <c r="AA211" s="293"/>
      <c r="AB211" s="293"/>
      <c r="AC211" s="293"/>
      <c r="AD211" s="293"/>
      <c r="AE211" s="293"/>
      <c r="AF211" s="293"/>
      <c r="AG211" s="293"/>
      <c r="AH211" s="293"/>
      <c r="AI211" s="293"/>
      <c r="AJ211" s="293"/>
      <c r="AK211" s="293"/>
      <c r="AL211" s="293"/>
      <c r="AM211" s="293"/>
      <c r="AN211" s="293"/>
      <c r="AO211" s="293"/>
      <c r="AP211" s="293"/>
      <c r="AQ211" s="293"/>
      <c r="AR211" s="293"/>
      <c r="AS211" s="293"/>
      <c r="AT211" s="293"/>
      <c r="AU211" s="293"/>
      <c r="AV211" s="293"/>
      <c r="AW211" s="293"/>
      <c r="AX211" s="293"/>
      <c r="AY211" s="293"/>
      <c r="AZ211" s="293"/>
      <c r="BA211" s="293"/>
      <c r="BB211" s="293"/>
      <c r="BC211" s="293"/>
      <c r="BD211" s="293"/>
      <c r="BE211" s="293"/>
      <c r="BF211" s="293"/>
      <c r="BG211" s="293"/>
      <c r="BH211" s="293"/>
      <c r="BI211" s="293"/>
      <c r="BJ211" s="293"/>
      <c r="BK211" s="293"/>
      <c r="BL211" s="293"/>
      <c r="BM211" s="293"/>
      <c r="BN211" s="293"/>
      <c r="BO211" s="293"/>
      <c r="BP211" s="293"/>
      <c r="BQ211" s="293"/>
      <c r="BR211" s="293"/>
      <c r="BS211" s="293"/>
      <c r="BT211" s="293"/>
      <c r="BU211" s="293"/>
      <c r="BV211" s="293"/>
      <c r="BW211" s="293"/>
      <c r="BX211" s="293"/>
      <c r="BY211" s="293"/>
      <c r="BZ211" s="293"/>
      <c r="CA211" s="285"/>
      <c r="CB211" s="286"/>
      <c r="CC211" s="286"/>
      <c r="CD211" s="286"/>
      <c r="CE211" s="286"/>
      <c r="CF211" s="286"/>
      <c r="CG211" s="286"/>
      <c r="CH211" s="286"/>
      <c r="CI211" s="286"/>
      <c r="CJ211" s="286"/>
      <c r="CK211" s="286"/>
      <c r="CL211" s="286"/>
      <c r="CM211" s="286"/>
      <c r="CN211" s="286"/>
      <c r="CO211" s="286"/>
      <c r="CP211" s="286"/>
      <c r="CQ211" s="286"/>
      <c r="CR211" s="286"/>
      <c r="CS211" s="286"/>
      <c r="CT211" s="286"/>
      <c r="CU211" s="286"/>
      <c r="CV211" s="286"/>
      <c r="CW211" s="286"/>
      <c r="CX211" s="286"/>
      <c r="CY211" s="286"/>
      <c r="CZ211" s="286"/>
      <c r="DA211" s="286"/>
      <c r="DB211" s="286"/>
      <c r="DC211" s="286"/>
      <c r="DD211" s="286"/>
      <c r="DE211" s="286"/>
      <c r="DF211" s="286"/>
      <c r="DG211" s="286"/>
      <c r="DH211" s="286"/>
      <c r="DI211" s="286"/>
      <c r="DJ211" s="286"/>
      <c r="DK211" s="286"/>
      <c r="DL211" s="286"/>
      <c r="DM211" s="286"/>
      <c r="DN211" s="286"/>
      <c r="DO211" s="286"/>
      <c r="DP211" s="286"/>
      <c r="DR211" s="58" t="str">
        <f>IF(ISNUMBER(MATCH(#REF!,'Audit Characteristic Mapping'!$B$3:$B$500,0)),"Y","")</f>
        <v/>
      </c>
      <c r="DS211" s="58" t="str">
        <f>IF(ISNUMBER(MATCH(#REF!,'Audit Characteristic Mapping'!$C$3:$C$500,0)),"Y","")</f>
        <v/>
      </c>
      <c r="DT211" s="58" t="str">
        <f>IF(ISNUMBER(MATCH(#REF!,'Audit Characteristic Mapping'!$D$3:$D$500,0)),"Y","")</f>
        <v/>
      </c>
      <c r="DU211" s="58" t="str">
        <f>IF(ISNUMBER(MATCH(#REF!,'Audit Characteristic Mapping'!$E$3:$E$500,0)),"Y","")</f>
        <v/>
      </c>
      <c r="DV211" s="58" t="str">
        <f>IF(ISNUMBER(MATCH(#REF!,'Audit Characteristic Mapping'!$F$3:$F$500,0)),"Y","")</f>
        <v/>
      </c>
      <c r="DW211" s="58" t="str">
        <f>IF(ISNUMBER(MATCH(#REF!,'Audit Characteristic Mapping'!$G$3:$G$500,0)),"Y","")</f>
        <v/>
      </c>
      <c r="DX211" s="58" t="str">
        <f>IF(ISNUMBER(MATCH(#REF!,'Audit Characteristic Mapping'!$H$3:$H$500,0)),"Y","")</f>
        <v/>
      </c>
      <c r="DY211" s="58" t="str">
        <f>IF(ISNUMBER(MATCH(#REF!,'Audit Characteristic Mapping'!$I$3:$I$500,0)),"Y","")</f>
        <v/>
      </c>
      <c r="DZ211" s="58" t="str">
        <f>IF(ISNUMBER(MATCH(#REF!,'Audit Characteristic Mapping'!$J$3:$J$500,0)),"Y","")</f>
        <v/>
      </c>
      <c r="EA211" s="58" t="str">
        <f>IF(ISNUMBER(MATCH(#REF!,'Audit Characteristic Mapping'!$K$3:$K$500,0)),"Y","")</f>
        <v/>
      </c>
    </row>
    <row r="212" spans="1:131" ht="16" hidden="1" x14ac:dyDescent="0.2">
      <c r="A212" s="288">
        <v>203</v>
      </c>
      <c r="B212" s="287" t="s">
        <v>253</v>
      </c>
      <c r="C212" s="226" t="s">
        <v>331</v>
      </c>
      <c r="D212" s="170">
        <v>5</v>
      </c>
      <c r="E212" s="288">
        <v>39</v>
      </c>
      <c r="F212" s="291" t="str">
        <f>VLOOKUP(Calculation!A212,'Descriptor maps'!$A$2:$F$1658,2,0)</f>
        <v>Studies &amp; Design</v>
      </c>
      <c r="G212" s="296"/>
      <c r="H212" s="290"/>
      <c r="I212" s="291"/>
      <c r="J212" s="292" t="e" cm="1">
        <f t="array" ref="J212">INDEX('Descriptor maps'!$I$2:$I$1658,MATCH(1,('Descriptor maps'!$A$2:$A$1658=Calculation!$A212)*('Descriptor maps'!$G$2:$G$1658=Calculation!$G212),0))</f>
        <v>#N/A</v>
      </c>
      <c r="K212" s="226"/>
      <c r="L212" s="293"/>
      <c r="M212" s="293"/>
      <c r="N212" s="293"/>
      <c r="O212" s="293"/>
      <c r="P212" s="293"/>
      <c r="Q212" s="293"/>
      <c r="R212" s="293"/>
      <c r="S212" s="293"/>
      <c r="T212" s="293"/>
      <c r="U212" s="293"/>
      <c r="V212" s="293"/>
      <c r="W212" s="293"/>
      <c r="X212" s="293"/>
      <c r="Y212" s="293"/>
      <c r="Z212" s="293"/>
      <c r="AA212" s="293"/>
      <c r="AB212" s="293"/>
      <c r="AC212" s="293"/>
      <c r="AD212" s="293"/>
      <c r="AE212" s="293"/>
      <c r="AF212" s="293"/>
      <c r="AG212" s="293"/>
      <c r="AH212" s="293"/>
      <c r="AI212" s="293"/>
      <c r="AJ212" s="293"/>
      <c r="AK212" s="293"/>
      <c r="AL212" s="293"/>
      <c r="AM212" s="293"/>
      <c r="AN212" s="293"/>
      <c r="AO212" s="293"/>
      <c r="AP212" s="293"/>
      <c r="AQ212" s="293"/>
      <c r="AR212" s="293"/>
      <c r="AS212" s="293"/>
      <c r="AT212" s="293"/>
      <c r="AU212" s="293"/>
      <c r="AV212" s="293"/>
      <c r="AW212" s="293"/>
      <c r="AX212" s="293"/>
      <c r="AY212" s="293"/>
      <c r="AZ212" s="293"/>
      <c r="BA212" s="293"/>
      <c r="BB212" s="293"/>
      <c r="BC212" s="293"/>
      <c r="BD212" s="293"/>
      <c r="BE212" s="293"/>
      <c r="BF212" s="293"/>
      <c r="BG212" s="293"/>
      <c r="BH212" s="293"/>
      <c r="BI212" s="293"/>
      <c r="BJ212" s="293"/>
      <c r="BK212" s="293"/>
      <c r="BL212" s="293"/>
      <c r="BM212" s="293"/>
      <c r="BN212" s="293"/>
      <c r="BO212" s="293"/>
      <c r="BP212" s="293"/>
      <c r="BQ212" s="293"/>
      <c r="BR212" s="293"/>
      <c r="BS212" s="293"/>
      <c r="BT212" s="293"/>
      <c r="BU212" s="293"/>
      <c r="BV212" s="293"/>
      <c r="BW212" s="293"/>
      <c r="BX212" s="293"/>
      <c r="BY212" s="293"/>
      <c r="BZ212" s="293"/>
      <c r="CA212" s="285"/>
      <c r="CB212" s="286"/>
      <c r="CC212" s="286"/>
      <c r="CD212" s="286"/>
      <c r="CE212" s="286"/>
      <c r="CF212" s="286"/>
      <c r="CG212" s="286"/>
      <c r="CH212" s="286"/>
      <c r="CI212" s="286"/>
      <c r="CJ212" s="286"/>
      <c r="CK212" s="286"/>
      <c r="CL212" s="286"/>
      <c r="CM212" s="286"/>
      <c r="CN212" s="286"/>
      <c r="CO212" s="286"/>
      <c r="CP212" s="286"/>
      <c r="CQ212" s="286"/>
      <c r="CR212" s="286"/>
      <c r="CS212" s="286"/>
      <c r="CT212" s="286"/>
      <c r="CU212" s="286"/>
      <c r="CV212" s="286"/>
      <c r="CW212" s="286"/>
      <c r="CX212" s="286"/>
      <c r="CY212" s="286"/>
      <c r="CZ212" s="286"/>
      <c r="DA212" s="286"/>
      <c r="DB212" s="286"/>
      <c r="DC212" s="286"/>
      <c r="DD212" s="286"/>
      <c r="DE212" s="286"/>
      <c r="DF212" s="286"/>
      <c r="DG212" s="286"/>
      <c r="DH212" s="286"/>
      <c r="DI212" s="286"/>
      <c r="DJ212" s="286"/>
      <c r="DK212" s="286"/>
      <c r="DL212" s="286"/>
      <c r="DM212" s="286"/>
      <c r="DN212" s="286"/>
      <c r="DO212" s="286"/>
      <c r="DP212" s="286"/>
      <c r="DR212" s="58" t="str">
        <f>IF(ISNUMBER(MATCH(#REF!,'Audit Characteristic Mapping'!$B$3:$B$500,0)),"Y","")</f>
        <v/>
      </c>
      <c r="DS212" s="58" t="str">
        <f>IF(ISNUMBER(MATCH(#REF!,'Audit Characteristic Mapping'!$C$3:$C$500,0)),"Y","")</f>
        <v/>
      </c>
      <c r="DT212" s="58" t="str">
        <f>IF(ISNUMBER(MATCH(#REF!,'Audit Characteristic Mapping'!$D$3:$D$500,0)),"Y","")</f>
        <v/>
      </c>
      <c r="DU212" s="58" t="str">
        <f>IF(ISNUMBER(MATCH(#REF!,'Audit Characteristic Mapping'!$E$3:$E$500,0)),"Y","")</f>
        <v/>
      </c>
      <c r="DV212" s="58" t="str">
        <f>IF(ISNUMBER(MATCH(#REF!,'Audit Characteristic Mapping'!$F$3:$F$500,0)),"Y","")</f>
        <v/>
      </c>
      <c r="DW212" s="58" t="str">
        <f>IF(ISNUMBER(MATCH(#REF!,'Audit Characteristic Mapping'!$G$3:$G$500,0)),"Y","")</f>
        <v/>
      </c>
      <c r="DX212" s="58" t="str">
        <f>IF(ISNUMBER(MATCH(#REF!,'Audit Characteristic Mapping'!$H$3:$H$500,0)),"Y","")</f>
        <v/>
      </c>
      <c r="DY212" s="58" t="str">
        <f>IF(ISNUMBER(MATCH(#REF!,'Audit Characteristic Mapping'!$I$3:$I$500,0)),"Y","")</f>
        <v/>
      </c>
      <c r="DZ212" s="58" t="str">
        <f>IF(ISNUMBER(MATCH(#REF!,'Audit Characteristic Mapping'!$J$3:$J$500,0)),"Y","")</f>
        <v/>
      </c>
      <c r="EA212" s="58" t="str">
        <f>IF(ISNUMBER(MATCH(#REF!,'Audit Characteristic Mapping'!$K$3:$K$500,0)),"Y","")</f>
        <v/>
      </c>
    </row>
    <row r="213" spans="1:131" ht="16" hidden="1" x14ac:dyDescent="0.2">
      <c r="A213" s="288">
        <v>204</v>
      </c>
      <c r="B213" s="287" t="s">
        <v>253</v>
      </c>
      <c r="C213" s="226" t="s">
        <v>331</v>
      </c>
      <c r="D213" s="170">
        <v>5</v>
      </c>
      <c r="E213" s="288">
        <v>39</v>
      </c>
      <c r="F213" s="291" t="str">
        <f>VLOOKUP(Calculation!A213,'Descriptor maps'!$A$2:$F$1658,2,0)</f>
        <v>Studies &amp; Design</v>
      </c>
      <c r="G213" s="296"/>
      <c r="H213" s="290"/>
      <c r="I213" s="291"/>
      <c r="J213" s="292" t="e" cm="1">
        <f t="array" ref="J213">INDEX('Descriptor maps'!$I$2:$I$1658,MATCH(1,('Descriptor maps'!$A$2:$A$1658=Calculation!$A213)*('Descriptor maps'!$G$2:$G$1658=Calculation!$G213),0))</f>
        <v>#N/A</v>
      </c>
      <c r="K213" s="226"/>
      <c r="L213" s="293"/>
      <c r="M213" s="293"/>
      <c r="N213" s="293"/>
      <c r="O213" s="293"/>
      <c r="P213" s="293"/>
      <c r="Q213" s="293"/>
      <c r="R213" s="293"/>
      <c r="S213" s="293"/>
      <c r="T213" s="293"/>
      <c r="U213" s="293"/>
      <c r="V213" s="293"/>
      <c r="W213" s="293"/>
      <c r="X213" s="293"/>
      <c r="Y213" s="29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c r="AW213" s="293"/>
      <c r="AX213" s="293"/>
      <c r="AY213" s="293"/>
      <c r="AZ213" s="293"/>
      <c r="BA213" s="293"/>
      <c r="BB213" s="293"/>
      <c r="BC213" s="293"/>
      <c r="BD213" s="293"/>
      <c r="BE213" s="293"/>
      <c r="BF213" s="293"/>
      <c r="BG213" s="293"/>
      <c r="BH213" s="293"/>
      <c r="BI213" s="293"/>
      <c r="BJ213" s="293"/>
      <c r="BK213" s="293"/>
      <c r="BL213" s="293"/>
      <c r="BM213" s="293"/>
      <c r="BN213" s="293"/>
      <c r="BO213" s="293"/>
      <c r="BP213" s="293"/>
      <c r="BQ213" s="293"/>
      <c r="BR213" s="293"/>
      <c r="BS213" s="293"/>
      <c r="BT213" s="293"/>
      <c r="BU213" s="293"/>
      <c r="BV213" s="293"/>
      <c r="BW213" s="293"/>
      <c r="BX213" s="293"/>
      <c r="BY213" s="293"/>
      <c r="BZ213" s="293"/>
      <c r="CA213" s="285"/>
      <c r="CB213" s="286"/>
      <c r="CC213" s="286"/>
      <c r="CD213" s="286"/>
      <c r="CE213" s="286"/>
      <c r="CF213" s="286"/>
      <c r="CG213" s="286"/>
      <c r="CH213" s="286"/>
      <c r="CI213" s="286"/>
      <c r="CJ213" s="286"/>
      <c r="CK213" s="286"/>
      <c r="CL213" s="286"/>
      <c r="CM213" s="286"/>
      <c r="CN213" s="286"/>
      <c r="CO213" s="286"/>
      <c r="CP213" s="286"/>
      <c r="CQ213" s="286"/>
      <c r="CR213" s="286"/>
      <c r="CS213" s="286"/>
      <c r="CT213" s="286"/>
      <c r="CU213" s="286"/>
      <c r="CV213" s="286"/>
      <c r="CW213" s="286"/>
      <c r="CX213" s="286"/>
      <c r="CY213" s="286"/>
      <c r="CZ213" s="286"/>
      <c r="DA213" s="286"/>
      <c r="DB213" s="286"/>
      <c r="DC213" s="286"/>
      <c r="DD213" s="286"/>
      <c r="DE213" s="286"/>
      <c r="DF213" s="286"/>
      <c r="DG213" s="286"/>
      <c r="DH213" s="286"/>
      <c r="DI213" s="286"/>
      <c r="DJ213" s="286"/>
      <c r="DK213" s="286"/>
      <c r="DL213" s="286"/>
      <c r="DM213" s="286"/>
      <c r="DN213" s="286"/>
      <c r="DO213" s="286"/>
      <c r="DP213" s="286"/>
      <c r="DR213" s="58" t="str">
        <f>IF(ISNUMBER(MATCH(#REF!,'Audit Characteristic Mapping'!$B$3:$B$500,0)),"Y","")</f>
        <v/>
      </c>
      <c r="DS213" s="58" t="str">
        <f>IF(ISNUMBER(MATCH(#REF!,'Audit Characteristic Mapping'!$C$3:$C$500,0)),"Y","")</f>
        <v/>
      </c>
      <c r="DT213" s="58" t="str">
        <f>IF(ISNUMBER(MATCH(#REF!,'Audit Characteristic Mapping'!$D$3:$D$500,0)),"Y","")</f>
        <v/>
      </c>
      <c r="DU213" s="58" t="str">
        <f>IF(ISNUMBER(MATCH(#REF!,'Audit Characteristic Mapping'!$E$3:$E$500,0)),"Y","")</f>
        <v/>
      </c>
      <c r="DV213" s="58" t="str">
        <f>IF(ISNUMBER(MATCH(#REF!,'Audit Characteristic Mapping'!$F$3:$F$500,0)),"Y","")</f>
        <v/>
      </c>
      <c r="DW213" s="58" t="str">
        <f>IF(ISNUMBER(MATCH(#REF!,'Audit Characteristic Mapping'!$G$3:$G$500,0)),"Y","")</f>
        <v/>
      </c>
      <c r="DX213" s="58" t="str">
        <f>IF(ISNUMBER(MATCH(#REF!,'Audit Characteristic Mapping'!$H$3:$H$500,0)),"Y","")</f>
        <v/>
      </c>
      <c r="DY213" s="58" t="str">
        <f>IF(ISNUMBER(MATCH(#REF!,'Audit Characteristic Mapping'!$I$3:$I$500,0)),"Y","")</f>
        <v/>
      </c>
      <c r="DZ213" s="58" t="str">
        <f>IF(ISNUMBER(MATCH(#REF!,'Audit Characteristic Mapping'!$J$3:$J$500,0)),"Y","")</f>
        <v/>
      </c>
      <c r="EA213" s="58" t="str">
        <f>IF(ISNUMBER(MATCH(#REF!,'Audit Characteristic Mapping'!$K$3:$K$500,0)),"Y","")</f>
        <v/>
      </c>
    </row>
    <row r="214" spans="1:131" ht="16" hidden="1" x14ac:dyDescent="0.2">
      <c r="A214" s="288">
        <v>205</v>
      </c>
      <c r="B214" s="287" t="s">
        <v>253</v>
      </c>
      <c r="C214" s="226" t="s">
        <v>331</v>
      </c>
      <c r="D214" s="170">
        <v>5</v>
      </c>
      <c r="E214" s="288">
        <v>39</v>
      </c>
      <c r="F214" s="291" t="str">
        <f>VLOOKUP(Calculation!A214,'Descriptor maps'!$A$2:$F$1658,2,0)</f>
        <v>Studies &amp; Design</v>
      </c>
      <c r="G214" s="296"/>
      <c r="H214" s="290"/>
      <c r="I214" s="291"/>
      <c r="J214" s="292" t="e" cm="1">
        <f t="array" ref="J214">INDEX('Descriptor maps'!$I$2:$I$1658,MATCH(1,('Descriptor maps'!$A$2:$A$1658=Calculation!$A214)*('Descriptor maps'!$G$2:$G$1658=Calculation!$G214),0))</f>
        <v>#N/A</v>
      </c>
      <c r="K214" s="226"/>
      <c r="L214" s="293"/>
      <c r="M214" s="293"/>
      <c r="N214" s="293"/>
      <c r="O214" s="293"/>
      <c r="P214" s="293"/>
      <c r="Q214" s="293"/>
      <c r="R214" s="293"/>
      <c r="S214" s="293"/>
      <c r="T214" s="293"/>
      <c r="U214" s="293"/>
      <c r="V214" s="293"/>
      <c r="W214" s="293"/>
      <c r="X214" s="293"/>
      <c r="Y214" s="29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c r="AW214" s="293"/>
      <c r="AX214" s="293"/>
      <c r="AY214" s="293"/>
      <c r="AZ214" s="293"/>
      <c r="BA214" s="293"/>
      <c r="BB214" s="293"/>
      <c r="BC214" s="293"/>
      <c r="BD214" s="293"/>
      <c r="BE214" s="293"/>
      <c r="BF214" s="293"/>
      <c r="BG214" s="293"/>
      <c r="BH214" s="293"/>
      <c r="BI214" s="293"/>
      <c r="BJ214" s="293"/>
      <c r="BK214" s="293"/>
      <c r="BL214" s="293"/>
      <c r="BM214" s="293"/>
      <c r="BN214" s="293"/>
      <c r="BO214" s="293"/>
      <c r="BP214" s="293"/>
      <c r="BQ214" s="293"/>
      <c r="BR214" s="293"/>
      <c r="BS214" s="293"/>
      <c r="BT214" s="293"/>
      <c r="BU214" s="293"/>
      <c r="BV214" s="293"/>
      <c r="BW214" s="293"/>
      <c r="BX214" s="293"/>
      <c r="BY214" s="293"/>
      <c r="BZ214" s="293"/>
      <c r="CA214" s="285"/>
      <c r="CB214" s="286"/>
      <c r="CC214" s="286"/>
      <c r="CD214" s="286"/>
      <c r="CE214" s="286"/>
      <c r="CF214" s="286"/>
      <c r="CG214" s="286"/>
      <c r="CH214" s="286"/>
      <c r="CI214" s="286"/>
      <c r="CJ214" s="286"/>
      <c r="CK214" s="286"/>
      <c r="CL214" s="286"/>
      <c r="CM214" s="286"/>
      <c r="CN214" s="286"/>
      <c r="CO214" s="286"/>
      <c r="CP214" s="286"/>
      <c r="CQ214" s="286"/>
      <c r="CR214" s="286"/>
      <c r="CS214" s="286"/>
      <c r="CT214" s="286"/>
      <c r="CU214" s="286"/>
      <c r="CV214" s="286"/>
      <c r="CW214" s="286"/>
      <c r="CX214" s="286"/>
      <c r="CY214" s="286"/>
      <c r="CZ214" s="286"/>
      <c r="DA214" s="286"/>
      <c r="DB214" s="286"/>
      <c r="DC214" s="286"/>
      <c r="DD214" s="286"/>
      <c r="DE214" s="286"/>
      <c r="DF214" s="286"/>
      <c r="DG214" s="286"/>
      <c r="DH214" s="286"/>
      <c r="DI214" s="286"/>
      <c r="DJ214" s="286"/>
      <c r="DK214" s="286"/>
      <c r="DL214" s="286"/>
      <c r="DM214" s="286"/>
      <c r="DN214" s="286"/>
      <c r="DO214" s="286"/>
      <c r="DP214" s="286"/>
      <c r="DR214" s="58" t="str">
        <f>IF(ISNUMBER(MATCH(#REF!,'Audit Characteristic Mapping'!$B$3:$B$500,0)),"Y","")</f>
        <v/>
      </c>
      <c r="DS214" s="58" t="str">
        <f>IF(ISNUMBER(MATCH(#REF!,'Audit Characteristic Mapping'!$C$3:$C$500,0)),"Y","")</f>
        <v/>
      </c>
      <c r="DT214" s="58" t="str">
        <f>IF(ISNUMBER(MATCH(#REF!,'Audit Characteristic Mapping'!$D$3:$D$500,0)),"Y","")</f>
        <v/>
      </c>
      <c r="DU214" s="58" t="str">
        <f>IF(ISNUMBER(MATCH(#REF!,'Audit Characteristic Mapping'!$E$3:$E$500,0)),"Y","")</f>
        <v/>
      </c>
      <c r="DV214" s="58" t="str">
        <f>IF(ISNUMBER(MATCH(#REF!,'Audit Characteristic Mapping'!$F$3:$F$500,0)),"Y","")</f>
        <v/>
      </c>
      <c r="DW214" s="58" t="str">
        <f>IF(ISNUMBER(MATCH(#REF!,'Audit Characteristic Mapping'!$G$3:$G$500,0)),"Y","")</f>
        <v/>
      </c>
      <c r="DX214" s="58" t="str">
        <f>IF(ISNUMBER(MATCH(#REF!,'Audit Characteristic Mapping'!$H$3:$H$500,0)),"Y","")</f>
        <v/>
      </c>
      <c r="DY214" s="58" t="str">
        <f>IF(ISNUMBER(MATCH(#REF!,'Audit Characteristic Mapping'!$I$3:$I$500,0)),"Y","")</f>
        <v/>
      </c>
      <c r="DZ214" s="58" t="str">
        <f>IF(ISNUMBER(MATCH(#REF!,'Audit Characteristic Mapping'!$J$3:$J$500,0)),"Y","")</f>
        <v/>
      </c>
      <c r="EA214" s="58" t="str">
        <f>IF(ISNUMBER(MATCH(#REF!,'Audit Characteristic Mapping'!$K$3:$K$500,0)),"Y","")</f>
        <v/>
      </c>
    </row>
    <row r="215" spans="1:131" ht="16" hidden="1" x14ac:dyDescent="0.2">
      <c r="A215" s="288">
        <v>206</v>
      </c>
      <c r="B215" s="287" t="s">
        <v>253</v>
      </c>
      <c r="C215" s="226" t="s">
        <v>331</v>
      </c>
      <c r="D215" s="170">
        <v>5</v>
      </c>
      <c r="E215" s="288">
        <v>39</v>
      </c>
      <c r="F215" s="291" t="str">
        <f>VLOOKUP(Calculation!A215,'Descriptor maps'!$A$2:$F$1658,2,0)</f>
        <v>Studies &amp; Design</v>
      </c>
      <c r="G215" s="296"/>
      <c r="H215" s="290"/>
      <c r="I215" s="291"/>
      <c r="J215" s="292" t="e" cm="1">
        <f t="array" ref="J215">INDEX('Descriptor maps'!$I$2:$I$1658,MATCH(1,('Descriptor maps'!$A$2:$A$1658=Calculation!$A215)*('Descriptor maps'!$G$2:$G$1658=Calculation!$G215),0))</f>
        <v>#N/A</v>
      </c>
      <c r="K215" s="226"/>
      <c r="L215" s="293"/>
      <c r="M215" s="293"/>
      <c r="N215" s="293"/>
      <c r="O215" s="293"/>
      <c r="P215" s="293"/>
      <c r="Q215" s="293"/>
      <c r="R215" s="293"/>
      <c r="S215" s="293"/>
      <c r="T215" s="293"/>
      <c r="U215" s="293"/>
      <c r="V215" s="293"/>
      <c r="W215" s="293"/>
      <c r="X215" s="293"/>
      <c r="Y215" s="293"/>
      <c r="Z215" s="293"/>
      <c r="AA215" s="293"/>
      <c r="AB215" s="293"/>
      <c r="AC215" s="293"/>
      <c r="AD215" s="293"/>
      <c r="AE215" s="293"/>
      <c r="AF215" s="293"/>
      <c r="AG215" s="293"/>
      <c r="AH215" s="293"/>
      <c r="AI215" s="293"/>
      <c r="AJ215" s="293"/>
      <c r="AK215" s="293"/>
      <c r="AL215" s="293"/>
      <c r="AM215" s="293"/>
      <c r="AN215" s="293"/>
      <c r="AO215" s="293"/>
      <c r="AP215" s="293"/>
      <c r="AQ215" s="293"/>
      <c r="AR215" s="293"/>
      <c r="AS215" s="293"/>
      <c r="AT215" s="293"/>
      <c r="AU215" s="293"/>
      <c r="AV215" s="293"/>
      <c r="AW215" s="293"/>
      <c r="AX215" s="293"/>
      <c r="AY215" s="293"/>
      <c r="AZ215" s="293"/>
      <c r="BA215" s="293"/>
      <c r="BB215" s="293"/>
      <c r="BC215" s="293"/>
      <c r="BD215" s="293"/>
      <c r="BE215" s="293"/>
      <c r="BF215" s="293"/>
      <c r="BG215" s="293"/>
      <c r="BH215" s="293"/>
      <c r="BI215" s="293"/>
      <c r="BJ215" s="293"/>
      <c r="BK215" s="293"/>
      <c r="BL215" s="293"/>
      <c r="BM215" s="293"/>
      <c r="BN215" s="293"/>
      <c r="BO215" s="293"/>
      <c r="BP215" s="293"/>
      <c r="BQ215" s="293"/>
      <c r="BR215" s="293"/>
      <c r="BS215" s="293"/>
      <c r="BT215" s="293"/>
      <c r="BU215" s="293"/>
      <c r="BV215" s="293"/>
      <c r="BW215" s="293"/>
      <c r="BX215" s="293"/>
      <c r="BY215" s="293"/>
      <c r="BZ215" s="293"/>
      <c r="CA215" s="285"/>
      <c r="CB215" s="286"/>
      <c r="CC215" s="286"/>
      <c r="CD215" s="286"/>
      <c r="CE215" s="286"/>
      <c r="CF215" s="286"/>
      <c r="CG215" s="286"/>
      <c r="CH215" s="286"/>
      <c r="CI215" s="286"/>
      <c r="CJ215" s="286"/>
      <c r="CK215" s="286"/>
      <c r="CL215" s="286"/>
      <c r="CM215" s="286"/>
      <c r="CN215" s="286"/>
      <c r="CO215" s="286"/>
      <c r="CP215" s="286"/>
      <c r="CQ215" s="286"/>
      <c r="CR215" s="286"/>
      <c r="CS215" s="286"/>
      <c r="CT215" s="286"/>
      <c r="CU215" s="286"/>
      <c r="CV215" s="286"/>
      <c r="CW215" s="286"/>
      <c r="CX215" s="286"/>
      <c r="CY215" s="286"/>
      <c r="CZ215" s="286"/>
      <c r="DA215" s="286"/>
      <c r="DB215" s="286"/>
      <c r="DC215" s="286"/>
      <c r="DD215" s="286"/>
      <c r="DE215" s="286"/>
      <c r="DF215" s="286"/>
      <c r="DG215" s="286"/>
      <c r="DH215" s="286"/>
      <c r="DI215" s="286"/>
      <c r="DJ215" s="286"/>
      <c r="DK215" s="286"/>
      <c r="DL215" s="286"/>
      <c r="DM215" s="286"/>
      <c r="DN215" s="286"/>
      <c r="DO215" s="286"/>
      <c r="DP215" s="286"/>
      <c r="DR215" s="58" t="str">
        <f>IF(ISNUMBER(MATCH(#REF!,'Audit Characteristic Mapping'!$B$3:$B$500,0)),"Y","")</f>
        <v/>
      </c>
      <c r="DS215" s="58" t="str">
        <f>IF(ISNUMBER(MATCH(#REF!,'Audit Characteristic Mapping'!$C$3:$C$500,0)),"Y","")</f>
        <v/>
      </c>
      <c r="DT215" s="58" t="str">
        <f>IF(ISNUMBER(MATCH(#REF!,'Audit Characteristic Mapping'!$D$3:$D$500,0)),"Y","")</f>
        <v/>
      </c>
      <c r="DU215" s="58" t="str">
        <f>IF(ISNUMBER(MATCH(#REF!,'Audit Characteristic Mapping'!$E$3:$E$500,0)),"Y","")</f>
        <v/>
      </c>
      <c r="DV215" s="58" t="str">
        <f>IF(ISNUMBER(MATCH(#REF!,'Audit Characteristic Mapping'!$F$3:$F$500,0)),"Y","")</f>
        <v/>
      </c>
      <c r="DW215" s="58" t="str">
        <f>IF(ISNUMBER(MATCH(#REF!,'Audit Characteristic Mapping'!$G$3:$G$500,0)),"Y","")</f>
        <v/>
      </c>
      <c r="DX215" s="58" t="str">
        <f>IF(ISNUMBER(MATCH(#REF!,'Audit Characteristic Mapping'!$H$3:$H$500,0)),"Y","")</f>
        <v/>
      </c>
      <c r="DY215" s="58" t="str">
        <f>IF(ISNUMBER(MATCH(#REF!,'Audit Characteristic Mapping'!$I$3:$I$500,0)),"Y","")</f>
        <v/>
      </c>
      <c r="DZ215" s="58" t="str">
        <f>IF(ISNUMBER(MATCH(#REF!,'Audit Characteristic Mapping'!$J$3:$J$500,0)),"Y","")</f>
        <v/>
      </c>
      <c r="EA215" s="58" t="str">
        <f>IF(ISNUMBER(MATCH(#REF!,'Audit Characteristic Mapping'!$K$3:$K$500,0)),"Y","")</f>
        <v/>
      </c>
    </row>
    <row r="216" spans="1:131" ht="16" hidden="1" x14ac:dyDescent="0.2">
      <c r="A216" s="288">
        <v>207</v>
      </c>
      <c r="B216" s="287" t="s">
        <v>253</v>
      </c>
      <c r="C216" s="226" t="s">
        <v>331</v>
      </c>
      <c r="D216" s="170">
        <v>5</v>
      </c>
      <c r="E216" s="288">
        <v>39</v>
      </c>
      <c r="F216" s="291" t="str">
        <f>VLOOKUP(Calculation!A216,'Descriptor maps'!$A$2:$F$1658,2,0)</f>
        <v>Studies &amp; Design</v>
      </c>
      <c r="G216" s="296"/>
      <c r="H216" s="290"/>
      <c r="I216" s="291"/>
      <c r="J216" s="292" t="e" cm="1">
        <f t="array" ref="J216">INDEX('Descriptor maps'!$I$2:$I$1658,MATCH(1,('Descriptor maps'!$A$2:$A$1658=Calculation!$A216)*('Descriptor maps'!$G$2:$G$1658=Calculation!$G216),0))</f>
        <v>#N/A</v>
      </c>
      <c r="K216" s="226"/>
      <c r="L216" s="293"/>
      <c r="M216" s="293"/>
      <c r="N216" s="293"/>
      <c r="O216" s="293"/>
      <c r="P216" s="293"/>
      <c r="Q216" s="293"/>
      <c r="R216" s="293"/>
      <c r="S216" s="293"/>
      <c r="T216" s="293"/>
      <c r="U216" s="293"/>
      <c r="V216" s="293"/>
      <c r="W216" s="293"/>
      <c r="X216" s="293"/>
      <c r="Y216" s="293"/>
      <c r="Z216" s="293"/>
      <c r="AA216" s="293"/>
      <c r="AB216" s="293"/>
      <c r="AC216" s="293"/>
      <c r="AD216" s="293"/>
      <c r="AE216" s="293"/>
      <c r="AF216" s="293"/>
      <c r="AG216" s="293"/>
      <c r="AH216" s="293"/>
      <c r="AI216" s="293"/>
      <c r="AJ216" s="293"/>
      <c r="AK216" s="293"/>
      <c r="AL216" s="293"/>
      <c r="AM216" s="293"/>
      <c r="AN216" s="293"/>
      <c r="AO216" s="293"/>
      <c r="AP216" s="293"/>
      <c r="AQ216" s="293"/>
      <c r="AR216" s="293"/>
      <c r="AS216" s="293"/>
      <c r="AT216" s="293"/>
      <c r="AU216" s="293"/>
      <c r="AV216" s="293"/>
      <c r="AW216" s="293"/>
      <c r="AX216" s="293"/>
      <c r="AY216" s="293"/>
      <c r="AZ216" s="293"/>
      <c r="BA216" s="293"/>
      <c r="BB216" s="293"/>
      <c r="BC216" s="293"/>
      <c r="BD216" s="293"/>
      <c r="BE216" s="293"/>
      <c r="BF216" s="293"/>
      <c r="BG216" s="293"/>
      <c r="BH216" s="293"/>
      <c r="BI216" s="293"/>
      <c r="BJ216" s="293"/>
      <c r="BK216" s="293"/>
      <c r="BL216" s="293"/>
      <c r="BM216" s="293"/>
      <c r="BN216" s="293"/>
      <c r="BO216" s="293"/>
      <c r="BP216" s="293"/>
      <c r="BQ216" s="293"/>
      <c r="BR216" s="293"/>
      <c r="BS216" s="293"/>
      <c r="BT216" s="293"/>
      <c r="BU216" s="293"/>
      <c r="BV216" s="293"/>
      <c r="BW216" s="293"/>
      <c r="BX216" s="293"/>
      <c r="BY216" s="293"/>
      <c r="BZ216" s="293"/>
      <c r="CA216" s="285"/>
      <c r="CB216" s="286"/>
      <c r="CC216" s="286"/>
      <c r="CD216" s="286"/>
      <c r="CE216" s="286"/>
      <c r="CF216" s="286"/>
      <c r="CG216" s="286"/>
      <c r="CH216" s="286"/>
      <c r="CI216" s="286"/>
      <c r="CJ216" s="286"/>
      <c r="CK216" s="286"/>
      <c r="CL216" s="286"/>
      <c r="CM216" s="286"/>
      <c r="CN216" s="286"/>
      <c r="CO216" s="286"/>
      <c r="CP216" s="286"/>
      <c r="CQ216" s="286"/>
      <c r="CR216" s="286"/>
      <c r="CS216" s="286"/>
      <c r="CT216" s="286"/>
      <c r="CU216" s="286"/>
      <c r="CV216" s="286"/>
      <c r="CW216" s="286"/>
      <c r="CX216" s="286"/>
      <c r="CY216" s="286"/>
      <c r="CZ216" s="286"/>
      <c r="DA216" s="286"/>
      <c r="DB216" s="286"/>
      <c r="DC216" s="286"/>
      <c r="DD216" s="286"/>
      <c r="DE216" s="286"/>
      <c r="DF216" s="286"/>
      <c r="DG216" s="286"/>
      <c r="DH216" s="286"/>
      <c r="DI216" s="286"/>
      <c r="DJ216" s="286"/>
      <c r="DK216" s="286"/>
      <c r="DL216" s="286"/>
      <c r="DM216" s="286"/>
      <c r="DN216" s="286"/>
      <c r="DO216" s="286"/>
      <c r="DP216" s="286"/>
      <c r="DR216" s="58" t="str">
        <f>IF(ISNUMBER(MATCH(#REF!,'Audit Characteristic Mapping'!$B$3:$B$500,0)),"Y","")</f>
        <v/>
      </c>
      <c r="DS216" s="58" t="str">
        <f>IF(ISNUMBER(MATCH(#REF!,'Audit Characteristic Mapping'!$C$3:$C$500,0)),"Y","")</f>
        <v/>
      </c>
      <c r="DT216" s="58" t="str">
        <f>IF(ISNUMBER(MATCH(#REF!,'Audit Characteristic Mapping'!$D$3:$D$500,0)),"Y","")</f>
        <v/>
      </c>
      <c r="DU216" s="58" t="str">
        <f>IF(ISNUMBER(MATCH(#REF!,'Audit Characteristic Mapping'!$E$3:$E$500,0)),"Y","")</f>
        <v/>
      </c>
      <c r="DV216" s="58" t="str">
        <f>IF(ISNUMBER(MATCH(#REF!,'Audit Characteristic Mapping'!$F$3:$F$500,0)),"Y","")</f>
        <v/>
      </c>
      <c r="DW216" s="58" t="str">
        <f>IF(ISNUMBER(MATCH(#REF!,'Audit Characteristic Mapping'!$G$3:$G$500,0)),"Y","")</f>
        <v/>
      </c>
      <c r="DX216" s="58" t="str">
        <f>IF(ISNUMBER(MATCH(#REF!,'Audit Characteristic Mapping'!$H$3:$H$500,0)),"Y","")</f>
        <v/>
      </c>
      <c r="DY216" s="58" t="str">
        <f>IF(ISNUMBER(MATCH(#REF!,'Audit Characteristic Mapping'!$I$3:$I$500,0)),"Y","")</f>
        <v/>
      </c>
      <c r="DZ216" s="58" t="str">
        <f>IF(ISNUMBER(MATCH(#REF!,'Audit Characteristic Mapping'!$J$3:$J$500,0)),"Y","")</f>
        <v/>
      </c>
      <c r="EA216" s="58" t="str">
        <f>IF(ISNUMBER(MATCH(#REF!,'Audit Characteristic Mapping'!$K$3:$K$500,0)),"Y","")</f>
        <v/>
      </c>
    </row>
    <row r="217" spans="1:131" ht="16" hidden="1" x14ac:dyDescent="0.2">
      <c r="A217" s="299">
        <v>208</v>
      </c>
      <c r="B217" s="287" t="s">
        <v>253</v>
      </c>
      <c r="C217" s="226" t="s">
        <v>331</v>
      </c>
      <c r="D217" s="170">
        <v>5</v>
      </c>
      <c r="E217" s="288">
        <v>39</v>
      </c>
      <c r="F217" s="291" t="str">
        <f>VLOOKUP(Calculation!A217,'Descriptor maps'!$A$2:$F$1658,2,0)</f>
        <v>Studies &amp; Design</v>
      </c>
      <c r="G217" s="296" t="s">
        <v>247</v>
      </c>
      <c r="H217" s="290"/>
      <c r="I217" s="291"/>
      <c r="J217" s="292" t="e" cm="1">
        <f t="array" ref="J217">INDEX('Descriptor maps'!$I$2:$I$1658,MATCH(1,('Descriptor maps'!$A$2:$A$1658=Calculation!$A217)*('Descriptor maps'!$G$2:$G$1658=Calculation!$G217),0))</f>
        <v>#N/A</v>
      </c>
      <c r="K217" s="226"/>
      <c r="L217" s="293"/>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c r="BJ217" s="293"/>
      <c r="BK217" s="293"/>
      <c r="BL217" s="293"/>
      <c r="BM217" s="293"/>
      <c r="BN217" s="293"/>
      <c r="BO217" s="293"/>
      <c r="BP217" s="293"/>
      <c r="BQ217" s="293"/>
      <c r="BR217" s="293"/>
      <c r="BS217" s="293"/>
      <c r="BT217" s="293"/>
      <c r="BU217" s="293"/>
      <c r="BV217" s="293"/>
      <c r="BW217" s="293"/>
      <c r="BX217" s="293"/>
      <c r="BY217" s="293"/>
      <c r="BZ217" s="293"/>
      <c r="CA217" s="285"/>
      <c r="CB217" s="286"/>
      <c r="CC217" s="286"/>
      <c r="CD217" s="286"/>
      <c r="CE217" s="286"/>
      <c r="CF217" s="286"/>
      <c r="CG217" s="286"/>
      <c r="CH217" s="286"/>
      <c r="CI217" s="286"/>
      <c r="CJ217" s="286"/>
      <c r="CK217" s="286"/>
      <c r="CL217" s="286"/>
      <c r="CM217" s="286"/>
      <c r="CN217" s="286"/>
      <c r="CO217" s="286"/>
      <c r="CP217" s="286"/>
      <c r="CQ217" s="286"/>
      <c r="CR217" s="286"/>
      <c r="CS217" s="286"/>
      <c r="CT217" s="286"/>
      <c r="CU217" s="286"/>
      <c r="CV217" s="286"/>
      <c r="CW217" s="286"/>
      <c r="CX217" s="286"/>
      <c r="CY217" s="286"/>
      <c r="CZ217" s="286"/>
      <c r="DA217" s="286"/>
      <c r="DB217" s="286"/>
      <c r="DC217" s="286"/>
      <c r="DD217" s="286"/>
      <c r="DE217" s="286"/>
      <c r="DF217" s="286"/>
      <c r="DG217" s="286"/>
      <c r="DH217" s="286"/>
      <c r="DI217" s="286"/>
      <c r="DJ217" s="286"/>
      <c r="DK217" s="286"/>
      <c r="DL217" s="286"/>
      <c r="DM217" s="286">
        <v>1</v>
      </c>
      <c r="DN217" s="286"/>
      <c r="DO217" s="286"/>
      <c r="DP217" s="286"/>
      <c r="DR217" s="58" t="str">
        <f>IF(ISNUMBER(MATCH(#REF!,'Audit Characteristic Mapping'!$B$3:$B$500,0)),"Y","")</f>
        <v/>
      </c>
      <c r="DS217" s="58" t="str">
        <f>IF(ISNUMBER(MATCH(#REF!,'Audit Characteristic Mapping'!$C$3:$C$500,0)),"Y","")</f>
        <v/>
      </c>
      <c r="DT217" s="58" t="str">
        <f>IF(ISNUMBER(MATCH(#REF!,'Audit Characteristic Mapping'!$D$3:$D$500,0)),"Y","")</f>
        <v/>
      </c>
      <c r="DU217" s="58" t="str">
        <f>IF(ISNUMBER(MATCH(#REF!,'Audit Characteristic Mapping'!$E$3:$E$500,0)),"Y","")</f>
        <v/>
      </c>
      <c r="DV217" s="58" t="str">
        <f>IF(ISNUMBER(MATCH(#REF!,'Audit Characteristic Mapping'!$F$3:$F$500,0)),"Y","")</f>
        <v/>
      </c>
      <c r="DW217" s="58" t="str">
        <f>IF(ISNUMBER(MATCH(#REF!,'Audit Characteristic Mapping'!$G$3:$G$500,0)),"Y","")</f>
        <v/>
      </c>
      <c r="DX217" s="58" t="str">
        <f>IF(ISNUMBER(MATCH(#REF!,'Audit Characteristic Mapping'!$H$3:$H$500,0)),"Y","")</f>
        <v/>
      </c>
      <c r="DY217" s="58" t="str">
        <f>IF(ISNUMBER(MATCH(#REF!,'Audit Characteristic Mapping'!$I$3:$I$500,0)),"Y","")</f>
        <v/>
      </c>
      <c r="DZ217" s="58" t="str">
        <f>IF(ISNUMBER(MATCH(#REF!,'Audit Characteristic Mapping'!$J$3:$J$500,0)),"Y","")</f>
        <v/>
      </c>
      <c r="EA217" s="58" t="str">
        <f>IF(ISNUMBER(MATCH(#REF!,'Audit Characteristic Mapping'!$K$3:$K$500,0)),"Y","")</f>
        <v/>
      </c>
    </row>
    <row r="218" spans="1:131" ht="16" hidden="1" x14ac:dyDescent="0.2">
      <c r="A218" s="288">
        <v>209</v>
      </c>
      <c r="B218" s="287" t="s">
        <v>253</v>
      </c>
      <c r="C218" s="226" t="s">
        <v>331</v>
      </c>
      <c r="D218" s="170">
        <v>5</v>
      </c>
      <c r="E218" s="288">
        <v>39</v>
      </c>
      <c r="F218" s="291" t="str">
        <f>VLOOKUP(Calculation!A218,'Descriptor maps'!$A$2:$F$1658,2,0)</f>
        <v>Studies &amp; Design</v>
      </c>
      <c r="G218" s="296"/>
      <c r="H218" s="290"/>
      <c r="I218" s="291"/>
      <c r="J218" s="292" t="e" cm="1">
        <f t="array" ref="J218">INDEX('Descriptor maps'!$I$2:$I$1658,MATCH(1,('Descriptor maps'!$A$2:$A$1658=Calculation!$A218)*('Descriptor maps'!$G$2:$G$1658=Calculation!$G218),0))</f>
        <v>#N/A</v>
      </c>
      <c r="K218" s="226"/>
      <c r="L218" s="293"/>
      <c r="M218" s="293"/>
      <c r="N218" s="293"/>
      <c r="O218" s="293"/>
      <c r="P218" s="293"/>
      <c r="Q218" s="293"/>
      <c r="R218" s="293"/>
      <c r="S218" s="293"/>
      <c r="T218" s="293"/>
      <c r="U218" s="293"/>
      <c r="V218" s="293"/>
      <c r="W218" s="293"/>
      <c r="X218" s="293"/>
      <c r="Y218" s="293"/>
      <c r="Z218" s="293"/>
      <c r="AA218" s="293"/>
      <c r="AB218" s="293"/>
      <c r="AC218" s="293"/>
      <c r="AD218" s="293"/>
      <c r="AE218" s="293"/>
      <c r="AF218" s="293"/>
      <c r="AG218" s="293"/>
      <c r="AH218" s="293"/>
      <c r="AI218" s="293"/>
      <c r="AJ218" s="293"/>
      <c r="AK218" s="293"/>
      <c r="AL218" s="293"/>
      <c r="AM218" s="293"/>
      <c r="AN218" s="293"/>
      <c r="AO218" s="293"/>
      <c r="AP218" s="293"/>
      <c r="AQ218" s="293"/>
      <c r="AR218" s="293"/>
      <c r="AS218" s="293"/>
      <c r="AT218" s="293"/>
      <c r="AU218" s="293"/>
      <c r="AV218" s="293"/>
      <c r="AW218" s="293"/>
      <c r="AX218" s="293"/>
      <c r="AY218" s="293"/>
      <c r="AZ218" s="293"/>
      <c r="BA218" s="293"/>
      <c r="BB218" s="293"/>
      <c r="BC218" s="293"/>
      <c r="BD218" s="293"/>
      <c r="BE218" s="293"/>
      <c r="BF218" s="293"/>
      <c r="BG218" s="293"/>
      <c r="BH218" s="293"/>
      <c r="BI218" s="293"/>
      <c r="BJ218" s="293"/>
      <c r="BK218" s="293"/>
      <c r="BL218" s="293"/>
      <c r="BM218" s="293"/>
      <c r="BN218" s="293"/>
      <c r="BO218" s="293"/>
      <c r="BP218" s="293"/>
      <c r="BQ218" s="293"/>
      <c r="BR218" s="293"/>
      <c r="BS218" s="293"/>
      <c r="BT218" s="293"/>
      <c r="BU218" s="293"/>
      <c r="BV218" s="293"/>
      <c r="BW218" s="293"/>
      <c r="BX218" s="293"/>
      <c r="BY218" s="293"/>
      <c r="BZ218" s="293"/>
      <c r="CA218" s="285"/>
      <c r="CB218" s="286"/>
      <c r="CC218" s="286"/>
      <c r="CD218" s="286"/>
      <c r="CE218" s="286"/>
      <c r="CF218" s="286"/>
      <c r="CG218" s="286"/>
      <c r="CH218" s="286"/>
      <c r="CI218" s="286"/>
      <c r="CJ218" s="286"/>
      <c r="CK218" s="286"/>
      <c r="CL218" s="286"/>
      <c r="CM218" s="286"/>
      <c r="CN218" s="286"/>
      <c r="CO218" s="286"/>
      <c r="CP218" s="286"/>
      <c r="CQ218" s="286"/>
      <c r="CR218" s="286"/>
      <c r="CS218" s="286"/>
      <c r="CT218" s="286"/>
      <c r="CU218" s="286"/>
      <c r="CV218" s="286"/>
      <c r="CW218" s="286"/>
      <c r="CX218" s="286"/>
      <c r="CY218" s="286"/>
      <c r="CZ218" s="286"/>
      <c r="DA218" s="286"/>
      <c r="DB218" s="286"/>
      <c r="DC218" s="286"/>
      <c r="DD218" s="286"/>
      <c r="DE218" s="286"/>
      <c r="DF218" s="286"/>
      <c r="DG218" s="286"/>
      <c r="DH218" s="286"/>
      <c r="DI218" s="286"/>
      <c r="DJ218" s="286"/>
      <c r="DK218" s="286"/>
      <c r="DL218" s="286"/>
      <c r="DM218" s="286"/>
      <c r="DN218" s="286"/>
      <c r="DO218" s="286"/>
      <c r="DP218" s="286"/>
      <c r="DR218" s="58" t="str">
        <f>IF(ISNUMBER(MATCH(#REF!,'Audit Characteristic Mapping'!$B$3:$B$500,0)),"Y","")</f>
        <v/>
      </c>
      <c r="DS218" s="58" t="str">
        <f>IF(ISNUMBER(MATCH(#REF!,'Audit Characteristic Mapping'!$C$3:$C$500,0)),"Y","")</f>
        <v/>
      </c>
      <c r="DT218" s="58" t="str">
        <f>IF(ISNUMBER(MATCH(#REF!,'Audit Characteristic Mapping'!$D$3:$D$500,0)),"Y","")</f>
        <v/>
      </c>
      <c r="DU218" s="58" t="str">
        <f>IF(ISNUMBER(MATCH(#REF!,'Audit Characteristic Mapping'!$E$3:$E$500,0)),"Y","")</f>
        <v/>
      </c>
      <c r="DV218" s="58" t="str">
        <f>IF(ISNUMBER(MATCH(#REF!,'Audit Characteristic Mapping'!$F$3:$F$500,0)),"Y","")</f>
        <v/>
      </c>
      <c r="DW218" s="58" t="str">
        <f>IF(ISNUMBER(MATCH(#REF!,'Audit Characteristic Mapping'!$G$3:$G$500,0)),"Y","")</f>
        <v/>
      </c>
      <c r="DX218" s="58" t="str">
        <f>IF(ISNUMBER(MATCH(#REF!,'Audit Characteristic Mapping'!$H$3:$H$500,0)),"Y","")</f>
        <v/>
      </c>
      <c r="DY218" s="58" t="str">
        <f>IF(ISNUMBER(MATCH(#REF!,'Audit Characteristic Mapping'!$I$3:$I$500,0)),"Y","")</f>
        <v/>
      </c>
      <c r="DZ218" s="58" t="str">
        <f>IF(ISNUMBER(MATCH(#REF!,'Audit Characteristic Mapping'!$J$3:$J$500,0)),"Y","")</f>
        <v/>
      </c>
      <c r="EA218" s="58" t="str">
        <f>IF(ISNUMBER(MATCH(#REF!,'Audit Characteristic Mapping'!$K$3:$K$500,0)),"Y","")</f>
        <v/>
      </c>
    </row>
    <row r="219" spans="1:131" ht="32" hidden="1" x14ac:dyDescent="0.2">
      <c r="A219" s="299">
        <v>210</v>
      </c>
      <c r="B219" s="287" t="s">
        <v>253</v>
      </c>
      <c r="C219" s="226" t="s">
        <v>331</v>
      </c>
      <c r="D219" s="170">
        <v>5</v>
      </c>
      <c r="E219" s="288">
        <v>39</v>
      </c>
      <c r="F219" s="291" t="str">
        <f>VLOOKUP(Calculation!A219,'Descriptor maps'!$A$2:$F$1658,2,0)</f>
        <v>Studies &amp; Design</v>
      </c>
      <c r="G219" s="296" t="s">
        <v>245</v>
      </c>
      <c r="H219" s="290"/>
      <c r="I219" s="291"/>
      <c r="J219" s="292" t="e" cm="1">
        <f t="array" ref="J219">INDEX('Descriptor maps'!$I$2:$I$1658,MATCH(1,('Descriptor maps'!$A$2:$A$1658=Calculation!$A219)*('Descriptor maps'!$G$2:$G$1658=Calculation!$G219),0))</f>
        <v>#N/A</v>
      </c>
      <c r="K219" s="226"/>
      <c r="L219" s="293"/>
      <c r="M219" s="293"/>
      <c r="N219" s="293"/>
      <c r="O219" s="293"/>
      <c r="P219" s="293"/>
      <c r="Q219" s="293"/>
      <c r="R219" s="293"/>
      <c r="S219" s="293"/>
      <c r="T219" s="293"/>
      <c r="U219" s="293"/>
      <c r="V219" s="293"/>
      <c r="W219" s="293"/>
      <c r="X219" s="293"/>
      <c r="Y219" s="293"/>
      <c r="Z219" s="293"/>
      <c r="AA219" s="293"/>
      <c r="AB219" s="293"/>
      <c r="AC219" s="293"/>
      <c r="AD219" s="293"/>
      <c r="AE219" s="293"/>
      <c r="AF219" s="293"/>
      <c r="AG219" s="293"/>
      <c r="AH219" s="293"/>
      <c r="AI219" s="293"/>
      <c r="AJ219" s="293"/>
      <c r="AK219" s="293"/>
      <c r="AL219" s="293"/>
      <c r="AM219" s="293"/>
      <c r="AN219" s="293"/>
      <c r="AO219" s="293"/>
      <c r="AP219" s="293"/>
      <c r="AQ219" s="293"/>
      <c r="AR219" s="293"/>
      <c r="AS219" s="293"/>
      <c r="AT219" s="293"/>
      <c r="AU219" s="293"/>
      <c r="AV219" s="293"/>
      <c r="AW219" s="293"/>
      <c r="AX219" s="293"/>
      <c r="AY219" s="293"/>
      <c r="AZ219" s="293"/>
      <c r="BA219" s="293"/>
      <c r="BB219" s="293"/>
      <c r="BC219" s="293"/>
      <c r="BD219" s="293"/>
      <c r="BE219" s="293"/>
      <c r="BF219" s="293"/>
      <c r="BG219" s="293"/>
      <c r="BH219" s="293"/>
      <c r="BI219" s="293"/>
      <c r="BJ219" s="293"/>
      <c r="BK219" s="293"/>
      <c r="BL219" s="293"/>
      <c r="BM219" s="293"/>
      <c r="BN219" s="293"/>
      <c r="BO219" s="293"/>
      <c r="BP219" s="293"/>
      <c r="BQ219" s="293"/>
      <c r="BR219" s="293"/>
      <c r="BS219" s="293"/>
      <c r="BT219" s="293"/>
      <c r="BU219" s="293"/>
      <c r="BV219" s="293"/>
      <c r="BW219" s="293"/>
      <c r="BX219" s="293"/>
      <c r="BY219" s="293"/>
      <c r="BZ219" s="293"/>
      <c r="CA219" s="285"/>
      <c r="CB219" s="286"/>
      <c r="CC219" s="286"/>
      <c r="CD219" s="286"/>
      <c r="CE219" s="286"/>
      <c r="CF219" s="286"/>
      <c r="CG219" s="286"/>
      <c r="CH219" s="286"/>
      <c r="CI219" s="286"/>
      <c r="CJ219" s="286"/>
      <c r="CK219" s="286"/>
      <c r="CL219" s="286"/>
      <c r="CM219" s="286"/>
      <c r="CN219" s="286"/>
      <c r="CO219" s="286"/>
      <c r="CP219" s="286"/>
      <c r="CQ219" s="286"/>
      <c r="CR219" s="286"/>
      <c r="CS219" s="286"/>
      <c r="CT219" s="286"/>
      <c r="CU219" s="286"/>
      <c r="CV219" s="286"/>
      <c r="CW219" s="286"/>
      <c r="CX219" s="286"/>
      <c r="CY219" s="286"/>
      <c r="CZ219" s="286"/>
      <c r="DA219" s="286"/>
      <c r="DB219" s="286"/>
      <c r="DC219" s="286"/>
      <c r="DD219" s="286"/>
      <c r="DE219" s="286"/>
      <c r="DF219" s="286"/>
      <c r="DG219" s="286"/>
      <c r="DH219" s="286"/>
      <c r="DI219" s="286"/>
      <c r="DJ219" s="286"/>
      <c r="DK219" s="286"/>
      <c r="DL219" s="286"/>
      <c r="DM219" s="286"/>
      <c r="DN219" s="286"/>
      <c r="DO219" s="286">
        <v>1</v>
      </c>
      <c r="DP219" s="286"/>
      <c r="DR219" s="58" t="str">
        <f>IF(ISNUMBER(MATCH(#REF!,'Audit Characteristic Mapping'!$B$3:$B$500,0)),"Y","")</f>
        <v/>
      </c>
      <c r="DS219" s="58" t="str">
        <f>IF(ISNUMBER(MATCH(#REF!,'Audit Characteristic Mapping'!$C$3:$C$500,0)),"Y","")</f>
        <v/>
      </c>
      <c r="DT219" s="58" t="str">
        <f>IF(ISNUMBER(MATCH(#REF!,'Audit Characteristic Mapping'!$D$3:$D$500,0)),"Y","")</f>
        <v/>
      </c>
      <c r="DU219" s="58" t="str">
        <f>IF(ISNUMBER(MATCH(#REF!,'Audit Characteristic Mapping'!$E$3:$E$500,0)),"Y","")</f>
        <v/>
      </c>
      <c r="DV219" s="58" t="str">
        <f>IF(ISNUMBER(MATCH(#REF!,'Audit Characteristic Mapping'!$F$3:$F$500,0)),"Y","")</f>
        <v/>
      </c>
      <c r="DW219" s="58" t="str">
        <f>IF(ISNUMBER(MATCH(#REF!,'Audit Characteristic Mapping'!$G$3:$G$500,0)),"Y","")</f>
        <v/>
      </c>
      <c r="DX219" s="58" t="str">
        <f>IF(ISNUMBER(MATCH(#REF!,'Audit Characteristic Mapping'!$H$3:$H$500,0)),"Y","")</f>
        <v/>
      </c>
      <c r="DY219" s="58" t="str">
        <f>IF(ISNUMBER(MATCH(#REF!,'Audit Characteristic Mapping'!$I$3:$I$500,0)),"Y","")</f>
        <v/>
      </c>
      <c r="DZ219" s="58" t="str">
        <f>IF(ISNUMBER(MATCH(#REF!,'Audit Characteristic Mapping'!$J$3:$J$500,0)),"Y","")</f>
        <v/>
      </c>
      <c r="EA219" s="58" t="str">
        <f>IF(ISNUMBER(MATCH(#REF!,'Audit Characteristic Mapping'!$K$3:$K$500,0)),"Y","")</f>
        <v/>
      </c>
    </row>
    <row r="220" spans="1:131" ht="16" hidden="1" x14ac:dyDescent="0.2">
      <c r="A220" s="288">
        <v>211</v>
      </c>
      <c r="B220" s="287" t="s">
        <v>253</v>
      </c>
      <c r="C220" s="226" t="s">
        <v>331</v>
      </c>
      <c r="D220" s="170">
        <v>5</v>
      </c>
      <c r="E220" s="288">
        <v>39</v>
      </c>
      <c r="F220" s="291" t="str">
        <f>VLOOKUP(Calculation!A220,'Descriptor maps'!$A$2:$F$1658,2,0)</f>
        <v>Studies &amp; Design</v>
      </c>
      <c r="G220" s="296"/>
      <c r="H220" s="290"/>
      <c r="I220" s="291"/>
      <c r="J220" s="292" t="e" cm="1">
        <f t="array" ref="J220">INDEX('Descriptor maps'!$I$2:$I$1658,MATCH(1,('Descriptor maps'!$A$2:$A$1658=Calculation!$A220)*('Descriptor maps'!$G$2:$G$1658=Calculation!$G220),0))</f>
        <v>#N/A</v>
      </c>
      <c r="K220" s="226"/>
      <c r="L220" s="293"/>
      <c r="M220" s="293"/>
      <c r="N220" s="293"/>
      <c r="O220" s="293"/>
      <c r="P220" s="293"/>
      <c r="Q220" s="293"/>
      <c r="R220" s="293"/>
      <c r="S220" s="293"/>
      <c r="T220" s="293"/>
      <c r="U220" s="293"/>
      <c r="V220" s="293"/>
      <c r="W220" s="293"/>
      <c r="X220" s="293"/>
      <c r="Y220" s="293"/>
      <c r="Z220" s="293"/>
      <c r="AA220" s="293"/>
      <c r="AB220" s="293"/>
      <c r="AC220" s="293"/>
      <c r="AD220" s="293"/>
      <c r="AE220" s="293"/>
      <c r="AF220" s="293"/>
      <c r="AG220" s="293"/>
      <c r="AH220" s="293"/>
      <c r="AI220" s="293"/>
      <c r="AJ220" s="293"/>
      <c r="AK220" s="293"/>
      <c r="AL220" s="293"/>
      <c r="AM220" s="293"/>
      <c r="AN220" s="293"/>
      <c r="AO220" s="293"/>
      <c r="AP220" s="293"/>
      <c r="AQ220" s="293"/>
      <c r="AR220" s="293"/>
      <c r="AS220" s="293"/>
      <c r="AT220" s="293"/>
      <c r="AU220" s="293"/>
      <c r="AV220" s="293"/>
      <c r="AW220" s="293"/>
      <c r="AX220" s="293"/>
      <c r="AY220" s="293"/>
      <c r="AZ220" s="293"/>
      <c r="BA220" s="293"/>
      <c r="BB220" s="293"/>
      <c r="BC220" s="293"/>
      <c r="BD220" s="293"/>
      <c r="BE220" s="293"/>
      <c r="BF220" s="293"/>
      <c r="BG220" s="293"/>
      <c r="BH220" s="293"/>
      <c r="BI220" s="293"/>
      <c r="BJ220" s="293"/>
      <c r="BK220" s="293"/>
      <c r="BL220" s="293"/>
      <c r="BM220" s="293"/>
      <c r="BN220" s="293"/>
      <c r="BO220" s="293"/>
      <c r="BP220" s="293"/>
      <c r="BQ220" s="293"/>
      <c r="BR220" s="293"/>
      <c r="BS220" s="293"/>
      <c r="BT220" s="293"/>
      <c r="BU220" s="293"/>
      <c r="BV220" s="293"/>
      <c r="BW220" s="293"/>
      <c r="BX220" s="293"/>
      <c r="BY220" s="293"/>
      <c r="BZ220" s="293"/>
      <c r="CA220" s="285"/>
      <c r="CB220" s="286"/>
      <c r="CC220" s="286"/>
      <c r="CD220" s="286"/>
      <c r="CE220" s="286"/>
      <c r="CF220" s="286"/>
      <c r="CG220" s="286"/>
      <c r="CH220" s="286"/>
      <c r="CI220" s="286"/>
      <c r="CJ220" s="286"/>
      <c r="CK220" s="286"/>
      <c r="CL220" s="286"/>
      <c r="CM220" s="286"/>
      <c r="CN220" s="286"/>
      <c r="CO220" s="286"/>
      <c r="CP220" s="286"/>
      <c r="CQ220" s="286"/>
      <c r="CR220" s="286"/>
      <c r="CS220" s="286"/>
      <c r="CT220" s="286"/>
      <c r="CU220" s="286"/>
      <c r="CV220" s="286"/>
      <c r="CW220" s="286"/>
      <c r="CX220" s="286"/>
      <c r="CY220" s="286"/>
      <c r="CZ220" s="286"/>
      <c r="DA220" s="286"/>
      <c r="DB220" s="286"/>
      <c r="DC220" s="286"/>
      <c r="DD220" s="286"/>
      <c r="DE220" s="286"/>
      <c r="DF220" s="286"/>
      <c r="DG220" s="286"/>
      <c r="DH220" s="286"/>
      <c r="DI220" s="286"/>
      <c r="DJ220" s="286"/>
      <c r="DK220" s="286"/>
      <c r="DL220" s="286"/>
      <c r="DM220" s="286"/>
      <c r="DN220" s="286"/>
      <c r="DO220" s="286"/>
      <c r="DP220" s="286"/>
      <c r="DR220" s="58" t="str">
        <f>IF(ISNUMBER(MATCH(#REF!,'Audit Characteristic Mapping'!$B$3:$B$500,0)),"Y","")</f>
        <v/>
      </c>
      <c r="DS220" s="58" t="str">
        <f>IF(ISNUMBER(MATCH(#REF!,'Audit Characteristic Mapping'!$C$3:$C$500,0)),"Y","")</f>
        <v/>
      </c>
      <c r="DT220" s="58" t="str">
        <f>IF(ISNUMBER(MATCH(#REF!,'Audit Characteristic Mapping'!$D$3:$D$500,0)),"Y","")</f>
        <v/>
      </c>
      <c r="DU220" s="58" t="str">
        <f>IF(ISNUMBER(MATCH(#REF!,'Audit Characteristic Mapping'!$E$3:$E$500,0)),"Y","")</f>
        <v/>
      </c>
      <c r="DV220" s="58" t="str">
        <f>IF(ISNUMBER(MATCH(#REF!,'Audit Characteristic Mapping'!$F$3:$F$500,0)),"Y","")</f>
        <v/>
      </c>
      <c r="DW220" s="58" t="str">
        <f>IF(ISNUMBER(MATCH(#REF!,'Audit Characteristic Mapping'!$G$3:$G$500,0)),"Y","")</f>
        <v/>
      </c>
      <c r="DX220" s="58" t="str">
        <f>IF(ISNUMBER(MATCH(#REF!,'Audit Characteristic Mapping'!$H$3:$H$500,0)),"Y","")</f>
        <v/>
      </c>
      <c r="DY220" s="58" t="str">
        <f>IF(ISNUMBER(MATCH(#REF!,'Audit Characteristic Mapping'!$I$3:$I$500,0)),"Y","")</f>
        <v/>
      </c>
      <c r="DZ220" s="58" t="str">
        <f>IF(ISNUMBER(MATCH(#REF!,'Audit Characteristic Mapping'!$J$3:$J$500,0)),"Y","")</f>
        <v/>
      </c>
      <c r="EA220" s="58" t="str">
        <f>IF(ISNUMBER(MATCH(#REF!,'Audit Characteristic Mapping'!$K$3:$K$500,0)),"Y","")</f>
        <v/>
      </c>
    </row>
    <row r="221" spans="1:131" ht="16" hidden="1" x14ac:dyDescent="0.2">
      <c r="A221" s="288">
        <v>212</v>
      </c>
      <c r="B221" s="287" t="s">
        <v>253</v>
      </c>
      <c r="C221" s="226" t="s">
        <v>342</v>
      </c>
      <c r="D221" s="170">
        <v>5</v>
      </c>
      <c r="E221" s="288">
        <v>40</v>
      </c>
      <c r="F221" s="291" t="str">
        <f>VLOOKUP(Calculation!A221,'Descriptor maps'!$A$2:$F$1658,2,0)</f>
        <v>Studies &amp; Design</v>
      </c>
      <c r="G221" s="296"/>
      <c r="H221" s="290"/>
      <c r="I221" s="291"/>
      <c r="J221" s="292" t="e" cm="1">
        <f t="array" ref="J221">INDEX('Descriptor maps'!$I$2:$I$1658,MATCH(1,('Descriptor maps'!$A$2:$A$1658=Calculation!$A221)*('Descriptor maps'!$G$2:$G$1658=Calculation!$G221),0))</f>
        <v>#N/A</v>
      </c>
      <c r="K221" s="226"/>
      <c r="L221" s="293"/>
      <c r="M221" s="293"/>
      <c r="N221" s="293"/>
      <c r="O221" s="293"/>
      <c r="P221" s="293"/>
      <c r="Q221" s="293"/>
      <c r="R221" s="293"/>
      <c r="S221" s="293"/>
      <c r="T221" s="293"/>
      <c r="U221" s="293"/>
      <c r="V221" s="293"/>
      <c r="W221" s="293"/>
      <c r="X221" s="293"/>
      <c r="Y221" s="293"/>
      <c r="Z221" s="293"/>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c r="AW221" s="293"/>
      <c r="AX221" s="293"/>
      <c r="AY221" s="293"/>
      <c r="AZ221" s="293"/>
      <c r="BA221" s="293"/>
      <c r="BB221" s="293"/>
      <c r="BC221" s="293"/>
      <c r="BD221" s="293"/>
      <c r="BE221" s="293"/>
      <c r="BF221" s="293"/>
      <c r="BG221" s="293"/>
      <c r="BH221" s="293"/>
      <c r="BI221" s="293"/>
      <c r="BJ221" s="293"/>
      <c r="BK221" s="293"/>
      <c r="BL221" s="293"/>
      <c r="BM221" s="293"/>
      <c r="BN221" s="293"/>
      <c r="BO221" s="293"/>
      <c r="BP221" s="293"/>
      <c r="BQ221" s="293"/>
      <c r="BR221" s="293"/>
      <c r="BS221" s="293"/>
      <c r="BT221" s="293"/>
      <c r="BU221" s="293"/>
      <c r="BV221" s="293"/>
      <c r="BW221" s="293"/>
      <c r="BX221" s="293"/>
      <c r="BY221" s="293"/>
      <c r="BZ221" s="293"/>
      <c r="CA221" s="285"/>
      <c r="CB221" s="286"/>
      <c r="CC221" s="286"/>
      <c r="CD221" s="286"/>
      <c r="CE221" s="286"/>
      <c r="CF221" s="286"/>
      <c r="CG221" s="286"/>
      <c r="CH221" s="286"/>
      <c r="CI221" s="286"/>
      <c r="CJ221" s="286"/>
      <c r="CK221" s="286"/>
      <c r="CL221" s="286"/>
      <c r="CM221" s="286"/>
      <c r="CN221" s="286"/>
      <c r="CO221" s="286"/>
      <c r="CP221" s="286"/>
      <c r="CQ221" s="286"/>
      <c r="CR221" s="286"/>
      <c r="CS221" s="286"/>
      <c r="CT221" s="286"/>
      <c r="CU221" s="286"/>
      <c r="CV221" s="286"/>
      <c r="CW221" s="286"/>
      <c r="CX221" s="286"/>
      <c r="CY221" s="286"/>
      <c r="CZ221" s="286"/>
      <c r="DA221" s="286"/>
      <c r="DB221" s="286"/>
      <c r="DC221" s="286"/>
      <c r="DD221" s="286"/>
      <c r="DE221" s="286"/>
      <c r="DF221" s="286"/>
      <c r="DG221" s="286"/>
      <c r="DH221" s="286"/>
      <c r="DI221" s="286"/>
      <c r="DJ221" s="286"/>
      <c r="DK221" s="286"/>
      <c r="DL221" s="286"/>
      <c r="DM221" s="286"/>
      <c r="DN221" s="286"/>
      <c r="DO221" s="286"/>
      <c r="DP221" s="286"/>
      <c r="DR221" s="58" t="str">
        <f>IF(ISNUMBER(MATCH(#REF!,'Audit Characteristic Mapping'!$B$3:$B$500,0)),"Y","")</f>
        <v/>
      </c>
      <c r="DS221" s="58" t="str">
        <f>IF(ISNUMBER(MATCH(#REF!,'Audit Characteristic Mapping'!$C$3:$C$500,0)),"Y","")</f>
        <v/>
      </c>
      <c r="DT221" s="58" t="str">
        <f>IF(ISNUMBER(MATCH(#REF!,'Audit Characteristic Mapping'!$D$3:$D$500,0)),"Y","")</f>
        <v/>
      </c>
      <c r="DU221" s="58" t="str">
        <f>IF(ISNUMBER(MATCH(#REF!,'Audit Characteristic Mapping'!$E$3:$E$500,0)),"Y","")</f>
        <v/>
      </c>
      <c r="DV221" s="58" t="str">
        <f>IF(ISNUMBER(MATCH(#REF!,'Audit Characteristic Mapping'!$F$3:$F$500,0)),"Y","")</f>
        <v/>
      </c>
      <c r="DW221" s="58" t="str">
        <f>IF(ISNUMBER(MATCH(#REF!,'Audit Characteristic Mapping'!$G$3:$G$500,0)),"Y","")</f>
        <v/>
      </c>
      <c r="DX221" s="58" t="str">
        <f>IF(ISNUMBER(MATCH(#REF!,'Audit Characteristic Mapping'!$H$3:$H$500,0)),"Y","")</f>
        <v/>
      </c>
      <c r="DY221" s="58" t="str">
        <f>IF(ISNUMBER(MATCH(#REF!,'Audit Characteristic Mapping'!$I$3:$I$500,0)),"Y","")</f>
        <v/>
      </c>
      <c r="DZ221" s="58" t="str">
        <f>IF(ISNUMBER(MATCH(#REF!,'Audit Characteristic Mapping'!$J$3:$J$500,0)),"Y","")</f>
        <v/>
      </c>
      <c r="EA221" s="58" t="str">
        <f>IF(ISNUMBER(MATCH(#REF!,'Audit Characteristic Mapping'!$K$3:$K$500,0)),"Y","")</f>
        <v/>
      </c>
    </row>
    <row r="222" spans="1:131" ht="16" hidden="1" x14ac:dyDescent="0.2">
      <c r="A222" s="288">
        <v>213</v>
      </c>
      <c r="B222" s="287" t="s">
        <v>253</v>
      </c>
      <c r="C222" s="226" t="s">
        <v>342</v>
      </c>
      <c r="D222" s="170">
        <v>5</v>
      </c>
      <c r="E222" s="288">
        <v>40</v>
      </c>
      <c r="F222" s="291" t="str">
        <f>VLOOKUP(Calculation!A222,'Descriptor maps'!$A$2:$F$1658,2,0)</f>
        <v>Studies &amp; Design</v>
      </c>
      <c r="G222" s="296"/>
      <c r="H222" s="290"/>
      <c r="I222" s="291"/>
      <c r="J222" s="292" t="e" cm="1">
        <f t="array" ref="J222">INDEX('Descriptor maps'!$I$2:$I$1658,MATCH(1,('Descriptor maps'!$A$2:$A$1658=Calculation!$A222)*('Descriptor maps'!$G$2:$G$1658=Calculation!$G222),0))</f>
        <v>#N/A</v>
      </c>
      <c r="K222" s="226"/>
      <c r="L222" s="293"/>
      <c r="M222" s="293"/>
      <c r="N222" s="293"/>
      <c r="O222" s="293"/>
      <c r="P222" s="293"/>
      <c r="Q222" s="293"/>
      <c r="R222" s="293"/>
      <c r="S222" s="293"/>
      <c r="T222" s="293"/>
      <c r="U222" s="293"/>
      <c r="V222" s="293"/>
      <c r="W222" s="293"/>
      <c r="X222" s="293"/>
      <c r="Y222" s="293"/>
      <c r="Z222" s="293"/>
      <c r="AA222" s="293"/>
      <c r="AB222" s="293"/>
      <c r="AC222" s="293"/>
      <c r="AD222" s="293"/>
      <c r="AE222" s="293"/>
      <c r="AF222" s="293"/>
      <c r="AG222" s="293"/>
      <c r="AH222" s="293"/>
      <c r="AI222" s="293"/>
      <c r="AJ222" s="293"/>
      <c r="AK222" s="293"/>
      <c r="AL222" s="293"/>
      <c r="AM222" s="293"/>
      <c r="AN222" s="293"/>
      <c r="AO222" s="293"/>
      <c r="AP222" s="293"/>
      <c r="AQ222" s="293"/>
      <c r="AR222" s="293"/>
      <c r="AS222" s="293"/>
      <c r="AT222" s="293"/>
      <c r="AU222" s="293"/>
      <c r="AV222" s="293"/>
      <c r="AW222" s="293"/>
      <c r="AX222" s="293"/>
      <c r="AY222" s="293"/>
      <c r="AZ222" s="293"/>
      <c r="BA222" s="293"/>
      <c r="BB222" s="293"/>
      <c r="BC222" s="293"/>
      <c r="BD222" s="293"/>
      <c r="BE222" s="293"/>
      <c r="BF222" s="293"/>
      <c r="BG222" s="293"/>
      <c r="BH222" s="293"/>
      <c r="BI222" s="293"/>
      <c r="BJ222" s="293"/>
      <c r="BK222" s="293"/>
      <c r="BL222" s="293"/>
      <c r="BM222" s="293"/>
      <c r="BN222" s="293"/>
      <c r="BO222" s="293"/>
      <c r="BP222" s="293"/>
      <c r="BQ222" s="293"/>
      <c r="BR222" s="293"/>
      <c r="BS222" s="293"/>
      <c r="BT222" s="293"/>
      <c r="BU222" s="293"/>
      <c r="BV222" s="293"/>
      <c r="BW222" s="293"/>
      <c r="BX222" s="293"/>
      <c r="BY222" s="293"/>
      <c r="BZ222" s="293"/>
      <c r="CA222" s="285"/>
      <c r="CB222" s="286"/>
      <c r="CC222" s="286"/>
      <c r="CD222" s="286"/>
      <c r="CE222" s="286"/>
      <c r="CF222" s="286"/>
      <c r="CG222" s="286"/>
      <c r="CH222" s="286"/>
      <c r="CI222" s="286"/>
      <c r="CJ222" s="286"/>
      <c r="CK222" s="286"/>
      <c r="CL222" s="286"/>
      <c r="CM222" s="286"/>
      <c r="CN222" s="286"/>
      <c r="CO222" s="286"/>
      <c r="CP222" s="286"/>
      <c r="CQ222" s="286"/>
      <c r="CR222" s="286"/>
      <c r="CS222" s="286"/>
      <c r="CT222" s="286"/>
      <c r="CU222" s="286"/>
      <c r="CV222" s="286"/>
      <c r="CW222" s="286"/>
      <c r="CX222" s="286"/>
      <c r="CY222" s="286"/>
      <c r="CZ222" s="286"/>
      <c r="DA222" s="286"/>
      <c r="DB222" s="286"/>
      <c r="DC222" s="286"/>
      <c r="DD222" s="286"/>
      <c r="DE222" s="286"/>
      <c r="DF222" s="286"/>
      <c r="DG222" s="286"/>
      <c r="DH222" s="286"/>
      <c r="DI222" s="286"/>
      <c r="DJ222" s="286"/>
      <c r="DK222" s="286"/>
      <c r="DL222" s="286"/>
      <c r="DM222" s="286"/>
      <c r="DN222" s="286"/>
      <c r="DO222" s="286"/>
      <c r="DP222" s="286"/>
      <c r="DR222" s="58" t="str">
        <f>IF(ISNUMBER(MATCH(#REF!,'Audit Characteristic Mapping'!$B$3:$B$500,0)),"Y","")</f>
        <v/>
      </c>
      <c r="DS222" s="58" t="str">
        <f>IF(ISNUMBER(MATCH(#REF!,'Audit Characteristic Mapping'!$C$3:$C$500,0)),"Y","")</f>
        <v/>
      </c>
      <c r="DT222" s="58" t="str">
        <f>IF(ISNUMBER(MATCH(#REF!,'Audit Characteristic Mapping'!$D$3:$D$500,0)),"Y","")</f>
        <v/>
      </c>
      <c r="DU222" s="58" t="str">
        <f>IF(ISNUMBER(MATCH(#REF!,'Audit Characteristic Mapping'!$E$3:$E$500,0)),"Y","")</f>
        <v/>
      </c>
      <c r="DV222" s="58" t="str">
        <f>IF(ISNUMBER(MATCH(#REF!,'Audit Characteristic Mapping'!$F$3:$F$500,0)),"Y","")</f>
        <v/>
      </c>
      <c r="DW222" s="58" t="str">
        <f>IF(ISNUMBER(MATCH(#REF!,'Audit Characteristic Mapping'!$G$3:$G$500,0)),"Y","")</f>
        <v/>
      </c>
      <c r="DX222" s="58" t="str">
        <f>IF(ISNUMBER(MATCH(#REF!,'Audit Characteristic Mapping'!$H$3:$H$500,0)),"Y","")</f>
        <v/>
      </c>
      <c r="DY222" s="58" t="str">
        <f>IF(ISNUMBER(MATCH(#REF!,'Audit Characteristic Mapping'!$I$3:$I$500,0)),"Y","")</f>
        <v/>
      </c>
      <c r="DZ222" s="58" t="str">
        <f>IF(ISNUMBER(MATCH(#REF!,'Audit Characteristic Mapping'!$J$3:$J$500,0)),"Y","")</f>
        <v/>
      </c>
      <c r="EA222" s="58" t="str">
        <f>IF(ISNUMBER(MATCH(#REF!,'Audit Characteristic Mapping'!$K$3:$K$500,0)),"Y","")</f>
        <v/>
      </c>
    </row>
    <row r="223" spans="1:131" ht="16" hidden="1" x14ac:dyDescent="0.2">
      <c r="A223" s="288">
        <v>214</v>
      </c>
      <c r="B223" s="287" t="s">
        <v>253</v>
      </c>
      <c r="C223" s="226" t="s">
        <v>342</v>
      </c>
      <c r="D223" s="170">
        <v>5</v>
      </c>
      <c r="E223" s="288">
        <v>40</v>
      </c>
      <c r="F223" s="291" t="str">
        <f>VLOOKUP(Calculation!A223,'Descriptor maps'!$A$2:$F$1658,2,0)</f>
        <v>Studies &amp; Design</v>
      </c>
      <c r="G223" s="296"/>
      <c r="H223" s="290"/>
      <c r="I223" s="291"/>
      <c r="J223" s="292" t="e" cm="1">
        <f t="array" ref="J223">INDEX('Descriptor maps'!$I$2:$I$1658,MATCH(1,('Descriptor maps'!$A$2:$A$1658=Calculation!$A223)*('Descriptor maps'!$G$2:$G$1658=Calculation!$G223),0))</f>
        <v>#N/A</v>
      </c>
      <c r="K223" s="226"/>
      <c r="L223" s="293"/>
      <c r="M223" s="293"/>
      <c r="N223" s="293"/>
      <c r="O223" s="293"/>
      <c r="P223" s="293"/>
      <c r="Q223" s="293"/>
      <c r="R223" s="293"/>
      <c r="S223" s="293"/>
      <c r="T223" s="293"/>
      <c r="U223" s="293"/>
      <c r="V223" s="293"/>
      <c r="W223" s="293"/>
      <c r="X223" s="293"/>
      <c r="Y223" s="293"/>
      <c r="Z223" s="293"/>
      <c r="AA223" s="293"/>
      <c r="AB223" s="293"/>
      <c r="AC223" s="293"/>
      <c r="AD223" s="293"/>
      <c r="AE223" s="293"/>
      <c r="AF223" s="293"/>
      <c r="AG223" s="293"/>
      <c r="AH223" s="293"/>
      <c r="AI223" s="293"/>
      <c r="AJ223" s="293"/>
      <c r="AK223" s="293"/>
      <c r="AL223" s="293"/>
      <c r="AM223" s="293"/>
      <c r="AN223" s="293"/>
      <c r="AO223" s="293"/>
      <c r="AP223" s="293"/>
      <c r="AQ223" s="293"/>
      <c r="AR223" s="293"/>
      <c r="AS223" s="293"/>
      <c r="AT223" s="293"/>
      <c r="AU223" s="293"/>
      <c r="AV223" s="293"/>
      <c r="AW223" s="293"/>
      <c r="AX223" s="293"/>
      <c r="AY223" s="293"/>
      <c r="AZ223" s="293"/>
      <c r="BA223" s="293"/>
      <c r="BB223" s="293"/>
      <c r="BC223" s="293"/>
      <c r="BD223" s="293"/>
      <c r="BE223" s="293"/>
      <c r="BF223" s="293"/>
      <c r="BG223" s="293"/>
      <c r="BH223" s="293"/>
      <c r="BI223" s="293"/>
      <c r="BJ223" s="293"/>
      <c r="BK223" s="293"/>
      <c r="BL223" s="293"/>
      <c r="BM223" s="293"/>
      <c r="BN223" s="293"/>
      <c r="BO223" s="293"/>
      <c r="BP223" s="293"/>
      <c r="BQ223" s="293"/>
      <c r="BR223" s="293"/>
      <c r="BS223" s="293"/>
      <c r="BT223" s="293"/>
      <c r="BU223" s="293"/>
      <c r="BV223" s="293"/>
      <c r="BW223" s="293"/>
      <c r="BX223" s="293"/>
      <c r="BY223" s="293"/>
      <c r="BZ223" s="293"/>
      <c r="CA223" s="285"/>
      <c r="CB223" s="286"/>
      <c r="CC223" s="286"/>
      <c r="CD223" s="286"/>
      <c r="CE223" s="286"/>
      <c r="CF223" s="286"/>
      <c r="CG223" s="286"/>
      <c r="CH223" s="286"/>
      <c r="CI223" s="286"/>
      <c r="CJ223" s="286"/>
      <c r="CK223" s="286"/>
      <c r="CL223" s="286"/>
      <c r="CM223" s="286"/>
      <c r="CN223" s="286"/>
      <c r="CO223" s="286"/>
      <c r="CP223" s="286"/>
      <c r="CQ223" s="286"/>
      <c r="CR223" s="286"/>
      <c r="CS223" s="286"/>
      <c r="CT223" s="286"/>
      <c r="CU223" s="286"/>
      <c r="CV223" s="286"/>
      <c r="CW223" s="286"/>
      <c r="CX223" s="286"/>
      <c r="CY223" s="286"/>
      <c r="CZ223" s="286"/>
      <c r="DA223" s="286"/>
      <c r="DB223" s="286"/>
      <c r="DC223" s="286"/>
      <c r="DD223" s="286"/>
      <c r="DE223" s="286"/>
      <c r="DF223" s="286"/>
      <c r="DG223" s="286"/>
      <c r="DH223" s="286"/>
      <c r="DI223" s="286"/>
      <c r="DJ223" s="286"/>
      <c r="DK223" s="286"/>
      <c r="DL223" s="286"/>
      <c r="DM223" s="286"/>
      <c r="DN223" s="286"/>
      <c r="DO223" s="286"/>
      <c r="DP223" s="286"/>
      <c r="DR223" s="58" t="str">
        <f>IF(ISNUMBER(MATCH(#REF!,'Audit Characteristic Mapping'!$B$3:$B$500,0)),"Y","")</f>
        <v/>
      </c>
      <c r="DS223" s="58" t="str">
        <f>IF(ISNUMBER(MATCH(#REF!,'Audit Characteristic Mapping'!$C$3:$C$500,0)),"Y","")</f>
        <v/>
      </c>
      <c r="DT223" s="58" t="str">
        <f>IF(ISNUMBER(MATCH(#REF!,'Audit Characteristic Mapping'!$D$3:$D$500,0)),"Y","")</f>
        <v/>
      </c>
      <c r="DU223" s="58" t="str">
        <f>IF(ISNUMBER(MATCH(#REF!,'Audit Characteristic Mapping'!$E$3:$E$500,0)),"Y","")</f>
        <v/>
      </c>
      <c r="DV223" s="58" t="str">
        <f>IF(ISNUMBER(MATCH(#REF!,'Audit Characteristic Mapping'!$F$3:$F$500,0)),"Y","")</f>
        <v/>
      </c>
      <c r="DW223" s="58" t="str">
        <f>IF(ISNUMBER(MATCH(#REF!,'Audit Characteristic Mapping'!$G$3:$G$500,0)),"Y","")</f>
        <v/>
      </c>
      <c r="DX223" s="58" t="str">
        <f>IF(ISNUMBER(MATCH(#REF!,'Audit Characteristic Mapping'!$H$3:$H$500,0)),"Y","")</f>
        <v/>
      </c>
      <c r="DY223" s="58" t="str">
        <f>IF(ISNUMBER(MATCH(#REF!,'Audit Characteristic Mapping'!$I$3:$I$500,0)),"Y","")</f>
        <v/>
      </c>
      <c r="DZ223" s="58" t="str">
        <f>IF(ISNUMBER(MATCH(#REF!,'Audit Characteristic Mapping'!$J$3:$J$500,0)),"Y","")</f>
        <v/>
      </c>
      <c r="EA223" s="58" t="str">
        <f>IF(ISNUMBER(MATCH(#REF!,'Audit Characteristic Mapping'!$K$3:$K$500,0)),"Y","")</f>
        <v/>
      </c>
    </row>
    <row r="224" spans="1:131" ht="16" hidden="1" x14ac:dyDescent="0.2">
      <c r="A224" s="288">
        <v>215</v>
      </c>
      <c r="B224" s="287" t="s">
        <v>253</v>
      </c>
      <c r="C224" s="226" t="s">
        <v>342</v>
      </c>
      <c r="D224" s="170">
        <v>5</v>
      </c>
      <c r="E224" s="288">
        <v>40</v>
      </c>
      <c r="F224" s="291" t="str">
        <f>VLOOKUP(Calculation!A224,'Descriptor maps'!$A$2:$F$1658,2,0)</f>
        <v>Studies &amp; Design</v>
      </c>
      <c r="G224" s="296"/>
      <c r="H224" s="290"/>
      <c r="I224" s="291"/>
      <c r="J224" s="292" t="e" cm="1">
        <f t="array" ref="J224">INDEX('Descriptor maps'!$I$2:$I$1658,MATCH(1,('Descriptor maps'!$A$2:$A$1658=Calculation!$A224)*('Descriptor maps'!$G$2:$G$1658=Calculation!$G224),0))</f>
        <v>#N/A</v>
      </c>
      <c r="K224" s="226"/>
      <c r="L224" s="293"/>
      <c r="M224" s="293"/>
      <c r="N224" s="293"/>
      <c r="O224" s="293"/>
      <c r="P224" s="293"/>
      <c r="Q224" s="293"/>
      <c r="R224" s="293"/>
      <c r="S224" s="293"/>
      <c r="T224" s="293"/>
      <c r="U224" s="293"/>
      <c r="V224" s="293"/>
      <c r="W224" s="293"/>
      <c r="X224" s="293"/>
      <c r="Y224" s="293"/>
      <c r="Z224" s="293"/>
      <c r="AA224" s="293"/>
      <c r="AB224" s="293"/>
      <c r="AC224" s="293"/>
      <c r="AD224" s="293"/>
      <c r="AE224" s="293"/>
      <c r="AF224" s="293"/>
      <c r="AG224" s="293"/>
      <c r="AH224" s="293"/>
      <c r="AI224" s="293"/>
      <c r="AJ224" s="293"/>
      <c r="AK224" s="293"/>
      <c r="AL224" s="293"/>
      <c r="AM224" s="293"/>
      <c r="AN224" s="293"/>
      <c r="AO224" s="293"/>
      <c r="AP224" s="293"/>
      <c r="AQ224" s="293"/>
      <c r="AR224" s="293"/>
      <c r="AS224" s="293"/>
      <c r="AT224" s="293"/>
      <c r="AU224" s="293"/>
      <c r="AV224" s="293"/>
      <c r="AW224" s="293"/>
      <c r="AX224" s="293"/>
      <c r="AY224" s="293"/>
      <c r="AZ224" s="293"/>
      <c r="BA224" s="293"/>
      <c r="BB224" s="293"/>
      <c r="BC224" s="293"/>
      <c r="BD224" s="293"/>
      <c r="BE224" s="293"/>
      <c r="BF224" s="293"/>
      <c r="BG224" s="293"/>
      <c r="BH224" s="293"/>
      <c r="BI224" s="293"/>
      <c r="BJ224" s="293"/>
      <c r="BK224" s="293"/>
      <c r="BL224" s="293"/>
      <c r="BM224" s="293"/>
      <c r="BN224" s="293"/>
      <c r="BO224" s="293"/>
      <c r="BP224" s="293"/>
      <c r="BQ224" s="293"/>
      <c r="BR224" s="293"/>
      <c r="BS224" s="293"/>
      <c r="BT224" s="293"/>
      <c r="BU224" s="293"/>
      <c r="BV224" s="293"/>
      <c r="BW224" s="293"/>
      <c r="BX224" s="293"/>
      <c r="BY224" s="293"/>
      <c r="BZ224" s="293"/>
      <c r="CA224" s="285"/>
      <c r="CB224" s="286"/>
      <c r="CC224" s="286"/>
      <c r="CD224" s="286"/>
      <c r="CE224" s="286"/>
      <c r="CF224" s="286"/>
      <c r="CG224" s="286"/>
      <c r="CH224" s="286"/>
      <c r="CI224" s="286"/>
      <c r="CJ224" s="286"/>
      <c r="CK224" s="286"/>
      <c r="CL224" s="286"/>
      <c r="CM224" s="286"/>
      <c r="CN224" s="286"/>
      <c r="CO224" s="286"/>
      <c r="CP224" s="286"/>
      <c r="CQ224" s="286"/>
      <c r="CR224" s="286"/>
      <c r="CS224" s="286"/>
      <c r="CT224" s="286"/>
      <c r="CU224" s="286"/>
      <c r="CV224" s="286"/>
      <c r="CW224" s="286"/>
      <c r="CX224" s="286"/>
      <c r="CY224" s="286"/>
      <c r="CZ224" s="286"/>
      <c r="DA224" s="286"/>
      <c r="DB224" s="286"/>
      <c r="DC224" s="286"/>
      <c r="DD224" s="286"/>
      <c r="DE224" s="286"/>
      <c r="DF224" s="286"/>
      <c r="DG224" s="286"/>
      <c r="DH224" s="286"/>
      <c r="DI224" s="286"/>
      <c r="DJ224" s="286"/>
      <c r="DK224" s="286"/>
      <c r="DL224" s="286"/>
      <c r="DM224" s="286"/>
      <c r="DN224" s="286"/>
      <c r="DO224" s="286"/>
      <c r="DP224" s="286"/>
      <c r="DR224" s="58" t="str">
        <f>IF(ISNUMBER(MATCH(#REF!,'Audit Characteristic Mapping'!$B$3:$B$500,0)),"Y","")</f>
        <v/>
      </c>
      <c r="DS224" s="58" t="str">
        <f>IF(ISNUMBER(MATCH(#REF!,'Audit Characteristic Mapping'!$C$3:$C$500,0)),"Y","")</f>
        <v/>
      </c>
      <c r="DT224" s="58" t="str">
        <f>IF(ISNUMBER(MATCH(#REF!,'Audit Characteristic Mapping'!$D$3:$D$500,0)),"Y","")</f>
        <v/>
      </c>
      <c r="DU224" s="58" t="str">
        <f>IF(ISNUMBER(MATCH(#REF!,'Audit Characteristic Mapping'!$E$3:$E$500,0)),"Y","")</f>
        <v/>
      </c>
      <c r="DV224" s="58" t="str">
        <f>IF(ISNUMBER(MATCH(#REF!,'Audit Characteristic Mapping'!$F$3:$F$500,0)),"Y","")</f>
        <v/>
      </c>
      <c r="DW224" s="58" t="str">
        <f>IF(ISNUMBER(MATCH(#REF!,'Audit Characteristic Mapping'!$G$3:$G$500,0)),"Y","")</f>
        <v/>
      </c>
      <c r="DX224" s="58" t="str">
        <f>IF(ISNUMBER(MATCH(#REF!,'Audit Characteristic Mapping'!$H$3:$H$500,0)),"Y","")</f>
        <v/>
      </c>
      <c r="DY224" s="58" t="str">
        <f>IF(ISNUMBER(MATCH(#REF!,'Audit Characteristic Mapping'!$I$3:$I$500,0)),"Y","")</f>
        <v/>
      </c>
      <c r="DZ224" s="58" t="str">
        <f>IF(ISNUMBER(MATCH(#REF!,'Audit Characteristic Mapping'!$J$3:$J$500,0)),"Y","")</f>
        <v/>
      </c>
      <c r="EA224" s="58" t="str">
        <f>IF(ISNUMBER(MATCH(#REF!,'Audit Characteristic Mapping'!$K$3:$K$500,0)),"Y","")</f>
        <v/>
      </c>
    </row>
    <row r="225" spans="1:131" ht="16" hidden="1" x14ac:dyDescent="0.2">
      <c r="A225" s="288">
        <v>216</v>
      </c>
      <c r="B225" s="287" t="s">
        <v>253</v>
      </c>
      <c r="C225" s="226" t="s">
        <v>342</v>
      </c>
      <c r="D225" s="170">
        <v>5</v>
      </c>
      <c r="E225" s="288">
        <v>40</v>
      </c>
      <c r="F225" s="291" t="str">
        <f>VLOOKUP(Calculation!A225,'Descriptor maps'!$A$2:$F$1658,2,0)</f>
        <v>Studies &amp; Design</v>
      </c>
      <c r="G225" s="296"/>
      <c r="H225" s="290"/>
      <c r="I225" s="291"/>
      <c r="J225" s="292" t="e" cm="1">
        <f t="array" ref="J225">INDEX('Descriptor maps'!$I$2:$I$1658,MATCH(1,('Descriptor maps'!$A$2:$A$1658=Calculation!$A225)*('Descriptor maps'!$G$2:$G$1658=Calculation!$G225),0))</f>
        <v>#N/A</v>
      </c>
      <c r="K225" s="226"/>
      <c r="L225" s="293"/>
      <c r="M225" s="293"/>
      <c r="N225" s="293"/>
      <c r="O225" s="293"/>
      <c r="P225" s="293"/>
      <c r="Q225" s="293"/>
      <c r="R225" s="293"/>
      <c r="S225" s="293"/>
      <c r="T225" s="293"/>
      <c r="U225" s="293"/>
      <c r="V225" s="293"/>
      <c r="W225" s="293"/>
      <c r="X225" s="293"/>
      <c r="Y225" s="293"/>
      <c r="Z225" s="293"/>
      <c r="AA225" s="293"/>
      <c r="AB225" s="293"/>
      <c r="AC225" s="293"/>
      <c r="AD225" s="293"/>
      <c r="AE225" s="293"/>
      <c r="AF225" s="293"/>
      <c r="AG225" s="293"/>
      <c r="AH225" s="293"/>
      <c r="AI225" s="293"/>
      <c r="AJ225" s="293"/>
      <c r="AK225" s="293"/>
      <c r="AL225" s="293"/>
      <c r="AM225" s="293"/>
      <c r="AN225" s="293"/>
      <c r="AO225" s="293"/>
      <c r="AP225" s="293"/>
      <c r="AQ225" s="293"/>
      <c r="AR225" s="293"/>
      <c r="AS225" s="293"/>
      <c r="AT225" s="293"/>
      <c r="AU225" s="293"/>
      <c r="AV225" s="293"/>
      <c r="AW225" s="293"/>
      <c r="AX225" s="293"/>
      <c r="AY225" s="293"/>
      <c r="AZ225" s="293"/>
      <c r="BA225" s="293"/>
      <c r="BB225" s="293"/>
      <c r="BC225" s="293"/>
      <c r="BD225" s="293"/>
      <c r="BE225" s="293"/>
      <c r="BF225" s="293"/>
      <c r="BG225" s="293"/>
      <c r="BH225" s="293"/>
      <c r="BI225" s="293"/>
      <c r="BJ225" s="293"/>
      <c r="BK225" s="293"/>
      <c r="BL225" s="293"/>
      <c r="BM225" s="293"/>
      <c r="BN225" s="293"/>
      <c r="BO225" s="293"/>
      <c r="BP225" s="293"/>
      <c r="BQ225" s="293"/>
      <c r="BR225" s="293"/>
      <c r="BS225" s="293"/>
      <c r="BT225" s="293"/>
      <c r="BU225" s="293"/>
      <c r="BV225" s="293"/>
      <c r="BW225" s="293"/>
      <c r="BX225" s="293"/>
      <c r="BY225" s="293"/>
      <c r="BZ225" s="293"/>
      <c r="CA225" s="285"/>
      <c r="CB225" s="286"/>
      <c r="CC225" s="286"/>
      <c r="CD225" s="286"/>
      <c r="CE225" s="286"/>
      <c r="CF225" s="286"/>
      <c r="CG225" s="286"/>
      <c r="CH225" s="286"/>
      <c r="CI225" s="286"/>
      <c r="CJ225" s="286"/>
      <c r="CK225" s="286"/>
      <c r="CL225" s="286"/>
      <c r="CM225" s="286"/>
      <c r="CN225" s="286"/>
      <c r="CO225" s="286"/>
      <c r="CP225" s="286"/>
      <c r="CQ225" s="286"/>
      <c r="CR225" s="286"/>
      <c r="CS225" s="286"/>
      <c r="CT225" s="286"/>
      <c r="CU225" s="286"/>
      <c r="CV225" s="286"/>
      <c r="CW225" s="286"/>
      <c r="CX225" s="286"/>
      <c r="CY225" s="286"/>
      <c r="CZ225" s="286"/>
      <c r="DA225" s="286"/>
      <c r="DB225" s="286"/>
      <c r="DC225" s="286"/>
      <c r="DD225" s="286"/>
      <c r="DE225" s="286"/>
      <c r="DF225" s="286"/>
      <c r="DG225" s="286"/>
      <c r="DH225" s="286"/>
      <c r="DI225" s="286"/>
      <c r="DJ225" s="286"/>
      <c r="DK225" s="286"/>
      <c r="DL225" s="286"/>
      <c r="DM225" s="286"/>
      <c r="DN225" s="286"/>
      <c r="DO225" s="286"/>
      <c r="DP225" s="286"/>
      <c r="DR225" s="58" t="str">
        <f>IF(ISNUMBER(MATCH(#REF!,'Audit Characteristic Mapping'!$B$3:$B$500,0)),"Y","")</f>
        <v/>
      </c>
      <c r="DS225" s="58" t="str">
        <f>IF(ISNUMBER(MATCH(#REF!,'Audit Characteristic Mapping'!$C$3:$C$500,0)),"Y","")</f>
        <v/>
      </c>
      <c r="DT225" s="58" t="str">
        <f>IF(ISNUMBER(MATCH(#REF!,'Audit Characteristic Mapping'!$D$3:$D$500,0)),"Y","")</f>
        <v/>
      </c>
      <c r="DU225" s="58" t="str">
        <f>IF(ISNUMBER(MATCH(#REF!,'Audit Characteristic Mapping'!$E$3:$E$500,0)),"Y","")</f>
        <v/>
      </c>
      <c r="DV225" s="58" t="str">
        <f>IF(ISNUMBER(MATCH(#REF!,'Audit Characteristic Mapping'!$F$3:$F$500,0)),"Y","")</f>
        <v/>
      </c>
      <c r="DW225" s="58" t="str">
        <f>IF(ISNUMBER(MATCH(#REF!,'Audit Characteristic Mapping'!$G$3:$G$500,0)),"Y","")</f>
        <v/>
      </c>
      <c r="DX225" s="58" t="str">
        <f>IF(ISNUMBER(MATCH(#REF!,'Audit Characteristic Mapping'!$H$3:$H$500,0)),"Y","")</f>
        <v/>
      </c>
      <c r="DY225" s="58" t="str">
        <f>IF(ISNUMBER(MATCH(#REF!,'Audit Characteristic Mapping'!$I$3:$I$500,0)),"Y","")</f>
        <v/>
      </c>
      <c r="DZ225" s="58" t="str">
        <f>IF(ISNUMBER(MATCH(#REF!,'Audit Characteristic Mapping'!$J$3:$J$500,0)),"Y","")</f>
        <v/>
      </c>
      <c r="EA225" s="58" t="str">
        <f>IF(ISNUMBER(MATCH(#REF!,'Audit Characteristic Mapping'!$K$3:$K$500,0)),"Y","")</f>
        <v/>
      </c>
    </row>
    <row r="226" spans="1:131" ht="16" hidden="1" x14ac:dyDescent="0.2">
      <c r="A226" s="299">
        <v>217</v>
      </c>
      <c r="B226" s="287" t="s">
        <v>253</v>
      </c>
      <c r="C226" s="226" t="s">
        <v>342</v>
      </c>
      <c r="D226" s="170">
        <v>5</v>
      </c>
      <c r="E226" s="288">
        <v>40</v>
      </c>
      <c r="F226" s="291" t="str">
        <f>VLOOKUP(Calculation!A226,'Descriptor maps'!$A$2:$F$1658,2,0)</f>
        <v>Studies &amp; Design</v>
      </c>
      <c r="G226" s="296" t="s">
        <v>247</v>
      </c>
      <c r="H226" s="290"/>
      <c r="I226" s="291"/>
      <c r="J226" s="292" t="e" cm="1">
        <f t="array" ref="J226">INDEX('Descriptor maps'!$I$2:$I$1658,MATCH(1,('Descriptor maps'!$A$2:$A$1658=Calculation!$A226)*('Descriptor maps'!$G$2:$G$1658=Calculation!$G226),0))</f>
        <v>#N/A</v>
      </c>
      <c r="K226" s="226"/>
      <c r="L226" s="293"/>
      <c r="M226" s="293"/>
      <c r="N226" s="293"/>
      <c r="O226" s="293"/>
      <c r="P226" s="293"/>
      <c r="Q226" s="293"/>
      <c r="R226" s="293"/>
      <c r="S226" s="293"/>
      <c r="T226" s="293"/>
      <c r="U226" s="293"/>
      <c r="V226" s="293"/>
      <c r="W226" s="293"/>
      <c r="X226" s="293"/>
      <c r="Y226" s="293"/>
      <c r="Z226" s="293"/>
      <c r="AA226" s="293"/>
      <c r="AB226" s="293"/>
      <c r="AC226" s="293"/>
      <c r="AD226" s="293"/>
      <c r="AE226" s="293"/>
      <c r="AF226" s="293"/>
      <c r="AG226" s="293"/>
      <c r="AH226" s="293"/>
      <c r="AI226" s="293"/>
      <c r="AJ226" s="293"/>
      <c r="AK226" s="293"/>
      <c r="AL226" s="293"/>
      <c r="AM226" s="293"/>
      <c r="AN226" s="293"/>
      <c r="AO226" s="293"/>
      <c r="AP226" s="293"/>
      <c r="AQ226" s="293"/>
      <c r="AR226" s="293"/>
      <c r="AS226" s="293"/>
      <c r="AT226" s="293"/>
      <c r="AU226" s="293"/>
      <c r="AV226" s="293"/>
      <c r="AW226" s="293"/>
      <c r="AX226" s="293"/>
      <c r="AY226" s="293"/>
      <c r="AZ226" s="293"/>
      <c r="BA226" s="293"/>
      <c r="BB226" s="293"/>
      <c r="BC226" s="293"/>
      <c r="BD226" s="293"/>
      <c r="BE226" s="293"/>
      <c r="BF226" s="293"/>
      <c r="BG226" s="293"/>
      <c r="BH226" s="293"/>
      <c r="BI226" s="293"/>
      <c r="BJ226" s="293"/>
      <c r="BK226" s="293"/>
      <c r="BL226" s="293"/>
      <c r="BM226" s="293"/>
      <c r="BN226" s="293"/>
      <c r="BO226" s="293"/>
      <c r="BP226" s="293"/>
      <c r="BQ226" s="293"/>
      <c r="BR226" s="293"/>
      <c r="BS226" s="293"/>
      <c r="BT226" s="293"/>
      <c r="BU226" s="293"/>
      <c r="BV226" s="293"/>
      <c r="BW226" s="293"/>
      <c r="BX226" s="293"/>
      <c r="BY226" s="293"/>
      <c r="BZ226" s="293"/>
      <c r="CA226" s="285"/>
      <c r="CB226" s="286"/>
      <c r="CC226" s="286"/>
      <c r="CD226" s="286"/>
      <c r="CE226" s="286"/>
      <c r="CF226" s="286"/>
      <c r="CG226" s="286"/>
      <c r="CH226" s="286"/>
      <c r="CI226" s="286"/>
      <c r="CJ226" s="286"/>
      <c r="CK226" s="286"/>
      <c r="CL226" s="286"/>
      <c r="CM226" s="286"/>
      <c r="CN226" s="286"/>
      <c r="CO226" s="286"/>
      <c r="CP226" s="286"/>
      <c r="CQ226" s="286"/>
      <c r="CR226" s="286"/>
      <c r="CS226" s="286"/>
      <c r="CT226" s="286"/>
      <c r="CU226" s="286"/>
      <c r="CV226" s="286"/>
      <c r="CW226" s="286"/>
      <c r="CX226" s="286"/>
      <c r="CY226" s="286"/>
      <c r="CZ226" s="286"/>
      <c r="DA226" s="286"/>
      <c r="DB226" s="286"/>
      <c r="DC226" s="286"/>
      <c r="DD226" s="286"/>
      <c r="DE226" s="286"/>
      <c r="DF226" s="286"/>
      <c r="DG226" s="286"/>
      <c r="DH226" s="286"/>
      <c r="DI226" s="286"/>
      <c r="DJ226" s="286"/>
      <c r="DK226" s="286"/>
      <c r="DL226" s="286"/>
      <c r="DM226" s="286"/>
      <c r="DN226" s="286"/>
      <c r="DO226" s="286"/>
      <c r="DP226" s="286"/>
      <c r="DR226" s="58" t="str">
        <f>IF(ISNUMBER(MATCH(#REF!,'Audit Characteristic Mapping'!$B$3:$B$500,0)),"Y","")</f>
        <v/>
      </c>
      <c r="DS226" s="58" t="str">
        <f>IF(ISNUMBER(MATCH(#REF!,'Audit Characteristic Mapping'!$C$3:$C$500,0)),"Y","")</f>
        <v/>
      </c>
      <c r="DT226" s="58" t="str">
        <f>IF(ISNUMBER(MATCH(#REF!,'Audit Characteristic Mapping'!$D$3:$D$500,0)),"Y","")</f>
        <v/>
      </c>
      <c r="DU226" s="58" t="str">
        <f>IF(ISNUMBER(MATCH(#REF!,'Audit Characteristic Mapping'!$E$3:$E$500,0)),"Y","")</f>
        <v/>
      </c>
      <c r="DV226" s="58" t="str">
        <f>IF(ISNUMBER(MATCH(#REF!,'Audit Characteristic Mapping'!$F$3:$F$500,0)),"Y","")</f>
        <v/>
      </c>
      <c r="DW226" s="58" t="str">
        <f>IF(ISNUMBER(MATCH(#REF!,'Audit Characteristic Mapping'!$G$3:$G$500,0)),"Y","")</f>
        <v/>
      </c>
      <c r="DX226" s="58" t="str">
        <f>IF(ISNUMBER(MATCH(#REF!,'Audit Characteristic Mapping'!$H$3:$H$500,0)),"Y","")</f>
        <v/>
      </c>
      <c r="DY226" s="58" t="str">
        <f>IF(ISNUMBER(MATCH(#REF!,'Audit Characteristic Mapping'!$I$3:$I$500,0)),"Y","")</f>
        <v/>
      </c>
      <c r="DZ226" s="58" t="str">
        <f>IF(ISNUMBER(MATCH(#REF!,'Audit Characteristic Mapping'!$J$3:$J$500,0)),"Y","")</f>
        <v/>
      </c>
      <c r="EA226" s="58" t="str">
        <f>IF(ISNUMBER(MATCH(#REF!,'Audit Characteristic Mapping'!$K$3:$K$500,0)),"Y","")</f>
        <v/>
      </c>
    </row>
    <row r="227" spans="1:131" ht="16" hidden="1" x14ac:dyDescent="0.2">
      <c r="A227" s="288">
        <v>218</v>
      </c>
      <c r="B227" s="287" t="s">
        <v>253</v>
      </c>
      <c r="C227" s="226" t="s">
        <v>342</v>
      </c>
      <c r="D227" s="170">
        <v>5</v>
      </c>
      <c r="E227" s="288">
        <v>40</v>
      </c>
      <c r="F227" s="291" t="str">
        <f>VLOOKUP(Calculation!A227,'Descriptor maps'!$A$2:$F$1658,2,0)</f>
        <v>Studies &amp; Design</v>
      </c>
      <c r="G227" s="296"/>
      <c r="H227" s="290"/>
      <c r="I227" s="291"/>
      <c r="J227" s="292" t="e" cm="1">
        <f t="array" ref="J227">INDEX('Descriptor maps'!$I$2:$I$1658,MATCH(1,('Descriptor maps'!$A$2:$A$1658=Calculation!$A227)*('Descriptor maps'!$G$2:$G$1658=Calculation!$G227),0))</f>
        <v>#N/A</v>
      </c>
      <c r="K227" s="226"/>
      <c r="L227" s="293"/>
      <c r="M227" s="293"/>
      <c r="N227" s="293"/>
      <c r="O227" s="293"/>
      <c r="P227" s="293"/>
      <c r="Q227" s="293"/>
      <c r="R227" s="293"/>
      <c r="S227" s="293"/>
      <c r="T227" s="293"/>
      <c r="U227" s="293"/>
      <c r="V227" s="293"/>
      <c r="W227" s="293"/>
      <c r="X227" s="293"/>
      <c r="Y227" s="293"/>
      <c r="Z227" s="293"/>
      <c r="AA227" s="293"/>
      <c r="AB227" s="293"/>
      <c r="AC227" s="293"/>
      <c r="AD227" s="293"/>
      <c r="AE227" s="293"/>
      <c r="AF227" s="293"/>
      <c r="AG227" s="293"/>
      <c r="AH227" s="293"/>
      <c r="AI227" s="293"/>
      <c r="AJ227" s="293"/>
      <c r="AK227" s="293"/>
      <c r="AL227" s="293"/>
      <c r="AM227" s="293"/>
      <c r="AN227" s="293"/>
      <c r="AO227" s="293"/>
      <c r="AP227" s="293"/>
      <c r="AQ227" s="293"/>
      <c r="AR227" s="293"/>
      <c r="AS227" s="293"/>
      <c r="AT227" s="293"/>
      <c r="AU227" s="293"/>
      <c r="AV227" s="293"/>
      <c r="AW227" s="293"/>
      <c r="AX227" s="293"/>
      <c r="AY227" s="293"/>
      <c r="AZ227" s="293"/>
      <c r="BA227" s="293"/>
      <c r="BB227" s="293"/>
      <c r="BC227" s="293"/>
      <c r="BD227" s="293"/>
      <c r="BE227" s="293"/>
      <c r="BF227" s="293"/>
      <c r="BG227" s="293"/>
      <c r="BH227" s="293"/>
      <c r="BI227" s="293"/>
      <c r="BJ227" s="293"/>
      <c r="BK227" s="293"/>
      <c r="BL227" s="293"/>
      <c r="BM227" s="293"/>
      <c r="BN227" s="293"/>
      <c r="BO227" s="293"/>
      <c r="BP227" s="293"/>
      <c r="BQ227" s="293"/>
      <c r="BR227" s="293"/>
      <c r="BS227" s="293"/>
      <c r="BT227" s="293"/>
      <c r="BU227" s="293"/>
      <c r="BV227" s="293"/>
      <c r="BW227" s="293"/>
      <c r="BX227" s="293"/>
      <c r="BY227" s="293"/>
      <c r="BZ227" s="293"/>
      <c r="CA227" s="285"/>
      <c r="CB227" s="286"/>
      <c r="CC227" s="286"/>
      <c r="CD227" s="286"/>
      <c r="CE227" s="286"/>
      <c r="CF227" s="286"/>
      <c r="CG227" s="286"/>
      <c r="CH227" s="286"/>
      <c r="CI227" s="286"/>
      <c r="CJ227" s="286"/>
      <c r="CK227" s="286"/>
      <c r="CL227" s="286"/>
      <c r="CM227" s="286"/>
      <c r="CN227" s="286"/>
      <c r="CO227" s="286"/>
      <c r="CP227" s="286"/>
      <c r="CQ227" s="286"/>
      <c r="CR227" s="286"/>
      <c r="CS227" s="286"/>
      <c r="CT227" s="286"/>
      <c r="CU227" s="286"/>
      <c r="CV227" s="286"/>
      <c r="CW227" s="286"/>
      <c r="CX227" s="286"/>
      <c r="CY227" s="286"/>
      <c r="CZ227" s="286"/>
      <c r="DA227" s="286"/>
      <c r="DB227" s="286"/>
      <c r="DC227" s="286"/>
      <c r="DD227" s="286"/>
      <c r="DE227" s="286"/>
      <c r="DF227" s="286"/>
      <c r="DG227" s="286"/>
      <c r="DH227" s="286"/>
      <c r="DI227" s="286"/>
      <c r="DJ227" s="286"/>
      <c r="DK227" s="286"/>
      <c r="DL227" s="286"/>
      <c r="DM227" s="286"/>
      <c r="DN227" s="286"/>
      <c r="DO227" s="286"/>
      <c r="DP227" s="286"/>
      <c r="DR227" s="58" t="str">
        <f>IF(ISNUMBER(MATCH(#REF!,'Audit Characteristic Mapping'!$B$3:$B$500,0)),"Y","")</f>
        <v/>
      </c>
      <c r="DS227" s="58" t="str">
        <f>IF(ISNUMBER(MATCH(#REF!,'Audit Characteristic Mapping'!$C$3:$C$500,0)),"Y","")</f>
        <v/>
      </c>
      <c r="DT227" s="58" t="str">
        <f>IF(ISNUMBER(MATCH(#REF!,'Audit Characteristic Mapping'!$D$3:$D$500,0)),"Y","")</f>
        <v/>
      </c>
      <c r="DU227" s="58" t="str">
        <f>IF(ISNUMBER(MATCH(#REF!,'Audit Characteristic Mapping'!$E$3:$E$500,0)),"Y","")</f>
        <v/>
      </c>
      <c r="DV227" s="58" t="str">
        <f>IF(ISNUMBER(MATCH(#REF!,'Audit Characteristic Mapping'!$F$3:$F$500,0)),"Y","")</f>
        <v/>
      </c>
      <c r="DW227" s="58" t="str">
        <f>IF(ISNUMBER(MATCH(#REF!,'Audit Characteristic Mapping'!$G$3:$G$500,0)),"Y","")</f>
        <v/>
      </c>
      <c r="DX227" s="58" t="str">
        <f>IF(ISNUMBER(MATCH(#REF!,'Audit Characteristic Mapping'!$H$3:$H$500,0)),"Y","")</f>
        <v/>
      </c>
      <c r="DY227" s="58" t="str">
        <f>IF(ISNUMBER(MATCH(#REF!,'Audit Characteristic Mapping'!$I$3:$I$500,0)),"Y","")</f>
        <v/>
      </c>
      <c r="DZ227" s="58" t="str">
        <f>IF(ISNUMBER(MATCH(#REF!,'Audit Characteristic Mapping'!$J$3:$J$500,0)),"Y","")</f>
        <v/>
      </c>
      <c r="EA227" s="58" t="str">
        <f>IF(ISNUMBER(MATCH(#REF!,'Audit Characteristic Mapping'!$K$3:$K$500,0)),"Y","")</f>
        <v/>
      </c>
    </row>
    <row r="228" spans="1:131" ht="16" hidden="1" x14ac:dyDescent="0.2">
      <c r="A228" s="288">
        <v>219</v>
      </c>
      <c r="B228" s="287" t="s">
        <v>253</v>
      </c>
      <c r="C228" s="226" t="s">
        <v>342</v>
      </c>
      <c r="D228" s="170">
        <v>5</v>
      </c>
      <c r="E228" s="288">
        <v>40</v>
      </c>
      <c r="F228" s="291" t="str">
        <f>VLOOKUP(Calculation!A228,'Descriptor maps'!$A$2:$F$1658,2,0)</f>
        <v>Studies &amp; Design</v>
      </c>
      <c r="G228" s="296"/>
      <c r="H228" s="290"/>
      <c r="I228" s="291"/>
      <c r="J228" s="292" t="e" cm="1">
        <f t="array" ref="J228">INDEX('Descriptor maps'!$I$2:$I$1658,MATCH(1,('Descriptor maps'!$A$2:$A$1658=Calculation!$A228)*('Descriptor maps'!$G$2:$G$1658=Calculation!$G228),0))</f>
        <v>#N/A</v>
      </c>
      <c r="K228" s="226"/>
      <c r="L228" s="293"/>
      <c r="M228" s="293"/>
      <c r="N228" s="293"/>
      <c r="O228" s="293"/>
      <c r="P228" s="293"/>
      <c r="Q228" s="293"/>
      <c r="R228" s="293"/>
      <c r="S228" s="293"/>
      <c r="T228" s="293"/>
      <c r="U228" s="293"/>
      <c r="V228" s="293"/>
      <c r="W228" s="293"/>
      <c r="X228" s="293"/>
      <c r="Y228" s="293"/>
      <c r="Z228" s="293"/>
      <c r="AA228" s="293"/>
      <c r="AB228" s="293"/>
      <c r="AC228" s="293"/>
      <c r="AD228" s="293"/>
      <c r="AE228" s="293"/>
      <c r="AF228" s="293"/>
      <c r="AG228" s="293"/>
      <c r="AH228" s="293"/>
      <c r="AI228" s="293"/>
      <c r="AJ228" s="293"/>
      <c r="AK228" s="293"/>
      <c r="AL228" s="293"/>
      <c r="AM228" s="293"/>
      <c r="AN228" s="293"/>
      <c r="AO228" s="293"/>
      <c r="AP228" s="293"/>
      <c r="AQ228" s="293"/>
      <c r="AR228" s="293"/>
      <c r="AS228" s="293"/>
      <c r="AT228" s="293"/>
      <c r="AU228" s="293"/>
      <c r="AV228" s="293"/>
      <c r="AW228" s="293"/>
      <c r="AX228" s="293"/>
      <c r="AY228" s="293"/>
      <c r="AZ228" s="293"/>
      <c r="BA228" s="293"/>
      <c r="BB228" s="293"/>
      <c r="BC228" s="293"/>
      <c r="BD228" s="293"/>
      <c r="BE228" s="293"/>
      <c r="BF228" s="293"/>
      <c r="BG228" s="293"/>
      <c r="BH228" s="293"/>
      <c r="BI228" s="293"/>
      <c r="BJ228" s="293"/>
      <c r="BK228" s="293"/>
      <c r="BL228" s="293"/>
      <c r="BM228" s="293"/>
      <c r="BN228" s="293"/>
      <c r="BO228" s="293"/>
      <c r="BP228" s="293"/>
      <c r="BQ228" s="293"/>
      <c r="BR228" s="293"/>
      <c r="BS228" s="293"/>
      <c r="BT228" s="293"/>
      <c r="BU228" s="293"/>
      <c r="BV228" s="293"/>
      <c r="BW228" s="293"/>
      <c r="BX228" s="293"/>
      <c r="BY228" s="293"/>
      <c r="BZ228" s="293"/>
      <c r="CA228" s="285"/>
      <c r="CB228" s="286"/>
      <c r="CC228" s="286"/>
      <c r="CD228" s="286"/>
      <c r="CE228" s="286"/>
      <c r="CF228" s="286"/>
      <c r="CG228" s="286"/>
      <c r="CH228" s="286"/>
      <c r="CI228" s="286"/>
      <c r="CJ228" s="286"/>
      <c r="CK228" s="286"/>
      <c r="CL228" s="286"/>
      <c r="CM228" s="286"/>
      <c r="CN228" s="286"/>
      <c r="CO228" s="286"/>
      <c r="CP228" s="286"/>
      <c r="CQ228" s="286"/>
      <c r="CR228" s="286"/>
      <c r="CS228" s="286"/>
      <c r="CT228" s="286"/>
      <c r="CU228" s="286"/>
      <c r="CV228" s="286"/>
      <c r="CW228" s="286"/>
      <c r="CX228" s="286"/>
      <c r="CY228" s="286"/>
      <c r="CZ228" s="286"/>
      <c r="DA228" s="286"/>
      <c r="DB228" s="286"/>
      <c r="DC228" s="286"/>
      <c r="DD228" s="286"/>
      <c r="DE228" s="286"/>
      <c r="DF228" s="286"/>
      <c r="DG228" s="286"/>
      <c r="DH228" s="286"/>
      <c r="DI228" s="286"/>
      <c r="DJ228" s="286"/>
      <c r="DK228" s="286"/>
      <c r="DL228" s="286"/>
      <c r="DM228" s="286"/>
      <c r="DN228" s="286"/>
      <c r="DO228" s="286"/>
      <c r="DP228" s="286"/>
      <c r="DR228" s="58" t="str">
        <f>IF(ISNUMBER(MATCH(#REF!,'Audit Characteristic Mapping'!$B$3:$B$500,0)),"Y","")</f>
        <v/>
      </c>
      <c r="DS228" s="58" t="str">
        <f>IF(ISNUMBER(MATCH(#REF!,'Audit Characteristic Mapping'!$C$3:$C$500,0)),"Y","")</f>
        <v/>
      </c>
      <c r="DT228" s="58" t="str">
        <f>IF(ISNUMBER(MATCH(#REF!,'Audit Characteristic Mapping'!$D$3:$D$500,0)),"Y","")</f>
        <v/>
      </c>
      <c r="DU228" s="58" t="str">
        <f>IF(ISNUMBER(MATCH(#REF!,'Audit Characteristic Mapping'!$E$3:$E$500,0)),"Y","")</f>
        <v/>
      </c>
      <c r="DV228" s="58" t="str">
        <f>IF(ISNUMBER(MATCH(#REF!,'Audit Characteristic Mapping'!$F$3:$F$500,0)),"Y","")</f>
        <v/>
      </c>
      <c r="DW228" s="58" t="str">
        <f>IF(ISNUMBER(MATCH(#REF!,'Audit Characteristic Mapping'!$G$3:$G$500,0)),"Y","")</f>
        <v/>
      </c>
      <c r="DX228" s="58" t="str">
        <f>IF(ISNUMBER(MATCH(#REF!,'Audit Characteristic Mapping'!$H$3:$H$500,0)),"Y","")</f>
        <v/>
      </c>
      <c r="DY228" s="58" t="str">
        <f>IF(ISNUMBER(MATCH(#REF!,'Audit Characteristic Mapping'!$I$3:$I$500,0)),"Y","")</f>
        <v/>
      </c>
      <c r="DZ228" s="58" t="str">
        <f>IF(ISNUMBER(MATCH(#REF!,'Audit Characteristic Mapping'!$J$3:$J$500,0)),"Y","")</f>
        <v/>
      </c>
      <c r="EA228" s="58" t="str">
        <f>IF(ISNUMBER(MATCH(#REF!,'Audit Characteristic Mapping'!$K$3:$K$500,0)),"Y","")</f>
        <v/>
      </c>
    </row>
    <row r="229" spans="1:131" ht="16" hidden="1" x14ac:dyDescent="0.2">
      <c r="A229" s="288">
        <v>220</v>
      </c>
      <c r="B229" s="287" t="s">
        <v>253</v>
      </c>
      <c r="C229" s="226" t="s">
        <v>342</v>
      </c>
      <c r="D229" s="170">
        <v>5</v>
      </c>
      <c r="E229" s="288">
        <v>40</v>
      </c>
      <c r="F229" s="291" t="str">
        <f>VLOOKUP(Calculation!A229,'Descriptor maps'!$A$2:$F$1658,2,0)</f>
        <v>Studies &amp; Design</v>
      </c>
      <c r="G229" s="296"/>
      <c r="H229" s="290"/>
      <c r="I229" s="291"/>
      <c r="J229" s="292" t="e" cm="1">
        <f t="array" ref="J229">INDEX('Descriptor maps'!$I$2:$I$1658,MATCH(1,('Descriptor maps'!$A$2:$A$1658=Calculation!$A229)*('Descriptor maps'!$G$2:$G$1658=Calculation!$G229),0))</f>
        <v>#N/A</v>
      </c>
      <c r="K229" s="226"/>
      <c r="L229" s="293"/>
      <c r="M229" s="293"/>
      <c r="N229" s="293"/>
      <c r="O229" s="293"/>
      <c r="P229" s="293"/>
      <c r="Q229" s="293"/>
      <c r="R229" s="293"/>
      <c r="S229" s="293"/>
      <c r="T229" s="293"/>
      <c r="U229" s="293"/>
      <c r="V229" s="293"/>
      <c r="W229" s="293"/>
      <c r="X229" s="293"/>
      <c r="Y229" s="293"/>
      <c r="Z229" s="293"/>
      <c r="AA229" s="293"/>
      <c r="AB229" s="293"/>
      <c r="AC229" s="293"/>
      <c r="AD229" s="293"/>
      <c r="AE229" s="293"/>
      <c r="AF229" s="293"/>
      <c r="AG229" s="293"/>
      <c r="AH229" s="293"/>
      <c r="AI229" s="293"/>
      <c r="AJ229" s="293"/>
      <c r="AK229" s="293"/>
      <c r="AL229" s="293"/>
      <c r="AM229" s="293"/>
      <c r="AN229" s="293"/>
      <c r="AO229" s="293"/>
      <c r="AP229" s="293"/>
      <c r="AQ229" s="293"/>
      <c r="AR229" s="293"/>
      <c r="AS229" s="293"/>
      <c r="AT229" s="293"/>
      <c r="AU229" s="293"/>
      <c r="AV229" s="293"/>
      <c r="AW229" s="293"/>
      <c r="AX229" s="293"/>
      <c r="AY229" s="293"/>
      <c r="AZ229" s="293"/>
      <c r="BA229" s="293"/>
      <c r="BB229" s="293"/>
      <c r="BC229" s="293"/>
      <c r="BD229" s="293"/>
      <c r="BE229" s="293"/>
      <c r="BF229" s="293"/>
      <c r="BG229" s="293"/>
      <c r="BH229" s="293"/>
      <c r="BI229" s="293"/>
      <c r="BJ229" s="293"/>
      <c r="BK229" s="293"/>
      <c r="BL229" s="293"/>
      <c r="BM229" s="293"/>
      <c r="BN229" s="293"/>
      <c r="BO229" s="293"/>
      <c r="BP229" s="293"/>
      <c r="BQ229" s="293"/>
      <c r="BR229" s="293"/>
      <c r="BS229" s="293"/>
      <c r="BT229" s="293"/>
      <c r="BU229" s="293"/>
      <c r="BV229" s="293"/>
      <c r="BW229" s="293"/>
      <c r="BX229" s="293"/>
      <c r="BY229" s="293"/>
      <c r="BZ229" s="293"/>
      <c r="CA229" s="285"/>
      <c r="CB229" s="286"/>
      <c r="CC229" s="286"/>
      <c r="CD229" s="286"/>
      <c r="CE229" s="286"/>
      <c r="CF229" s="286"/>
      <c r="CG229" s="286"/>
      <c r="CH229" s="286"/>
      <c r="CI229" s="286"/>
      <c r="CJ229" s="286"/>
      <c r="CK229" s="286"/>
      <c r="CL229" s="286"/>
      <c r="CM229" s="286"/>
      <c r="CN229" s="286"/>
      <c r="CO229" s="286"/>
      <c r="CP229" s="286"/>
      <c r="CQ229" s="286"/>
      <c r="CR229" s="286"/>
      <c r="CS229" s="286"/>
      <c r="CT229" s="286"/>
      <c r="CU229" s="286"/>
      <c r="CV229" s="286"/>
      <c r="CW229" s="286"/>
      <c r="CX229" s="286"/>
      <c r="CY229" s="286"/>
      <c r="CZ229" s="286"/>
      <c r="DA229" s="286"/>
      <c r="DB229" s="286"/>
      <c r="DC229" s="286"/>
      <c r="DD229" s="286"/>
      <c r="DE229" s="286"/>
      <c r="DF229" s="286"/>
      <c r="DG229" s="286"/>
      <c r="DH229" s="286"/>
      <c r="DI229" s="286"/>
      <c r="DJ229" s="286"/>
      <c r="DK229" s="286"/>
      <c r="DL229" s="286"/>
      <c r="DM229" s="286"/>
      <c r="DN229" s="286"/>
      <c r="DO229" s="286"/>
      <c r="DP229" s="286"/>
      <c r="DR229" s="58" t="str">
        <f>IF(ISNUMBER(MATCH(#REF!,'Audit Characteristic Mapping'!$B$3:$B$500,0)),"Y","")</f>
        <v/>
      </c>
      <c r="DS229" s="58" t="str">
        <f>IF(ISNUMBER(MATCH(#REF!,'Audit Characteristic Mapping'!$C$3:$C$500,0)),"Y","")</f>
        <v/>
      </c>
      <c r="DT229" s="58" t="str">
        <f>IF(ISNUMBER(MATCH(#REF!,'Audit Characteristic Mapping'!$D$3:$D$500,0)),"Y","")</f>
        <v/>
      </c>
      <c r="DU229" s="58" t="str">
        <f>IF(ISNUMBER(MATCH(#REF!,'Audit Characteristic Mapping'!$E$3:$E$500,0)),"Y","")</f>
        <v/>
      </c>
      <c r="DV229" s="58" t="str">
        <f>IF(ISNUMBER(MATCH(#REF!,'Audit Characteristic Mapping'!$F$3:$F$500,0)),"Y","")</f>
        <v/>
      </c>
      <c r="DW229" s="58" t="str">
        <f>IF(ISNUMBER(MATCH(#REF!,'Audit Characteristic Mapping'!$G$3:$G$500,0)),"Y","")</f>
        <v/>
      </c>
      <c r="DX229" s="58" t="str">
        <f>IF(ISNUMBER(MATCH(#REF!,'Audit Characteristic Mapping'!$H$3:$H$500,0)),"Y","")</f>
        <v/>
      </c>
      <c r="DY229" s="58" t="str">
        <f>IF(ISNUMBER(MATCH(#REF!,'Audit Characteristic Mapping'!$I$3:$I$500,0)),"Y","")</f>
        <v/>
      </c>
      <c r="DZ229" s="58" t="str">
        <f>IF(ISNUMBER(MATCH(#REF!,'Audit Characteristic Mapping'!$J$3:$J$500,0)),"Y","")</f>
        <v/>
      </c>
      <c r="EA229" s="58" t="str">
        <f>IF(ISNUMBER(MATCH(#REF!,'Audit Characteristic Mapping'!$K$3:$K$500,0)),"Y","")</f>
        <v/>
      </c>
    </row>
    <row r="230" spans="1:131" ht="16" hidden="1" x14ac:dyDescent="0.2">
      <c r="A230" s="288">
        <v>221</v>
      </c>
      <c r="B230" s="287" t="s">
        <v>253</v>
      </c>
      <c r="C230" s="226" t="s">
        <v>342</v>
      </c>
      <c r="D230" s="170">
        <v>5</v>
      </c>
      <c r="E230" s="288">
        <v>40</v>
      </c>
      <c r="F230" s="291" t="str">
        <f>VLOOKUP(Calculation!A230,'Descriptor maps'!$A$2:$F$1658,2,0)</f>
        <v>Studies &amp; Design</v>
      </c>
      <c r="G230" s="296"/>
      <c r="H230" s="290"/>
      <c r="I230" s="291"/>
      <c r="J230" s="292" t="e" cm="1">
        <f t="array" ref="J230">INDEX('Descriptor maps'!$I$2:$I$1658,MATCH(1,('Descriptor maps'!$A$2:$A$1658=Calculation!$A230)*('Descriptor maps'!$G$2:$G$1658=Calculation!$G230),0))</f>
        <v>#N/A</v>
      </c>
      <c r="K230" s="226"/>
      <c r="L230" s="293"/>
      <c r="M230" s="293"/>
      <c r="N230" s="293"/>
      <c r="O230" s="293"/>
      <c r="P230" s="293"/>
      <c r="Q230" s="293"/>
      <c r="R230" s="293"/>
      <c r="S230" s="293"/>
      <c r="T230" s="293"/>
      <c r="U230" s="293"/>
      <c r="V230" s="293"/>
      <c r="W230" s="293"/>
      <c r="X230" s="293"/>
      <c r="Y230" s="293"/>
      <c r="Z230" s="293"/>
      <c r="AA230" s="293"/>
      <c r="AB230" s="293"/>
      <c r="AC230" s="293"/>
      <c r="AD230" s="293"/>
      <c r="AE230" s="293"/>
      <c r="AF230" s="293"/>
      <c r="AG230" s="293"/>
      <c r="AH230" s="293"/>
      <c r="AI230" s="293"/>
      <c r="AJ230" s="293"/>
      <c r="AK230" s="293"/>
      <c r="AL230" s="293"/>
      <c r="AM230" s="293"/>
      <c r="AN230" s="293"/>
      <c r="AO230" s="293"/>
      <c r="AP230" s="293"/>
      <c r="AQ230" s="293"/>
      <c r="AR230" s="293"/>
      <c r="AS230" s="293"/>
      <c r="AT230" s="293"/>
      <c r="AU230" s="293"/>
      <c r="AV230" s="293"/>
      <c r="AW230" s="293"/>
      <c r="AX230" s="293"/>
      <c r="AY230" s="293"/>
      <c r="AZ230" s="293"/>
      <c r="BA230" s="293"/>
      <c r="BB230" s="293"/>
      <c r="BC230" s="293"/>
      <c r="BD230" s="293"/>
      <c r="BE230" s="293"/>
      <c r="BF230" s="293"/>
      <c r="BG230" s="293"/>
      <c r="BH230" s="293"/>
      <c r="BI230" s="293"/>
      <c r="BJ230" s="293"/>
      <c r="BK230" s="293"/>
      <c r="BL230" s="293"/>
      <c r="BM230" s="293"/>
      <c r="BN230" s="293"/>
      <c r="BO230" s="293"/>
      <c r="BP230" s="293"/>
      <c r="BQ230" s="293"/>
      <c r="BR230" s="293"/>
      <c r="BS230" s="293"/>
      <c r="BT230" s="293"/>
      <c r="BU230" s="293"/>
      <c r="BV230" s="293"/>
      <c r="BW230" s="293"/>
      <c r="BX230" s="293"/>
      <c r="BY230" s="293"/>
      <c r="BZ230" s="293"/>
      <c r="CA230" s="285"/>
      <c r="CB230" s="286"/>
      <c r="CC230" s="286"/>
      <c r="CD230" s="286"/>
      <c r="CE230" s="286"/>
      <c r="CF230" s="286"/>
      <c r="CG230" s="286"/>
      <c r="CH230" s="286"/>
      <c r="CI230" s="286"/>
      <c r="CJ230" s="286"/>
      <c r="CK230" s="286"/>
      <c r="CL230" s="286"/>
      <c r="CM230" s="286"/>
      <c r="CN230" s="286"/>
      <c r="CO230" s="286"/>
      <c r="CP230" s="286"/>
      <c r="CQ230" s="286"/>
      <c r="CR230" s="286"/>
      <c r="CS230" s="286"/>
      <c r="CT230" s="286"/>
      <c r="CU230" s="286"/>
      <c r="CV230" s="286"/>
      <c r="CW230" s="286"/>
      <c r="CX230" s="286"/>
      <c r="CY230" s="286"/>
      <c r="CZ230" s="286"/>
      <c r="DA230" s="286"/>
      <c r="DB230" s="286"/>
      <c r="DC230" s="286"/>
      <c r="DD230" s="286"/>
      <c r="DE230" s="286"/>
      <c r="DF230" s="286"/>
      <c r="DG230" s="286"/>
      <c r="DH230" s="286"/>
      <c r="DI230" s="286"/>
      <c r="DJ230" s="286"/>
      <c r="DK230" s="286"/>
      <c r="DL230" s="286"/>
      <c r="DM230" s="286"/>
      <c r="DN230" s="286"/>
      <c r="DO230" s="286"/>
      <c r="DP230" s="286"/>
      <c r="DR230" s="58" t="str">
        <f>IF(ISNUMBER(MATCH(#REF!,'Audit Characteristic Mapping'!$B$3:$B$500,0)),"Y","")</f>
        <v/>
      </c>
      <c r="DS230" s="58" t="str">
        <f>IF(ISNUMBER(MATCH(#REF!,'Audit Characteristic Mapping'!$C$3:$C$500,0)),"Y","")</f>
        <v/>
      </c>
      <c r="DT230" s="58" t="str">
        <f>IF(ISNUMBER(MATCH(#REF!,'Audit Characteristic Mapping'!$D$3:$D$500,0)),"Y","")</f>
        <v/>
      </c>
      <c r="DU230" s="58" t="str">
        <f>IF(ISNUMBER(MATCH(#REF!,'Audit Characteristic Mapping'!$E$3:$E$500,0)),"Y","")</f>
        <v/>
      </c>
      <c r="DV230" s="58" t="str">
        <f>IF(ISNUMBER(MATCH(#REF!,'Audit Characteristic Mapping'!$F$3:$F$500,0)),"Y","")</f>
        <v/>
      </c>
      <c r="DW230" s="58" t="str">
        <f>IF(ISNUMBER(MATCH(#REF!,'Audit Characteristic Mapping'!$G$3:$G$500,0)),"Y","")</f>
        <v/>
      </c>
      <c r="DX230" s="58" t="str">
        <f>IF(ISNUMBER(MATCH(#REF!,'Audit Characteristic Mapping'!$H$3:$H$500,0)),"Y","")</f>
        <v/>
      </c>
      <c r="DY230" s="58" t="str">
        <f>IF(ISNUMBER(MATCH(#REF!,'Audit Characteristic Mapping'!$I$3:$I$500,0)),"Y","")</f>
        <v/>
      </c>
      <c r="DZ230" s="58" t="str">
        <f>IF(ISNUMBER(MATCH(#REF!,'Audit Characteristic Mapping'!$J$3:$J$500,0)),"Y","")</f>
        <v/>
      </c>
      <c r="EA230" s="58" t="str">
        <f>IF(ISNUMBER(MATCH(#REF!,'Audit Characteristic Mapping'!$K$3:$K$500,0)),"Y","")</f>
        <v/>
      </c>
    </row>
    <row r="231" spans="1:131" ht="32" hidden="1" x14ac:dyDescent="0.2">
      <c r="A231" s="299">
        <v>222</v>
      </c>
      <c r="B231" s="287" t="s">
        <v>253</v>
      </c>
      <c r="C231" s="226" t="s">
        <v>342</v>
      </c>
      <c r="D231" s="170">
        <v>5</v>
      </c>
      <c r="E231" s="288">
        <v>40</v>
      </c>
      <c r="F231" s="291" t="str">
        <f>VLOOKUP(Calculation!A231,'Descriptor maps'!$A$2:$F$1658,2,0)</f>
        <v>Studies &amp; Design</v>
      </c>
      <c r="G231" s="296" t="s">
        <v>245</v>
      </c>
      <c r="H231" s="290"/>
      <c r="I231" s="291"/>
      <c r="J231" s="292" t="e" cm="1">
        <f t="array" ref="J231">INDEX('Descriptor maps'!$I$2:$I$1658,MATCH(1,('Descriptor maps'!$A$2:$A$1658=Calculation!$A231)*('Descriptor maps'!$G$2:$G$1658=Calculation!$G231),0))</f>
        <v>#N/A</v>
      </c>
      <c r="K231" s="226"/>
      <c r="L231" s="293"/>
      <c r="M231" s="293"/>
      <c r="N231" s="293"/>
      <c r="O231" s="293"/>
      <c r="P231" s="293"/>
      <c r="Q231" s="293"/>
      <c r="R231" s="293"/>
      <c r="S231" s="293"/>
      <c r="T231" s="293"/>
      <c r="U231" s="293"/>
      <c r="V231" s="293"/>
      <c r="W231" s="293"/>
      <c r="X231" s="293"/>
      <c r="Y231" s="293"/>
      <c r="Z231" s="293"/>
      <c r="AA231" s="293"/>
      <c r="AB231" s="293"/>
      <c r="AC231" s="293"/>
      <c r="AD231" s="293"/>
      <c r="AE231" s="293"/>
      <c r="AF231" s="293"/>
      <c r="AG231" s="293"/>
      <c r="AH231" s="293"/>
      <c r="AI231" s="293"/>
      <c r="AJ231" s="293"/>
      <c r="AK231" s="293"/>
      <c r="AL231" s="293"/>
      <c r="AM231" s="293"/>
      <c r="AN231" s="293"/>
      <c r="AO231" s="293"/>
      <c r="AP231" s="293"/>
      <c r="AQ231" s="293"/>
      <c r="AR231" s="293"/>
      <c r="AS231" s="293"/>
      <c r="AT231" s="293"/>
      <c r="AU231" s="293"/>
      <c r="AV231" s="293"/>
      <c r="AW231" s="293"/>
      <c r="AX231" s="293"/>
      <c r="AY231" s="293"/>
      <c r="AZ231" s="293"/>
      <c r="BA231" s="293"/>
      <c r="BB231" s="293"/>
      <c r="BC231" s="293"/>
      <c r="BD231" s="293"/>
      <c r="BE231" s="293"/>
      <c r="BF231" s="293"/>
      <c r="BG231" s="293"/>
      <c r="BH231" s="293"/>
      <c r="BI231" s="293"/>
      <c r="BJ231" s="293"/>
      <c r="BK231" s="293"/>
      <c r="BL231" s="293"/>
      <c r="BM231" s="293"/>
      <c r="BN231" s="293"/>
      <c r="BO231" s="293"/>
      <c r="BP231" s="293"/>
      <c r="BQ231" s="293"/>
      <c r="BR231" s="293"/>
      <c r="BS231" s="293"/>
      <c r="BT231" s="293"/>
      <c r="BU231" s="293"/>
      <c r="BV231" s="293"/>
      <c r="BW231" s="293"/>
      <c r="BX231" s="293"/>
      <c r="BY231" s="293"/>
      <c r="BZ231" s="293"/>
      <c r="CA231" s="285"/>
      <c r="CB231" s="286"/>
      <c r="CC231" s="286"/>
      <c r="CD231" s="286"/>
      <c r="CE231" s="286"/>
      <c r="CF231" s="286"/>
      <c r="CG231" s="286"/>
      <c r="CH231" s="286"/>
      <c r="CI231" s="286"/>
      <c r="CJ231" s="286"/>
      <c r="CK231" s="286"/>
      <c r="CL231" s="286"/>
      <c r="CM231" s="286"/>
      <c r="CN231" s="286"/>
      <c r="CO231" s="286"/>
      <c r="CP231" s="286"/>
      <c r="CQ231" s="286"/>
      <c r="CR231" s="286"/>
      <c r="CS231" s="286"/>
      <c r="CT231" s="286"/>
      <c r="CU231" s="286"/>
      <c r="CV231" s="286"/>
      <c r="CW231" s="286"/>
      <c r="CX231" s="286"/>
      <c r="CY231" s="286"/>
      <c r="CZ231" s="286"/>
      <c r="DA231" s="286"/>
      <c r="DB231" s="286"/>
      <c r="DC231" s="286"/>
      <c r="DD231" s="286"/>
      <c r="DE231" s="286"/>
      <c r="DF231" s="286"/>
      <c r="DG231" s="286"/>
      <c r="DH231" s="286"/>
      <c r="DI231" s="286"/>
      <c r="DJ231" s="286"/>
      <c r="DK231" s="286"/>
      <c r="DL231" s="286"/>
      <c r="DM231" s="286"/>
      <c r="DN231" s="286"/>
      <c r="DO231" s="286"/>
      <c r="DP231" s="286"/>
      <c r="DR231" s="58" t="str">
        <f>IF(ISNUMBER(MATCH(#REF!,'Audit Characteristic Mapping'!$B$3:$B$500,0)),"Y","")</f>
        <v/>
      </c>
      <c r="DS231" s="58" t="str">
        <f>IF(ISNUMBER(MATCH(#REF!,'Audit Characteristic Mapping'!$C$3:$C$500,0)),"Y","")</f>
        <v/>
      </c>
      <c r="DT231" s="58" t="str">
        <f>IF(ISNUMBER(MATCH(#REF!,'Audit Characteristic Mapping'!$D$3:$D$500,0)),"Y","")</f>
        <v/>
      </c>
      <c r="DU231" s="58" t="str">
        <f>IF(ISNUMBER(MATCH(#REF!,'Audit Characteristic Mapping'!$E$3:$E$500,0)),"Y","")</f>
        <v/>
      </c>
      <c r="DV231" s="58" t="str">
        <f>IF(ISNUMBER(MATCH(#REF!,'Audit Characteristic Mapping'!$F$3:$F$500,0)),"Y","")</f>
        <v/>
      </c>
      <c r="DW231" s="58" t="str">
        <f>IF(ISNUMBER(MATCH(#REF!,'Audit Characteristic Mapping'!$G$3:$G$500,0)),"Y","")</f>
        <v/>
      </c>
      <c r="DX231" s="58" t="str">
        <f>IF(ISNUMBER(MATCH(#REF!,'Audit Characteristic Mapping'!$H$3:$H$500,0)),"Y","")</f>
        <v/>
      </c>
      <c r="DY231" s="58" t="str">
        <f>IF(ISNUMBER(MATCH(#REF!,'Audit Characteristic Mapping'!$I$3:$I$500,0)),"Y","")</f>
        <v/>
      </c>
      <c r="DZ231" s="58" t="str">
        <f>IF(ISNUMBER(MATCH(#REF!,'Audit Characteristic Mapping'!$J$3:$J$500,0)),"Y","")</f>
        <v/>
      </c>
      <c r="EA231" s="58" t="str">
        <f>IF(ISNUMBER(MATCH(#REF!,'Audit Characteristic Mapping'!$K$3:$K$500,0)),"Y","")</f>
        <v/>
      </c>
    </row>
    <row r="232" spans="1:131" ht="16" hidden="1" x14ac:dyDescent="0.2">
      <c r="A232" s="299">
        <v>223</v>
      </c>
      <c r="B232" s="287" t="s">
        <v>253</v>
      </c>
      <c r="C232" s="226" t="s">
        <v>342</v>
      </c>
      <c r="D232" s="170">
        <v>5</v>
      </c>
      <c r="E232" s="288">
        <v>40</v>
      </c>
      <c r="F232" s="291" t="str">
        <f>VLOOKUP(Calculation!A232,'Descriptor maps'!$A$2:$F$1658,2,0)</f>
        <v>Studies &amp; Design</v>
      </c>
      <c r="G232" s="296" t="s">
        <v>247</v>
      </c>
      <c r="H232" s="290"/>
      <c r="I232" s="291"/>
      <c r="J232" s="292" t="e" cm="1">
        <f t="array" ref="J232">INDEX('Descriptor maps'!$I$2:$I$1658,MATCH(1,('Descriptor maps'!$A$2:$A$1658=Calculation!$A232)*('Descriptor maps'!$G$2:$G$1658=Calculation!$G232),0))</f>
        <v>#N/A</v>
      </c>
      <c r="K232" s="226"/>
      <c r="L232" s="293"/>
      <c r="M232" s="293"/>
      <c r="N232" s="293"/>
      <c r="O232" s="293"/>
      <c r="P232" s="293"/>
      <c r="Q232" s="293"/>
      <c r="R232" s="293"/>
      <c r="S232" s="293"/>
      <c r="T232" s="293"/>
      <c r="U232" s="293"/>
      <c r="V232" s="293"/>
      <c r="W232" s="293"/>
      <c r="X232" s="293"/>
      <c r="Y232" s="293"/>
      <c r="Z232" s="293"/>
      <c r="AA232" s="293"/>
      <c r="AB232" s="293"/>
      <c r="AC232" s="293"/>
      <c r="AD232" s="293"/>
      <c r="AE232" s="293"/>
      <c r="AF232" s="293"/>
      <c r="AG232" s="293"/>
      <c r="AH232" s="293"/>
      <c r="AI232" s="293"/>
      <c r="AJ232" s="293"/>
      <c r="AK232" s="293"/>
      <c r="AL232" s="293"/>
      <c r="AM232" s="293"/>
      <c r="AN232" s="293"/>
      <c r="AO232" s="293"/>
      <c r="AP232" s="293"/>
      <c r="AQ232" s="293"/>
      <c r="AR232" s="293"/>
      <c r="AS232" s="293"/>
      <c r="AT232" s="293"/>
      <c r="AU232" s="293"/>
      <c r="AV232" s="293"/>
      <c r="AW232" s="293"/>
      <c r="AX232" s="293"/>
      <c r="AY232" s="293"/>
      <c r="AZ232" s="293"/>
      <c r="BA232" s="293"/>
      <c r="BB232" s="293"/>
      <c r="BC232" s="293"/>
      <c r="BD232" s="293"/>
      <c r="BE232" s="293"/>
      <c r="BF232" s="293"/>
      <c r="BG232" s="293"/>
      <c r="BH232" s="293"/>
      <c r="BI232" s="293"/>
      <c r="BJ232" s="293"/>
      <c r="BK232" s="293"/>
      <c r="BL232" s="293"/>
      <c r="BM232" s="293"/>
      <c r="BN232" s="293"/>
      <c r="BO232" s="293"/>
      <c r="BP232" s="293"/>
      <c r="BQ232" s="293"/>
      <c r="BR232" s="293"/>
      <c r="BS232" s="293"/>
      <c r="BT232" s="293"/>
      <c r="BU232" s="293"/>
      <c r="BV232" s="293"/>
      <c r="BW232" s="293"/>
      <c r="BX232" s="293"/>
      <c r="BY232" s="293"/>
      <c r="BZ232" s="293"/>
      <c r="CA232" s="285"/>
      <c r="CB232" s="286"/>
      <c r="CC232" s="286"/>
      <c r="CD232" s="286"/>
      <c r="CE232" s="286"/>
      <c r="CF232" s="286"/>
      <c r="CG232" s="286"/>
      <c r="CH232" s="286"/>
      <c r="CI232" s="286"/>
      <c r="CJ232" s="286"/>
      <c r="CK232" s="286"/>
      <c r="CL232" s="286"/>
      <c r="CM232" s="286"/>
      <c r="CN232" s="286"/>
      <c r="CO232" s="286"/>
      <c r="CP232" s="286"/>
      <c r="CQ232" s="286"/>
      <c r="CR232" s="286"/>
      <c r="CS232" s="286"/>
      <c r="CT232" s="286"/>
      <c r="CU232" s="286"/>
      <c r="CV232" s="286"/>
      <c r="CW232" s="286"/>
      <c r="CX232" s="286"/>
      <c r="CY232" s="286"/>
      <c r="CZ232" s="286"/>
      <c r="DA232" s="286"/>
      <c r="DB232" s="286"/>
      <c r="DC232" s="286"/>
      <c r="DD232" s="286"/>
      <c r="DE232" s="286"/>
      <c r="DF232" s="286"/>
      <c r="DG232" s="286"/>
      <c r="DH232" s="286"/>
      <c r="DI232" s="286"/>
      <c r="DJ232" s="286"/>
      <c r="DK232" s="286"/>
      <c r="DL232" s="286"/>
      <c r="DM232" s="286"/>
      <c r="DN232" s="286"/>
      <c r="DO232" s="286"/>
      <c r="DP232" s="286"/>
      <c r="DR232" s="58" t="str">
        <f>IF(ISNUMBER(MATCH(#REF!,'Audit Characteristic Mapping'!$B$3:$B$500,0)),"Y","")</f>
        <v/>
      </c>
      <c r="DS232" s="58" t="str">
        <f>IF(ISNUMBER(MATCH(#REF!,'Audit Characteristic Mapping'!$C$3:$C$500,0)),"Y","")</f>
        <v/>
      </c>
      <c r="DT232" s="58" t="str">
        <f>IF(ISNUMBER(MATCH(#REF!,'Audit Characteristic Mapping'!$D$3:$D$500,0)),"Y","")</f>
        <v/>
      </c>
      <c r="DU232" s="58" t="str">
        <f>IF(ISNUMBER(MATCH(#REF!,'Audit Characteristic Mapping'!$E$3:$E$500,0)),"Y","")</f>
        <v/>
      </c>
      <c r="DV232" s="58" t="str">
        <f>IF(ISNUMBER(MATCH(#REF!,'Audit Characteristic Mapping'!$F$3:$F$500,0)),"Y","")</f>
        <v/>
      </c>
      <c r="DW232" s="58" t="str">
        <f>IF(ISNUMBER(MATCH(#REF!,'Audit Characteristic Mapping'!$G$3:$G$500,0)),"Y","")</f>
        <v/>
      </c>
      <c r="DX232" s="58" t="str">
        <f>IF(ISNUMBER(MATCH(#REF!,'Audit Characteristic Mapping'!$H$3:$H$500,0)),"Y","")</f>
        <v/>
      </c>
      <c r="DY232" s="58" t="str">
        <f>IF(ISNUMBER(MATCH(#REF!,'Audit Characteristic Mapping'!$I$3:$I$500,0)),"Y","")</f>
        <v/>
      </c>
      <c r="DZ232" s="58" t="str">
        <f>IF(ISNUMBER(MATCH(#REF!,'Audit Characteristic Mapping'!$J$3:$J$500,0)),"Y","")</f>
        <v/>
      </c>
      <c r="EA232" s="58" t="str">
        <f>IF(ISNUMBER(MATCH(#REF!,'Audit Characteristic Mapping'!$K$3:$K$500,0)),"Y","")</f>
        <v/>
      </c>
    </row>
    <row r="233" spans="1:131" ht="16" hidden="1" x14ac:dyDescent="0.2">
      <c r="A233" s="299">
        <v>224</v>
      </c>
      <c r="B233" s="287" t="s">
        <v>253</v>
      </c>
      <c r="C233" s="226" t="s">
        <v>355</v>
      </c>
      <c r="D233" s="170">
        <v>5</v>
      </c>
      <c r="E233" s="288">
        <v>41</v>
      </c>
      <c r="F233" s="291" t="str">
        <f>VLOOKUP(Calculation!A233,'Descriptor maps'!$A$2:$F$1658,2,0)</f>
        <v>Studies &amp; Design</v>
      </c>
      <c r="G233" s="296" t="s">
        <v>247</v>
      </c>
      <c r="H233" s="290"/>
      <c r="I233" s="291"/>
      <c r="J233" s="292" t="e" cm="1">
        <f t="array" ref="J233">INDEX('Descriptor maps'!$I$2:$I$1658,MATCH(1,('Descriptor maps'!$A$2:$A$1658=Calculation!$A233)*('Descriptor maps'!$G$2:$G$1658=Calculation!$G233),0))</f>
        <v>#N/A</v>
      </c>
      <c r="K233" s="226"/>
      <c r="L233" s="293"/>
      <c r="M233" s="293"/>
      <c r="N233" s="293"/>
      <c r="O233" s="293"/>
      <c r="P233" s="293"/>
      <c r="Q233" s="293"/>
      <c r="R233" s="293"/>
      <c r="S233" s="293"/>
      <c r="T233" s="293"/>
      <c r="U233" s="293"/>
      <c r="V233" s="293"/>
      <c r="W233" s="293"/>
      <c r="X233" s="293"/>
      <c r="Y233" s="293"/>
      <c r="Z233" s="293"/>
      <c r="AA233" s="293"/>
      <c r="AB233" s="293"/>
      <c r="AC233" s="293"/>
      <c r="AD233" s="293"/>
      <c r="AE233" s="293"/>
      <c r="AF233" s="293"/>
      <c r="AG233" s="293"/>
      <c r="AH233" s="293"/>
      <c r="AI233" s="293"/>
      <c r="AJ233" s="293"/>
      <c r="AK233" s="293"/>
      <c r="AL233" s="293"/>
      <c r="AM233" s="293"/>
      <c r="AN233" s="293"/>
      <c r="AO233" s="293"/>
      <c r="AP233" s="293"/>
      <c r="AQ233" s="293"/>
      <c r="AR233" s="293"/>
      <c r="AS233" s="293"/>
      <c r="AT233" s="293"/>
      <c r="AU233" s="293"/>
      <c r="AV233" s="293"/>
      <c r="AW233" s="293"/>
      <c r="AX233" s="293"/>
      <c r="AY233" s="293"/>
      <c r="AZ233" s="293"/>
      <c r="BA233" s="293"/>
      <c r="BB233" s="293"/>
      <c r="BC233" s="293"/>
      <c r="BD233" s="293"/>
      <c r="BE233" s="293"/>
      <c r="BF233" s="293"/>
      <c r="BG233" s="293"/>
      <c r="BH233" s="293"/>
      <c r="BI233" s="293"/>
      <c r="BJ233" s="293"/>
      <c r="BK233" s="293"/>
      <c r="BL233" s="293"/>
      <c r="BM233" s="293"/>
      <c r="BN233" s="293"/>
      <c r="BO233" s="293"/>
      <c r="BP233" s="293"/>
      <c r="BQ233" s="293"/>
      <c r="BR233" s="293"/>
      <c r="BS233" s="293"/>
      <c r="BT233" s="293"/>
      <c r="BU233" s="293"/>
      <c r="BV233" s="293"/>
      <c r="BW233" s="293"/>
      <c r="BX233" s="293"/>
      <c r="BY233" s="293"/>
      <c r="BZ233" s="293"/>
      <c r="CA233" s="285"/>
      <c r="CB233" s="286"/>
      <c r="CC233" s="286"/>
      <c r="CD233" s="286"/>
      <c r="CE233" s="286"/>
      <c r="CF233" s="286"/>
      <c r="CG233" s="286"/>
      <c r="CH233" s="286"/>
      <c r="CI233" s="286"/>
      <c r="CJ233" s="286"/>
      <c r="CK233" s="286"/>
      <c r="CL233" s="286"/>
      <c r="CM233" s="286"/>
      <c r="CN233" s="286"/>
      <c r="CO233" s="286"/>
      <c r="CP233" s="286"/>
      <c r="CQ233" s="286"/>
      <c r="CR233" s="286"/>
      <c r="CS233" s="286"/>
      <c r="CT233" s="286"/>
      <c r="CU233" s="286"/>
      <c r="CV233" s="286"/>
      <c r="CW233" s="286"/>
      <c r="CX233" s="286"/>
      <c r="CY233" s="286"/>
      <c r="CZ233" s="286"/>
      <c r="DA233" s="286"/>
      <c r="DB233" s="286"/>
      <c r="DC233" s="286"/>
      <c r="DD233" s="286"/>
      <c r="DE233" s="286"/>
      <c r="DF233" s="286"/>
      <c r="DG233" s="286"/>
      <c r="DH233" s="286"/>
      <c r="DI233" s="286"/>
      <c r="DJ233" s="286"/>
      <c r="DK233" s="286"/>
      <c r="DL233" s="286"/>
      <c r="DM233" s="286"/>
      <c r="DN233" s="286"/>
      <c r="DO233" s="286">
        <v>1</v>
      </c>
      <c r="DP233" s="286"/>
      <c r="DR233" s="58" t="str">
        <f>IF(ISNUMBER(MATCH(#REF!,'Audit Characteristic Mapping'!$B$3:$B$500,0)),"Y","")</f>
        <v/>
      </c>
      <c r="DS233" s="58" t="str">
        <f>IF(ISNUMBER(MATCH(#REF!,'Audit Characteristic Mapping'!$C$3:$C$500,0)),"Y","")</f>
        <v/>
      </c>
      <c r="DT233" s="58" t="str">
        <f>IF(ISNUMBER(MATCH(#REF!,'Audit Characteristic Mapping'!$D$3:$D$500,0)),"Y","")</f>
        <v/>
      </c>
      <c r="DU233" s="58" t="str">
        <f>IF(ISNUMBER(MATCH(#REF!,'Audit Characteristic Mapping'!$E$3:$E$500,0)),"Y","")</f>
        <v/>
      </c>
      <c r="DV233" s="58" t="str">
        <f>IF(ISNUMBER(MATCH(#REF!,'Audit Characteristic Mapping'!$F$3:$F$500,0)),"Y","")</f>
        <v/>
      </c>
      <c r="DW233" s="58" t="str">
        <f>IF(ISNUMBER(MATCH(#REF!,'Audit Characteristic Mapping'!$G$3:$G$500,0)),"Y","")</f>
        <v/>
      </c>
      <c r="DX233" s="58" t="str">
        <f>IF(ISNUMBER(MATCH(#REF!,'Audit Characteristic Mapping'!$H$3:$H$500,0)),"Y","")</f>
        <v/>
      </c>
      <c r="DY233" s="58" t="str">
        <f>IF(ISNUMBER(MATCH(#REF!,'Audit Characteristic Mapping'!$I$3:$I$500,0)),"Y","")</f>
        <v/>
      </c>
      <c r="DZ233" s="58" t="str">
        <f>IF(ISNUMBER(MATCH(#REF!,'Audit Characteristic Mapping'!$J$3:$J$500,0)),"Y","")</f>
        <v/>
      </c>
      <c r="EA233" s="58" t="str">
        <f>IF(ISNUMBER(MATCH(#REF!,'Audit Characteristic Mapping'!$K$3:$K$500,0)),"Y","")</f>
        <v/>
      </c>
    </row>
    <row r="234" spans="1:131" ht="16" hidden="1" x14ac:dyDescent="0.2">
      <c r="A234" s="299">
        <v>225</v>
      </c>
      <c r="B234" s="287" t="s">
        <v>253</v>
      </c>
      <c r="C234" s="226" t="s">
        <v>355</v>
      </c>
      <c r="D234" s="170">
        <v>5</v>
      </c>
      <c r="E234" s="288">
        <v>41</v>
      </c>
      <c r="F234" s="291" t="str">
        <f>VLOOKUP(Calculation!A234,'Descriptor maps'!$A$2:$F$1658,2,0)</f>
        <v>Studies &amp; Design</v>
      </c>
      <c r="G234" s="296" t="s">
        <v>252</v>
      </c>
      <c r="H234" s="290"/>
      <c r="I234" s="291"/>
      <c r="J234" s="292" t="e" cm="1">
        <f t="array" ref="J234">INDEX('Descriptor maps'!$I$2:$I$1658,MATCH(1,('Descriptor maps'!$A$2:$A$1658=Calculation!$A234)*('Descriptor maps'!$G$2:$G$1658=Calculation!$G234),0))</f>
        <v>#N/A</v>
      </c>
      <c r="K234" s="226"/>
      <c r="L234" s="293"/>
      <c r="M234" s="293"/>
      <c r="N234" s="293"/>
      <c r="O234" s="293"/>
      <c r="P234" s="293"/>
      <c r="Q234" s="293"/>
      <c r="R234" s="293"/>
      <c r="S234" s="293"/>
      <c r="T234" s="293"/>
      <c r="U234" s="293"/>
      <c r="V234" s="293"/>
      <c r="W234" s="293"/>
      <c r="X234" s="293"/>
      <c r="Y234" s="293"/>
      <c r="Z234" s="293"/>
      <c r="AA234" s="293"/>
      <c r="AB234" s="293"/>
      <c r="AC234" s="293"/>
      <c r="AD234" s="293"/>
      <c r="AE234" s="293"/>
      <c r="AF234" s="293"/>
      <c r="AG234" s="293"/>
      <c r="AH234" s="293"/>
      <c r="AI234" s="293"/>
      <c r="AJ234" s="293"/>
      <c r="AK234" s="293"/>
      <c r="AL234" s="293"/>
      <c r="AM234" s="293"/>
      <c r="AN234" s="293"/>
      <c r="AO234" s="293"/>
      <c r="AP234" s="293"/>
      <c r="AQ234" s="293"/>
      <c r="AR234" s="293"/>
      <c r="AS234" s="293"/>
      <c r="AT234" s="293"/>
      <c r="AU234" s="293"/>
      <c r="AV234" s="293"/>
      <c r="AW234" s="293"/>
      <c r="AX234" s="293"/>
      <c r="AY234" s="293"/>
      <c r="AZ234" s="293"/>
      <c r="BA234" s="293"/>
      <c r="BB234" s="293"/>
      <c r="BC234" s="293"/>
      <c r="BD234" s="293"/>
      <c r="BE234" s="293"/>
      <c r="BF234" s="293"/>
      <c r="BG234" s="293"/>
      <c r="BH234" s="293"/>
      <c r="BI234" s="293"/>
      <c r="BJ234" s="293"/>
      <c r="BK234" s="293"/>
      <c r="BL234" s="293"/>
      <c r="BM234" s="293"/>
      <c r="BN234" s="293"/>
      <c r="BO234" s="293"/>
      <c r="BP234" s="293"/>
      <c r="BQ234" s="293"/>
      <c r="BR234" s="293"/>
      <c r="BS234" s="293"/>
      <c r="BT234" s="293"/>
      <c r="BU234" s="293"/>
      <c r="BV234" s="293"/>
      <c r="BW234" s="293"/>
      <c r="BX234" s="293"/>
      <c r="BY234" s="293"/>
      <c r="BZ234" s="293"/>
      <c r="CA234" s="285"/>
      <c r="CB234" s="286"/>
      <c r="CC234" s="286"/>
      <c r="CD234" s="286"/>
      <c r="CE234" s="286"/>
      <c r="CF234" s="286"/>
      <c r="CG234" s="286"/>
      <c r="CH234" s="286"/>
      <c r="CI234" s="286"/>
      <c r="CJ234" s="286"/>
      <c r="CK234" s="286"/>
      <c r="CL234" s="286"/>
      <c r="CM234" s="286"/>
      <c r="CN234" s="286"/>
      <c r="CO234" s="286"/>
      <c r="CP234" s="286"/>
      <c r="CQ234" s="286"/>
      <c r="CR234" s="286"/>
      <c r="CS234" s="286"/>
      <c r="CT234" s="286"/>
      <c r="CU234" s="286"/>
      <c r="CV234" s="286"/>
      <c r="CW234" s="286"/>
      <c r="CX234" s="286"/>
      <c r="CY234" s="286"/>
      <c r="CZ234" s="286"/>
      <c r="DA234" s="286"/>
      <c r="DB234" s="286"/>
      <c r="DC234" s="286"/>
      <c r="DD234" s="286"/>
      <c r="DE234" s="286"/>
      <c r="DF234" s="286"/>
      <c r="DG234" s="286"/>
      <c r="DH234" s="286"/>
      <c r="DI234" s="286"/>
      <c r="DJ234" s="286"/>
      <c r="DK234" s="286"/>
      <c r="DL234" s="286"/>
      <c r="DM234" s="286"/>
      <c r="DN234" s="286"/>
      <c r="DO234" s="286">
        <v>1</v>
      </c>
      <c r="DP234" s="286"/>
      <c r="DR234" s="58" t="str">
        <f>IF(ISNUMBER(MATCH(#REF!,'Audit Characteristic Mapping'!$B$3:$B$500,0)),"Y","")</f>
        <v/>
      </c>
      <c r="DS234" s="58" t="str">
        <f>IF(ISNUMBER(MATCH(#REF!,'Audit Characteristic Mapping'!$C$3:$C$500,0)),"Y","")</f>
        <v/>
      </c>
      <c r="DT234" s="58" t="str">
        <f>IF(ISNUMBER(MATCH(#REF!,'Audit Characteristic Mapping'!$D$3:$D$500,0)),"Y","")</f>
        <v/>
      </c>
      <c r="DU234" s="58" t="str">
        <f>IF(ISNUMBER(MATCH(#REF!,'Audit Characteristic Mapping'!$E$3:$E$500,0)),"Y","")</f>
        <v/>
      </c>
      <c r="DV234" s="58" t="str">
        <f>IF(ISNUMBER(MATCH(#REF!,'Audit Characteristic Mapping'!$F$3:$F$500,0)),"Y","")</f>
        <v/>
      </c>
      <c r="DW234" s="58" t="str">
        <f>IF(ISNUMBER(MATCH(#REF!,'Audit Characteristic Mapping'!$G$3:$G$500,0)),"Y","")</f>
        <v/>
      </c>
      <c r="DX234" s="58" t="str">
        <f>IF(ISNUMBER(MATCH(#REF!,'Audit Characteristic Mapping'!$H$3:$H$500,0)),"Y","")</f>
        <v/>
      </c>
      <c r="DY234" s="58" t="str">
        <f>IF(ISNUMBER(MATCH(#REF!,'Audit Characteristic Mapping'!$I$3:$I$500,0)),"Y","")</f>
        <v/>
      </c>
      <c r="DZ234" s="58" t="str">
        <f>IF(ISNUMBER(MATCH(#REF!,'Audit Characteristic Mapping'!$J$3:$J$500,0)),"Y","")</f>
        <v/>
      </c>
      <c r="EA234" s="58" t="str">
        <f>IF(ISNUMBER(MATCH(#REF!,'Audit Characteristic Mapping'!$K$3:$K$500,0)),"Y","")</f>
        <v/>
      </c>
    </row>
    <row r="235" spans="1:131" ht="16" hidden="1" x14ac:dyDescent="0.2">
      <c r="A235" s="299">
        <v>226</v>
      </c>
      <c r="B235" s="287" t="s">
        <v>253</v>
      </c>
      <c r="C235" s="226" t="s">
        <v>355</v>
      </c>
      <c r="D235" s="170">
        <v>5</v>
      </c>
      <c r="E235" s="288">
        <v>41</v>
      </c>
      <c r="F235" s="291" t="str">
        <f>VLOOKUP(Calculation!A235,'Descriptor maps'!$A$2:$F$1658,2,0)</f>
        <v>Studies &amp; Design</v>
      </c>
      <c r="G235" s="296" t="s">
        <v>252</v>
      </c>
      <c r="H235" s="290"/>
      <c r="I235" s="291"/>
      <c r="J235" s="292" t="e" cm="1">
        <f t="array" ref="J235">INDEX('Descriptor maps'!$I$2:$I$1658,MATCH(1,('Descriptor maps'!$A$2:$A$1658=Calculation!$A235)*('Descriptor maps'!$G$2:$G$1658=Calculation!$G235),0))</f>
        <v>#N/A</v>
      </c>
      <c r="K235" s="226"/>
      <c r="L235" s="293"/>
      <c r="M235" s="293"/>
      <c r="N235" s="293"/>
      <c r="O235" s="293"/>
      <c r="P235" s="293"/>
      <c r="Q235" s="293"/>
      <c r="R235" s="293"/>
      <c r="S235" s="293"/>
      <c r="T235" s="293"/>
      <c r="U235" s="293"/>
      <c r="V235" s="293"/>
      <c r="W235" s="293"/>
      <c r="X235" s="293"/>
      <c r="Y235" s="293"/>
      <c r="Z235" s="293"/>
      <c r="AA235" s="293"/>
      <c r="AB235" s="293"/>
      <c r="AC235" s="293"/>
      <c r="AD235" s="293"/>
      <c r="AE235" s="293"/>
      <c r="AF235" s="293"/>
      <c r="AG235" s="293"/>
      <c r="AH235" s="293"/>
      <c r="AI235" s="293"/>
      <c r="AJ235" s="293"/>
      <c r="AK235" s="293"/>
      <c r="AL235" s="293"/>
      <c r="AM235" s="293"/>
      <c r="AN235" s="293"/>
      <c r="AO235" s="293"/>
      <c r="AP235" s="293"/>
      <c r="AQ235" s="293"/>
      <c r="AR235" s="293"/>
      <c r="AS235" s="293"/>
      <c r="AT235" s="293"/>
      <c r="AU235" s="293"/>
      <c r="AV235" s="293"/>
      <c r="AW235" s="293"/>
      <c r="AX235" s="293"/>
      <c r="AY235" s="293"/>
      <c r="AZ235" s="293"/>
      <c r="BA235" s="293"/>
      <c r="BB235" s="293"/>
      <c r="BC235" s="293"/>
      <c r="BD235" s="293"/>
      <c r="BE235" s="293"/>
      <c r="BF235" s="293"/>
      <c r="BG235" s="293"/>
      <c r="BH235" s="293"/>
      <c r="BI235" s="293"/>
      <c r="BJ235" s="293"/>
      <c r="BK235" s="293"/>
      <c r="BL235" s="293"/>
      <c r="BM235" s="293"/>
      <c r="BN235" s="293"/>
      <c r="BO235" s="293"/>
      <c r="BP235" s="293"/>
      <c r="BQ235" s="293"/>
      <c r="BR235" s="293"/>
      <c r="BS235" s="293"/>
      <c r="BT235" s="293"/>
      <c r="BU235" s="293"/>
      <c r="BV235" s="293"/>
      <c r="BW235" s="293"/>
      <c r="BX235" s="293"/>
      <c r="BY235" s="293"/>
      <c r="BZ235" s="293"/>
      <c r="CA235" s="285"/>
      <c r="CB235" s="286"/>
      <c r="CC235" s="286"/>
      <c r="CD235" s="286"/>
      <c r="CE235" s="286"/>
      <c r="CF235" s="286"/>
      <c r="CG235" s="286"/>
      <c r="CH235" s="286"/>
      <c r="CI235" s="286"/>
      <c r="CJ235" s="286"/>
      <c r="CK235" s="286"/>
      <c r="CL235" s="286"/>
      <c r="CM235" s="286"/>
      <c r="CN235" s="286"/>
      <c r="CO235" s="286"/>
      <c r="CP235" s="286"/>
      <c r="CQ235" s="286"/>
      <c r="CR235" s="286"/>
      <c r="CS235" s="286"/>
      <c r="CT235" s="286"/>
      <c r="CU235" s="286"/>
      <c r="CV235" s="286"/>
      <c r="CW235" s="286"/>
      <c r="CX235" s="286"/>
      <c r="CY235" s="286"/>
      <c r="CZ235" s="286"/>
      <c r="DA235" s="286"/>
      <c r="DB235" s="286"/>
      <c r="DC235" s="286"/>
      <c r="DD235" s="286"/>
      <c r="DE235" s="286"/>
      <c r="DF235" s="286"/>
      <c r="DG235" s="286"/>
      <c r="DH235" s="286"/>
      <c r="DI235" s="286"/>
      <c r="DJ235" s="286"/>
      <c r="DK235" s="286"/>
      <c r="DL235" s="286"/>
      <c r="DM235" s="286"/>
      <c r="DN235" s="286"/>
      <c r="DO235" s="286">
        <v>1</v>
      </c>
      <c r="DP235" s="286"/>
      <c r="DR235" s="58" t="str">
        <f>IF(ISNUMBER(MATCH(#REF!,'Audit Characteristic Mapping'!$B$3:$B$500,0)),"Y","")</f>
        <v/>
      </c>
      <c r="DS235" s="58" t="str">
        <f>IF(ISNUMBER(MATCH(#REF!,'Audit Characteristic Mapping'!$C$3:$C$500,0)),"Y","")</f>
        <v/>
      </c>
      <c r="DT235" s="58" t="str">
        <f>IF(ISNUMBER(MATCH(#REF!,'Audit Characteristic Mapping'!$D$3:$D$500,0)),"Y","")</f>
        <v/>
      </c>
      <c r="DU235" s="58" t="str">
        <f>IF(ISNUMBER(MATCH(#REF!,'Audit Characteristic Mapping'!$E$3:$E$500,0)),"Y","")</f>
        <v/>
      </c>
      <c r="DV235" s="58" t="str">
        <f>IF(ISNUMBER(MATCH(#REF!,'Audit Characteristic Mapping'!$F$3:$F$500,0)),"Y","")</f>
        <v/>
      </c>
      <c r="DW235" s="58" t="str">
        <f>IF(ISNUMBER(MATCH(#REF!,'Audit Characteristic Mapping'!$G$3:$G$500,0)),"Y","")</f>
        <v/>
      </c>
      <c r="DX235" s="58" t="str">
        <f>IF(ISNUMBER(MATCH(#REF!,'Audit Characteristic Mapping'!$H$3:$H$500,0)),"Y","")</f>
        <v/>
      </c>
      <c r="DY235" s="58" t="str">
        <f>IF(ISNUMBER(MATCH(#REF!,'Audit Characteristic Mapping'!$I$3:$I$500,0)),"Y","")</f>
        <v/>
      </c>
      <c r="DZ235" s="58" t="str">
        <f>IF(ISNUMBER(MATCH(#REF!,'Audit Characteristic Mapping'!$J$3:$J$500,0)),"Y","")</f>
        <v/>
      </c>
      <c r="EA235" s="58" t="str">
        <f>IF(ISNUMBER(MATCH(#REF!,'Audit Characteristic Mapping'!$K$3:$K$500,0)),"Y","")</f>
        <v/>
      </c>
    </row>
    <row r="236" spans="1:131" ht="16" hidden="1" x14ac:dyDescent="0.2">
      <c r="A236" s="288">
        <v>227</v>
      </c>
      <c r="B236" s="287" t="s">
        <v>253</v>
      </c>
      <c r="C236" s="226" t="s">
        <v>355</v>
      </c>
      <c r="D236" s="170">
        <v>5</v>
      </c>
      <c r="E236" s="288">
        <v>41</v>
      </c>
      <c r="F236" s="291" t="str">
        <f>VLOOKUP(Calculation!A236,'Descriptor maps'!$A$2:$F$1658,2,0)</f>
        <v>Studies &amp; Design</v>
      </c>
      <c r="G236" s="296"/>
      <c r="H236" s="290"/>
      <c r="I236" s="291"/>
      <c r="J236" s="292" t="e" cm="1">
        <f t="array" ref="J236">INDEX('Descriptor maps'!$I$2:$I$1658,MATCH(1,('Descriptor maps'!$A$2:$A$1658=Calculation!$A236)*('Descriptor maps'!$G$2:$G$1658=Calculation!$G236),0))</f>
        <v>#N/A</v>
      </c>
      <c r="K236" s="226"/>
      <c r="L236" s="293"/>
      <c r="M236" s="293"/>
      <c r="N236" s="293"/>
      <c r="O236" s="293"/>
      <c r="P236" s="293"/>
      <c r="Q236" s="293"/>
      <c r="R236" s="293"/>
      <c r="S236" s="293"/>
      <c r="T236" s="293"/>
      <c r="U236" s="293"/>
      <c r="V236" s="293"/>
      <c r="W236" s="293"/>
      <c r="X236" s="293"/>
      <c r="Y236" s="293"/>
      <c r="Z236" s="293"/>
      <c r="AA236" s="293"/>
      <c r="AB236" s="293"/>
      <c r="AC236" s="293"/>
      <c r="AD236" s="293"/>
      <c r="AE236" s="293"/>
      <c r="AF236" s="293"/>
      <c r="AG236" s="293"/>
      <c r="AH236" s="293"/>
      <c r="AI236" s="293"/>
      <c r="AJ236" s="293"/>
      <c r="AK236" s="293"/>
      <c r="AL236" s="293"/>
      <c r="AM236" s="293"/>
      <c r="AN236" s="293"/>
      <c r="AO236" s="293"/>
      <c r="AP236" s="293"/>
      <c r="AQ236" s="293"/>
      <c r="AR236" s="293"/>
      <c r="AS236" s="293"/>
      <c r="AT236" s="293"/>
      <c r="AU236" s="293"/>
      <c r="AV236" s="293"/>
      <c r="AW236" s="293"/>
      <c r="AX236" s="293"/>
      <c r="AY236" s="293"/>
      <c r="AZ236" s="293"/>
      <c r="BA236" s="293"/>
      <c r="BB236" s="293"/>
      <c r="BC236" s="293"/>
      <c r="BD236" s="293"/>
      <c r="BE236" s="293"/>
      <c r="BF236" s="293"/>
      <c r="BG236" s="293"/>
      <c r="BH236" s="293"/>
      <c r="BI236" s="293"/>
      <c r="BJ236" s="293"/>
      <c r="BK236" s="293"/>
      <c r="BL236" s="293"/>
      <c r="BM236" s="293"/>
      <c r="BN236" s="293"/>
      <c r="BO236" s="293"/>
      <c r="BP236" s="293"/>
      <c r="BQ236" s="293"/>
      <c r="BR236" s="293"/>
      <c r="BS236" s="293"/>
      <c r="BT236" s="293"/>
      <c r="BU236" s="293"/>
      <c r="BV236" s="293"/>
      <c r="BW236" s="293"/>
      <c r="BX236" s="293"/>
      <c r="BY236" s="293"/>
      <c r="BZ236" s="293"/>
      <c r="CA236" s="285"/>
      <c r="CB236" s="286"/>
      <c r="CC236" s="286"/>
      <c r="CD236" s="286"/>
      <c r="CE236" s="286"/>
      <c r="CF236" s="286"/>
      <c r="CG236" s="286"/>
      <c r="CH236" s="286"/>
      <c r="CI236" s="286"/>
      <c r="CJ236" s="286"/>
      <c r="CK236" s="286"/>
      <c r="CL236" s="286"/>
      <c r="CM236" s="286"/>
      <c r="CN236" s="286"/>
      <c r="CO236" s="286"/>
      <c r="CP236" s="286"/>
      <c r="CQ236" s="286"/>
      <c r="CR236" s="286"/>
      <c r="CS236" s="286"/>
      <c r="CT236" s="286"/>
      <c r="CU236" s="286"/>
      <c r="CV236" s="286"/>
      <c r="CW236" s="286"/>
      <c r="CX236" s="286"/>
      <c r="CY236" s="286"/>
      <c r="CZ236" s="286"/>
      <c r="DA236" s="286"/>
      <c r="DB236" s="286"/>
      <c r="DC236" s="286"/>
      <c r="DD236" s="286"/>
      <c r="DE236" s="286"/>
      <c r="DF236" s="286"/>
      <c r="DG236" s="286"/>
      <c r="DH236" s="286"/>
      <c r="DI236" s="286"/>
      <c r="DJ236" s="286"/>
      <c r="DK236" s="286"/>
      <c r="DL236" s="286"/>
      <c r="DM236" s="286"/>
      <c r="DN236" s="286"/>
      <c r="DO236" s="286"/>
      <c r="DP236" s="286"/>
      <c r="DR236" s="58" t="str">
        <f>IF(ISNUMBER(MATCH(#REF!,'Audit Characteristic Mapping'!$B$3:$B$500,0)),"Y","")</f>
        <v/>
      </c>
      <c r="DS236" s="58" t="str">
        <f>IF(ISNUMBER(MATCH(#REF!,'Audit Characteristic Mapping'!$C$3:$C$500,0)),"Y","")</f>
        <v/>
      </c>
      <c r="DT236" s="58" t="str">
        <f>IF(ISNUMBER(MATCH(#REF!,'Audit Characteristic Mapping'!$D$3:$D$500,0)),"Y","")</f>
        <v/>
      </c>
      <c r="DU236" s="58" t="str">
        <f>IF(ISNUMBER(MATCH(#REF!,'Audit Characteristic Mapping'!$E$3:$E$500,0)),"Y","")</f>
        <v/>
      </c>
      <c r="DV236" s="58" t="str">
        <f>IF(ISNUMBER(MATCH(#REF!,'Audit Characteristic Mapping'!$F$3:$F$500,0)),"Y","")</f>
        <v/>
      </c>
      <c r="DW236" s="58" t="str">
        <f>IF(ISNUMBER(MATCH(#REF!,'Audit Characteristic Mapping'!$G$3:$G$500,0)),"Y","")</f>
        <v/>
      </c>
      <c r="DX236" s="58" t="str">
        <f>IF(ISNUMBER(MATCH(#REF!,'Audit Characteristic Mapping'!$H$3:$H$500,0)),"Y","")</f>
        <v/>
      </c>
      <c r="DY236" s="58" t="str">
        <f>IF(ISNUMBER(MATCH(#REF!,'Audit Characteristic Mapping'!$I$3:$I$500,0)),"Y","")</f>
        <v/>
      </c>
      <c r="DZ236" s="58" t="str">
        <f>IF(ISNUMBER(MATCH(#REF!,'Audit Characteristic Mapping'!$J$3:$J$500,0)),"Y","")</f>
        <v/>
      </c>
      <c r="EA236" s="58" t="str">
        <f>IF(ISNUMBER(MATCH(#REF!,'Audit Characteristic Mapping'!$K$3:$K$500,0)),"Y","")</f>
        <v/>
      </c>
    </row>
    <row r="237" spans="1:131" ht="16" hidden="1" x14ac:dyDescent="0.2">
      <c r="A237" s="288">
        <v>228</v>
      </c>
      <c r="B237" s="287" t="s">
        <v>253</v>
      </c>
      <c r="C237" s="226" t="s">
        <v>355</v>
      </c>
      <c r="D237" s="170">
        <v>5</v>
      </c>
      <c r="E237" s="288">
        <v>41</v>
      </c>
      <c r="F237" s="291" t="str">
        <f>VLOOKUP(Calculation!A237,'Descriptor maps'!$A$2:$F$1658,2,0)</f>
        <v>Studies &amp; Design</v>
      </c>
      <c r="G237" s="296"/>
      <c r="H237" s="290"/>
      <c r="I237" s="291"/>
      <c r="J237" s="292" t="e" cm="1">
        <f t="array" ref="J237">INDEX('Descriptor maps'!$I$2:$I$1658,MATCH(1,('Descriptor maps'!$A$2:$A$1658=Calculation!$A237)*('Descriptor maps'!$G$2:$G$1658=Calculation!$G237),0))</f>
        <v>#N/A</v>
      </c>
      <c r="K237" s="226"/>
      <c r="L237" s="293"/>
      <c r="M237" s="293"/>
      <c r="N237" s="293"/>
      <c r="O237" s="293"/>
      <c r="P237" s="293"/>
      <c r="Q237" s="293"/>
      <c r="R237" s="293"/>
      <c r="S237" s="293"/>
      <c r="T237" s="293"/>
      <c r="U237" s="293"/>
      <c r="V237" s="293"/>
      <c r="W237" s="293"/>
      <c r="X237" s="293"/>
      <c r="Y237" s="293"/>
      <c r="Z237" s="293"/>
      <c r="AA237" s="293"/>
      <c r="AB237" s="293"/>
      <c r="AC237" s="293"/>
      <c r="AD237" s="293"/>
      <c r="AE237" s="293"/>
      <c r="AF237" s="293"/>
      <c r="AG237" s="293"/>
      <c r="AH237" s="293"/>
      <c r="AI237" s="293"/>
      <c r="AJ237" s="293"/>
      <c r="AK237" s="293"/>
      <c r="AL237" s="293"/>
      <c r="AM237" s="293"/>
      <c r="AN237" s="293"/>
      <c r="AO237" s="293"/>
      <c r="AP237" s="293"/>
      <c r="AQ237" s="293"/>
      <c r="AR237" s="293"/>
      <c r="AS237" s="293"/>
      <c r="AT237" s="293"/>
      <c r="AU237" s="293"/>
      <c r="AV237" s="293"/>
      <c r="AW237" s="293"/>
      <c r="AX237" s="293"/>
      <c r="AY237" s="293"/>
      <c r="AZ237" s="293"/>
      <c r="BA237" s="293"/>
      <c r="BB237" s="293"/>
      <c r="BC237" s="293"/>
      <c r="BD237" s="293"/>
      <c r="BE237" s="293"/>
      <c r="BF237" s="293"/>
      <c r="BG237" s="293"/>
      <c r="BH237" s="293"/>
      <c r="BI237" s="293"/>
      <c r="BJ237" s="293"/>
      <c r="BK237" s="293"/>
      <c r="BL237" s="293"/>
      <c r="BM237" s="293"/>
      <c r="BN237" s="293"/>
      <c r="BO237" s="293"/>
      <c r="BP237" s="293"/>
      <c r="BQ237" s="293"/>
      <c r="BR237" s="293"/>
      <c r="BS237" s="293"/>
      <c r="BT237" s="293"/>
      <c r="BU237" s="293"/>
      <c r="BV237" s="293"/>
      <c r="BW237" s="293"/>
      <c r="BX237" s="293"/>
      <c r="BY237" s="293"/>
      <c r="BZ237" s="293"/>
      <c r="CA237" s="285"/>
      <c r="CB237" s="286"/>
      <c r="CC237" s="286"/>
      <c r="CD237" s="286"/>
      <c r="CE237" s="286"/>
      <c r="CF237" s="286"/>
      <c r="CG237" s="286"/>
      <c r="CH237" s="286"/>
      <c r="CI237" s="286"/>
      <c r="CJ237" s="286"/>
      <c r="CK237" s="286"/>
      <c r="CL237" s="286"/>
      <c r="CM237" s="286"/>
      <c r="CN237" s="286"/>
      <c r="CO237" s="286"/>
      <c r="CP237" s="286"/>
      <c r="CQ237" s="286"/>
      <c r="CR237" s="286"/>
      <c r="CS237" s="286"/>
      <c r="CT237" s="286"/>
      <c r="CU237" s="286"/>
      <c r="CV237" s="286"/>
      <c r="CW237" s="286"/>
      <c r="CX237" s="286"/>
      <c r="CY237" s="286"/>
      <c r="CZ237" s="286"/>
      <c r="DA237" s="286"/>
      <c r="DB237" s="286"/>
      <c r="DC237" s="286"/>
      <c r="DD237" s="286"/>
      <c r="DE237" s="286"/>
      <c r="DF237" s="286"/>
      <c r="DG237" s="286"/>
      <c r="DH237" s="286"/>
      <c r="DI237" s="286"/>
      <c r="DJ237" s="286"/>
      <c r="DK237" s="286"/>
      <c r="DL237" s="286"/>
      <c r="DM237" s="286"/>
      <c r="DN237" s="286"/>
      <c r="DO237" s="286"/>
      <c r="DP237" s="286"/>
      <c r="DR237" s="58" t="str">
        <f>IF(ISNUMBER(MATCH(#REF!,'Audit Characteristic Mapping'!$B$3:$B$500,0)),"Y","")</f>
        <v/>
      </c>
      <c r="DS237" s="58" t="str">
        <f>IF(ISNUMBER(MATCH(#REF!,'Audit Characteristic Mapping'!$C$3:$C$500,0)),"Y","")</f>
        <v/>
      </c>
      <c r="DT237" s="58" t="str">
        <f>IF(ISNUMBER(MATCH(#REF!,'Audit Characteristic Mapping'!$D$3:$D$500,0)),"Y","")</f>
        <v/>
      </c>
      <c r="DU237" s="58" t="str">
        <f>IF(ISNUMBER(MATCH(#REF!,'Audit Characteristic Mapping'!$E$3:$E$500,0)),"Y","")</f>
        <v/>
      </c>
      <c r="DV237" s="58" t="str">
        <f>IF(ISNUMBER(MATCH(#REF!,'Audit Characteristic Mapping'!$F$3:$F$500,0)),"Y","")</f>
        <v/>
      </c>
      <c r="DW237" s="58" t="str">
        <f>IF(ISNUMBER(MATCH(#REF!,'Audit Characteristic Mapping'!$G$3:$G$500,0)),"Y","")</f>
        <v/>
      </c>
      <c r="DX237" s="58" t="str">
        <f>IF(ISNUMBER(MATCH(#REF!,'Audit Characteristic Mapping'!$H$3:$H$500,0)),"Y","")</f>
        <v/>
      </c>
      <c r="DY237" s="58" t="str">
        <f>IF(ISNUMBER(MATCH(#REF!,'Audit Characteristic Mapping'!$I$3:$I$500,0)),"Y","")</f>
        <v/>
      </c>
      <c r="DZ237" s="58" t="str">
        <f>IF(ISNUMBER(MATCH(#REF!,'Audit Characteristic Mapping'!$J$3:$J$500,0)),"Y","")</f>
        <v/>
      </c>
      <c r="EA237" s="58" t="str">
        <f>IF(ISNUMBER(MATCH(#REF!,'Audit Characteristic Mapping'!$K$3:$K$500,0)),"Y","")</f>
        <v/>
      </c>
    </row>
    <row r="238" spans="1:131" ht="16" hidden="1" x14ac:dyDescent="0.2">
      <c r="A238" s="288">
        <v>229</v>
      </c>
      <c r="B238" s="287" t="s">
        <v>253</v>
      </c>
      <c r="C238" s="226" t="s">
        <v>355</v>
      </c>
      <c r="D238" s="170">
        <v>5</v>
      </c>
      <c r="E238" s="288">
        <v>41</v>
      </c>
      <c r="F238" s="291" t="str">
        <f>VLOOKUP(Calculation!A238,'Descriptor maps'!$A$2:$F$1658,2,0)</f>
        <v>Studies &amp; Design</v>
      </c>
      <c r="G238" s="296"/>
      <c r="H238" s="290"/>
      <c r="I238" s="291"/>
      <c r="J238" s="292" t="e" cm="1">
        <f t="array" ref="J238">INDEX('Descriptor maps'!$I$2:$I$1658,MATCH(1,('Descriptor maps'!$A$2:$A$1658=Calculation!$A238)*('Descriptor maps'!$G$2:$G$1658=Calculation!$G238),0))</f>
        <v>#N/A</v>
      </c>
      <c r="K238" s="226"/>
      <c r="L238" s="293"/>
      <c r="M238" s="293"/>
      <c r="N238" s="293"/>
      <c r="O238" s="293"/>
      <c r="P238" s="293"/>
      <c r="Q238" s="293"/>
      <c r="R238" s="293"/>
      <c r="S238" s="293"/>
      <c r="T238" s="293"/>
      <c r="U238" s="293"/>
      <c r="V238" s="293"/>
      <c r="W238" s="293"/>
      <c r="X238" s="293"/>
      <c r="Y238" s="293"/>
      <c r="Z238" s="293"/>
      <c r="AA238" s="293"/>
      <c r="AB238" s="293"/>
      <c r="AC238" s="293"/>
      <c r="AD238" s="293"/>
      <c r="AE238" s="293"/>
      <c r="AF238" s="293"/>
      <c r="AG238" s="293"/>
      <c r="AH238" s="293"/>
      <c r="AI238" s="293"/>
      <c r="AJ238" s="293"/>
      <c r="AK238" s="293"/>
      <c r="AL238" s="293"/>
      <c r="AM238" s="293"/>
      <c r="AN238" s="293"/>
      <c r="AO238" s="293"/>
      <c r="AP238" s="293"/>
      <c r="AQ238" s="293"/>
      <c r="AR238" s="293"/>
      <c r="AS238" s="293"/>
      <c r="AT238" s="293"/>
      <c r="AU238" s="293"/>
      <c r="AV238" s="293"/>
      <c r="AW238" s="293"/>
      <c r="AX238" s="293"/>
      <c r="AY238" s="293"/>
      <c r="AZ238" s="293"/>
      <c r="BA238" s="293"/>
      <c r="BB238" s="293"/>
      <c r="BC238" s="293"/>
      <c r="BD238" s="293"/>
      <c r="BE238" s="293"/>
      <c r="BF238" s="293"/>
      <c r="BG238" s="293"/>
      <c r="BH238" s="293"/>
      <c r="BI238" s="293"/>
      <c r="BJ238" s="293"/>
      <c r="BK238" s="293"/>
      <c r="BL238" s="293"/>
      <c r="BM238" s="293"/>
      <c r="BN238" s="293"/>
      <c r="BO238" s="293"/>
      <c r="BP238" s="293"/>
      <c r="BQ238" s="293"/>
      <c r="BR238" s="293"/>
      <c r="BS238" s="293"/>
      <c r="BT238" s="293"/>
      <c r="BU238" s="293"/>
      <c r="BV238" s="293"/>
      <c r="BW238" s="293"/>
      <c r="BX238" s="293"/>
      <c r="BY238" s="293"/>
      <c r="BZ238" s="293"/>
      <c r="CA238" s="285"/>
      <c r="CB238" s="286"/>
      <c r="CC238" s="286"/>
      <c r="CD238" s="286"/>
      <c r="CE238" s="286"/>
      <c r="CF238" s="286"/>
      <c r="CG238" s="286"/>
      <c r="CH238" s="286"/>
      <c r="CI238" s="286"/>
      <c r="CJ238" s="286"/>
      <c r="CK238" s="286"/>
      <c r="CL238" s="286"/>
      <c r="CM238" s="286"/>
      <c r="CN238" s="286"/>
      <c r="CO238" s="286"/>
      <c r="CP238" s="286"/>
      <c r="CQ238" s="286"/>
      <c r="CR238" s="286"/>
      <c r="CS238" s="286"/>
      <c r="CT238" s="286"/>
      <c r="CU238" s="286"/>
      <c r="CV238" s="286"/>
      <c r="CW238" s="286"/>
      <c r="CX238" s="286"/>
      <c r="CY238" s="286"/>
      <c r="CZ238" s="286"/>
      <c r="DA238" s="286"/>
      <c r="DB238" s="286"/>
      <c r="DC238" s="286"/>
      <c r="DD238" s="286"/>
      <c r="DE238" s="286"/>
      <c r="DF238" s="286"/>
      <c r="DG238" s="286"/>
      <c r="DH238" s="286"/>
      <c r="DI238" s="286"/>
      <c r="DJ238" s="286"/>
      <c r="DK238" s="286"/>
      <c r="DL238" s="286"/>
      <c r="DM238" s="286"/>
      <c r="DN238" s="286"/>
      <c r="DO238" s="286"/>
      <c r="DP238" s="286"/>
      <c r="DR238" s="58" t="str">
        <f>IF(ISNUMBER(MATCH(#REF!,'Audit Characteristic Mapping'!$B$3:$B$500,0)),"Y","")</f>
        <v/>
      </c>
      <c r="DS238" s="58" t="str">
        <f>IF(ISNUMBER(MATCH(#REF!,'Audit Characteristic Mapping'!$C$3:$C$500,0)),"Y","")</f>
        <v/>
      </c>
      <c r="DT238" s="58" t="str">
        <f>IF(ISNUMBER(MATCH(#REF!,'Audit Characteristic Mapping'!$D$3:$D$500,0)),"Y","")</f>
        <v/>
      </c>
      <c r="DU238" s="58" t="str">
        <f>IF(ISNUMBER(MATCH(#REF!,'Audit Characteristic Mapping'!$E$3:$E$500,0)),"Y","")</f>
        <v/>
      </c>
      <c r="DV238" s="58" t="str">
        <f>IF(ISNUMBER(MATCH(#REF!,'Audit Characteristic Mapping'!$F$3:$F$500,0)),"Y","")</f>
        <v/>
      </c>
      <c r="DW238" s="58" t="str">
        <f>IF(ISNUMBER(MATCH(#REF!,'Audit Characteristic Mapping'!$G$3:$G$500,0)),"Y","")</f>
        <v/>
      </c>
      <c r="DX238" s="58" t="str">
        <f>IF(ISNUMBER(MATCH(#REF!,'Audit Characteristic Mapping'!$H$3:$H$500,0)),"Y","")</f>
        <v/>
      </c>
      <c r="DY238" s="58" t="str">
        <f>IF(ISNUMBER(MATCH(#REF!,'Audit Characteristic Mapping'!$I$3:$I$500,0)),"Y","")</f>
        <v/>
      </c>
      <c r="DZ238" s="58" t="str">
        <f>IF(ISNUMBER(MATCH(#REF!,'Audit Characteristic Mapping'!$J$3:$J$500,0)),"Y","")</f>
        <v/>
      </c>
      <c r="EA238" s="58" t="str">
        <f>IF(ISNUMBER(MATCH(#REF!,'Audit Characteristic Mapping'!$K$3:$K$500,0)),"Y","")</f>
        <v/>
      </c>
    </row>
    <row r="239" spans="1:131" ht="16" hidden="1" x14ac:dyDescent="0.2">
      <c r="A239" s="288">
        <v>230</v>
      </c>
      <c r="B239" s="287" t="s">
        <v>253</v>
      </c>
      <c r="C239" s="226" t="s">
        <v>355</v>
      </c>
      <c r="D239" s="170">
        <v>5</v>
      </c>
      <c r="E239" s="288">
        <v>41</v>
      </c>
      <c r="F239" s="291" t="str">
        <f>VLOOKUP(Calculation!A239,'Descriptor maps'!$A$2:$F$1658,2,0)</f>
        <v>Studies &amp; Design</v>
      </c>
      <c r="G239" s="296"/>
      <c r="H239" s="290"/>
      <c r="I239" s="291"/>
      <c r="J239" s="292" t="e" cm="1">
        <f t="array" ref="J239">INDEX('Descriptor maps'!$I$2:$I$1658,MATCH(1,('Descriptor maps'!$A$2:$A$1658=Calculation!$A239)*('Descriptor maps'!$G$2:$G$1658=Calculation!$G239),0))</f>
        <v>#N/A</v>
      </c>
      <c r="K239" s="226"/>
      <c r="L239" s="293"/>
      <c r="M239" s="293"/>
      <c r="N239" s="293"/>
      <c r="O239" s="293"/>
      <c r="P239" s="293"/>
      <c r="Q239" s="293"/>
      <c r="R239" s="293"/>
      <c r="S239" s="293"/>
      <c r="T239" s="293"/>
      <c r="U239" s="293"/>
      <c r="V239" s="293"/>
      <c r="W239" s="293"/>
      <c r="X239" s="293"/>
      <c r="Y239" s="293"/>
      <c r="Z239" s="293"/>
      <c r="AA239" s="293"/>
      <c r="AB239" s="293"/>
      <c r="AC239" s="293"/>
      <c r="AD239" s="293"/>
      <c r="AE239" s="293"/>
      <c r="AF239" s="293"/>
      <c r="AG239" s="293"/>
      <c r="AH239" s="293"/>
      <c r="AI239" s="293"/>
      <c r="AJ239" s="293"/>
      <c r="AK239" s="293"/>
      <c r="AL239" s="293"/>
      <c r="AM239" s="293"/>
      <c r="AN239" s="293"/>
      <c r="AO239" s="293"/>
      <c r="AP239" s="293"/>
      <c r="AQ239" s="293"/>
      <c r="AR239" s="293"/>
      <c r="AS239" s="293"/>
      <c r="AT239" s="293"/>
      <c r="AU239" s="293"/>
      <c r="AV239" s="293"/>
      <c r="AW239" s="293"/>
      <c r="AX239" s="293"/>
      <c r="AY239" s="293"/>
      <c r="AZ239" s="293"/>
      <c r="BA239" s="293"/>
      <c r="BB239" s="293"/>
      <c r="BC239" s="293"/>
      <c r="BD239" s="293"/>
      <c r="BE239" s="293"/>
      <c r="BF239" s="293"/>
      <c r="BG239" s="293"/>
      <c r="BH239" s="293"/>
      <c r="BI239" s="293"/>
      <c r="BJ239" s="293"/>
      <c r="BK239" s="293"/>
      <c r="BL239" s="293"/>
      <c r="BM239" s="293"/>
      <c r="BN239" s="293"/>
      <c r="BO239" s="293"/>
      <c r="BP239" s="293"/>
      <c r="BQ239" s="293"/>
      <c r="BR239" s="293"/>
      <c r="BS239" s="293"/>
      <c r="BT239" s="293"/>
      <c r="BU239" s="293"/>
      <c r="BV239" s="293"/>
      <c r="BW239" s="293"/>
      <c r="BX239" s="293"/>
      <c r="BY239" s="293"/>
      <c r="BZ239" s="293"/>
      <c r="CA239" s="285"/>
      <c r="CB239" s="286"/>
      <c r="CC239" s="286"/>
      <c r="CD239" s="286"/>
      <c r="CE239" s="286"/>
      <c r="CF239" s="286"/>
      <c r="CG239" s="286"/>
      <c r="CH239" s="286"/>
      <c r="CI239" s="286"/>
      <c r="CJ239" s="286"/>
      <c r="CK239" s="286"/>
      <c r="CL239" s="286"/>
      <c r="CM239" s="286"/>
      <c r="CN239" s="286"/>
      <c r="CO239" s="286"/>
      <c r="CP239" s="286"/>
      <c r="CQ239" s="286"/>
      <c r="CR239" s="286"/>
      <c r="CS239" s="286"/>
      <c r="CT239" s="286"/>
      <c r="CU239" s="286"/>
      <c r="CV239" s="286"/>
      <c r="CW239" s="286"/>
      <c r="CX239" s="286"/>
      <c r="CY239" s="286"/>
      <c r="CZ239" s="286"/>
      <c r="DA239" s="286"/>
      <c r="DB239" s="286"/>
      <c r="DC239" s="286"/>
      <c r="DD239" s="286"/>
      <c r="DE239" s="286"/>
      <c r="DF239" s="286"/>
      <c r="DG239" s="286"/>
      <c r="DH239" s="286"/>
      <c r="DI239" s="286"/>
      <c r="DJ239" s="286"/>
      <c r="DK239" s="286"/>
      <c r="DL239" s="286"/>
      <c r="DM239" s="286"/>
      <c r="DN239" s="286"/>
      <c r="DO239" s="286"/>
      <c r="DP239" s="286"/>
      <c r="DR239" s="58" t="str">
        <f>IF(ISNUMBER(MATCH(#REF!,'Audit Characteristic Mapping'!$B$3:$B$500,0)),"Y","")</f>
        <v/>
      </c>
      <c r="DS239" s="58" t="str">
        <f>IF(ISNUMBER(MATCH(#REF!,'Audit Characteristic Mapping'!$C$3:$C$500,0)),"Y","")</f>
        <v/>
      </c>
      <c r="DT239" s="58" t="str">
        <f>IF(ISNUMBER(MATCH(#REF!,'Audit Characteristic Mapping'!$D$3:$D$500,0)),"Y","")</f>
        <v/>
      </c>
      <c r="DU239" s="58" t="str">
        <f>IF(ISNUMBER(MATCH(#REF!,'Audit Characteristic Mapping'!$E$3:$E$500,0)),"Y","")</f>
        <v/>
      </c>
      <c r="DV239" s="58" t="str">
        <f>IF(ISNUMBER(MATCH(#REF!,'Audit Characteristic Mapping'!$F$3:$F$500,0)),"Y","")</f>
        <v/>
      </c>
      <c r="DW239" s="58" t="str">
        <f>IF(ISNUMBER(MATCH(#REF!,'Audit Characteristic Mapping'!$G$3:$G$500,0)),"Y","")</f>
        <v/>
      </c>
      <c r="DX239" s="58" t="str">
        <f>IF(ISNUMBER(MATCH(#REF!,'Audit Characteristic Mapping'!$H$3:$H$500,0)),"Y","")</f>
        <v/>
      </c>
      <c r="DY239" s="58" t="str">
        <f>IF(ISNUMBER(MATCH(#REF!,'Audit Characteristic Mapping'!$I$3:$I$500,0)),"Y","")</f>
        <v/>
      </c>
      <c r="DZ239" s="58" t="str">
        <f>IF(ISNUMBER(MATCH(#REF!,'Audit Characteristic Mapping'!$J$3:$J$500,0)),"Y","")</f>
        <v/>
      </c>
      <c r="EA239" s="58" t="str">
        <f>IF(ISNUMBER(MATCH(#REF!,'Audit Characteristic Mapping'!$K$3:$K$500,0)),"Y","")</f>
        <v/>
      </c>
    </row>
    <row r="240" spans="1:131" ht="16" hidden="1" x14ac:dyDescent="0.2">
      <c r="A240" s="288">
        <v>231</v>
      </c>
      <c r="B240" s="287" t="s">
        <v>253</v>
      </c>
      <c r="C240" s="226" t="s">
        <v>355</v>
      </c>
      <c r="D240" s="170">
        <v>5</v>
      </c>
      <c r="E240" s="288">
        <v>41</v>
      </c>
      <c r="F240" s="291" t="str">
        <f>VLOOKUP(Calculation!A240,'Descriptor maps'!$A$2:$F$1658,2,0)</f>
        <v>Studies &amp; Design</v>
      </c>
      <c r="G240" s="296"/>
      <c r="H240" s="290"/>
      <c r="I240" s="291"/>
      <c r="J240" s="292" t="e" cm="1">
        <f t="array" ref="J240">INDEX('Descriptor maps'!$I$2:$I$1658,MATCH(1,('Descriptor maps'!$A$2:$A$1658=Calculation!$A240)*('Descriptor maps'!$G$2:$G$1658=Calculation!$G240),0))</f>
        <v>#N/A</v>
      </c>
      <c r="K240" s="226"/>
      <c r="L240" s="293"/>
      <c r="M240" s="293"/>
      <c r="N240" s="293"/>
      <c r="O240" s="293"/>
      <c r="P240" s="293"/>
      <c r="Q240" s="293"/>
      <c r="R240" s="293"/>
      <c r="S240" s="293"/>
      <c r="T240" s="293"/>
      <c r="U240" s="293"/>
      <c r="V240" s="293"/>
      <c r="W240" s="293"/>
      <c r="X240" s="293"/>
      <c r="Y240" s="293"/>
      <c r="Z240" s="293"/>
      <c r="AA240" s="293"/>
      <c r="AB240" s="293"/>
      <c r="AC240" s="293"/>
      <c r="AD240" s="293"/>
      <c r="AE240" s="293"/>
      <c r="AF240" s="293"/>
      <c r="AG240" s="293"/>
      <c r="AH240" s="293"/>
      <c r="AI240" s="293"/>
      <c r="AJ240" s="293"/>
      <c r="AK240" s="293"/>
      <c r="AL240" s="293"/>
      <c r="AM240" s="293"/>
      <c r="AN240" s="293"/>
      <c r="AO240" s="293"/>
      <c r="AP240" s="293"/>
      <c r="AQ240" s="293"/>
      <c r="AR240" s="293"/>
      <c r="AS240" s="293"/>
      <c r="AT240" s="293"/>
      <c r="AU240" s="293"/>
      <c r="AV240" s="293"/>
      <c r="AW240" s="293"/>
      <c r="AX240" s="293"/>
      <c r="AY240" s="293"/>
      <c r="AZ240" s="293"/>
      <c r="BA240" s="293"/>
      <c r="BB240" s="293"/>
      <c r="BC240" s="293"/>
      <c r="BD240" s="293"/>
      <c r="BE240" s="293"/>
      <c r="BF240" s="293"/>
      <c r="BG240" s="293"/>
      <c r="BH240" s="293"/>
      <c r="BI240" s="293"/>
      <c r="BJ240" s="293"/>
      <c r="BK240" s="293"/>
      <c r="BL240" s="293"/>
      <c r="BM240" s="293"/>
      <c r="BN240" s="293"/>
      <c r="BO240" s="293"/>
      <c r="BP240" s="293"/>
      <c r="BQ240" s="293"/>
      <c r="BR240" s="293"/>
      <c r="BS240" s="293"/>
      <c r="BT240" s="293"/>
      <c r="BU240" s="293"/>
      <c r="BV240" s="293"/>
      <c r="BW240" s="293"/>
      <c r="BX240" s="293"/>
      <c r="BY240" s="293"/>
      <c r="BZ240" s="293"/>
      <c r="CA240" s="285"/>
      <c r="CB240" s="286"/>
      <c r="CC240" s="286"/>
      <c r="CD240" s="286"/>
      <c r="CE240" s="286"/>
      <c r="CF240" s="286"/>
      <c r="CG240" s="286"/>
      <c r="CH240" s="286"/>
      <c r="CI240" s="286"/>
      <c r="CJ240" s="286"/>
      <c r="CK240" s="286"/>
      <c r="CL240" s="286"/>
      <c r="CM240" s="286"/>
      <c r="CN240" s="286"/>
      <c r="CO240" s="286"/>
      <c r="CP240" s="286"/>
      <c r="CQ240" s="286"/>
      <c r="CR240" s="286"/>
      <c r="CS240" s="286"/>
      <c r="CT240" s="286"/>
      <c r="CU240" s="286"/>
      <c r="CV240" s="286"/>
      <c r="CW240" s="286"/>
      <c r="CX240" s="286"/>
      <c r="CY240" s="286"/>
      <c r="CZ240" s="286"/>
      <c r="DA240" s="286"/>
      <c r="DB240" s="286"/>
      <c r="DC240" s="286"/>
      <c r="DD240" s="286"/>
      <c r="DE240" s="286"/>
      <c r="DF240" s="286"/>
      <c r="DG240" s="286"/>
      <c r="DH240" s="286"/>
      <c r="DI240" s="286"/>
      <c r="DJ240" s="286"/>
      <c r="DK240" s="286"/>
      <c r="DL240" s="286"/>
      <c r="DM240" s="286"/>
      <c r="DN240" s="286"/>
      <c r="DO240" s="286"/>
      <c r="DP240" s="286"/>
      <c r="DR240" s="58" t="str">
        <f>IF(ISNUMBER(MATCH(#REF!,'Audit Characteristic Mapping'!$B$3:$B$500,0)),"Y","")</f>
        <v/>
      </c>
      <c r="DS240" s="58" t="str">
        <f>IF(ISNUMBER(MATCH(#REF!,'Audit Characteristic Mapping'!$C$3:$C$500,0)),"Y","")</f>
        <v/>
      </c>
      <c r="DT240" s="58" t="str">
        <f>IF(ISNUMBER(MATCH(#REF!,'Audit Characteristic Mapping'!$D$3:$D$500,0)),"Y","")</f>
        <v/>
      </c>
      <c r="DU240" s="58" t="str">
        <f>IF(ISNUMBER(MATCH(#REF!,'Audit Characteristic Mapping'!$E$3:$E$500,0)),"Y","")</f>
        <v/>
      </c>
      <c r="DV240" s="58" t="str">
        <f>IF(ISNUMBER(MATCH(#REF!,'Audit Characteristic Mapping'!$F$3:$F$500,0)),"Y","")</f>
        <v/>
      </c>
      <c r="DW240" s="58" t="str">
        <f>IF(ISNUMBER(MATCH(#REF!,'Audit Characteristic Mapping'!$G$3:$G$500,0)),"Y","")</f>
        <v/>
      </c>
      <c r="DX240" s="58" t="str">
        <f>IF(ISNUMBER(MATCH(#REF!,'Audit Characteristic Mapping'!$H$3:$H$500,0)),"Y","")</f>
        <v/>
      </c>
      <c r="DY240" s="58" t="str">
        <f>IF(ISNUMBER(MATCH(#REF!,'Audit Characteristic Mapping'!$I$3:$I$500,0)),"Y","")</f>
        <v/>
      </c>
      <c r="DZ240" s="58" t="str">
        <f>IF(ISNUMBER(MATCH(#REF!,'Audit Characteristic Mapping'!$J$3:$J$500,0)),"Y","")</f>
        <v/>
      </c>
      <c r="EA240" s="58" t="str">
        <f>IF(ISNUMBER(MATCH(#REF!,'Audit Characteristic Mapping'!$K$3:$K$500,0)),"Y","")</f>
        <v/>
      </c>
    </row>
    <row r="241" spans="1:131" ht="32" hidden="1" x14ac:dyDescent="0.2">
      <c r="A241" s="288">
        <v>232</v>
      </c>
      <c r="B241" s="287" t="s">
        <v>253</v>
      </c>
      <c r="C241" s="226" t="s">
        <v>363</v>
      </c>
      <c r="D241" s="170">
        <v>5</v>
      </c>
      <c r="E241" s="288">
        <v>42</v>
      </c>
      <c r="F241" s="291" t="str">
        <f>VLOOKUP(Calculation!A241,'Descriptor maps'!$A$2:$F$1658,2,0)</f>
        <v>Studies &amp; Design</v>
      </c>
      <c r="G241" s="296"/>
      <c r="H241" s="290"/>
      <c r="I241" s="291"/>
      <c r="J241" s="292" t="e" cm="1">
        <f t="array" ref="J241">INDEX('Descriptor maps'!$I$2:$I$1658,MATCH(1,('Descriptor maps'!$A$2:$A$1658=Calculation!$A241)*('Descriptor maps'!$G$2:$G$1658=Calculation!$G241),0))</f>
        <v>#N/A</v>
      </c>
      <c r="K241" s="226"/>
      <c r="L241" s="293"/>
      <c r="M241" s="293"/>
      <c r="N241" s="293"/>
      <c r="O241" s="293"/>
      <c r="P241" s="293"/>
      <c r="Q241" s="293"/>
      <c r="R241" s="293"/>
      <c r="S241" s="293"/>
      <c r="T241" s="293"/>
      <c r="U241" s="293"/>
      <c r="V241" s="293"/>
      <c r="W241" s="293"/>
      <c r="X241" s="293"/>
      <c r="Y241" s="293"/>
      <c r="Z241" s="293"/>
      <c r="AA241" s="293"/>
      <c r="AB241" s="293"/>
      <c r="AC241" s="293"/>
      <c r="AD241" s="293"/>
      <c r="AE241" s="293"/>
      <c r="AF241" s="293"/>
      <c r="AG241" s="293"/>
      <c r="AH241" s="293"/>
      <c r="AI241" s="293"/>
      <c r="AJ241" s="293"/>
      <c r="AK241" s="293"/>
      <c r="AL241" s="293"/>
      <c r="AM241" s="293"/>
      <c r="AN241" s="293"/>
      <c r="AO241" s="293"/>
      <c r="AP241" s="293"/>
      <c r="AQ241" s="293"/>
      <c r="AR241" s="293"/>
      <c r="AS241" s="293"/>
      <c r="AT241" s="293"/>
      <c r="AU241" s="293"/>
      <c r="AV241" s="293"/>
      <c r="AW241" s="293"/>
      <c r="AX241" s="293"/>
      <c r="AY241" s="293"/>
      <c r="AZ241" s="293"/>
      <c r="BA241" s="293"/>
      <c r="BB241" s="293"/>
      <c r="BC241" s="293"/>
      <c r="BD241" s="293"/>
      <c r="BE241" s="293"/>
      <c r="BF241" s="293"/>
      <c r="BG241" s="293"/>
      <c r="BH241" s="293"/>
      <c r="BI241" s="293"/>
      <c r="BJ241" s="293"/>
      <c r="BK241" s="293"/>
      <c r="BL241" s="293"/>
      <c r="BM241" s="293"/>
      <c r="BN241" s="293"/>
      <c r="BO241" s="293"/>
      <c r="BP241" s="293"/>
      <c r="BQ241" s="293"/>
      <c r="BR241" s="293"/>
      <c r="BS241" s="293"/>
      <c r="BT241" s="293"/>
      <c r="BU241" s="293"/>
      <c r="BV241" s="293"/>
      <c r="BW241" s="293"/>
      <c r="BX241" s="293"/>
      <c r="BY241" s="293"/>
      <c r="BZ241" s="293"/>
      <c r="CA241" s="285"/>
      <c r="CB241" s="286"/>
      <c r="CC241" s="286"/>
      <c r="CD241" s="286"/>
      <c r="CE241" s="286"/>
      <c r="CF241" s="286"/>
      <c r="CG241" s="286"/>
      <c r="CH241" s="286"/>
      <c r="CI241" s="286"/>
      <c r="CJ241" s="286"/>
      <c r="CK241" s="286"/>
      <c r="CL241" s="286"/>
      <c r="CM241" s="286"/>
      <c r="CN241" s="286"/>
      <c r="CO241" s="286"/>
      <c r="CP241" s="286"/>
      <c r="CQ241" s="286"/>
      <c r="CR241" s="286"/>
      <c r="CS241" s="286"/>
      <c r="CT241" s="286"/>
      <c r="CU241" s="286"/>
      <c r="CV241" s="286"/>
      <c r="CW241" s="286"/>
      <c r="CX241" s="286"/>
      <c r="CY241" s="286"/>
      <c r="CZ241" s="286"/>
      <c r="DA241" s="286"/>
      <c r="DB241" s="286"/>
      <c r="DC241" s="286"/>
      <c r="DD241" s="286"/>
      <c r="DE241" s="286"/>
      <c r="DF241" s="286"/>
      <c r="DG241" s="286"/>
      <c r="DH241" s="286"/>
      <c r="DI241" s="286"/>
      <c r="DJ241" s="286"/>
      <c r="DK241" s="286"/>
      <c r="DL241" s="286"/>
      <c r="DM241" s="286"/>
      <c r="DN241" s="286"/>
      <c r="DO241" s="286"/>
      <c r="DP241" s="286"/>
      <c r="DR241" s="58" t="str">
        <f>IF(ISNUMBER(MATCH(#REF!,'Audit Characteristic Mapping'!$B$3:$B$500,0)),"Y","")</f>
        <v/>
      </c>
      <c r="DS241" s="58" t="str">
        <f>IF(ISNUMBER(MATCH(#REF!,'Audit Characteristic Mapping'!$C$3:$C$500,0)),"Y","")</f>
        <v/>
      </c>
      <c r="DT241" s="58" t="str">
        <f>IF(ISNUMBER(MATCH(#REF!,'Audit Characteristic Mapping'!$D$3:$D$500,0)),"Y","")</f>
        <v/>
      </c>
      <c r="DU241" s="58" t="str">
        <f>IF(ISNUMBER(MATCH(#REF!,'Audit Characteristic Mapping'!$E$3:$E$500,0)),"Y","")</f>
        <v/>
      </c>
      <c r="DV241" s="58" t="str">
        <f>IF(ISNUMBER(MATCH(#REF!,'Audit Characteristic Mapping'!$F$3:$F$500,0)),"Y","")</f>
        <v/>
      </c>
      <c r="DW241" s="58" t="str">
        <f>IF(ISNUMBER(MATCH(#REF!,'Audit Characteristic Mapping'!$G$3:$G$500,0)),"Y","")</f>
        <v/>
      </c>
      <c r="DX241" s="58" t="str">
        <f>IF(ISNUMBER(MATCH(#REF!,'Audit Characteristic Mapping'!$H$3:$H$500,0)),"Y","")</f>
        <v/>
      </c>
      <c r="DY241" s="58" t="str">
        <f>IF(ISNUMBER(MATCH(#REF!,'Audit Characteristic Mapping'!$I$3:$I$500,0)),"Y","")</f>
        <v/>
      </c>
      <c r="DZ241" s="58" t="str">
        <f>IF(ISNUMBER(MATCH(#REF!,'Audit Characteristic Mapping'!$J$3:$J$500,0)),"Y","")</f>
        <v/>
      </c>
      <c r="EA241" s="58" t="str">
        <f>IF(ISNUMBER(MATCH(#REF!,'Audit Characteristic Mapping'!$K$3:$K$500,0)),"Y","")</f>
        <v/>
      </c>
    </row>
    <row r="242" spans="1:131" ht="32" hidden="1" x14ac:dyDescent="0.2">
      <c r="A242" s="288">
        <v>233</v>
      </c>
      <c r="B242" s="287" t="s">
        <v>253</v>
      </c>
      <c r="C242" s="226" t="s">
        <v>363</v>
      </c>
      <c r="D242" s="170">
        <v>5</v>
      </c>
      <c r="E242" s="288">
        <v>42</v>
      </c>
      <c r="F242" s="291" t="str">
        <f>VLOOKUP(Calculation!A242,'Descriptor maps'!$A$2:$F$1658,2,0)</f>
        <v>Studies &amp; Design</v>
      </c>
      <c r="G242" s="296"/>
      <c r="H242" s="290"/>
      <c r="I242" s="291"/>
      <c r="J242" s="292" t="e" cm="1">
        <f t="array" ref="J242">INDEX('Descriptor maps'!$I$2:$I$1658,MATCH(1,('Descriptor maps'!$A$2:$A$1658=Calculation!$A242)*('Descriptor maps'!$G$2:$G$1658=Calculation!$G242),0))</f>
        <v>#N/A</v>
      </c>
      <c r="K242" s="226"/>
      <c r="L242" s="293"/>
      <c r="M242" s="293"/>
      <c r="N242" s="293"/>
      <c r="O242" s="293"/>
      <c r="P242" s="293"/>
      <c r="Q242" s="293"/>
      <c r="R242" s="293"/>
      <c r="S242" s="293"/>
      <c r="T242" s="293"/>
      <c r="U242" s="293"/>
      <c r="V242" s="293"/>
      <c r="W242" s="293"/>
      <c r="X242" s="293"/>
      <c r="Y242" s="293"/>
      <c r="Z242" s="293"/>
      <c r="AA242" s="293"/>
      <c r="AB242" s="293"/>
      <c r="AC242" s="293"/>
      <c r="AD242" s="293"/>
      <c r="AE242" s="293"/>
      <c r="AF242" s="293"/>
      <c r="AG242" s="293"/>
      <c r="AH242" s="293"/>
      <c r="AI242" s="293"/>
      <c r="AJ242" s="293"/>
      <c r="AK242" s="293"/>
      <c r="AL242" s="293"/>
      <c r="AM242" s="293"/>
      <c r="AN242" s="293"/>
      <c r="AO242" s="293"/>
      <c r="AP242" s="293"/>
      <c r="AQ242" s="293"/>
      <c r="AR242" s="293"/>
      <c r="AS242" s="293"/>
      <c r="AT242" s="293"/>
      <c r="AU242" s="293"/>
      <c r="AV242" s="293"/>
      <c r="AW242" s="293"/>
      <c r="AX242" s="293"/>
      <c r="AY242" s="293"/>
      <c r="AZ242" s="293"/>
      <c r="BA242" s="293"/>
      <c r="BB242" s="293"/>
      <c r="BC242" s="293"/>
      <c r="BD242" s="293"/>
      <c r="BE242" s="293"/>
      <c r="BF242" s="293"/>
      <c r="BG242" s="293"/>
      <c r="BH242" s="293"/>
      <c r="BI242" s="293"/>
      <c r="BJ242" s="293"/>
      <c r="BK242" s="293"/>
      <c r="BL242" s="293"/>
      <c r="BM242" s="293"/>
      <c r="BN242" s="293"/>
      <c r="BO242" s="293"/>
      <c r="BP242" s="293"/>
      <c r="BQ242" s="293"/>
      <c r="BR242" s="293"/>
      <c r="BS242" s="293"/>
      <c r="BT242" s="293"/>
      <c r="BU242" s="293"/>
      <c r="BV242" s="293"/>
      <c r="BW242" s="293"/>
      <c r="BX242" s="293"/>
      <c r="BY242" s="293"/>
      <c r="BZ242" s="293"/>
      <c r="CA242" s="285"/>
      <c r="CB242" s="286"/>
      <c r="CC242" s="286"/>
      <c r="CD242" s="286"/>
      <c r="CE242" s="286"/>
      <c r="CF242" s="286"/>
      <c r="CG242" s="286"/>
      <c r="CH242" s="286"/>
      <c r="CI242" s="286"/>
      <c r="CJ242" s="286"/>
      <c r="CK242" s="286"/>
      <c r="CL242" s="286"/>
      <c r="CM242" s="286"/>
      <c r="CN242" s="286"/>
      <c r="CO242" s="286"/>
      <c r="CP242" s="286"/>
      <c r="CQ242" s="286"/>
      <c r="CR242" s="286"/>
      <c r="CS242" s="286"/>
      <c r="CT242" s="286"/>
      <c r="CU242" s="286"/>
      <c r="CV242" s="286"/>
      <c r="CW242" s="286"/>
      <c r="CX242" s="286"/>
      <c r="CY242" s="286"/>
      <c r="CZ242" s="286"/>
      <c r="DA242" s="286"/>
      <c r="DB242" s="286"/>
      <c r="DC242" s="286"/>
      <c r="DD242" s="286"/>
      <c r="DE242" s="286"/>
      <c r="DF242" s="286"/>
      <c r="DG242" s="286"/>
      <c r="DH242" s="286"/>
      <c r="DI242" s="286"/>
      <c r="DJ242" s="286"/>
      <c r="DK242" s="286"/>
      <c r="DL242" s="286"/>
      <c r="DM242" s="286"/>
      <c r="DN242" s="286"/>
      <c r="DO242" s="286"/>
      <c r="DP242" s="286"/>
      <c r="DR242" s="58" t="str">
        <f>IF(ISNUMBER(MATCH(#REF!,'Audit Characteristic Mapping'!$B$3:$B$500,0)),"Y","")</f>
        <v/>
      </c>
      <c r="DS242" s="58" t="str">
        <f>IF(ISNUMBER(MATCH(#REF!,'Audit Characteristic Mapping'!$C$3:$C$500,0)),"Y","")</f>
        <v/>
      </c>
      <c r="DT242" s="58" t="str">
        <f>IF(ISNUMBER(MATCH(#REF!,'Audit Characteristic Mapping'!$D$3:$D$500,0)),"Y","")</f>
        <v/>
      </c>
      <c r="DU242" s="58" t="str">
        <f>IF(ISNUMBER(MATCH(#REF!,'Audit Characteristic Mapping'!$E$3:$E$500,0)),"Y","")</f>
        <v/>
      </c>
      <c r="DV242" s="58" t="str">
        <f>IF(ISNUMBER(MATCH(#REF!,'Audit Characteristic Mapping'!$F$3:$F$500,0)),"Y","")</f>
        <v/>
      </c>
      <c r="DW242" s="58" t="str">
        <f>IF(ISNUMBER(MATCH(#REF!,'Audit Characteristic Mapping'!$G$3:$G$500,0)),"Y","")</f>
        <v/>
      </c>
      <c r="DX242" s="58" t="str">
        <f>IF(ISNUMBER(MATCH(#REF!,'Audit Characteristic Mapping'!$H$3:$H$500,0)),"Y","")</f>
        <v/>
      </c>
      <c r="DY242" s="58" t="str">
        <f>IF(ISNUMBER(MATCH(#REF!,'Audit Characteristic Mapping'!$I$3:$I$500,0)),"Y","")</f>
        <v/>
      </c>
      <c r="DZ242" s="58" t="str">
        <f>IF(ISNUMBER(MATCH(#REF!,'Audit Characteristic Mapping'!$J$3:$J$500,0)),"Y","")</f>
        <v/>
      </c>
      <c r="EA242" s="58" t="str">
        <f>IF(ISNUMBER(MATCH(#REF!,'Audit Characteristic Mapping'!$K$3:$K$500,0)),"Y","")</f>
        <v/>
      </c>
    </row>
    <row r="243" spans="1:131" ht="16" hidden="1" x14ac:dyDescent="0.2">
      <c r="A243" s="288">
        <v>234</v>
      </c>
      <c r="B243" s="287" t="s">
        <v>253</v>
      </c>
      <c r="C243" s="226" t="s">
        <v>366</v>
      </c>
      <c r="D243" s="170">
        <v>5</v>
      </c>
      <c r="E243" s="288">
        <v>43</v>
      </c>
      <c r="F243" s="291" t="str">
        <f>VLOOKUP(Calculation!A243,'Descriptor maps'!$A$2:$F$1658,2,0)</f>
        <v>Studies &amp; Design</v>
      </c>
      <c r="G243" s="296"/>
      <c r="H243" s="290"/>
      <c r="I243" s="291"/>
      <c r="J243" s="292" t="e" cm="1">
        <f t="array" ref="J243">INDEX('Descriptor maps'!$I$2:$I$1658,MATCH(1,('Descriptor maps'!$A$2:$A$1658=Calculation!$A243)*('Descriptor maps'!$G$2:$G$1658=Calculation!$G243),0))</f>
        <v>#N/A</v>
      </c>
      <c r="K243" s="226"/>
      <c r="L243" s="293"/>
      <c r="M243" s="293"/>
      <c r="N243" s="293"/>
      <c r="O243" s="293"/>
      <c r="P243" s="293"/>
      <c r="Q243" s="293"/>
      <c r="R243" s="293"/>
      <c r="S243" s="293"/>
      <c r="T243" s="293"/>
      <c r="U243" s="293"/>
      <c r="V243" s="293"/>
      <c r="W243" s="293"/>
      <c r="X243" s="293"/>
      <c r="Y243" s="293"/>
      <c r="Z243" s="293"/>
      <c r="AA243" s="293"/>
      <c r="AB243" s="293"/>
      <c r="AC243" s="293"/>
      <c r="AD243" s="293"/>
      <c r="AE243" s="293"/>
      <c r="AF243" s="293"/>
      <c r="AG243" s="293"/>
      <c r="AH243" s="293"/>
      <c r="AI243" s="293"/>
      <c r="AJ243" s="293"/>
      <c r="AK243" s="293"/>
      <c r="AL243" s="293"/>
      <c r="AM243" s="293"/>
      <c r="AN243" s="293"/>
      <c r="AO243" s="293"/>
      <c r="AP243" s="293"/>
      <c r="AQ243" s="293"/>
      <c r="AR243" s="293"/>
      <c r="AS243" s="293"/>
      <c r="AT243" s="293"/>
      <c r="AU243" s="293"/>
      <c r="AV243" s="293"/>
      <c r="AW243" s="293"/>
      <c r="AX243" s="293"/>
      <c r="AY243" s="293"/>
      <c r="AZ243" s="293"/>
      <c r="BA243" s="293"/>
      <c r="BB243" s="293"/>
      <c r="BC243" s="293"/>
      <c r="BD243" s="293"/>
      <c r="BE243" s="293"/>
      <c r="BF243" s="293"/>
      <c r="BG243" s="293"/>
      <c r="BH243" s="293"/>
      <c r="BI243" s="293"/>
      <c r="BJ243" s="293"/>
      <c r="BK243" s="293"/>
      <c r="BL243" s="293"/>
      <c r="BM243" s="293"/>
      <c r="BN243" s="293"/>
      <c r="BO243" s="293"/>
      <c r="BP243" s="293"/>
      <c r="BQ243" s="293"/>
      <c r="BR243" s="293"/>
      <c r="BS243" s="293"/>
      <c r="BT243" s="293"/>
      <c r="BU243" s="293"/>
      <c r="BV243" s="293"/>
      <c r="BW243" s="293"/>
      <c r="BX243" s="293"/>
      <c r="BY243" s="293"/>
      <c r="BZ243" s="293"/>
      <c r="CA243" s="285"/>
      <c r="CB243" s="286"/>
      <c r="CC243" s="286"/>
      <c r="CD243" s="286"/>
      <c r="CE243" s="286"/>
      <c r="CF243" s="286"/>
      <c r="CG243" s="286"/>
      <c r="CH243" s="286"/>
      <c r="CI243" s="286"/>
      <c r="CJ243" s="286"/>
      <c r="CK243" s="286"/>
      <c r="CL243" s="286"/>
      <c r="CM243" s="286"/>
      <c r="CN243" s="286"/>
      <c r="CO243" s="286"/>
      <c r="CP243" s="286"/>
      <c r="CQ243" s="286"/>
      <c r="CR243" s="286"/>
      <c r="CS243" s="286"/>
      <c r="CT243" s="286"/>
      <c r="CU243" s="286"/>
      <c r="CV243" s="286"/>
      <c r="CW243" s="286"/>
      <c r="CX243" s="286"/>
      <c r="CY243" s="286"/>
      <c r="CZ243" s="286"/>
      <c r="DA243" s="286"/>
      <c r="DB243" s="286"/>
      <c r="DC243" s="286"/>
      <c r="DD243" s="286"/>
      <c r="DE243" s="286"/>
      <c r="DF243" s="286"/>
      <c r="DG243" s="286"/>
      <c r="DH243" s="286"/>
      <c r="DI243" s="286"/>
      <c r="DJ243" s="286"/>
      <c r="DK243" s="286"/>
      <c r="DL243" s="286"/>
      <c r="DM243" s="286"/>
      <c r="DN243" s="286"/>
      <c r="DO243" s="286"/>
      <c r="DP243" s="286"/>
      <c r="DR243" s="58" t="str">
        <f>IF(ISNUMBER(MATCH(#REF!,'Audit Characteristic Mapping'!$B$3:$B$500,0)),"Y","")</f>
        <v/>
      </c>
      <c r="DS243" s="58" t="str">
        <f>IF(ISNUMBER(MATCH(#REF!,'Audit Characteristic Mapping'!$C$3:$C$500,0)),"Y","")</f>
        <v/>
      </c>
      <c r="DT243" s="58" t="str">
        <f>IF(ISNUMBER(MATCH(#REF!,'Audit Characteristic Mapping'!$D$3:$D$500,0)),"Y","")</f>
        <v/>
      </c>
      <c r="DU243" s="58" t="str">
        <f>IF(ISNUMBER(MATCH(#REF!,'Audit Characteristic Mapping'!$E$3:$E$500,0)),"Y","")</f>
        <v/>
      </c>
      <c r="DV243" s="58" t="str">
        <f>IF(ISNUMBER(MATCH(#REF!,'Audit Characteristic Mapping'!$F$3:$F$500,0)),"Y","")</f>
        <v/>
      </c>
      <c r="DW243" s="58" t="str">
        <f>IF(ISNUMBER(MATCH(#REF!,'Audit Characteristic Mapping'!$G$3:$G$500,0)),"Y","")</f>
        <v/>
      </c>
      <c r="DX243" s="58" t="str">
        <f>IF(ISNUMBER(MATCH(#REF!,'Audit Characteristic Mapping'!$H$3:$H$500,0)),"Y","")</f>
        <v/>
      </c>
      <c r="DY243" s="58" t="str">
        <f>IF(ISNUMBER(MATCH(#REF!,'Audit Characteristic Mapping'!$I$3:$I$500,0)),"Y","")</f>
        <v/>
      </c>
      <c r="DZ243" s="58" t="str">
        <f>IF(ISNUMBER(MATCH(#REF!,'Audit Characteristic Mapping'!$J$3:$J$500,0)),"Y","")</f>
        <v/>
      </c>
      <c r="EA243" s="58" t="str">
        <f>IF(ISNUMBER(MATCH(#REF!,'Audit Characteristic Mapping'!$K$3:$K$500,0)),"Y","")</f>
        <v/>
      </c>
    </row>
    <row r="244" spans="1:131" ht="16" hidden="1" x14ac:dyDescent="0.2">
      <c r="A244" s="288">
        <v>235</v>
      </c>
      <c r="B244" s="287" t="s">
        <v>253</v>
      </c>
      <c r="C244" s="226" t="s">
        <v>366</v>
      </c>
      <c r="D244" s="170">
        <v>5</v>
      </c>
      <c r="E244" s="288">
        <v>43</v>
      </c>
      <c r="F244" s="291" t="str">
        <f>VLOOKUP(Calculation!A244,'Descriptor maps'!$A$2:$F$1658,2,0)</f>
        <v>Studies &amp; Design</v>
      </c>
      <c r="G244" s="296"/>
      <c r="H244" s="290"/>
      <c r="I244" s="291"/>
      <c r="J244" s="292" t="e" cm="1">
        <f t="array" ref="J244">INDEX('Descriptor maps'!$I$2:$I$1658,MATCH(1,('Descriptor maps'!$A$2:$A$1658=Calculation!$A244)*('Descriptor maps'!$G$2:$G$1658=Calculation!$G244),0))</f>
        <v>#N/A</v>
      </c>
      <c r="K244" s="226"/>
      <c r="L244" s="293"/>
      <c r="M244" s="293"/>
      <c r="N244" s="293"/>
      <c r="O244" s="293"/>
      <c r="P244" s="293"/>
      <c r="Q244" s="293"/>
      <c r="R244" s="293"/>
      <c r="S244" s="293"/>
      <c r="T244" s="293"/>
      <c r="U244" s="293"/>
      <c r="V244" s="293"/>
      <c r="W244" s="293"/>
      <c r="X244" s="293"/>
      <c r="Y244" s="293"/>
      <c r="Z244" s="293"/>
      <c r="AA244" s="293"/>
      <c r="AB244" s="293"/>
      <c r="AC244" s="293"/>
      <c r="AD244" s="293"/>
      <c r="AE244" s="293"/>
      <c r="AF244" s="293"/>
      <c r="AG244" s="293"/>
      <c r="AH244" s="293"/>
      <c r="AI244" s="293"/>
      <c r="AJ244" s="293"/>
      <c r="AK244" s="293"/>
      <c r="AL244" s="293"/>
      <c r="AM244" s="293"/>
      <c r="AN244" s="293"/>
      <c r="AO244" s="293"/>
      <c r="AP244" s="293"/>
      <c r="AQ244" s="293"/>
      <c r="AR244" s="293"/>
      <c r="AS244" s="293"/>
      <c r="AT244" s="293"/>
      <c r="AU244" s="293"/>
      <c r="AV244" s="293"/>
      <c r="AW244" s="293"/>
      <c r="AX244" s="293"/>
      <c r="AY244" s="293"/>
      <c r="AZ244" s="293"/>
      <c r="BA244" s="293"/>
      <c r="BB244" s="293"/>
      <c r="BC244" s="293"/>
      <c r="BD244" s="293"/>
      <c r="BE244" s="293"/>
      <c r="BF244" s="293"/>
      <c r="BG244" s="293"/>
      <c r="BH244" s="293"/>
      <c r="BI244" s="293"/>
      <c r="BJ244" s="293"/>
      <c r="BK244" s="293"/>
      <c r="BL244" s="293"/>
      <c r="BM244" s="293"/>
      <c r="BN244" s="293"/>
      <c r="BO244" s="293"/>
      <c r="BP244" s="293"/>
      <c r="BQ244" s="293"/>
      <c r="BR244" s="293"/>
      <c r="BS244" s="293"/>
      <c r="BT244" s="293"/>
      <c r="BU244" s="293"/>
      <c r="BV244" s="293"/>
      <c r="BW244" s="293"/>
      <c r="BX244" s="293"/>
      <c r="BY244" s="293"/>
      <c r="BZ244" s="293"/>
      <c r="CA244" s="285"/>
      <c r="CB244" s="286"/>
      <c r="CC244" s="286"/>
      <c r="CD244" s="286"/>
      <c r="CE244" s="286"/>
      <c r="CF244" s="286"/>
      <c r="CG244" s="286"/>
      <c r="CH244" s="286"/>
      <c r="CI244" s="286"/>
      <c r="CJ244" s="286"/>
      <c r="CK244" s="286"/>
      <c r="CL244" s="286"/>
      <c r="CM244" s="286"/>
      <c r="CN244" s="286"/>
      <c r="CO244" s="286"/>
      <c r="CP244" s="286"/>
      <c r="CQ244" s="286"/>
      <c r="CR244" s="286"/>
      <c r="CS244" s="286"/>
      <c r="CT244" s="286"/>
      <c r="CU244" s="286"/>
      <c r="CV244" s="286"/>
      <c r="CW244" s="286"/>
      <c r="CX244" s="286"/>
      <c r="CY244" s="286"/>
      <c r="CZ244" s="286"/>
      <c r="DA244" s="286"/>
      <c r="DB244" s="286"/>
      <c r="DC244" s="286"/>
      <c r="DD244" s="286"/>
      <c r="DE244" s="286"/>
      <c r="DF244" s="286"/>
      <c r="DG244" s="286"/>
      <c r="DH244" s="286"/>
      <c r="DI244" s="286"/>
      <c r="DJ244" s="286"/>
      <c r="DK244" s="286"/>
      <c r="DL244" s="286"/>
      <c r="DM244" s="286"/>
      <c r="DN244" s="286"/>
      <c r="DO244" s="286"/>
      <c r="DP244" s="286"/>
      <c r="DR244" s="58" t="str">
        <f>IF(ISNUMBER(MATCH(#REF!,'Audit Characteristic Mapping'!$B$3:$B$500,0)),"Y","")</f>
        <v/>
      </c>
      <c r="DS244" s="58" t="str">
        <f>IF(ISNUMBER(MATCH(#REF!,'Audit Characteristic Mapping'!$C$3:$C$500,0)),"Y","")</f>
        <v/>
      </c>
      <c r="DT244" s="58" t="str">
        <f>IF(ISNUMBER(MATCH(#REF!,'Audit Characteristic Mapping'!$D$3:$D$500,0)),"Y","")</f>
        <v/>
      </c>
      <c r="DU244" s="58" t="str">
        <f>IF(ISNUMBER(MATCH(#REF!,'Audit Characteristic Mapping'!$E$3:$E$500,0)),"Y","")</f>
        <v/>
      </c>
      <c r="DV244" s="58" t="str">
        <f>IF(ISNUMBER(MATCH(#REF!,'Audit Characteristic Mapping'!$F$3:$F$500,0)),"Y","")</f>
        <v/>
      </c>
      <c r="DW244" s="58" t="str">
        <f>IF(ISNUMBER(MATCH(#REF!,'Audit Characteristic Mapping'!$G$3:$G$500,0)),"Y","")</f>
        <v/>
      </c>
      <c r="DX244" s="58" t="str">
        <f>IF(ISNUMBER(MATCH(#REF!,'Audit Characteristic Mapping'!$H$3:$H$500,0)),"Y","")</f>
        <v/>
      </c>
      <c r="DY244" s="58" t="str">
        <f>IF(ISNUMBER(MATCH(#REF!,'Audit Characteristic Mapping'!$I$3:$I$500,0)),"Y","")</f>
        <v/>
      </c>
      <c r="DZ244" s="58" t="str">
        <f>IF(ISNUMBER(MATCH(#REF!,'Audit Characteristic Mapping'!$J$3:$J$500,0)),"Y","")</f>
        <v/>
      </c>
      <c r="EA244" s="58" t="str">
        <f>IF(ISNUMBER(MATCH(#REF!,'Audit Characteristic Mapping'!$K$3:$K$500,0)),"Y","")</f>
        <v/>
      </c>
    </row>
    <row r="245" spans="1:131" ht="16" hidden="1" x14ac:dyDescent="0.2">
      <c r="A245" s="288">
        <v>236</v>
      </c>
      <c r="B245" s="287" t="s">
        <v>253</v>
      </c>
      <c r="C245" s="226" t="s">
        <v>366</v>
      </c>
      <c r="D245" s="170">
        <v>5</v>
      </c>
      <c r="E245" s="288">
        <v>43</v>
      </c>
      <c r="F245" s="291" t="str">
        <f>VLOOKUP(Calculation!A245,'Descriptor maps'!$A$2:$F$1658,2,0)</f>
        <v>Studies &amp; Design</v>
      </c>
      <c r="G245" s="296"/>
      <c r="H245" s="290"/>
      <c r="I245" s="291"/>
      <c r="J245" s="292" t="e" cm="1">
        <f t="array" ref="J245">INDEX('Descriptor maps'!$I$2:$I$1658,MATCH(1,('Descriptor maps'!$A$2:$A$1658=Calculation!$A245)*('Descriptor maps'!$G$2:$G$1658=Calculation!$G245),0))</f>
        <v>#N/A</v>
      </c>
      <c r="K245" s="226"/>
      <c r="L245" s="293"/>
      <c r="M245" s="293"/>
      <c r="N245" s="293"/>
      <c r="O245" s="293"/>
      <c r="P245" s="293"/>
      <c r="Q245" s="293"/>
      <c r="R245" s="293"/>
      <c r="S245" s="293"/>
      <c r="T245" s="293"/>
      <c r="U245" s="293"/>
      <c r="V245" s="293"/>
      <c r="W245" s="293"/>
      <c r="X245" s="293"/>
      <c r="Y245" s="293"/>
      <c r="Z245" s="293"/>
      <c r="AA245" s="293"/>
      <c r="AB245" s="293"/>
      <c r="AC245" s="293"/>
      <c r="AD245" s="293"/>
      <c r="AE245" s="293"/>
      <c r="AF245" s="293"/>
      <c r="AG245" s="293"/>
      <c r="AH245" s="293"/>
      <c r="AI245" s="293"/>
      <c r="AJ245" s="293"/>
      <c r="AK245" s="293"/>
      <c r="AL245" s="293"/>
      <c r="AM245" s="293"/>
      <c r="AN245" s="293"/>
      <c r="AO245" s="293"/>
      <c r="AP245" s="293"/>
      <c r="AQ245" s="293"/>
      <c r="AR245" s="293"/>
      <c r="AS245" s="293"/>
      <c r="AT245" s="293"/>
      <c r="AU245" s="293"/>
      <c r="AV245" s="293"/>
      <c r="AW245" s="293"/>
      <c r="AX245" s="293"/>
      <c r="AY245" s="293"/>
      <c r="AZ245" s="293"/>
      <c r="BA245" s="293"/>
      <c r="BB245" s="293"/>
      <c r="BC245" s="293"/>
      <c r="BD245" s="293"/>
      <c r="BE245" s="293"/>
      <c r="BF245" s="293"/>
      <c r="BG245" s="293"/>
      <c r="BH245" s="293"/>
      <c r="BI245" s="293"/>
      <c r="BJ245" s="293"/>
      <c r="BK245" s="293"/>
      <c r="BL245" s="293"/>
      <c r="BM245" s="293"/>
      <c r="BN245" s="293"/>
      <c r="BO245" s="293"/>
      <c r="BP245" s="293"/>
      <c r="BQ245" s="293"/>
      <c r="BR245" s="293"/>
      <c r="BS245" s="293"/>
      <c r="BT245" s="293"/>
      <c r="BU245" s="293"/>
      <c r="BV245" s="293"/>
      <c r="BW245" s="293"/>
      <c r="BX245" s="293"/>
      <c r="BY245" s="293"/>
      <c r="BZ245" s="293"/>
      <c r="CA245" s="285"/>
      <c r="CB245" s="286"/>
      <c r="CC245" s="286"/>
      <c r="CD245" s="286"/>
      <c r="CE245" s="286"/>
      <c r="CF245" s="286"/>
      <c r="CG245" s="286"/>
      <c r="CH245" s="286"/>
      <c r="CI245" s="286"/>
      <c r="CJ245" s="286"/>
      <c r="CK245" s="286"/>
      <c r="CL245" s="286"/>
      <c r="CM245" s="286"/>
      <c r="CN245" s="286"/>
      <c r="CO245" s="286"/>
      <c r="CP245" s="286"/>
      <c r="CQ245" s="286"/>
      <c r="CR245" s="286"/>
      <c r="CS245" s="286"/>
      <c r="CT245" s="286"/>
      <c r="CU245" s="286"/>
      <c r="CV245" s="286"/>
      <c r="CW245" s="286"/>
      <c r="CX245" s="286"/>
      <c r="CY245" s="286"/>
      <c r="CZ245" s="286"/>
      <c r="DA245" s="286"/>
      <c r="DB245" s="286"/>
      <c r="DC245" s="286"/>
      <c r="DD245" s="286"/>
      <c r="DE245" s="286"/>
      <c r="DF245" s="286"/>
      <c r="DG245" s="286"/>
      <c r="DH245" s="286"/>
      <c r="DI245" s="286"/>
      <c r="DJ245" s="286"/>
      <c r="DK245" s="286"/>
      <c r="DL245" s="286"/>
      <c r="DM245" s="286"/>
      <c r="DN245" s="286"/>
      <c r="DO245" s="286"/>
      <c r="DP245" s="286"/>
      <c r="DR245" s="58" t="str">
        <f>IF(ISNUMBER(MATCH(#REF!,'Audit Characteristic Mapping'!$B$3:$B$500,0)),"Y","")</f>
        <v/>
      </c>
      <c r="DS245" s="58" t="str">
        <f>IF(ISNUMBER(MATCH(#REF!,'Audit Characteristic Mapping'!$C$3:$C$500,0)),"Y","")</f>
        <v/>
      </c>
      <c r="DT245" s="58" t="str">
        <f>IF(ISNUMBER(MATCH(#REF!,'Audit Characteristic Mapping'!$D$3:$D$500,0)),"Y","")</f>
        <v/>
      </c>
      <c r="DU245" s="58" t="str">
        <f>IF(ISNUMBER(MATCH(#REF!,'Audit Characteristic Mapping'!$E$3:$E$500,0)),"Y","")</f>
        <v/>
      </c>
      <c r="DV245" s="58" t="str">
        <f>IF(ISNUMBER(MATCH(#REF!,'Audit Characteristic Mapping'!$F$3:$F$500,0)),"Y","")</f>
        <v/>
      </c>
      <c r="DW245" s="58" t="str">
        <f>IF(ISNUMBER(MATCH(#REF!,'Audit Characteristic Mapping'!$G$3:$G$500,0)),"Y","")</f>
        <v/>
      </c>
      <c r="DX245" s="58" t="str">
        <f>IF(ISNUMBER(MATCH(#REF!,'Audit Characteristic Mapping'!$H$3:$H$500,0)),"Y","")</f>
        <v/>
      </c>
      <c r="DY245" s="58" t="str">
        <f>IF(ISNUMBER(MATCH(#REF!,'Audit Characteristic Mapping'!$I$3:$I$500,0)),"Y","")</f>
        <v/>
      </c>
      <c r="DZ245" s="58" t="str">
        <f>IF(ISNUMBER(MATCH(#REF!,'Audit Characteristic Mapping'!$J$3:$J$500,0)),"Y","")</f>
        <v/>
      </c>
      <c r="EA245" s="58" t="str">
        <f>IF(ISNUMBER(MATCH(#REF!,'Audit Characteristic Mapping'!$K$3:$K$500,0)),"Y","")</f>
        <v/>
      </c>
    </row>
    <row r="246" spans="1:131" ht="64" x14ac:dyDescent="0.2">
      <c r="A246" s="294">
        <v>271</v>
      </c>
      <c r="B246" s="287" t="s">
        <v>412</v>
      </c>
      <c r="C246" s="226" t="s">
        <v>414</v>
      </c>
      <c r="D246" s="170">
        <v>7</v>
      </c>
      <c r="E246" s="288">
        <v>56</v>
      </c>
      <c r="F246" s="291" t="str">
        <f>VLOOKUP(Calculation!A246,'Descriptor maps'!$A$2:$F$1658,6,0)</f>
        <v>Is there documented evidence that Technical Specifications were produced for construction of all expansions, remedial works and closure works to achieve the objective of providing requirements and direction to the construction team to meet the design intent?</v>
      </c>
      <c r="G246" s="296" t="s">
        <v>1192</v>
      </c>
      <c r="H246" s="290"/>
      <c r="I246" s="291" cm="1">
        <f t="array" ref="I246">INDEX('Descriptor maps'!$H$2:$H$1658,MATCH(1,('Descriptor maps'!$A$2:$A$1658=Calculation!$A246)*('Descriptor maps'!$G$2:$G$1658=Calculation!$G246),0))</f>
        <v>1</v>
      </c>
      <c r="J246" s="292" cm="1">
        <f t="array" ref="J246">INDEX('Descriptor maps'!$I$2:$I$1658,MATCH(1,('Descriptor maps'!$A$2:$A$1658=Calculation!$A246)*('Descriptor maps'!$G$2:$G$1658=Calculation!$G246),0))</f>
        <v>1</v>
      </c>
      <c r="K246" s="226"/>
      <c r="L246" s="293"/>
      <c r="M246" s="293"/>
      <c r="N246" s="293"/>
      <c r="O246" s="293">
        <f>1*$J246</f>
        <v>1</v>
      </c>
      <c r="P246" s="293"/>
      <c r="Q246" s="293"/>
      <c r="R246" s="293"/>
      <c r="S246" s="293"/>
      <c r="T246" s="293"/>
      <c r="U246" s="293"/>
      <c r="V246" s="293">
        <f>1*$J246</f>
        <v>1</v>
      </c>
      <c r="W246" s="293"/>
      <c r="X246" s="293"/>
      <c r="Y246" s="293"/>
      <c r="Z246" s="293"/>
      <c r="AA246" s="293"/>
      <c r="AB246" s="293"/>
      <c r="AC246" s="293">
        <f>1*$J246</f>
        <v>1</v>
      </c>
      <c r="AD246" s="293"/>
      <c r="AE246" s="293"/>
      <c r="AF246" s="293"/>
      <c r="AG246" s="293"/>
      <c r="AH246" s="293"/>
      <c r="AI246" s="293">
        <f>1*$J246</f>
        <v>1</v>
      </c>
      <c r="AJ246" s="293"/>
      <c r="AK246" s="293"/>
      <c r="AL246" s="293">
        <f>1*$J246</f>
        <v>1</v>
      </c>
      <c r="AM246" s="293"/>
      <c r="AN246" s="293"/>
      <c r="AO246" s="293"/>
      <c r="AP246" s="293"/>
      <c r="AQ246" s="293"/>
      <c r="AR246" s="293"/>
      <c r="AS246" s="293"/>
      <c r="AT246" s="293"/>
      <c r="AU246" s="293"/>
      <c r="AV246" s="293"/>
      <c r="AW246" s="293">
        <f>J246</f>
        <v>1</v>
      </c>
      <c r="AX246" s="293"/>
      <c r="AY246" s="293"/>
      <c r="AZ246" s="293"/>
      <c r="BA246" s="293"/>
      <c r="BB246" s="293"/>
      <c r="BC246" s="293"/>
      <c r="BD246" s="293"/>
      <c r="BE246" s="293"/>
      <c r="BF246" s="293"/>
      <c r="BG246" s="293"/>
      <c r="BH246" s="293"/>
      <c r="BI246" s="293"/>
      <c r="BJ246" s="293"/>
      <c r="BK246" s="293"/>
      <c r="BL246" s="293"/>
      <c r="BM246" s="293"/>
      <c r="BN246" s="293"/>
      <c r="BO246" s="293"/>
      <c r="BP246" s="293"/>
      <c r="BQ246" s="293"/>
      <c r="BR246" s="293"/>
      <c r="BS246" s="293"/>
      <c r="BT246" s="293"/>
      <c r="BU246" s="293"/>
      <c r="BV246" s="293"/>
      <c r="BW246" s="293"/>
      <c r="BX246" s="293"/>
      <c r="BY246" s="293"/>
      <c r="BZ246" s="293"/>
      <c r="CA246" s="285"/>
      <c r="CB246" s="286"/>
      <c r="CC246" s="286"/>
      <c r="CD246" s="286"/>
      <c r="CE246" s="286"/>
      <c r="CF246" s="286">
        <v>1</v>
      </c>
      <c r="CG246" s="286"/>
      <c r="CH246" s="286"/>
      <c r="CI246" s="286">
        <v>1</v>
      </c>
      <c r="CJ246" s="286"/>
      <c r="CK246" s="286"/>
      <c r="CL246" s="286"/>
      <c r="CM246" s="286"/>
      <c r="CN246" s="286"/>
      <c r="CO246" s="286">
        <v>1</v>
      </c>
      <c r="CP246" s="286"/>
      <c r="CQ246" s="286"/>
      <c r="CR246" s="286"/>
      <c r="CS246" s="286"/>
      <c r="CT246" s="286"/>
      <c r="CU246" s="286"/>
      <c r="CV246" s="286">
        <v>1</v>
      </c>
      <c r="CW246" s="286">
        <v>1</v>
      </c>
      <c r="CX246" s="286">
        <v>1</v>
      </c>
      <c r="CY246" s="286"/>
      <c r="CZ246" s="286"/>
      <c r="DA246" s="286"/>
      <c r="DB246" s="286">
        <v>1</v>
      </c>
      <c r="DC246" s="286"/>
      <c r="DD246" s="286"/>
      <c r="DE246" s="286"/>
      <c r="DF246" s="286"/>
      <c r="DG246" s="286">
        <v>1</v>
      </c>
      <c r="DH246" s="286">
        <v>1</v>
      </c>
      <c r="DI246" s="286"/>
      <c r="DJ246" s="286"/>
      <c r="DK246" s="286"/>
      <c r="DL246" s="286">
        <v>1</v>
      </c>
      <c r="DM246" s="286"/>
      <c r="DN246" s="286"/>
      <c r="DO246" s="286"/>
      <c r="DP246" s="286"/>
      <c r="DR246" s="58" t="str">
        <f>IF(ISNUMBER(MATCH(#REF!,'Audit Characteristic Mapping'!$B$3:$B$500,0)),"Y","")</f>
        <v/>
      </c>
      <c r="DS246" s="58" t="str">
        <f>IF(ISNUMBER(MATCH(#REF!,'Audit Characteristic Mapping'!$C$3:$C$500,0)),"Y","")</f>
        <v/>
      </c>
      <c r="DT246" s="58" t="str">
        <f>IF(ISNUMBER(MATCH(#REF!,'Audit Characteristic Mapping'!$D$3:$D$500,0)),"Y","")</f>
        <v/>
      </c>
      <c r="DU246" s="58" t="str">
        <f>IF(ISNUMBER(MATCH(#REF!,'Audit Characteristic Mapping'!$E$3:$E$500,0)),"Y","")</f>
        <v/>
      </c>
      <c r="DV246" s="58" t="str">
        <f>IF(ISNUMBER(MATCH(#REF!,'Audit Characteristic Mapping'!$F$3:$F$500,0)),"Y","")</f>
        <v/>
      </c>
      <c r="DW246" s="58" t="str">
        <f>IF(ISNUMBER(MATCH(#REF!,'Audit Characteristic Mapping'!$G$3:$G$500,0)),"Y","")</f>
        <v/>
      </c>
      <c r="DX246" s="58" t="str">
        <f>IF(ISNUMBER(MATCH(#REF!,'Audit Characteristic Mapping'!$H$3:$H$500,0)),"Y","")</f>
        <v/>
      </c>
      <c r="DY246" s="58" t="str">
        <f>IF(ISNUMBER(MATCH(#REF!,'Audit Characteristic Mapping'!$I$3:$I$500,0)),"Y","")</f>
        <v/>
      </c>
      <c r="DZ246" s="58" t="str">
        <f>IF(ISNUMBER(MATCH(#REF!,'Audit Characteristic Mapping'!$J$3:$J$500,0)),"Y","")</f>
        <v/>
      </c>
      <c r="EA246" s="58" t="str">
        <f>IF(ISNUMBER(MATCH(#REF!,'Audit Characteristic Mapping'!$K$3:$K$500,0)),"Y","")</f>
        <v/>
      </c>
    </row>
    <row r="247" spans="1:131" ht="16" hidden="1" x14ac:dyDescent="0.2">
      <c r="A247" s="288">
        <v>238</v>
      </c>
      <c r="B247" s="287" t="s">
        <v>253</v>
      </c>
      <c r="C247" s="226" t="s">
        <v>370</v>
      </c>
      <c r="D247" s="170">
        <v>5</v>
      </c>
      <c r="E247" s="288">
        <v>45</v>
      </c>
      <c r="F247" s="291" t="str">
        <f>VLOOKUP(Calculation!A247,'Descriptor maps'!$A$2:$F$1658,2,0)</f>
        <v>Studies &amp; Design</v>
      </c>
      <c r="G247" s="296"/>
      <c r="H247" s="290"/>
      <c r="I247" s="291"/>
      <c r="J247" s="292" t="e" cm="1">
        <f t="array" ref="J247">INDEX('Descriptor maps'!$I$2:$I$1658,MATCH(1,('Descriptor maps'!$A$2:$A$1658=Calculation!$A247)*('Descriptor maps'!$G$2:$G$1658=Calculation!$G247),0))</f>
        <v>#N/A</v>
      </c>
      <c r="K247" s="226"/>
      <c r="L247" s="293"/>
      <c r="M247" s="293"/>
      <c r="N247" s="293"/>
      <c r="O247" s="293"/>
      <c r="P247" s="293"/>
      <c r="Q247" s="293"/>
      <c r="R247" s="293"/>
      <c r="S247" s="293"/>
      <c r="T247" s="293"/>
      <c r="U247" s="293"/>
      <c r="V247" s="293"/>
      <c r="W247" s="293"/>
      <c r="X247" s="293"/>
      <c r="Y247" s="293"/>
      <c r="Z247" s="293"/>
      <c r="AA247" s="293"/>
      <c r="AB247" s="293"/>
      <c r="AC247" s="293"/>
      <c r="AD247" s="293"/>
      <c r="AE247" s="293"/>
      <c r="AF247" s="293"/>
      <c r="AG247" s="293"/>
      <c r="AH247" s="293"/>
      <c r="AI247" s="293"/>
      <c r="AJ247" s="293"/>
      <c r="AK247" s="293"/>
      <c r="AL247" s="293"/>
      <c r="AM247" s="293"/>
      <c r="AN247" s="293"/>
      <c r="AO247" s="293"/>
      <c r="AP247" s="293"/>
      <c r="AQ247" s="293"/>
      <c r="AR247" s="293"/>
      <c r="AS247" s="293"/>
      <c r="AT247" s="293"/>
      <c r="AU247" s="293"/>
      <c r="AV247" s="293"/>
      <c r="AW247" s="293"/>
      <c r="AX247" s="293"/>
      <c r="AY247" s="293"/>
      <c r="AZ247" s="293"/>
      <c r="BA247" s="293"/>
      <c r="BB247" s="293"/>
      <c r="BC247" s="293"/>
      <c r="BD247" s="293"/>
      <c r="BE247" s="293"/>
      <c r="BF247" s="293"/>
      <c r="BG247" s="293"/>
      <c r="BH247" s="293"/>
      <c r="BI247" s="293"/>
      <c r="BJ247" s="293"/>
      <c r="BK247" s="293"/>
      <c r="BL247" s="293"/>
      <c r="BM247" s="293"/>
      <c r="BN247" s="293"/>
      <c r="BO247" s="293"/>
      <c r="BP247" s="293"/>
      <c r="BQ247" s="293"/>
      <c r="BR247" s="293"/>
      <c r="BS247" s="293"/>
      <c r="BT247" s="293"/>
      <c r="BU247" s="293"/>
      <c r="BV247" s="293"/>
      <c r="BW247" s="293"/>
      <c r="BX247" s="293"/>
      <c r="BY247" s="293"/>
      <c r="BZ247" s="293"/>
      <c r="CA247" s="285"/>
      <c r="CB247" s="286"/>
      <c r="CC247" s="286"/>
      <c r="CD247" s="286"/>
      <c r="CE247" s="286"/>
      <c r="CF247" s="286"/>
      <c r="CG247" s="286"/>
      <c r="CH247" s="286"/>
      <c r="CI247" s="286"/>
      <c r="CJ247" s="286"/>
      <c r="CK247" s="286"/>
      <c r="CL247" s="286"/>
      <c r="CM247" s="286"/>
      <c r="CN247" s="286"/>
      <c r="CO247" s="286"/>
      <c r="CP247" s="286"/>
      <c r="CQ247" s="286"/>
      <c r="CR247" s="286"/>
      <c r="CS247" s="286"/>
      <c r="CT247" s="286"/>
      <c r="CU247" s="286"/>
      <c r="CV247" s="286"/>
      <c r="CW247" s="286"/>
      <c r="CX247" s="286"/>
      <c r="CY247" s="286"/>
      <c r="CZ247" s="286"/>
      <c r="DA247" s="286"/>
      <c r="DB247" s="286"/>
      <c r="DC247" s="286"/>
      <c r="DD247" s="286"/>
      <c r="DE247" s="286"/>
      <c r="DF247" s="286"/>
      <c r="DG247" s="286"/>
      <c r="DH247" s="286"/>
      <c r="DI247" s="286"/>
      <c r="DJ247" s="286"/>
      <c r="DK247" s="286"/>
      <c r="DL247" s="286"/>
      <c r="DM247" s="286"/>
      <c r="DN247" s="286"/>
      <c r="DO247" s="286"/>
      <c r="DP247" s="286"/>
      <c r="DR247" s="58" t="str">
        <f>IF(ISNUMBER(MATCH(#REF!,'Audit Characteristic Mapping'!$B$3:$B$500,0)),"Y","")</f>
        <v/>
      </c>
      <c r="DS247" s="58" t="str">
        <f>IF(ISNUMBER(MATCH(#REF!,'Audit Characteristic Mapping'!$C$3:$C$500,0)),"Y","")</f>
        <v/>
      </c>
      <c r="DT247" s="58" t="str">
        <f>IF(ISNUMBER(MATCH(#REF!,'Audit Characteristic Mapping'!$D$3:$D$500,0)),"Y","")</f>
        <v/>
      </c>
      <c r="DU247" s="58" t="str">
        <f>IF(ISNUMBER(MATCH(#REF!,'Audit Characteristic Mapping'!$E$3:$E$500,0)),"Y","")</f>
        <v/>
      </c>
      <c r="DV247" s="58" t="str">
        <f>IF(ISNUMBER(MATCH(#REF!,'Audit Characteristic Mapping'!$F$3:$F$500,0)),"Y","")</f>
        <v/>
      </c>
      <c r="DW247" s="58" t="str">
        <f>IF(ISNUMBER(MATCH(#REF!,'Audit Characteristic Mapping'!$G$3:$G$500,0)),"Y","")</f>
        <v/>
      </c>
      <c r="DX247" s="58" t="str">
        <f>IF(ISNUMBER(MATCH(#REF!,'Audit Characteristic Mapping'!$H$3:$H$500,0)),"Y","")</f>
        <v/>
      </c>
      <c r="DY247" s="58" t="str">
        <f>IF(ISNUMBER(MATCH(#REF!,'Audit Characteristic Mapping'!$I$3:$I$500,0)),"Y","")</f>
        <v/>
      </c>
      <c r="DZ247" s="58" t="str">
        <f>IF(ISNUMBER(MATCH(#REF!,'Audit Characteristic Mapping'!$J$3:$J$500,0)),"Y","")</f>
        <v/>
      </c>
      <c r="EA247" s="58" t="str">
        <f>IF(ISNUMBER(MATCH(#REF!,'Audit Characteristic Mapping'!$K$3:$K$500,0)),"Y","")</f>
        <v/>
      </c>
    </row>
    <row r="248" spans="1:131" ht="16" hidden="1" x14ac:dyDescent="0.2">
      <c r="A248" s="288">
        <v>239</v>
      </c>
      <c r="B248" s="287" t="s">
        <v>253</v>
      </c>
      <c r="C248" s="226" t="s">
        <v>370</v>
      </c>
      <c r="D248" s="170">
        <v>5</v>
      </c>
      <c r="E248" s="288">
        <v>45</v>
      </c>
      <c r="F248" s="291" t="str">
        <f>VLOOKUP(Calculation!A248,'Descriptor maps'!$A$2:$F$1658,2,0)</f>
        <v>Studies &amp; Design</v>
      </c>
      <c r="G248" s="296"/>
      <c r="H248" s="290"/>
      <c r="I248" s="291"/>
      <c r="J248" s="292" t="e" cm="1">
        <f t="array" ref="J248">INDEX('Descriptor maps'!$I$2:$I$1658,MATCH(1,('Descriptor maps'!$A$2:$A$1658=Calculation!$A248)*('Descriptor maps'!$G$2:$G$1658=Calculation!$G248),0))</f>
        <v>#N/A</v>
      </c>
      <c r="K248" s="226"/>
      <c r="L248" s="293"/>
      <c r="M248" s="293"/>
      <c r="N248" s="293"/>
      <c r="O248" s="293"/>
      <c r="P248" s="293"/>
      <c r="Q248" s="293"/>
      <c r="R248" s="293"/>
      <c r="S248" s="293"/>
      <c r="T248" s="293"/>
      <c r="U248" s="293"/>
      <c r="V248" s="293"/>
      <c r="W248" s="293"/>
      <c r="X248" s="293"/>
      <c r="Y248" s="293"/>
      <c r="Z248" s="293"/>
      <c r="AA248" s="293"/>
      <c r="AB248" s="293"/>
      <c r="AC248" s="293"/>
      <c r="AD248" s="293"/>
      <c r="AE248" s="293"/>
      <c r="AF248" s="293"/>
      <c r="AG248" s="293"/>
      <c r="AH248" s="293"/>
      <c r="AI248" s="293"/>
      <c r="AJ248" s="293"/>
      <c r="AK248" s="293"/>
      <c r="AL248" s="293"/>
      <c r="AM248" s="293"/>
      <c r="AN248" s="293"/>
      <c r="AO248" s="293"/>
      <c r="AP248" s="293"/>
      <c r="AQ248" s="293"/>
      <c r="AR248" s="293"/>
      <c r="AS248" s="293"/>
      <c r="AT248" s="293"/>
      <c r="AU248" s="293"/>
      <c r="AV248" s="293"/>
      <c r="AW248" s="293"/>
      <c r="AX248" s="293"/>
      <c r="AY248" s="293"/>
      <c r="AZ248" s="293"/>
      <c r="BA248" s="293"/>
      <c r="BB248" s="293"/>
      <c r="BC248" s="293"/>
      <c r="BD248" s="293"/>
      <c r="BE248" s="293"/>
      <c r="BF248" s="293"/>
      <c r="BG248" s="293"/>
      <c r="BH248" s="293"/>
      <c r="BI248" s="293"/>
      <c r="BJ248" s="293"/>
      <c r="BK248" s="293"/>
      <c r="BL248" s="293"/>
      <c r="BM248" s="293"/>
      <c r="BN248" s="293"/>
      <c r="BO248" s="293"/>
      <c r="BP248" s="293"/>
      <c r="BQ248" s="293"/>
      <c r="BR248" s="293"/>
      <c r="BS248" s="293"/>
      <c r="BT248" s="293"/>
      <c r="BU248" s="293"/>
      <c r="BV248" s="293"/>
      <c r="BW248" s="293"/>
      <c r="BX248" s="293"/>
      <c r="BY248" s="293"/>
      <c r="BZ248" s="293"/>
      <c r="CA248" s="285"/>
      <c r="CB248" s="286"/>
      <c r="CC248" s="286"/>
      <c r="CD248" s="286"/>
      <c r="CE248" s="286"/>
      <c r="CF248" s="286"/>
      <c r="CG248" s="286"/>
      <c r="CH248" s="286"/>
      <c r="CI248" s="286"/>
      <c r="CJ248" s="286"/>
      <c r="CK248" s="286"/>
      <c r="CL248" s="286"/>
      <c r="CM248" s="286"/>
      <c r="CN248" s="286"/>
      <c r="CO248" s="286"/>
      <c r="CP248" s="286"/>
      <c r="CQ248" s="286"/>
      <c r="CR248" s="286"/>
      <c r="CS248" s="286"/>
      <c r="CT248" s="286"/>
      <c r="CU248" s="286"/>
      <c r="CV248" s="286"/>
      <c r="CW248" s="286"/>
      <c r="CX248" s="286"/>
      <c r="CY248" s="286"/>
      <c r="CZ248" s="286"/>
      <c r="DA248" s="286"/>
      <c r="DB248" s="286"/>
      <c r="DC248" s="286"/>
      <c r="DD248" s="286"/>
      <c r="DE248" s="286"/>
      <c r="DF248" s="286"/>
      <c r="DG248" s="286"/>
      <c r="DH248" s="286"/>
      <c r="DI248" s="286"/>
      <c r="DJ248" s="286"/>
      <c r="DK248" s="286"/>
      <c r="DL248" s="286"/>
      <c r="DM248" s="286"/>
      <c r="DN248" s="286"/>
      <c r="DO248" s="286"/>
      <c r="DP248" s="286"/>
      <c r="DR248" s="58" t="str">
        <f>IF(ISNUMBER(MATCH(#REF!,'Audit Characteristic Mapping'!$B$3:$B$500,0)),"Y","")</f>
        <v/>
      </c>
      <c r="DS248" s="58" t="str">
        <f>IF(ISNUMBER(MATCH(#REF!,'Audit Characteristic Mapping'!$C$3:$C$500,0)),"Y","")</f>
        <v/>
      </c>
      <c r="DT248" s="58" t="str">
        <f>IF(ISNUMBER(MATCH(#REF!,'Audit Characteristic Mapping'!$D$3:$D$500,0)),"Y","")</f>
        <v/>
      </c>
      <c r="DU248" s="58" t="str">
        <f>IF(ISNUMBER(MATCH(#REF!,'Audit Characteristic Mapping'!$E$3:$E$500,0)),"Y","")</f>
        <v/>
      </c>
      <c r="DV248" s="58" t="str">
        <f>IF(ISNUMBER(MATCH(#REF!,'Audit Characteristic Mapping'!$F$3:$F$500,0)),"Y","")</f>
        <v/>
      </c>
      <c r="DW248" s="58" t="str">
        <f>IF(ISNUMBER(MATCH(#REF!,'Audit Characteristic Mapping'!$G$3:$G$500,0)),"Y","")</f>
        <v/>
      </c>
      <c r="DX248" s="58" t="str">
        <f>IF(ISNUMBER(MATCH(#REF!,'Audit Characteristic Mapping'!$H$3:$H$500,0)),"Y","")</f>
        <v/>
      </c>
      <c r="DY248" s="58" t="str">
        <f>IF(ISNUMBER(MATCH(#REF!,'Audit Characteristic Mapping'!$I$3:$I$500,0)),"Y","")</f>
        <v/>
      </c>
      <c r="DZ248" s="58" t="str">
        <f>IF(ISNUMBER(MATCH(#REF!,'Audit Characteristic Mapping'!$J$3:$J$500,0)),"Y","")</f>
        <v/>
      </c>
      <c r="EA248" s="58" t="str">
        <f>IF(ISNUMBER(MATCH(#REF!,'Audit Characteristic Mapping'!$K$3:$K$500,0)),"Y","")</f>
        <v/>
      </c>
    </row>
    <row r="249" spans="1:131" ht="32" hidden="1" x14ac:dyDescent="0.2">
      <c r="A249" s="288">
        <v>240</v>
      </c>
      <c r="B249" s="287" t="s">
        <v>253</v>
      </c>
      <c r="C249" s="226" t="s">
        <v>373</v>
      </c>
      <c r="D249" s="170">
        <v>5</v>
      </c>
      <c r="E249" s="288">
        <v>46</v>
      </c>
      <c r="F249" s="291" t="str">
        <f>VLOOKUP(Calculation!A249,'Descriptor maps'!$A$2:$F$1658,2,0)</f>
        <v>Studies &amp; Design</v>
      </c>
      <c r="G249" s="296"/>
      <c r="H249" s="290"/>
      <c r="I249" s="291"/>
      <c r="J249" s="292" t="e" cm="1">
        <f t="array" ref="J249">INDEX('Descriptor maps'!$I$2:$I$1658,MATCH(1,('Descriptor maps'!$A$2:$A$1658=Calculation!$A249)*('Descriptor maps'!$G$2:$G$1658=Calculation!$G249),0))</f>
        <v>#N/A</v>
      </c>
      <c r="K249" s="226"/>
      <c r="L249" s="293"/>
      <c r="M249" s="293"/>
      <c r="N249" s="293"/>
      <c r="O249" s="293"/>
      <c r="P249" s="293"/>
      <c r="Q249" s="293"/>
      <c r="R249" s="293"/>
      <c r="S249" s="293"/>
      <c r="T249" s="293"/>
      <c r="U249" s="293"/>
      <c r="V249" s="293"/>
      <c r="W249" s="293"/>
      <c r="X249" s="293"/>
      <c r="Y249" s="293"/>
      <c r="Z249" s="293"/>
      <c r="AA249" s="293"/>
      <c r="AB249" s="293"/>
      <c r="AC249" s="293"/>
      <c r="AD249" s="293"/>
      <c r="AE249" s="293"/>
      <c r="AF249" s="293"/>
      <c r="AG249" s="293"/>
      <c r="AH249" s="293"/>
      <c r="AI249" s="293"/>
      <c r="AJ249" s="293"/>
      <c r="AK249" s="293"/>
      <c r="AL249" s="293"/>
      <c r="AM249" s="293"/>
      <c r="AN249" s="293"/>
      <c r="AO249" s="293"/>
      <c r="AP249" s="293"/>
      <c r="AQ249" s="293"/>
      <c r="AR249" s="293"/>
      <c r="AS249" s="293"/>
      <c r="AT249" s="293"/>
      <c r="AU249" s="293"/>
      <c r="AV249" s="293"/>
      <c r="AW249" s="293"/>
      <c r="AX249" s="293"/>
      <c r="AY249" s="293"/>
      <c r="AZ249" s="293"/>
      <c r="BA249" s="293"/>
      <c r="BB249" s="293"/>
      <c r="BC249" s="293"/>
      <c r="BD249" s="293"/>
      <c r="BE249" s="293"/>
      <c r="BF249" s="293"/>
      <c r="BG249" s="293"/>
      <c r="BH249" s="293"/>
      <c r="BI249" s="293"/>
      <c r="BJ249" s="293"/>
      <c r="BK249" s="293"/>
      <c r="BL249" s="293"/>
      <c r="BM249" s="293"/>
      <c r="BN249" s="293"/>
      <c r="BO249" s="293"/>
      <c r="BP249" s="293"/>
      <c r="BQ249" s="293"/>
      <c r="BR249" s="293"/>
      <c r="BS249" s="293"/>
      <c r="BT249" s="293"/>
      <c r="BU249" s="293"/>
      <c r="BV249" s="293"/>
      <c r="BW249" s="293"/>
      <c r="BX249" s="293"/>
      <c r="BY249" s="293"/>
      <c r="BZ249" s="293"/>
      <c r="CA249" s="285"/>
      <c r="CB249" s="286"/>
      <c r="CC249" s="286"/>
      <c r="CD249" s="286"/>
      <c r="CE249" s="286"/>
      <c r="CF249" s="286"/>
      <c r="CG249" s="286"/>
      <c r="CH249" s="286"/>
      <c r="CI249" s="286"/>
      <c r="CJ249" s="286"/>
      <c r="CK249" s="286"/>
      <c r="CL249" s="286"/>
      <c r="CM249" s="286"/>
      <c r="CN249" s="286"/>
      <c r="CO249" s="286"/>
      <c r="CP249" s="286"/>
      <c r="CQ249" s="286"/>
      <c r="CR249" s="286"/>
      <c r="CS249" s="286"/>
      <c r="CT249" s="286"/>
      <c r="CU249" s="286"/>
      <c r="CV249" s="286"/>
      <c r="CW249" s="286"/>
      <c r="CX249" s="286"/>
      <c r="CY249" s="286"/>
      <c r="CZ249" s="286"/>
      <c r="DA249" s="286"/>
      <c r="DB249" s="286"/>
      <c r="DC249" s="286"/>
      <c r="DD249" s="286"/>
      <c r="DE249" s="286"/>
      <c r="DF249" s="286"/>
      <c r="DG249" s="286"/>
      <c r="DH249" s="286"/>
      <c r="DI249" s="286"/>
      <c r="DJ249" s="286"/>
      <c r="DK249" s="286"/>
      <c r="DL249" s="286"/>
      <c r="DM249" s="286"/>
      <c r="DN249" s="286"/>
      <c r="DO249" s="286"/>
      <c r="DP249" s="286"/>
      <c r="DR249" s="58" t="str">
        <f>IF(ISNUMBER(MATCH(#REF!,'Audit Characteristic Mapping'!$B$3:$B$500,0)),"Y","")</f>
        <v/>
      </c>
      <c r="DS249" s="58" t="str">
        <f>IF(ISNUMBER(MATCH(#REF!,'Audit Characteristic Mapping'!$C$3:$C$500,0)),"Y","")</f>
        <v/>
      </c>
      <c r="DT249" s="58" t="str">
        <f>IF(ISNUMBER(MATCH(#REF!,'Audit Characteristic Mapping'!$D$3:$D$500,0)),"Y","")</f>
        <v/>
      </c>
      <c r="DU249" s="58" t="str">
        <f>IF(ISNUMBER(MATCH(#REF!,'Audit Characteristic Mapping'!$E$3:$E$500,0)),"Y","")</f>
        <v/>
      </c>
      <c r="DV249" s="58" t="str">
        <f>IF(ISNUMBER(MATCH(#REF!,'Audit Characteristic Mapping'!$F$3:$F$500,0)),"Y","")</f>
        <v/>
      </c>
      <c r="DW249" s="58" t="str">
        <f>IF(ISNUMBER(MATCH(#REF!,'Audit Characteristic Mapping'!$G$3:$G$500,0)),"Y","")</f>
        <v/>
      </c>
      <c r="DX249" s="58" t="str">
        <f>IF(ISNUMBER(MATCH(#REF!,'Audit Characteristic Mapping'!$H$3:$H$500,0)),"Y","")</f>
        <v/>
      </c>
      <c r="DY249" s="58" t="str">
        <f>IF(ISNUMBER(MATCH(#REF!,'Audit Characteristic Mapping'!$I$3:$I$500,0)),"Y","")</f>
        <v/>
      </c>
      <c r="DZ249" s="58" t="str">
        <f>IF(ISNUMBER(MATCH(#REF!,'Audit Characteristic Mapping'!$J$3:$J$500,0)),"Y","")</f>
        <v/>
      </c>
      <c r="EA249" s="58" t="str">
        <f>IF(ISNUMBER(MATCH(#REF!,'Audit Characteristic Mapping'!$K$3:$K$500,0)),"Y","")</f>
        <v/>
      </c>
    </row>
    <row r="250" spans="1:131" ht="16" hidden="1" x14ac:dyDescent="0.2">
      <c r="A250" s="288">
        <v>241</v>
      </c>
      <c r="B250" s="287" t="s">
        <v>253</v>
      </c>
      <c r="C250" s="226" t="s">
        <v>375</v>
      </c>
      <c r="D250" s="170">
        <v>5</v>
      </c>
      <c r="E250" s="288">
        <v>47</v>
      </c>
      <c r="F250" s="291" t="str">
        <f>VLOOKUP(Calculation!A250,'Descriptor maps'!$A$2:$F$1658,2,0)</f>
        <v>Studies &amp; Design</v>
      </c>
      <c r="G250" s="296"/>
      <c r="H250" s="290"/>
      <c r="I250" s="291"/>
      <c r="J250" s="292" t="e" cm="1">
        <f t="array" ref="J250">INDEX('Descriptor maps'!$I$2:$I$1658,MATCH(1,('Descriptor maps'!$A$2:$A$1658=Calculation!$A250)*('Descriptor maps'!$G$2:$G$1658=Calculation!$G250),0))</f>
        <v>#N/A</v>
      </c>
      <c r="K250" s="226"/>
      <c r="L250" s="293"/>
      <c r="M250" s="293"/>
      <c r="N250" s="293"/>
      <c r="O250" s="293"/>
      <c r="P250" s="293"/>
      <c r="Q250" s="293"/>
      <c r="R250" s="293"/>
      <c r="S250" s="293"/>
      <c r="T250" s="293"/>
      <c r="U250" s="293"/>
      <c r="V250" s="293"/>
      <c r="W250" s="293"/>
      <c r="X250" s="293"/>
      <c r="Y250" s="293"/>
      <c r="Z250" s="293"/>
      <c r="AA250" s="293"/>
      <c r="AB250" s="293"/>
      <c r="AC250" s="293"/>
      <c r="AD250" s="293"/>
      <c r="AE250" s="293"/>
      <c r="AF250" s="293"/>
      <c r="AG250" s="293"/>
      <c r="AH250" s="293"/>
      <c r="AI250" s="293"/>
      <c r="AJ250" s="293"/>
      <c r="AK250" s="293"/>
      <c r="AL250" s="293"/>
      <c r="AM250" s="293"/>
      <c r="AN250" s="293"/>
      <c r="AO250" s="293"/>
      <c r="AP250" s="293"/>
      <c r="AQ250" s="293"/>
      <c r="AR250" s="293"/>
      <c r="AS250" s="293"/>
      <c r="AT250" s="293"/>
      <c r="AU250" s="293"/>
      <c r="AV250" s="293"/>
      <c r="AW250" s="293"/>
      <c r="AX250" s="293"/>
      <c r="AY250" s="293"/>
      <c r="AZ250" s="293"/>
      <c r="BA250" s="293"/>
      <c r="BB250" s="293"/>
      <c r="BC250" s="293"/>
      <c r="BD250" s="293"/>
      <c r="BE250" s="293"/>
      <c r="BF250" s="293"/>
      <c r="BG250" s="293"/>
      <c r="BH250" s="293"/>
      <c r="BI250" s="293"/>
      <c r="BJ250" s="293"/>
      <c r="BK250" s="293"/>
      <c r="BL250" s="293"/>
      <c r="BM250" s="293"/>
      <c r="BN250" s="293"/>
      <c r="BO250" s="293"/>
      <c r="BP250" s="293"/>
      <c r="BQ250" s="293"/>
      <c r="BR250" s="293"/>
      <c r="BS250" s="293"/>
      <c r="BT250" s="293"/>
      <c r="BU250" s="293"/>
      <c r="BV250" s="293"/>
      <c r="BW250" s="293"/>
      <c r="BX250" s="293"/>
      <c r="BY250" s="293"/>
      <c r="BZ250" s="293"/>
      <c r="CA250" s="285"/>
      <c r="CB250" s="286"/>
      <c r="CC250" s="286"/>
      <c r="CD250" s="286"/>
      <c r="CE250" s="286"/>
      <c r="CF250" s="286"/>
      <c r="CG250" s="286"/>
      <c r="CH250" s="286"/>
      <c r="CI250" s="286"/>
      <c r="CJ250" s="286"/>
      <c r="CK250" s="286"/>
      <c r="CL250" s="286"/>
      <c r="CM250" s="286"/>
      <c r="CN250" s="286"/>
      <c r="CO250" s="286"/>
      <c r="CP250" s="286"/>
      <c r="CQ250" s="286"/>
      <c r="CR250" s="286"/>
      <c r="CS250" s="286"/>
      <c r="CT250" s="286"/>
      <c r="CU250" s="286"/>
      <c r="CV250" s="286"/>
      <c r="CW250" s="286"/>
      <c r="CX250" s="286"/>
      <c r="CY250" s="286"/>
      <c r="CZ250" s="286"/>
      <c r="DA250" s="286"/>
      <c r="DB250" s="286"/>
      <c r="DC250" s="286"/>
      <c r="DD250" s="286"/>
      <c r="DE250" s="286"/>
      <c r="DF250" s="286"/>
      <c r="DG250" s="286"/>
      <c r="DH250" s="286"/>
      <c r="DI250" s="286"/>
      <c r="DJ250" s="286"/>
      <c r="DK250" s="286"/>
      <c r="DL250" s="286"/>
      <c r="DM250" s="286"/>
      <c r="DN250" s="286"/>
      <c r="DO250" s="286"/>
      <c r="DP250" s="286"/>
      <c r="DR250" s="58" t="str">
        <f>IF(ISNUMBER(MATCH(#REF!,'Audit Characteristic Mapping'!$B$3:$B$500,0)),"Y","")</f>
        <v/>
      </c>
      <c r="DS250" s="58" t="str">
        <f>IF(ISNUMBER(MATCH(#REF!,'Audit Characteristic Mapping'!$C$3:$C$500,0)),"Y","")</f>
        <v/>
      </c>
      <c r="DT250" s="58" t="str">
        <f>IF(ISNUMBER(MATCH(#REF!,'Audit Characteristic Mapping'!$D$3:$D$500,0)),"Y","")</f>
        <v/>
      </c>
      <c r="DU250" s="58" t="str">
        <f>IF(ISNUMBER(MATCH(#REF!,'Audit Characteristic Mapping'!$E$3:$E$500,0)),"Y","")</f>
        <v/>
      </c>
      <c r="DV250" s="58" t="str">
        <f>IF(ISNUMBER(MATCH(#REF!,'Audit Characteristic Mapping'!$F$3:$F$500,0)),"Y","")</f>
        <v/>
      </c>
      <c r="DW250" s="58" t="str">
        <f>IF(ISNUMBER(MATCH(#REF!,'Audit Characteristic Mapping'!$G$3:$G$500,0)),"Y","")</f>
        <v/>
      </c>
      <c r="DX250" s="58" t="str">
        <f>IF(ISNUMBER(MATCH(#REF!,'Audit Characteristic Mapping'!$H$3:$H$500,0)),"Y","")</f>
        <v/>
      </c>
      <c r="DY250" s="58" t="str">
        <f>IF(ISNUMBER(MATCH(#REF!,'Audit Characteristic Mapping'!$I$3:$I$500,0)),"Y","")</f>
        <v/>
      </c>
      <c r="DZ250" s="58" t="str">
        <f>IF(ISNUMBER(MATCH(#REF!,'Audit Characteristic Mapping'!$J$3:$J$500,0)),"Y","")</f>
        <v/>
      </c>
      <c r="EA250" s="58" t="str">
        <f>IF(ISNUMBER(MATCH(#REF!,'Audit Characteristic Mapping'!$K$3:$K$500,0)),"Y","")</f>
        <v/>
      </c>
    </row>
    <row r="251" spans="1:131" ht="16" hidden="1" x14ac:dyDescent="0.2">
      <c r="A251" s="288">
        <v>242</v>
      </c>
      <c r="B251" s="287" t="s">
        <v>253</v>
      </c>
      <c r="C251" s="226" t="s">
        <v>377</v>
      </c>
      <c r="D251" s="170">
        <v>5</v>
      </c>
      <c r="E251" s="288">
        <v>48</v>
      </c>
      <c r="F251" s="291" t="str">
        <f>VLOOKUP(Calculation!A251,'Descriptor maps'!$A$2:$F$1658,2,0)</f>
        <v>Studies &amp; Design</v>
      </c>
      <c r="G251" s="296"/>
      <c r="H251" s="290"/>
      <c r="I251" s="291"/>
      <c r="J251" s="292" t="e" cm="1">
        <f t="array" ref="J251">INDEX('Descriptor maps'!$I$2:$I$1658,MATCH(1,('Descriptor maps'!$A$2:$A$1658=Calculation!$A251)*('Descriptor maps'!$G$2:$G$1658=Calculation!$G251),0))</f>
        <v>#N/A</v>
      </c>
      <c r="K251" s="226"/>
      <c r="L251" s="293"/>
      <c r="M251" s="293"/>
      <c r="N251" s="293"/>
      <c r="O251" s="293"/>
      <c r="P251" s="293"/>
      <c r="Q251" s="293"/>
      <c r="R251" s="293"/>
      <c r="S251" s="293"/>
      <c r="T251" s="293"/>
      <c r="U251" s="293"/>
      <c r="V251" s="293"/>
      <c r="W251" s="293"/>
      <c r="X251" s="293"/>
      <c r="Y251" s="293"/>
      <c r="Z251" s="293"/>
      <c r="AA251" s="293"/>
      <c r="AB251" s="293"/>
      <c r="AC251" s="293"/>
      <c r="AD251" s="293"/>
      <c r="AE251" s="293"/>
      <c r="AF251" s="293"/>
      <c r="AG251" s="293"/>
      <c r="AH251" s="293"/>
      <c r="AI251" s="293"/>
      <c r="AJ251" s="293"/>
      <c r="AK251" s="293"/>
      <c r="AL251" s="293"/>
      <c r="AM251" s="293"/>
      <c r="AN251" s="293"/>
      <c r="AO251" s="293"/>
      <c r="AP251" s="293"/>
      <c r="AQ251" s="293"/>
      <c r="AR251" s="293"/>
      <c r="AS251" s="293"/>
      <c r="AT251" s="293"/>
      <c r="AU251" s="293"/>
      <c r="AV251" s="293"/>
      <c r="AW251" s="293"/>
      <c r="AX251" s="293"/>
      <c r="AY251" s="293"/>
      <c r="AZ251" s="293"/>
      <c r="BA251" s="293"/>
      <c r="BB251" s="293"/>
      <c r="BC251" s="293"/>
      <c r="BD251" s="293"/>
      <c r="BE251" s="293"/>
      <c r="BF251" s="293"/>
      <c r="BG251" s="293"/>
      <c r="BH251" s="293"/>
      <c r="BI251" s="293"/>
      <c r="BJ251" s="293"/>
      <c r="BK251" s="293"/>
      <c r="BL251" s="293"/>
      <c r="BM251" s="293"/>
      <c r="BN251" s="293"/>
      <c r="BO251" s="293"/>
      <c r="BP251" s="293"/>
      <c r="BQ251" s="293"/>
      <c r="BR251" s="293"/>
      <c r="BS251" s="293"/>
      <c r="BT251" s="293"/>
      <c r="BU251" s="293"/>
      <c r="BV251" s="293"/>
      <c r="BW251" s="293"/>
      <c r="BX251" s="293"/>
      <c r="BY251" s="293"/>
      <c r="BZ251" s="293"/>
      <c r="CA251" s="285"/>
      <c r="CB251" s="286"/>
      <c r="CC251" s="286"/>
      <c r="CD251" s="286"/>
      <c r="CE251" s="286"/>
      <c r="CF251" s="286"/>
      <c r="CG251" s="286"/>
      <c r="CH251" s="286"/>
      <c r="CI251" s="286"/>
      <c r="CJ251" s="286"/>
      <c r="CK251" s="286"/>
      <c r="CL251" s="286"/>
      <c r="CM251" s="286"/>
      <c r="CN251" s="286"/>
      <c r="CO251" s="286"/>
      <c r="CP251" s="286"/>
      <c r="CQ251" s="286"/>
      <c r="CR251" s="286"/>
      <c r="CS251" s="286"/>
      <c r="CT251" s="286"/>
      <c r="CU251" s="286"/>
      <c r="CV251" s="286"/>
      <c r="CW251" s="286"/>
      <c r="CX251" s="286"/>
      <c r="CY251" s="286"/>
      <c r="CZ251" s="286"/>
      <c r="DA251" s="286"/>
      <c r="DB251" s="286"/>
      <c r="DC251" s="286"/>
      <c r="DD251" s="286"/>
      <c r="DE251" s="286"/>
      <c r="DF251" s="286"/>
      <c r="DG251" s="286"/>
      <c r="DH251" s="286"/>
      <c r="DI251" s="286"/>
      <c r="DJ251" s="286"/>
      <c r="DK251" s="286"/>
      <c r="DL251" s="286"/>
      <c r="DM251" s="286"/>
      <c r="DN251" s="286"/>
      <c r="DO251" s="286"/>
      <c r="DP251" s="286"/>
      <c r="DR251" s="58" t="str">
        <f>IF(ISNUMBER(MATCH(#REF!,'Audit Characteristic Mapping'!$B$3:$B$500,0)),"Y","")</f>
        <v/>
      </c>
      <c r="DS251" s="58" t="str">
        <f>IF(ISNUMBER(MATCH(#REF!,'Audit Characteristic Mapping'!$C$3:$C$500,0)),"Y","")</f>
        <v/>
      </c>
      <c r="DT251" s="58" t="str">
        <f>IF(ISNUMBER(MATCH(#REF!,'Audit Characteristic Mapping'!$D$3:$D$500,0)),"Y","")</f>
        <v/>
      </c>
      <c r="DU251" s="58" t="str">
        <f>IF(ISNUMBER(MATCH(#REF!,'Audit Characteristic Mapping'!$E$3:$E$500,0)),"Y","")</f>
        <v/>
      </c>
      <c r="DV251" s="58" t="str">
        <f>IF(ISNUMBER(MATCH(#REF!,'Audit Characteristic Mapping'!$F$3:$F$500,0)),"Y","")</f>
        <v/>
      </c>
      <c r="DW251" s="58" t="str">
        <f>IF(ISNUMBER(MATCH(#REF!,'Audit Characteristic Mapping'!$G$3:$G$500,0)),"Y","")</f>
        <v/>
      </c>
      <c r="DX251" s="58" t="str">
        <f>IF(ISNUMBER(MATCH(#REF!,'Audit Characteristic Mapping'!$H$3:$H$500,0)),"Y","")</f>
        <v/>
      </c>
      <c r="DY251" s="58" t="str">
        <f>IF(ISNUMBER(MATCH(#REF!,'Audit Characteristic Mapping'!$I$3:$I$500,0)),"Y","")</f>
        <v/>
      </c>
      <c r="DZ251" s="58" t="str">
        <f>IF(ISNUMBER(MATCH(#REF!,'Audit Characteristic Mapping'!$J$3:$J$500,0)),"Y","")</f>
        <v/>
      </c>
      <c r="EA251" s="58" t="str">
        <f>IF(ISNUMBER(MATCH(#REF!,'Audit Characteristic Mapping'!$K$3:$K$500,0)),"Y","")</f>
        <v/>
      </c>
    </row>
    <row r="252" spans="1:131" ht="16" hidden="1" x14ac:dyDescent="0.2">
      <c r="A252" s="288">
        <v>243</v>
      </c>
      <c r="B252" s="287" t="s">
        <v>253</v>
      </c>
      <c r="C252" s="226" t="s">
        <v>379</v>
      </c>
      <c r="D252" s="170">
        <v>5</v>
      </c>
      <c r="E252" s="288">
        <v>49</v>
      </c>
      <c r="F252" s="291" t="str">
        <f>VLOOKUP(Calculation!A252,'Descriptor maps'!$A$2:$F$1658,2,0)</f>
        <v>Studies &amp; Design</v>
      </c>
      <c r="G252" s="296"/>
      <c r="H252" s="290"/>
      <c r="I252" s="291"/>
      <c r="J252" s="292" t="e" cm="1">
        <f t="array" ref="J252">INDEX('Descriptor maps'!$I$2:$I$1658,MATCH(1,('Descriptor maps'!$A$2:$A$1658=Calculation!$A252)*('Descriptor maps'!$G$2:$G$1658=Calculation!$G252),0))</f>
        <v>#N/A</v>
      </c>
      <c r="K252" s="226"/>
      <c r="L252" s="293"/>
      <c r="M252" s="293"/>
      <c r="N252" s="293"/>
      <c r="O252" s="293"/>
      <c r="P252" s="293"/>
      <c r="Q252" s="293"/>
      <c r="R252" s="293"/>
      <c r="S252" s="293"/>
      <c r="T252" s="293"/>
      <c r="U252" s="293"/>
      <c r="V252" s="293"/>
      <c r="W252" s="293"/>
      <c r="X252" s="293"/>
      <c r="Y252" s="29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c r="AW252" s="293"/>
      <c r="AX252" s="293"/>
      <c r="AY252" s="293"/>
      <c r="AZ252" s="293"/>
      <c r="BA252" s="293"/>
      <c r="BB252" s="293"/>
      <c r="BC252" s="293"/>
      <c r="BD252" s="293"/>
      <c r="BE252" s="293"/>
      <c r="BF252" s="293"/>
      <c r="BG252" s="293"/>
      <c r="BH252" s="293"/>
      <c r="BI252" s="293"/>
      <c r="BJ252" s="293"/>
      <c r="BK252" s="293"/>
      <c r="BL252" s="293"/>
      <c r="BM252" s="293"/>
      <c r="BN252" s="293"/>
      <c r="BO252" s="293"/>
      <c r="BP252" s="293"/>
      <c r="BQ252" s="293"/>
      <c r="BR252" s="293"/>
      <c r="BS252" s="293"/>
      <c r="BT252" s="293"/>
      <c r="BU252" s="293"/>
      <c r="BV252" s="293"/>
      <c r="BW252" s="293"/>
      <c r="BX252" s="293"/>
      <c r="BY252" s="293"/>
      <c r="BZ252" s="293"/>
      <c r="CA252" s="285"/>
      <c r="CB252" s="286"/>
      <c r="CC252" s="286"/>
      <c r="CD252" s="286"/>
      <c r="CE252" s="286"/>
      <c r="CF252" s="286"/>
      <c r="CG252" s="286"/>
      <c r="CH252" s="286"/>
      <c r="CI252" s="286"/>
      <c r="CJ252" s="286"/>
      <c r="CK252" s="286"/>
      <c r="CL252" s="286"/>
      <c r="CM252" s="286"/>
      <c r="CN252" s="286"/>
      <c r="CO252" s="286"/>
      <c r="CP252" s="286"/>
      <c r="CQ252" s="286"/>
      <c r="CR252" s="286"/>
      <c r="CS252" s="286"/>
      <c r="CT252" s="286"/>
      <c r="CU252" s="286"/>
      <c r="CV252" s="286"/>
      <c r="CW252" s="286"/>
      <c r="CX252" s="286"/>
      <c r="CY252" s="286"/>
      <c r="CZ252" s="286"/>
      <c r="DA252" s="286"/>
      <c r="DB252" s="286"/>
      <c r="DC252" s="286"/>
      <c r="DD252" s="286"/>
      <c r="DE252" s="286"/>
      <c r="DF252" s="286"/>
      <c r="DG252" s="286"/>
      <c r="DH252" s="286"/>
      <c r="DI252" s="286"/>
      <c r="DJ252" s="286"/>
      <c r="DK252" s="286"/>
      <c r="DL252" s="286"/>
      <c r="DM252" s="286"/>
      <c r="DN252" s="286"/>
      <c r="DO252" s="286"/>
      <c r="DP252" s="286"/>
      <c r="DR252" s="58" t="str">
        <f>IF(ISNUMBER(MATCH(#REF!,'Audit Characteristic Mapping'!$B$3:$B$500,0)),"Y","")</f>
        <v/>
      </c>
      <c r="DS252" s="58" t="str">
        <f>IF(ISNUMBER(MATCH(#REF!,'Audit Characteristic Mapping'!$C$3:$C$500,0)),"Y","")</f>
        <v/>
      </c>
      <c r="DT252" s="58" t="str">
        <f>IF(ISNUMBER(MATCH(#REF!,'Audit Characteristic Mapping'!$D$3:$D$500,0)),"Y","")</f>
        <v/>
      </c>
      <c r="DU252" s="58" t="str">
        <f>IF(ISNUMBER(MATCH(#REF!,'Audit Characteristic Mapping'!$E$3:$E$500,0)),"Y","")</f>
        <v/>
      </c>
      <c r="DV252" s="58" t="str">
        <f>IF(ISNUMBER(MATCH(#REF!,'Audit Characteristic Mapping'!$F$3:$F$500,0)),"Y","")</f>
        <v/>
      </c>
      <c r="DW252" s="58" t="str">
        <f>IF(ISNUMBER(MATCH(#REF!,'Audit Characteristic Mapping'!$G$3:$G$500,0)),"Y","")</f>
        <v/>
      </c>
      <c r="DX252" s="58" t="str">
        <f>IF(ISNUMBER(MATCH(#REF!,'Audit Characteristic Mapping'!$H$3:$H$500,0)),"Y","")</f>
        <v/>
      </c>
      <c r="DY252" s="58" t="str">
        <f>IF(ISNUMBER(MATCH(#REF!,'Audit Characteristic Mapping'!$I$3:$I$500,0)),"Y","")</f>
        <v/>
      </c>
      <c r="DZ252" s="58" t="str">
        <f>IF(ISNUMBER(MATCH(#REF!,'Audit Characteristic Mapping'!$J$3:$J$500,0)),"Y","")</f>
        <v/>
      </c>
      <c r="EA252" s="58" t="str">
        <f>IF(ISNUMBER(MATCH(#REF!,'Audit Characteristic Mapping'!$K$3:$K$500,0)),"Y","")</f>
        <v/>
      </c>
    </row>
    <row r="253" spans="1:131" ht="48" x14ac:dyDescent="0.2">
      <c r="A253" s="294">
        <v>272</v>
      </c>
      <c r="B253" s="287" t="s">
        <v>412</v>
      </c>
      <c r="C253" s="226" t="s">
        <v>416</v>
      </c>
      <c r="D253" s="170">
        <v>7</v>
      </c>
      <c r="E253" s="288">
        <v>57</v>
      </c>
      <c r="F253" s="291" t="str">
        <f>VLOOKUP(Calculation!A253,'Descriptor maps'!$A$2:$F$1658,6,0)</f>
        <v>Is there documented evidence that testing for verification of construction activities was carried out to achieve the objective of demonstrating that construction activities complied with the Technical Specifications?</v>
      </c>
      <c r="G253" s="296" t="s">
        <v>1192</v>
      </c>
      <c r="H253" s="290"/>
      <c r="I253" s="291" cm="1">
        <f t="array" ref="I253">INDEX('Descriptor maps'!$H$2:$H$1658,MATCH(1,('Descriptor maps'!$A$2:$A$1658=Calculation!$A253)*('Descriptor maps'!$G$2:$G$1658=Calculation!$G253),0))</f>
        <v>1</v>
      </c>
      <c r="J253" s="292" cm="1">
        <f t="array" ref="J253">INDEX('Descriptor maps'!$I$2:$I$1658,MATCH(1,('Descriptor maps'!$A$2:$A$1658=Calculation!$A253)*('Descriptor maps'!$G$2:$G$1658=Calculation!$G253),0))</f>
        <v>1</v>
      </c>
      <c r="K253" s="226"/>
      <c r="L253" s="293"/>
      <c r="M253" s="293"/>
      <c r="N253" s="293"/>
      <c r="O253" s="293">
        <f>1*$J253</f>
        <v>1</v>
      </c>
      <c r="P253" s="293"/>
      <c r="Q253" s="293"/>
      <c r="R253" s="293"/>
      <c r="S253" s="293"/>
      <c r="T253" s="293"/>
      <c r="U253" s="293"/>
      <c r="V253" s="293">
        <f>1*$J253</f>
        <v>1</v>
      </c>
      <c r="W253" s="293"/>
      <c r="X253" s="293"/>
      <c r="Y253" s="293"/>
      <c r="Z253" s="293"/>
      <c r="AA253" s="293"/>
      <c r="AB253" s="293"/>
      <c r="AC253" s="293">
        <f>1*$J253</f>
        <v>1</v>
      </c>
      <c r="AD253" s="293"/>
      <c r="AE253" s="293"/>
      <c r="AF253" s="293"/>
      <c r="AG253" s="293"/>
      <c r="AH253" s="293"/>
      <c r="AI253" s="293">
        <f>1*$J253</f>
        <v>1</v>
      </c>
      <c r="AJ253" s="293"/>
      <c r="AK253" s="293"/>
      <c r="AL253" s="293">
        <f>1*$J253</f>
        <v>1</v>
      </c>
      <c r="AM253" s="293"/>
      <c r="AN253" s="293"/>
      <c r="AO253" s="293"/>
      <c r="AP253" s="293"/>
      <c r="AQ253" s="293"/>
      <c r="AR253" s="293"/>
      <c r="AS253" s="293"/>
      <c r="AT253" s="293"/>
      <c r="AU253" s="293"/>
      <c r="AV253" s="293"/>
      <c r="AW253" s="293">
        <f>J253</f>
        <v>1</v>
      </c>
      <c r="AX253" s="293"/>
      <c r="AY253" s="293"/>
      <c r="AZ253" s="293"/>
      <c r="BA253" s="293"/>
      <c r="BB253" s="293"/>
      <c r="BC253" s="293"/>
      <c r="BD253" s="293"/>
      <c r="BE253" s="293"/>
      <c r="BF253" s="293"/>
      <c r="BG253" s="293"/>
      <c r="BH253" s="293"/>
      <c r="BI253" s="293"/>
      <c r="BJ253" s="293"/>
      <c r="BK253" s="293"/>
      <c r="BL253" s="293"/>
      <c r="BM253" s="293"/>
      <c r="BN253" s="293"/>
      <c r="BO253" s="293"/>
      <c r="BP253" s="293"/>
      <c r="BQ253" s="293"/>
      <c r="BR253" s="293"/>
      <c r="BS253" s="293"/>
      <c r="BT253" s="293"/>
      <c r="BU253" s="293"/>
      <c r="BV253" s="293"/>
      <c r="BW253" s="293"/>
      <c r="BX253" s="293"/>
      <c r="BY253" s="293"/>
      <c r="BZ253" s="293"/>
      <c r="CA253" s="285"/>
      <c r="CB253" s="286"/>
      <c r="CC253" s="286"/>
      <c r="CD253" s="286"/>
      <c r="CE253" s="286"/>
      <c r="CF253" s="286">
        <v>1</v>
      </c>
      <c r="CG253" s="286"/>
      <c r="CH253" s="286"/>
      <c r="CI253" s="286">
        <v>1</v>
      </c>
      <c r="CJ253" s="286"/>
      <c r="CK253" s="286"/>
      <c r="CL253" s="286"/>
      <c r="CM253" s="286"/>
      <c r="CN253" s="286"/>
      <c r="CO253" s="286">
        <v>1</v>
      </c>
      <c r="CP253" s="286"/>
      <c r="CQ253" s="286"/>
      <c r="CR253" s="286"/>
      <c r="CS253" s="286"/>
      <c r="CT253" s="286"/>
      <c r="CU253" s="286"/>
      <c r="CV253" s="286">
        <v>1</v>
      </c>
      <c r="CW253" s="286"/>
      <c r="CX253" s="286">
        <v>1</v>
      </c>
      <c r="CY253" s="286"/>
      <c r="CZ253" s="286"/>
      <c r="DA253" s="286"/>
      <c r="DB253" s="286">
        <v>1</v>
      </c>
      <c r="DC253" s="286"/>
      <c r="DD253" s="286"/>
      <c r="DE253" s="286"/>
      <c r="DF253" s="286"/>
      <c r="DG253" s="286">
        <v>1</v>
      </c>
      <c r="DH253" s="286">
        <v>1</v>
      </c>
      <c r="DI253" s="286"/>
      <c r="DJ253" s="286"/>
      <c r="DK253" s="286"/>
      <c r="DL253" s="286">
        <v>1</v>
      </c>
      <c r="DM253" s="286"/>
      <c r="DN253" s="286"/>
      <c r="DO253" s="286"/>
      <c r="DP253" s="286"/>
      <c r="DR253" s="58" t="str">
        <f>IF(ISNUMBER(MATCH(#REF!,'Audit Characteristic Mapping'!$B$3:$B$500,0)),"Y","")</f>
        <v/>
      </c>
      <c r="DS253" s="58" t="str">
        <f>IF(ISNUMBER(MATCH(#REF!,'Audit Characteristic Mapping'!$C$3:$C$500,0)),"Y","")</f>
        <v/>
      </c>
      <c r="DT253" s="58" t="str">
        <f>IF(ISNUMBER(MATCH(#REF!,'Audit Characteristic Mapping'!$D$3:$D$500,0)),"Y","")</f>
        <v/>
      </c>
      <c r="DU253" s="58" t="str">
        <f>IF(ISNUMBER(MATCH(#REF!,'Audit Characteristic Mapping'!$E$3:$E$500,0)),"Y","")</f>
        <v/>
      </c>
      <c r="DV253" s="58" t="str">
        <f>IF(ISNUMBER(MATCH(#REF!,'Audit Characteristic Mapping'!$F$3:$F$500,0)),"Y","")</f>
        <v/>
      </c>
      <c r="DW253" s="58" t="str">
        <f>IF(ISNUMBER(MATCH(#REF!,'Audit Characteristic Mapping'!$G$3:$G$500,0)),"Y","")</f>
        <v/>
      </c>
      <c r="DX253" s="58" t="str">
        <f>IF(ISNUMBER(MATCH(#REF!,'Audit Characteristic Mapping'!$H$3:$H$500,0)),"Y","")</f>
        <v/>
      </c>
      <c r="DY253" s="58" t="str">
        <f>IF(ISNUMBER(MATCH(#REF!,'Audit Characteristic Mapping'!$I$3:$I$500,0)),"Y","")</f>
        <v/>
      </c>
      <c r="DZ253" s="58" t="str">
        <f>IF(ISNUMBER(MATCH(#REF!,'Audit Characteristic Mapping'!$J$3:$J$500,0)),"Y","")</f>
        <v/>
      </c>
      <c r="EA253" s="58" t="str">
        <f>IF(ISNUMBER(MATCH(#REF!,'Audit Characteristic Mapping'!$K$3:$K$500,0)),"Y","")</f>
        <v/>
      </c>
    </row>
    <row r="254" spans="1:131" ht="16" hidden="1" x14ac:dyDescent="0.2">
      <c r="A254" s="288">
        <v>245</v>
      </c>
      <c r="B254" s="287" t="s">
        <v>253</v>
      </c>
      <c r="C254" s="226" t="s">
        <v>382</v>
      </c>
      <c r="D254" s="170">
        <v>5</v>
      </c>
      <c r="E254" s="288">
        <v>51</v>
      </c>
      <c r="F254" s="291" t="str">
        <f>VLOOKUP(Calculation!A254,'Descriptor maps'!$A$2:$F$1658,2,0)</f>
        <v>Studies &amp; Design</v>
      </c>
      <c r="G254" s="296"/>
      <c r="H254" s="290"/>
      <c r="I254" s="291"/>
      <c r="J254" s="292" t="e" cm="1">
        <f t="array" ref="J254">INDEX('Descriptor maps'!$I$2:$I$1658,MATCH(1,('Descriptor maps'!$A$2:$A$1658=Calculation!$A254)*('Descriptor maps'!$G$2:$G$1658=Calculation!$G254),0))</f>
        <v>#N/A</v>
      </c>
      <c r="K254" s="226"/>
      <c r="L254" s="293"/>
      <c r="M254" s="293"/>
      <c r="N254" s="293"/>
      <c r="O254" s="293"/>
      <c r="P254" s="293"/>
      <c r="Q254" s="293"/>
      <c r="R254" s="293"/>
      <c r="S254" s="293"/>
      <c r="T254" s="293"/>
      <c r="U254" s="293"/>
      <c r="V254" s="293"/>
      <c r="W254" s="293"/>
      <c r="X254" s="293"/>
      <c r="Y254" s="29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c r="AW254" s="293"/>
      <c r="AX254" s="293"/>
      <c r="AY254" s="293"/>
      <c r="AZ254" s="293"/>
      <c r="BA254" s="293"/>
      <c r="BB254" s="293"/>
      <c r="BC254" s="293"/>
      <c r="BD254" s="293"/>
      <c r="BE254" s="293"/>
      <c r="BF254" s="293"/>
      <c r="BG254" s="293"/>
      <c r="BH254" s="293"/>
      <c r="BI254" s="293"/>
      <c r="BJ254" s="293"/>
      <c r="BK254" s="293"/>
      <c r="BL254" s="293"/>
      <c r="BM254" s="293"/>
      <c r="BN254" s="293"/>
      <c r="BO254" s="293"/>
      <c r="BP254" s="293"/>
      <c r="BQ254" s="293"/>
      <c r="BR254" s="293"/>
      <c r="BS254" s="293"/>
      <c r="BT254" s="293"/>
      <c r="BU254" s="293"/>
      <c r="BV254" s="293"/>
      <c r="BW254" s="293"/>
      <c r="BX254" s="293"/>
      <c r="BY254" s="293"/>
      <c r="BZ254" s="293"/>
      <c r="CA254" s="285"/>
      <c r="CB254" s="286"/>
      <c r="CC254" s="286"/>
      <c r="CD254" s="286"/>
      <c r="CE254" s="286"/>
      <c r="CF254" s="286"/>
      <c r="CG254" s="286"/>
      <c r="CH254" s="286"/>
      <c r="CI254" s="286"/>
      <c r="CJ254" s="286"/>
      <c r="CK254" s="286"/>
      <c r="CL254" s="286"/>
      <c r="CM254" s="286"/>
      <c r="CN254" s="286"/>
      <c r="CO254" s="286"/>
      <c r="CP254" s="286"/>
      <c r="CQ254" s="286"/>
      <c r="CR254" s="286"/>
      <c r="CS254" s="286"/>
      <c r="CT254" s="286"/>
      <c r="CU254" s="286"/>
      <c r="CV254" s="286"/>
      <c r="CW254" s="286"/>
      <c r="CX254" s="286"/>
      <c r="CY254" s="286"/>
      <c r="CZ254" s="286"/>
      <c r="DA254" s="286"/>
      <c r="DB254" s="286"/>
      <c r="DC254" s="286"/>
      <c r="DD254" s="286"/>
      <c r="DE254" s="286"/>
      <c r="DF254" s="286"/>
      <c r="DG254" s="286"/>
      <c r="DH254" s="286"/>
      <c r="DI254" s="286"/>
      <c r="DJ254" s="286"/>
      <c r="DK254" s="286"/>
      <c r="DL254" s="286"/>
      <c r="DM254" s="286"/>
      <c r="DN254" s="286"/>
      <c r="DO254" s="286"/>
      <c r="DP254" s="286"/>
      <c r="DR254" s="58" t="str">
        <f>IF(ISNUMBER(MATCH(#REF!,'Audit Characteristic Mapping'!$B$3:$B$500,0)),"Y","")</f>
        <v/>
      </c>
      <c r="DS254" s="58" t="str">
        <f>IF(ISNUMBER(MATCH(#REF!,'Audit Characteristic Mapping'!$C$3:$C$500,0)),"Y","")</f>
        <v/>
      </c>
      <c r="DT254" s="58" t="str">
        <f>IF(ISNUMBER(MATCH(#REF!,'Audit Characteristic Mapping'!$D$3:$D$500,0)),"Y","")</f>
        <v/>
      </c>
      <c r="DU254" s="58" t="str">
        <f>IF(ISNUMBER(MATCH(#REF!,'Audit Characteristic Mapping'!$E$3:$E$500,0)),"Y","")</f>
        <v/>
      </c>
      <c r="DV254" s="58" t="str">
        <f>IF(ISNUMBER(MATCH(#REF!,'Audit Characteristic Mapping'!$F$3:$F$500,0)),"Y","")</f>
        <v/>
      </c>
      <c r="DW254" s="58" t="str">
        <f>IF(ISNUMBER(MATCH(#REF!,'Audit Characteristic Mapping'!$G$3:$G$500,0)),"Y","")</f>
        <v/>
      </c>
      <c r="DX254" s="58" t="str">
        <f>IF(ISNUMBER(MATCH(#REF!,'Audit Characteristic Mapping'!$H$3:$H$500,0)),"Y","")</f>
        <v/>
      </c>
      <c r="DY254" s="58" t="str">
        <f>IF(ISNUMBER(MATCH(#REF!,'Audit Characteristic Mapping'!$I$3:$I$500,0)),"Y","")</f>
        <v/>
      </c>
      <c r="DZ254" s="58" t="str">
        <f>IF(ISNUMBER(MATCH(#REF!,'Audit Characteristic Mapping'!$J$3:$J$500,0)),"Y","")</f>
        <v/>
      </c>
      <c r="EA254" s="58" t="str">
        <f>IF(ISNUMBER(MATCH(#REF!,'Audit Characteristic Mapping'!$K$3:$K$500,0)),"Y","")</f>
        <v/>
      </c>
    </row>
    <row r="255" spans="1:131" ht="16" hidden="1" x14ac:dyDescent="0.2">
      <c r="A255" s="288">
        <v>246</v>
      </c>
      <c r="B255" s="287" t="s">
        <v>253</v>
      </c>
      <c r="C255" s="226" t="s">
        <v>382</v>
      </c>
      <c r="D255" s="170">
        <v>5</v>
      </c>
      <c r="E255" s="288">
        <v>51</v>
      </c>
      <c r="F255" s="291" t="str">
        <f>VLOOKUP(Calculation!A255,'Descriptor maps'!$A$2:$F$1658,2,0)</f>
        <v>Studies &amp; Design</v>
      </c>
      <c r="G255" s="296"/>
      <c r="H255" s="290"/>
      <c r="I255" s="291"/>
      <c r="J255" s="292" t="e" cm="1">
        <f t="array" ref="J255">INDEX('Descriptor maps'!$I$2:$I$1658,MATCH(1,('Descriptor maps'!$A$2:$A$1658=Calculation!$A255)*('Descriptor maps'!$G$2:$G$1658=Calculation!$G255),0))</f>
        <v>#N/A</v>
      </c>
      <c r="K255" s="226"/>
      <c r="L255" s="293"/>
      <c r="M255" s="293"/>
      <c r="N255" s="293"/>
      <c r="O255" s="293"/>
      <c r="P255" s="293"/>
      <c r="Q255" s="293"/>
      <c r="R255" s="293"/>
      <c r="S255" s="293"/>
      <c r="T255" s="293"/>
      <c r="U255" s="293"/>
      <c r="V255" s="293"/>
      <c r="W255" s="293"/>
      <c r="X255" s="293"/>
      <c r="Y255" s="29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c r="AW255" s="293"/>
      <c r="AX255" s="293"/>
      <c r="AY255" s="293"/>
      <c r="AZ255" s="293"/>
      <c r="BA255" s="293"/>
      <c r="BB255" s="293"/>
      <c r="BC255" s="293"/>
      <c r="BD255" s="293"/>
      <c r="BE255" s="293"/>
      <c r="BF255" s="293"/>
      <c r="BG255" s="293"/>
      <c r="BH255" s="293"/>
      <c r="BI255" s="293"/>
      <c r="BJ255" s="293"/>
      <c r="BK255" s="293"/>
      <c r="BL255" s="293"/>
      <c r="BM255" s="293"/>
      <c r="BN255" s="293"/>
      <c r="BO255" s="293"/>
      <c r="BP255" s="293"/>
      <c r="BQ255" s="293"/>
      <c r="BR255" s="293"/>
      <c r="BS255" s="293"/>
      <c r="BT255" s="293"/>
      <c r="BU255" s="293"/>
      <c r="BV255" s="293"/>
      <c r="BW255" s="293"/>
      <c r="BX255" s="293"/>
      <c r="BY255" s="293"/>
      <c r="BZ255" s="293"/>
      <c r="CA255" s="285"/>
      <c r="CB255" s="286"/>
      <c r="CC255" s="286"/>
      <c r="CD255" s="286"/>
      <c r="CE255" s="286"/>
      <c r="CF255" s="286"/>
      <c r="CG255" s="286"/>
      <c r="CH255" s="286"/>
      <c r="CI255" s="286"/>
      <c r="CJ255" s="286"/>
      <c r="CK255" s="286"/>
      <c r="CL255" s="286"/>
      <c r="CM255" s="286"/>
      <c r="CN255" s="286"/>
      <c r="CO255" s="286"/>
      <c r="CP255" s="286"/>
      <c r="CQ255" s="286"/>
      <c r="CR255" s="286"/>
      <c r="CS255" s="286"/>
      <c r="CT255" s="286"/>
      <c r="CU255" s="286"/>
      <c r="CV255" s="286"/>
      <c r="CW255" s="286"/>
      <c r="CX255" s="286"/>
      <c r="CY255" s="286"/>
      <c r="CZ255" s="286"/>
      <c r="DA255" s="286"/>
      <c r="DB255" s="286"/>
      <c r="DC255" s="286"/>
      <c r="DD255" s="286"/>
      <c r="DE255" s="286"/>
      <c r="DF255" s="286"/>
      <c r="DG255" s="286"/>
      <c r="DH255" s="286"/>
      <c r="DI255" s="286"/>
      <c r="DJ255" s="286"/>
      <c r="DK255" s="286"/>
      <c r="DL255" s="286"/>
      <c r="DM255" s="286"/>
      <c r="DN255" s="286"/>
      <c r="DO255" s="286"/>
      <c r="DP255" s="286"/>
      <c r="DR255" s="58" t="str">
        <f>IF(ISNUMBER(MATCH(#REF!,'Audit Characteristic Mapping'!$B$3:$B$500,0)),"Y","")</f>
        <v/>
      </c>
      <c r="DS255" s="58" t="str">
        <f>IF(ISNUMBER(MATCH(#REF!,'Audit Characteristic Mapping'!$C$3:$C$500,0)),"Y","")</f>
        <v/>
      </c>
      <c r="DT255" s="58" t="str">
        <f>IF(ISNUMBER(MATCH(#REF!,'Audit Characteristic Mapping'!$D$3:$D$500,0)),"Y","")</f>
        <v/>
      </c>
      <c r="DU255" s="58" t="str">
        <f>IF(ISNUMBER(MATCH(#REF!,'Audit Characteristic Mapping'!$E$3:$E$500,0)),"Y","")</f>
        <v/>
      </c>
      <c r="DV255" s="58" t="str">
        <f>IF(ISNUMBER(MATCH(#REF!,'Audit Characteristic Mapping'!$F$3:$F$500,0)),"Y","")</f>
        <v/>
      </c>
      <c r="DW255" s="58" t="str">
        <f>IF(ISNUMBER(MATCH(#REF!,'Audit Characteristic Mapping'!$G$3:$G$500,0)),"Y","")</f>
        <v/>
      </c>
      <c r="DX255" s="58" t="str">
        <f>IF(ISNUMBER(MATCH(#REF!,'Audit Characteristic Mapping'!$H$3:$H$500,0)),"Y","")</f>
        <v/>
      </c>
      <c r="DY255" s="58" t="str">
        <f>IF(ISNUMBER(MATCH(#REF!,'Audit Characteristic Mapping'!$I$3:$I$500,0)),"Y","")</f>
        <v/>
      </c>
      <c r="DZ255" s="58" t="str">
        <f>IF(ISNUMBER(MATCH(#REF!,'Audit Characteristic Mapping'!$J$3:$J$500,0)),"Y","")</f>
        <v/>
      </c>
      <c r="EA255" s="58" t="str">
        <f>IF(ISNUMBER(MATCH(#REF!,'Audit Characteristic Mapping'!$K$3:$K$500,0)),"Y","")</f>
        <v/>
      </c>
    </row>
    <row r="256" spans="1:131" ht="16" hidden="1" x14ac:dyDescent="0.2">
      <c r="A256" s="288">
        <v>247</v>
      </c>
      <c r="B256" s="287" t="s">
        <v>253</v>
      </c>
      <c r="C256" s="226" t="s">
        <v>382</v>
      </c>
      <c r="D256" s="170">
        <v>5</v>
      </c>
      <c r="E256" s="288">
        <v>51</v>
      </c>
      <c r="F256" s="291" t="str">
        <f>VLOOKUP(Calculation!A256,'Descriptor maps'!$A$2:$F$1658,2,0)</f>
        <v>Studies &amp; Design</v>
      </c>
      <c r="G256" s="296"/>
      <c r="H256" s="290"/>
      <c r="I256" s="291"/>
      <c r="J256" s="292" t="e" cm="1">
        <f t="array" ref="J256">INDEX('Descriptor maps'!$I$2:$I$1658,MATCH(1,('Descriptor maps'!$A$2:$A$1658=Calculation!$A256)*('Descriptor maps'!$G$2:$G$1658=Calculation!$G256),0))</f>
        <v>#N/A</v>
      </c>
      <c r="K256" s="226"/>
      <c r="L256" s="293"/>
      <c r="M256" s="293"/>
      <c r="N256" s="293"/>
      <c r="O256" s="293"/>
      <c r="P256" s="293"/>
      <c r="Q256" s="293"/>
      <c r="R256" s="293"/>
      <c r="S256" s="293"/>
      <c r="T256" s="293"/>
      <c r="U256" s="293"/>
      <c r="V256" s="293"/>
      <c r="W256" s="293"/>
      <c r="X256" s="293"/>
      <c r="Y256" s="29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c r="AW256" s="293"/>
      <c r="AX256" s="293"/>
      <c r="AY256" s="293"/>
      <c r="AZ256" s="293"/>
      <c r="BA256" s="293"/>
      <c r="BB256" s="293"/>
      <c r="BC256" s="293"/>
      <c r="BD256" s="293"/>
      <c r="BE256" s="293"/>
      <c r="BF256" s="293"/>
      <c r="BG256" s="293"/>
      <c r="BH256" s="293"/>
      <c r="BI256" s="293"/>
      <c r="BJ256" s="293"/>
      <c r="BK256" s="293"/>
      <c r="BL256" s="293"/>
      <c r="BM256" s="293"/>
      <c r="BN256" s="293"/>
      <c r="BO256" s="293"/>
      <c r="BP256" s="293"/>
      <c r="BQ256" s="293"/>
      <c r="BR256" s="293"/>
      <c r="BS256" s="293"/>
      <c r="BT256" s="293"/>
      <c r="BU256" s="293"/>
      <c r="BV256" s="293"/>
      <c r="BW256" s="293"/>
      <c r="BX256" s="293"/>
      <c r="BY256" s="293"/>
      <c r="BZ256" s="293"/>
      <c r="CA256" s="285"/>
      <c r="CB256" s="286"/>
      <c r="CC256" s="286"/>
      <c r="CD256" s="286"/>
      <c r="CE256" s="286"/>
      <c r="CF256" s="286"/>
      <c r="CG256" s="286"/>
      <c r="CH256" s="286"/>
      <c r="CI256" s="286"/>
      <c r="CJ256" s="286"/>
      <c r="CK256" s="286"/>
      <c r="CL256" s="286"/>
      <c r="CM256" s="286"/>
      <c r="CN256" s="286"/>
      <c r="CO256" s="286"/>
      <c r="CP256" s="286"/>
      <c r="CQ256" s="286"/>
      <c r="CR256" s="286"/>
      <c r="CS256" s="286"/>
      <c r="CT256" s="286"/>
      <c r="CU256" s="286"/>
      <c r="CV256" s="286"/>
      <c r="CW256" s="286"/>
      <c r="CX256" s="286"/>
      <c r="CY256" s="286"/>
      <c r="CZ256" s="286"/>
      <c r="DA256" s="286"/>
      <c r="DB256" s="286"/>
      <c r="DC256" s="286"/>
      <c r="DD256" s="286"/>
      <c r="DE256" s="286"/>
      <c r="DF256" s="286"/>
      <c r="DG256" s="286"/>
      <c r="DH256" s="286"/>
      <c r="DI256" s="286"/>
      <c r="DJ256" s="286"/>
      <c r="DK256" s="286"/>
      <c r="DL256" s="286"/>
      <c r="DM256" s="286"/>
      <c r="DN256" s="286"/>
      <c r="DO256" s="286"/>
      <c r="DP256" s="286"/>
      <c r="DR256" s="58" t="str">
        <f>IF(ISNUMBER(MATCH(#REF!,'Audit Characteristic Mapping'!$B$3:$B$500,0)),"Y","")</f>
        <v/>
      </c>
      <c r="DS256" s="58" t="str">
        <f>IF(ISNUMBER(MATCH(#REF!,'Audit Characteristic Mapping'!$C$3:$C$500,0)),"Y","")</f>
        <v/>
      </c>
      <c r="DT256" s="58" t="str">
        <f>IF(ISNUMBER(MATCH(#REF!,'Audit Characteristic Mapping'!$D$3:$D$500,0)),"Y","")</f>
        <v/>
      </c>
      <c r="DU256" s="58" t="str">
        <f>IF(ISNUMBER(MATCH(#REF!,'Audit Characteristic Mapping'!$E$3:$E$500,0)),"Y","")</f>
        <v/>
      </c>
      <c r="DV256" s="58" t="str">
        <f>IF(ISNUMBER(MATCH(#REF!,'Audit Characteristic Mapping'!$F$3:$F$500,0)),"Y","")</f>
        <v/>
      </c>
      <c r="DW256" s="58" t="str">
        <f>IF(ISNUMBER(MATCH(#REF!,'Audit Characteristic Mapping'!$G$3:$G$500,0)),"Y","")</f>
        <v/>
      </c>
      <c r="DX256" s="58" t="str">
        <f>IF(ISNUMBER(MATCH(#REF!,'Audit Characteristic Mapping'!$H$3:$H$500,0)),"Y","")</f>
        <v/>
      </c>
      <c r="DY256" s="58" t="str">
        <f>IF(ISNUMBER(MATCH(#REF!,'Audit Characteristic Mapping'!$I$3:$I$500,0)),"Y","")</f>
        <v/>
      </c>
      <c r="DZ256" s="58" t="str">
        <f>IF(ISNUMBER(MATCH(#REF!,'Audit Characteristic Mapping'!$J$3:$J$500,0)),"Y","")</f>
        <v/>
      </c>
      <c r="EA256" s="58" t="str">
        <f>IF(ISNUMBER(MATCH(#REF!,'Audit Characteristic Mapping'!$K$3:$K$500,0)),"Y","")</f>
        <v/>
      </c>
    </row>
    <row r="257" spans="1:131" ht="16" hidden="1" x14ac:dyDescent="0.2">
      <c r="A257" s="288">
        <v>248</v>
      </c>
      <c r="B257" s="287" t="s">
        <v>253</v>
      </c>
      <c r="C257" s="226" t="s">
        <v>382</v>
      </c>
      <c r="D257" s="170">
        <v>5</v>
      </c>
      <c r="E257" s="288">
        <v>51</v>
      </c>
      <c r="F257" s="291" t="str">
        <f>VLOOKUP(Calculation!A257,'Descriptor maps'!$A$2:$F$1658,2,0)</f>
        <v>Studies &amp; Design</v>
      </c>
      <c r="G257" s="296"/>
      <c r="H257" s="290"/>
      <c r="I257" s="291"/>
      <c r="J257" s="292" t="e" cm="1">
        <f t="array" ref="J257">INDEX('Descriptor maps'!$I$2:$I$1658,MATCH(1,('Descriptor maps'!$A$2:$A$1658=Calculation!$A257)*('Descriptor maps'!$G$2:$G$1658=Calculation!$G257),0))</f>
        <v>#N/A</v>
      </c>
      <c r="K257" s="226"/>
      <c r="L257" s="293"/>
      <c r="M257" s="293"/>
      <c r="N257" s="293"/>
      <c r="O257" s="293"/>
      <c r="P257" s="293"/>
      <c r="Q257" s="293"/>
      <c r="R257" s="293"/>
      <c r="S257" s="293"/>
      <c r="T257" s="293"/>
      <c r="U257" s="293"/>
      <c r="V257" s="293"/>
      <c r="W257" s="293"/>
      <c r="X257" s="293"/>
      <c r="Y257" s="29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c r="AW257" s="293"/>
      <c r="AX257" s="293"/>
      <c r="AY257" s="293"/>
      <c r="AZ257" s="293"/>
      <c r="BA257" s="293"/>
      <c r="BB257" s="293"/>
      <c r="BC257" s="293"/>
      <c r="BD257" s="293"/>
      <c r="BE257" s="293"/>
      <c r="BF257" s="293"/>
      <c r="BG257" s="293"/>
      <c r="BH257" s="293"/>
      <c r="BI257" s="293"/>
      <c r="BJ257" s="293"/>
      <c r="BK257" s="293"/>
      <c r="BL257" s="293"/>
      <c r="BM257" s="293"/>
      <c r="BN257" s="293"/>
      <c r="BO257" s="293"/>
      <c r="BP257" s="293"/>
      <c r="BQ257" s="293"/>
      <c r="BR257" s="293"/>
      <c r="BS257" s="293"/>
      <c r="BT257" s="293"/>
      <c r="BU257" s="293"/>
      <c r="BV257" s="293"/>
      <c r="BW257" s="293"/>
      <c r="BX257" s="293"/>
      <c r="BY257" s="293"/>
      <c r="BZ257" s="293"/>
      <c r="CA257" s="285"/>
      <c r="CB257" s="286"/>
      <c r="CC257" s="286"/>
      <c r="CD257" s="286"/>
      <c r="CE257" s="286"/>
      <c r="CF257" s="286"/>
      <c r="CG257" s="286"/>
      <c r="CH257" s="286"/>
      <c r="CI257" s="286"/>
      <c r="CJ257" s="286"/>
      <c r="CK257" s="286"/>
      <c r="CL257" s="286"/>
      <c r="CM257" s="286"/>
      <c r="CN257" s="286"/>
      <c r="CO257" s="286"/>
      <c r="CP257" s="286"/>
      <c r="CQ257" s="286"/>
      <c r="CR257" s="286"/>
      <c r="CS257" s="286"/>
      <c r="CT257" s="286"/>
      <c r="CU257" s="286"/>
      <c r="CV257" s="286"/>
      <c r="CW257" s="286"/>
      <c r="CX257" s="286"/>
      <c r="CY257" s="286"/>
      <c r="CZ257" s="286"/>
      <c r="DA257" s="286"/>
      <c r="DB257" s="286"/>
      <c r="DC257" s="286"/>
      <c r="DD257" s="286"/>
      <c r="DE257" s="286"/>
      <c r="DF257" s="286"/>
      <c r="DG257" s="286"/>
      <c r="DH257" s="286"/>
      <c r="DI257" s="286"/>
      <c r="DJ257" s="286"/>
      <c r="DK257" s="286"/>
      <c r="DL257" s="286"/>
      <c r="DM257" s="286"/>
      <c r="DN257" s="286"/>
      <c r="DO257" s="286"/>
      <c r="DP257" s="286"/>
      <c r="DR257" s="58" t="str">
        <f>IF(ISNUMBER(MATCH(#REF!,'Audit Characteristic Mapping'!$B$3:$B$500,0)),"Y","")</f>
        <v/>
      </c>
      <c r="DS257" s="58" t="str">
        <f>IF(ISNUMBER(MATCH(#REF!,'Audit Characteristic Mapping'!$C$3:$C$500,0)),"Y","")</f>
        <v/>
      </c>
      <c r="DT257" s="58" t="str">
        <f>IF(ISNUMBER(MATCH(#REF!,'Audit Characteristic Mapping'!$D$3:$D$500,0)),"Y","")</f>
        <v/>
      </c>
      <c r="DU257" s="58" t="str">
        <f>IF(ISNUMBER(MATCH(#REF!,'Audit Characteristic Mapping'!$E$3:$E$500,0)),"Y","")</f>
        <v/>
      </c>
      <c r="DV257" s="58" t="str">
        <f>IF(ISNUMBER(MATCH(#REF!,'Audit Characteristic Mapping'!$F$3:$F$500,0)),"Y","")</f>
        <v/>
      </c>
      <c r="DW257" s="58" t="str">
        <f>IF(ISNUMBER(MATCH(#REF!,'Audit Characteristic Mapping'!$G$3:$G$500,0)),"Y","")</f>
        <v/>
      </c>
      <c r="DX257" s="58" t="str">
        <f>IF(ISNUMBER(MATCH(#REF!,'Audit Characteristic Mapping'!$H$3:$H$500,0)),"Y","")</f>
        <v/>
      </c>
      <c r="DY257" s="58" t="str">
        <f>IF(ISNUMBER(MATCH(#REF!,'Audit Characteristic Mapping'!$I$3:$I$500,0)),"Y","")</f>
        <v/>
      </c>
      <c r="DZ257" s="58" t="str">
        <f>IF(ISNUMBER(MATCH(#REF!,'Audit Characteristic Mapping'!$J$3:$J$500,0)),"Y","")</f>
        <v/>
      </c>
      <c r="EA257" s="58" t="str">
        <f>IF(ISNUMBER(MATCH(#REF!,'Audit Characteristic Mapping'!$K$3:$K$500,0)),"Y","")</f>
        <v/>
      </c>
    </row>
    <row r="258" spans="1:131" ht="16" hidden="1" x14ac:dyDescent="0.2">
      <c r="A258" s="288">
        <v>249</v>
      </c>
      <c r="B258" s="287" t="s">
        <v>253</v>
      </c>
      <c r="C258" s="226" t="s">
        <v>382</v>
      </c>
      <c r="D258" s="170">
        <v>5</v>
      </c>
      <c r="E258" s="288">
        <v>51</v>
      </c>
      <c r="F258" s="291" t="str">
        <f>VLOOKUP(Calculation!A258,'Descriptor maps'!$A$2:$F$1658,2,0)</f>
        <v>Studies &amp; Design</v>
      </c>
      <c r="G258" s="296"/>
      <c r="H258" s="290"/>
      <c r="I258" s="291"/>
      <c r="J258" s="292" t="e" cm="1">
        <f t="array" ref="J258">INDEX('Descriptor maps'!$I$2:$I$1658,MATCH(1,('Descriptor maps'!$A$2:$A$1658=Calculation!$A258)*('Descriptor maps'!$G$2:$G$1658=Calculation!$G258),0))</f>
        <v>#N/A</v>
      </c>
      <c r="K258" s="226"/>
      <c r="L258" s="293"/>
      <c r="M258" s="293"/>
      <c r="N258" s="293"/>
      <c r="O258" s="293"/>
      <c r="P258" s="293"/>
      <c r="Q258" s="293"/>
      <c r="R258" s="293"/>
      <c r="S258" s="293"/>
      <c r="T258" s="293"/>
      <c r="U258" s="293"/>
      <c r="V258" s="293"/>
      <c r="W258" s="293"/>
      <c r="X258" s="293"/>
      <c r="Y258" s="29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c r="AW258" s="293"/>
      <c r="AX258" s="293"/>
      <c r="AY258" s="293"/>
      <c r="AZ258" s="293"/>
      <c r="BA258" s="293"/>
      <c r="BB258" s="293"/>
      <c r="BC258" s="293"/>
      <c r="BD258" s="293"/>
      <c r="BE258" s="293"/>
      <c r="BF258" s="293"/>
      <c r="BG258" s="293"/>
      <c r="BH258" s="293"/>
      <c r="BI258" s="293"/>
      <c r="BJ258" s="293"/>
      <c r="BK258" s="293"/>
      <c r="BL258" s="293"/>
      <c r="BM258" s="293"/>
      <c r="BN258" s="293"/>
      <c r="BO258" s="293"/>
      <c r="BP258" s="293"/>
      <c r="BQ258" s="293"/>
      <c r="BR258" s="293"/>
      <c r="BS258" s="293"/>
      <c r="BT258" s="293"/>
      <c r="BU258" s="293"/>
      <c r="BV258" s="293"/>
      <c r="BW258" s="293"/>
      <c r="BX258" s="293"/>
      <c r="BY258" s="293"/>
      <c r="BZ258" s="293"/>
      <c r="CA258" s="285"/>
      <c r="CB258" s="286"/>
      <c r="CC258" s="286"/>
      <c r="CD258" s="286"/>
      <c r="CE258" s="286"/>
      <c r="CF258" s="286"/>
      <c r="CG258" s="286"/>
      <c r="CH258" s="286"/>
      <c r="CI258" s="286"/>
      <c r="CJ258" s="286"/>
      <c r="CK258" s="286"/>
      <c r="CL258" s="286"/>
      <c r="CM258" s="286"/>
      <c r="CN258" s="286"/>
      <c r="CO258" s="286"/>
      <c r="CP258" s="286"/>
      <c r="CQ258" s="286"/>
      <c r="CR258" s="286"/>
      <c r="CS258" s="286"/>
      <c r="CT258" s="286"/>
      <c r="CU258" s="286"/>
      <c r="CV258" s="286"/>
      <c r="CW258" s="286"/>
      <c r="CX258" s="286"/>
      <c r="CY258" s="286"/>
      <c r="CZ258" s="286"/>
      <c r="DA258" s="286"/>
      <c r="DB258" s="286"/>
      <c r="DC258" s="286"/>
      <c r="DD258" s="286"/>
      <c r="DE258" s="286"/>
      <c r="DF258" s="286"/>
      <c r="DG258" s="286"/>
      <c r="DH258" s="286"/>
      <c r="DI258" s="286"/>
      <c r="DJ258" s="286"/>
      <c r="DK258" s="286"/>
      <c r="DL258" s="286"/>
      <c r="DM258" s="286"/>
      <c r="DN258" s="286"/>
      <c r="DO258" s="286"/>
      <c r="DP258" s="286"/>
      <c r="DR258" s="58" t="str">
        <f>IF(ISNUMBER(MATCH(#REF!,'Audit Characteristic Mapping'!$B$3:$B$500,0)),"Y","")</f>
        <v/>
      </c>
      <c r="DS258" s="58" t="str">
        <f>IF(ISNUMBER(MATCH(#REF!,'Audit Characteristic Mapping'!$C$3:$C$500,0)),"Y","")</f>
        <v/>
      </c>
      <c r="DT258" s="58" t="str">
        <f>IF(ISNUMBER(MATCH(#REF!,'Audit Characteristic Mapping'!$D$3:$D$500,0)),"Y","")</f>
        <v/>
      </c>
      <c r="DU258" s="58" t="str">
        <f>IF(ISNUMBER(MATCH(#REF!,'Audit Characteristic Mapping'!$E$3:$E$500,0)),"Y","")</f>
        <v/>
      </c>
      <c r="DV258" s="58" t="str">
        <f>IF(ISNUMBER(MATCH(#REF!,'Audit Characteristic Mapping'!$F$3:$F$500,0)),"Y","")</f>
        <v/>
      </c>
      <c r="DW258" s="58" t="str">
        <f>IF(ISNUMBER(MATCH(#REF!,'Audit Characteristic Mapping'!$G$3:$G$500,0)),"Y","")</f>
        <v/>
      </c>
      <c r="DX258" s="58" t="str">
        <f>IF(ISNUMBER(MATCH(#REF!,'Audit Characteristic Mapping'!$H$3:$H$500,0)),"Y","")</f>
        <v/>
      </c>
      <c r="DY258" s="58" t="str">
        <f>IF(ISNUMBER(MATCH(#REF!,'Audit Characteristic Mapping'!$I$3:$I$500,0)),"Y","")</f>
        <v/>
      </c>
      <c r="DZ258" s="58" t="str">
        <f>IF(ISNUMBER(MATCH(#REF!,'Audit Characteristic Mapping'!$J$3:$J$500,0)),"Y","")</f>
        <v/>
      </c>
      <c r="EA258" s="58" t="str">
        <f>IF(ISNUMBER(MATCH(#REF!,'Audit Characteristic Mapping'!$K$3:$K$500,0)),"Y","")</f>
        <v/>
      </c>
    </row>
    <row r="259" spans="1:131" ht="16" hidden="1" x14ac:dyDescent="0.2">
      <c r="A259" s="288">
        <v>250</v>
      </c>
      <c r="B259" s="287" t="s">
        <v>253</v>
      </c>
      <c r="C259" s="226" t="s">
        <v>382</v>
      </c>
      <c r="D259" s="170">
        <v>5</v>
      </c>
      <c r="E259" s="288">
        <v>51</v>
      </c>
      <c r="F259" s="291" t="str">
        <f>VLOOKUP(Calculation!A259,'Descriptor maps'!$A$2:$F$1658,2,0)</f>
        <v>Studies &amp; Design</v>
      </c>
      <c r="G259" s="296"/>
      <c r="H259" s="290"/>
      <c r="I259" s="291"/>
      <c r="J259" s="292" t="e" cm="1">
        <f t="array" ref="J259">INDEX('Descriptor maps'!$I$2:$I$1658,MATCH(1,('Descriptor maps'!$A$2:$A$1658=Calculation!$A259)*('Descriptor maps'!$G$2:$G$1658=Calculation!$G259),0))</f>
        <v>#N/A</v>
      </c>
      <c r="K259" s="226"/>
      <c r="L259" s="293"/>
      <c r="M259" s="293"/>
      <c r="N259" s="293"/>
      <c r="O259" s="293"/>
      <c r="P259" s="293"/>
      <c r="Q259" s="293"/>
      <c r="R259" s="293"/>
      <c r="S259" s="293"/>
      <c r="T259" s="293"/>
      <c r="U259" s="293"/>
      <c r="V259" s="293"/>
      <c r="W259" s="293"/>
      <c r="X259" s="293"/>
      <c r="Y259" s="29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c r="AW259" s="293"/>
      <c r="AX259" s="293"/>
      <c r="AY259" s="293"/>
      <c r="AZ259" s="293"/>
      <c r="BA259" s="293"/>
      <c r="BB259" s="293"/>
      <c r="BC259" s="293"/>
      <c r="BD259" s="293"/>
      <c r="BE259" s="293"/>
      <c r="BF259" s="293"/>
      <c r="BG259" s="293"/>
      <c r="BH259" s="293"/>
      <c r="BI259" s="293"/>
      <c r="BJ259" s="293"/>
      <c r="BK259" s="293"/>
      <c r="BL259" s="293"/>
      <c r="BM259" s="293"/>
      <c r="BN259" s="293"/>
      <c r="BO259" s="293"/>
      <c r="BP259" s="293"/>
      <c r="BQ259" s="293"/>
      <c r="BR259" s="293"/>
      <c r="BS259" s="293"/>
      <c r="BT259" s="293"/>
      <c r="BU259" s="293"/>
      <c r="BV259" s="293"/>
      <c r="BW259" s="293"/>
      <c r="BX259" s="293"/>
      <c r="BY259" s="293"/>
      <c r="BZ259" s="293"/>
      <c r="CA259" s="285"/>
      <c r="CB259" s="286"/>
      <c r="CC259" s="286"/>
      <c r="CD259" s="286"/>
      <c r="CE259" s="286"/>
      <c r="CF259" s="286"/>
      <c r="CG259" s="286"/>
      <c r="CH259" s="286"/>
      <c r="CI259" s="286"/>
      <c r="CJ259" s="286"/>
      <c r="CK259" s="286"/>
      <c r="CL259" s="286"/>
      <c r="CM259" s="286"/>
      <c r="CN259" s="286"/>
      <c r="CO259" s="286"/>
      <c r="CP259" s="286"/>
      <c r="CQ259" s="286"/>
      <c r="CR259" s="286"/>
      <c r="CS259" s="286"/>
      <c r="CT259" s="286"/>
      <c r="CU259" s="286"/>
      <c r="CV259" s="286"/>
      <c r="CW259" s="286"/>
      <c r="CX259" s="286"/>
      <c r="CY259" s="286"/>
      <c r="CZ259" s="286"/>
      <c r="DA259" s="286"/>
      <c r="DB259" s="286"/>
      <c r="DC259" s="286"/>
      <c r="DD259" s="286"/>
      <c r="DE259" s="286"/>
      <c r="DF259" s="286"/>
      <c r="DG259" s="286"/>
      <c r="DH259" s="286"/>
      <c r="DI259" s="286"/>
      <c r="DJ259" s="286"/>
      <c r="DK259" s="286"/>
      <c r="DL259" s="286"/>
      <c r="DM259" s="286"/>
      <c r="DN259" s="286"/>
      <c r="DO259" s="286"/>
      <c r="DP259" s="286"/>
      <c r="DR259" s="58" t="str">
        <f>IF(ISNUMBER(MATCH(#REF!,'Audit Characteristic Mapping'!$B$3:$B$500,0)),"Y","")</f>
        <v/>
      </c>
      <c r="DS259" s="58" t="str">
        <f>IF(ISNUMBER(MATCH(#REF!,'Audit Characteristic Mapping'!$C$3:$C$500,0)),"Y","")</f>
        <v/>
      </c>
      <c r="DT259" s="58" t="str">
        <f>IF(ISNUMBER(MATCH(#REF!,'Audit Characteristic Mapping'!$D$3:$D$500,0)),"Y","")</f>
        <v/>
      </c>
      <c r="DU259" s="58" t="str">
        <f>IF(ISNUMBER(MATCH(#REF!,'Audit Characteristic Mapping'!$E$3:$E$500,0)),"Y","")</f>
        <v/>
      </c>
      <c r="DV259" s="58" t="str">
        <f>IF(ISNUMBER(MATCH(#REF!,'Audit Characteristic Mapping'!$F$3:$F$500,0)),"Y","")</f>
        <v/>
      </c>
      <c r="DW259" s="58" t="str">
        <f>IF(ISNUMBER(MATCH(#REF!,'Audit Characteristic Mapping'!$G$3:$G$500,0)),"Y","")</f>
        <v/>
      </c>
      <c r="DX259" s="58" t="str">
        <f>IF(ISNUMBER(MATCH(#REF!,'Audit Characteristic Mapping'!$H$3:$H$500,0)),"Y","")</f>
        <v/>
      </c>
      <c r="DY259" s="58" t="str">
        <f>IF(ISNUMBER(MATCH(#REF!,'Audit Characteristic Mapping'!$I$3:$I$500,0)),"Y","")</f>
        <v/>
      </c>
      <c r="DZ259" s="58" t="str">
        <f>IF(ISNUMBER(MATCH(#REF!,'Audit Characteristic Mapping'!$J$3:$J$500,0)),"Y","")</f>
        <v/>
      </c>
      <c r="EA259" s="58" t="str">
        <f>IF(ISNUMBER(MATCH(#REF!,'Audit Characteristic Mapping'!$K$3:$K$500,0)),"Y","")</f>
        <v/>
      </c>
    </row>
    <row r="260" spans="1:131" ht="16" hidden="1" x14ac:dyDescent="0.2">
      <c r="A260" s="288">
        <v>251</v>
      </c>
      <c r="B260" s="287" t="s">
        <v>253</v>
      </c>
      <c r="C260" s="226" t="s">
        <v>382</v>
      </c>
      <c r="D260" s="170">
        <v>5</v>
      </c>
      <c r="E260" s="288">
        <v>51</v>
      </c>
      <c r="F260" s="291" t="str">
        <f>VLOOKUP(Calculation!A260,'Descriptor maps'!$A$2:$F$1658,2,0)</f>
        <v>Studies &amp; Design</v>
      </c>
      <c r="G260" s="296"/>
      <c r="H260" s="290"/>
      <c r="I260" s="291"/>
      <c r="J260" s="292" t="e" cm="1">
        <f t="array" ref="J260">INDEX('Descriptor maps'!$I$2:$I$1658,MATCH(1,('Descriptor maps'!$A$2:$A$1658=Calculation!$A260)*('Descriptor maps'!$G$2:$G$1658=Calculation!$G260),0))</f>
        <v>#N/A</v>
      </c>
      <c r="K260" s="226"/>
      <c r="L260" s="293"/>
      <c r="M260" s="293"/>
      <c r="N260" s="293"/>
      <c r="O260" s="293"/>
      <c r="P260" s="293"/>
      <c r="Q260" s="293"/>
      <c r="R260" s="293"/>
      <c r="S260" s="293"/>
      <c r="T260" s="293"/>
      <c r="U260" s="293"/>
      <c r="V260" s="293"/>
      <c r="W260" s="293"/>
      <c r="X260" s="293"/>
      <c r="Y260" s="29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c r="AW260" s="293"/>
      <c r="AX260" s="293"/>
      <c r="AY260" s="293"/>
      <c r="AZ260" s="293"/>
      <c r="BA260" s="293"/>
      <c r="BB260" s="293"/>
      <c r="BC260" s="293"/>
      <c r="BD260" s="293"/>
      <c r="BE260" s="293"/>
      <c r="BF260" s="293"/>
      <c r="BG260" s="293"/>
      <c r="BH260" s="293"/>
      <c r="BI260" s="293"/>
      <c r="BJ260" s="293"/>
      <c r="BK260" s="293"/>
      <c r="BL260" s="293"/>
      <c r="BM260" s="293"/>
      <c r="BN260" s="293"/>
      <c r="BO260" s="293"/>
      <c r="BP260" s="293"/>
      <c r="BQ260" s="293"/>
      <c r="BR260" s="293"/>
      <c r="BS260" s="293"/>
      <c r="BT260" s="293"/>
      <c r="BU260" s="293"/>
      <c r="BV260" s="293"/>
      <c r="BW260" s="293"/>
      <c r="BX260" s="293"/>
      <c r="BY260" s="293"/>
      <c r="BZ260" s="293"/>
      <c r="CA260" s="285"/>
      <c r="CB260" s="286"/>
      <c r="CC260" s="286"/>
      <c r="CD260" s="286"/>
      <c r="CE260" s="286"/>
      <c r="CF260" s="286"/>
      <c r="CG260" s="286"/>
      <c r="CH260" s="286"/>
      <c r="CI260" s="286"/>
      <c r="CJ260" s="286"/>
      <c r="CK260" s="286"/>
      <c r="CL260" s="286"/>
      <c r="CM260" s="286"/>
      <c r="CN260" s="286"/>
      <c r="CO260" s="286"/>
      <c r="CP260" s="286"/>
      <c r="CQ260" s="286"/>
      <c r="CR260" s="286"/>
      <c r="CS260" s="286"/>
      <c r="CT260" s="286"/>
      <c r="CU260" s="286"/>
      <c r="CV260" s="286"/>
      <c r="CW260" s="286"/>
      <c r="CX260" s="286"/>
      <c r="CY260" s="286"/>
      <c r="CZ260" s="286"/>
      <c r="DA260" s="286"/>
      <c r="DB260" s="286"/>
      <c r="DC260" s="286"/>
      <c r="DD260" s="286"/>
      <c r="DE260" s="286"/>
      <c r="DF260" s="286"/>
      <c r="DG260" s="286"/>
      <c r="DH260" s="286"/>
      <c r="DI260" s="286"/>
      <c r="DJ260" s="286"/>
      <c r="DK260" s="286"/>
      <c r="DL260" s="286"/>
      <c r="DM260" s="286"/>
      <c r="DN260" s="286"/>
      <c r="DO260" s="286"/>
      <c r="DP260" s="286"/>
      <c r="DR260" s="58" t="str">
        <f>IF(ISNUMBER(MATCH(#REF!,'Audit Characteristic Mapping'!$B$3:$B$500,0)),"Y","")</f>
        <v/>
      </c>
      <c r="DS260" s="58" t="str">
        <f>IF(ISNUMBER(MATCH(#REF!,'Audit Characteristic Mapping'!$C$3:$C$500,0)),"Y","")</f>
        <v/>
      </c>
      <c r="DT260" s="58" t="str">
        <f>IF(ISNUMBER(MATCH(#REF!,'Audit Characteristic Mapping'!$D$3:$D$500,0)),"Y","")</f>
        <v/>
      </c>
      <c r="DU260" s="58" t="str">
        <f>IF(ISNUMBER(MATCH(#REF!,'Audit Characteristic Mapping'!$E$3:$E$500,0)),"Y","")</f>
        <v/>
      </c>
      <c r="DV260" s="58" t="str">
        <f>IF(ISNUMBER(MATCH(#REF!,'Audit Characteristic Mapping'!$F$3:$F$500,0)),"Y","")</f>
        <v/>
      </c>
      <c r="DW260" s="58" t="str">
        <f>IF(ISNUMBER(MATCH(#REF!,'Audit Characteristic Mapping'!$G$3:$G$500,0)),"Y","")</f>
        <v/>
      </c>
      <c r="DX260" s="58" t="str">
        <f>IF(ISNUMBER(MATCH(#REF!,'Audit Characteristic Mapping'!$H$3:$H$500,0)),"Y","")</f>
        <v/>
      </c>
      <c r="DY260" s="58" t="str">
        <f>IF(ISNUMBER(MATCH(#REF!,'Audit Characteristic Mapping'!$I$3:$I$500,0)),"Y","")</f>
        <v/>
      </c>
      <c r="DZ260" s="58" t="str">
        <f>IF(ISNUMBER(MATCH(#REF!,'Audit Characteristic Mapping'!$J$3:$J$500,0)),"Y","")</f>
        <v/>
      </c>
      <c r="EA260" s="58" t="str">
        <f>IF(ISNUMBER(MATCH(#REF!,'Audit Characteristic Mapping'!$K$3:$K$500,0)),"Y","")</f>
        <v/>
      </c>
    </row>
    <row r="261" spans="1:131" ht="16" hidden="1" x14ac:dyDescent="0.2">
      <c r="A261" s="288">
        <v>252</v>
      </c>
      <c r="B261" s="287" t="s">
        <v>253</v>
      </c>
      <c r="C261" s="226" t="s">
        <v>382</v>
      </c>
      <c r="D261" s="170">
        <v>5</v>
      </c>
      <c r="E261" s="288">
        <v>51</v>
      </c>
      <c r="F261" s="291" t="str">
        <f>VLOOKUP(Calculation!A261,'Descriptor maps'!$A$2:$F$1658,2,0)</f>
        <v>Studies &amp; Design</v>
      </c>
      <c r="G261" s="296"/>
      <c r="H261" s="290"/>
      <c r="I261" s="291"/>
      <c r="J261" s="292" t="e" cm="1">
        <f t="array" ref="J261">INDEX('Descriptor maps'!$I$2:$I$1658,MATCH(1,('Descriptor maps'!$A$2:$A$1658=Calculation!$A261)*('Descriptor maps'!$G$2:$G$1658=Calculation!$G261),0))</f>
        <v>#N/A</v>
      </c>
      <c r="K261" s="226"/>
      <c r="L261" s="293"/>
      <c r="M261" s="293"/>
      <c r="N261" s="293"/>
      <c r="O261" s="293"/>
      <c r="P261" s="293"/>
      <c r="Q261" s="293"/>
      <c r="R261" s="293"/>
      <c r="S261" s="293"/>
      <c r="T261" s="293"/>
      <c r="U261" s="293"/>
      <c r="V261" s="293"/>
      <c r="W261" s="293"/>
      <c r="X261" s="293"/>
      <c r="Y261" s="29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c r="AW261" s="293"/>
      <c r="AX261" s="293"/>
      <c r="AY261" s="293"/>
      <c r="AZ261" s="293"/>
      <c r="BA261" s="293"/>
      <c r="BB261" s="293"/>
      <c r="BC261" s="293"/>
      <c r="BD261" s="293"/>
      <c r="BE261" s="293"/>
      <c r="BF261" s="293"/>
      <c r="BG261" s="293"/>
      <c r="BH261" s="293"/>
      <c r="BI261" s="293"/>
      <c r="BJ261" s="293"/>
      <c r="BK261" s="293"/>
      <c r="BL261" s="293"/>
      <c r="BM261" s="293"/>
      <c r="BN261" s="293"/>
      <c r="BO261" s="293"/>
      <c r="BP261" s="293"/>
      <c r="BQ261" s="293"/>
      <c r="BR261" s="293"/>
      <c r="BS261" s="293"/>
      <c r="BT261" s="293"/>
      <c r="BU261" s="293"/>
      <c r="BV261" s="293"/>
      <c r="BW261" s="293"/>
      <c r="BX261" s="293"/>
      <c r="BY261" s="293"/>
      <c r="BZ261" s="293"/>
      <c r="CA261" s="285"/>
      <c r="CB261" s="286"/>
      <c r="CC261" s="286"/>
      <c r="CD261" s="286"/>
      <c r="CE261" s="286"/>
      <c r="CF261" s="286"/>
      <c r="CG261" s="286"/>
      <c r="CH261" s="286"/>
      <c r="CI261" s="286"/>
      <c r="CJ261" s="286"/>
      <c r="CK261" s="286"/>
      <c r="CL261" s="286"/>
      <c r="CM261" s="286"/>
      <c r="CN261" s="286"/>
      <c r="CO261" s="286"/>
      <c r="CP261" s="286"/>
      <c r="CQ261" s="286"/>
      <c r="CR261" s="286"/>
      <c r="CS261" s="286"/>
      <c r="CT261" s="286"/>
      <c r="CU261" s="286"/>
      <c r="CV261" s="286"/>
      <c r="CW261" s="286"/>
      <c r="CX261" s="286"/>
      <c r="CY261" s="286"/>
      <c r="CZ261" s="286"/>
      <c r="DA261" s="286"/>
      <c r="DB261" s="286"/>
      <c r="DC261" s="286"/>
      <c r="DD261" s="286"/>
      <c r="DE261" s="286"/>
      <c r="DF261" s="286"/>
      <c r="DG261" s="286"/>
      <c r="DH261" s="286"/>
      <c r="DI261" s="286"/>
      <c r="DJ261" s="286"/>
      <c r="DK261" s="286"/>
      <c r="DL261" s="286"/>
      <c r="DM261" s="286"/>
      <c r="DN261" s="286"/>
      <c r="DO261" s="286"/>
      <c r="DP261" s="286"/>
      <c r="DR261" s="58" t="str">
        <f>IF(ISNUMBER(MATCH(#REF!,'Audit Characteristic Mapping'!$B$3:$B$500,0)),"Y","")</f>
        <v/>
      </c>
      <c r="DS261" s="58" t="str">
        <f>IF(ISNUMBER(MATCH(#REF!,'Audit Characteristic Mapping'!$C$3:$C$500,0)),"Y","")</f>
        <v/>
      </c>
      <c r="DT261" s="58" t="str">
        <f>IF(ISNUMBER(MATCH(#REF!,'Audit Characteristic Mapping'!$D$3:$D$500,0)),"Y","")</f>
        <v/>
      </c>
      <c r="DU261" s="58" t="str">
        <f>IF(ISNUMBER(MATCH(#REF!,'Audit Characteristic Mapping'!$E$3:$E$500,0)),"Y","")</f>
        <v/>
      </c>
      <c r="DV261" s="58" t="str">
        <f>IF(ISNUMBER(MATCH(#REF!,'Audit Characteristic Mapping'!$F$3:$F$500,0)),"Y","")</f>
        <v/>
      </c>
      <c r="DW261" s="58" t="str">
        <f>IF(ISNUMBER(MATCH(#REF!,'Audit Characteristic Mapping'!$G$3:$G$500,0)),"Y","")</f>
        <v/>
      </c>
      <c r="DX261" s="58" t="str">
        <f>IF(ISNUMBER(MATCH(#REF!,'Audit Characteristic Mapping'!$H$3:$H$500,0)),"Y","")</f>
        <v/>
      </c>
      <c r="DY261" s="58" t="str">
        <f>IF(ISNUMBER(MATCH(#REF!,'Audit Characteristic Mapping'!$I$3:$I$500,0)),"Y","")</f>
        <v/>
      </c>
      <c r="DZ261" s="58" t="str">
        <f>IF(ISNUMBER(MATCH(#REF!,'Audit Characteristic Mapping'!$J$3:$J$500,0)),"Y","")</f>
        <v/>
      </c>
      <c r="EA261" s="58" t="str">
        <f>IF(ISNUMBER(MATCH(#REF!,'Audit Characteristic Mapping'!$K$3:$K$500,0)),"Y","")</f>
        <v/>
      </c>
    </row>
    <row r="262" spans="1:131" ht="16" hidden="1" x14ac:dyDescent="0.2">
      <c r="A262" s="288">
        <v>253</v>
      </c>
      <c r="B262" s="287" t="s">
        <v>253</v>
      </c>
      <c r="C262" s="226" t="s">
        <v>391</v>
      </c>
      <c r="D262" s="170">
        <v>5</v>
      </c>
      <c r="E262" s="288">
        <v>52</v>
      </c>
      <c r="F262" s="291" t="str">
        <f>VLOOKUP(Calculation!A262,'Descriptor maps'!$A$2:$F$1658,2,0)</f>
        <v>Studies &amp; Design</v>
      </c>
      <c r="G262" s="296"/>
      <c r="H262" s="290"/>
      <c r="I262" s="291"/>
      <c r="J262" s="292" t="e" cm="1">
        <f t="array" ref="J262">INDEX('Descriptor maps'!$I$2:$I$1658,MATCH(1,('Descriptor maps'!$A$2:$A$1658=Calculation!$A262)*('Descriptor maps'!$G$2:$G$1658=Calculation!$G262),0))</f>
        <v>#N/A</v>
      </c>
      <c r="K262" s="226"/>
      <c r="L262" s="293"/>
      <c r="M262" s="293"/>
      <c r="N262" s="293"/>
      <c r="O262" s="293"/>
      <c r="P262" s="293"/>
      <c r="Q262" s="293"/>
      <c r="R262" s="293"/>
      <c r="S262" s="293"/>
      <c r="T262" s="293"/>
      <c r="U262" s="293"/>
      <c r="V262" s="293"/>
      <c r="W262" s="293"/>
      <c r="X262" s="293"/>
      <c r="Y262" s="293"/>
      <c r="Z262" s="293"/>
      <c r="AA262" s="293"/>
      <c r="AB262" s="293"/>
      <c r="AC262" s="293"/>
      <c r="AD262" s="293"/>
      <c r="AE262" s="293"/>
      <c r="AF262" s="293"/>
      <c r="AG262" s="293"/>
      <c r="AH262" s="293"/>
      <c r="AI262" s="293"/>
      <c r="AJ262" s="293"/>
      <c r="AK262" s="293"/>
      <c r="AL262" s="293"/>
      <c r="AM262" s="293"/>
      <c r="AN262" s="293"/>
      <c r="AO262" s="293"/>
      <c r="AP262" s="293"/>
      <c r="AQ262" s="293"/>
      <c r="AR262" s="293"/>
      <c r="AS262" s="293"/>
      <c r="AT262" s="293"/>
      <c r="AU262" s="293"/>
      <c r="AV262" s="293"/>
      <c r="AW262" s="293"/>
      <c r="AX262" s="293"/>
      <c r="AY262" s="293"/>
      <c r="AZ262" s="293"/>
      <c r="BA262" s="293"/>
      <c r="BB262" s="293"/>
      <c r="BC262" s="293"/>
      <c r="BD262" s="293"/>
      <c r="BE262" s="293"/>
      <c r="BF262" s="293"/>
      <c r="BG262" s="293"/>
      <c r="BH262" s="293"/>
      <c r="BI262" s="293"/>
      <c r="BJ262" s="293"/>
      <c r="BK262" s="293"/>
      <c r="BL262" s="293"/>
      <c r="BM262" s="293"/>
      <c r="BN262" s="293"/>
      <c r="BO262" s="293"/>
      <c r="BP262" s="293"/>
      <c r="BQ262" s="293"/>
      <c r="BR262" s="293"/>
      <c r="BS262" s="293"/>
      <c r="BT262" s="293"/>
      <c r="BU262" s="293"/>
      <c r="BV262" s="293"/>
      <c r="BW262" s="293"/>
      <c r="BX262" s="293"/>
      <c r="BY262" s="293"/>
      <c r="BZ262" s="293"/>
      <c r="CA262" s="285"/>
      <c r="CB262" s="286"/>
      <c r="CC262" s="286"/>
      <c r="CD262" s="286"/>
      <c r="CE262" s="286"/>
      <c r="CF262" s="286"/>
      <c r="CG262" s="286"/>
      <c r="CH262" s="286"/>
      <c r="CI262" s="286"/>
      <c r="CJ262" s="286"/>
      <c r="CK262" s="286"/>
      <c r="CL262" s="286"/>
      <c r="CM262" s="286"/>
      <c r="CN262" s="286"/>
      <c r="CO262" s="286"/>
      <c r="CP262" s="286"/>
      <c r="CQ262" s="286"/>
      <c r="CR262" s="286"/>
      <c r="CS262" s="286"/>
      <c r="CT262" s="286"/>
      <c r="CU262" s="286"/>
      <c r="CV262" s="286"/>
      <c r="CW262" s="286"/>
      <c r="CX262" s="286"/>
      <c r="CY262" s="286"/>
      <c r="CZ262" s="286"/>
      <c r="DA262" s="286"/>
      <c r="DB262" s="286"/>
      <c r="DC262" s="286"/>
      <c r="DD262" s="286"/>
      <c r="DE262" s="286"/>
      <c r="DF262" s="286"/>
      <c r="DG262" s="286"/>
      <c r="DH262" s="286"/>
      <c r="DI262" s="286"/>
      <c r="DJ262" s="286"/>
      <c r="DK262" s="286"/>
      <c r="DL262" s="286"/>
      <c r="DM262" s="286"/>
      <c r="DN262" s="286"/>
      <c r="DO262" s="286"/>
      <c r="DP262" s="286"/>
      <c r="DR262" s="58" t="str">
        <f>IF(ISNUMBER(MATCH(#REF!,'Audit Characteristic Mapping'!$B$3:$B$500,0)),"Y","")</f>
        <v/>
      </c>
      <c r="DS262" s="58" t="str">
        <f>IF(ISNUMBER(MATCH(#REF!,'Audit Characteristic Mapping'!$C$3:$C$500,0)),"Y","")</f>
        <v/>
      </c>
      <c r="DT262" s="58" t="str">
        <f>IF(ISNUMBER(MATCH(#REF!,'Audit Characteristic Mapping'!$D$3:$D$500,0)),"Y","")</f>
        <v/>
      </c>
      <c r="DU262" s="58" t="str">
        <f>IF(ISNUMBER(MATCH(#REF!,'Audit Characteristic Mapping'!$E$3:$E$500,0)),"Y","")</f>
        <v/>
      </c>
      <c r="DV262" s="58" t="str">
        <f>IF(ISNUMBER(MATCH(#REF!,'Audit Characteristic Mapping'!$F$3:$F$500,0)),"Y","")</f>
        <v/>
      </c>
      <c r="DW262" s="58" t="str">
        <f>IF(ISNUMBER(MATCH(#REF!,'Audit Characteristic Mapping'!$G$3:$G$500,0)),"Y","")</f>
        <v/>
      </c>
      <c r="DX262" s="58" t="str">
        <f>IF(ISNUMBER(MATCH(#REF!,'Audit Characteristic Mapping'!$H$3:$H$500,0)),"Y","")</f>
        <v/>
      </c>
      <c r="DY262" s="58" t="str">
        <f>IF(ISNUMBER(MATCH(#REF!,'Audit Characteristic Mapping'!$I$3:$I$500,0)),"Y","")</f>
        <v/>
      </c>
      <c r="DZ262" s="58" t="str">
        <f>IF(ISNUMBER(MATCH(#REF!,'Audit Characteristic Mapping'!$J$3:$J$500,0)),"Y","")</f>
        <v/>
      </c>
      <c r="EA262" s="58" t="str">
        <f>IF(ISNUMBER(MATCH(#REF!,'Audit Characteristic Mapping'!$K$3:$K$500,0)),"Y","")</f>
        <v/>
      </c>
    </row>
    <row r="263" spans="1:131" ht="16" hidden="1" x14ac:dyDescent="0.2">
      <c r="A263" s="288">
        <v>254</v>
      </c>
      <c r="B263" s="287" t="s">
        <v>253</v>
      </c>
      <c r="C263" s="226" t="s">
        <v>391</v>
      </c>
      <c r="D263" s="170">
        <v>5</v>
      </c>
      <c r="E263" s="288">
        <v>52</v>
      </c>
      <c r="F263" s="291" t="str">
        <f>VLOOKUP(Calculation!A263,'Descriptor maps'!$A$2:$F$1658,2,0)</f>
        <v>Studies &amp; Design</v>
      </c>
      <c r="G263" s="296"/>
      <c r="H263" s="290"/>
      <c r="I263" s="291"/>
      <c r="J263" s="292" t="e" cm="1">
        <f t="array" ref="J263">INDEX('Descriptor maps'!$I$2:$I$1658,MATCH(1,('Descriptor maps'!$A$2:$A$1658=Calculation!$A263)*('Descriptor maps'!$G$2:$G$1658=Calculation!$G263),0))</f>
        <v>#N/A</v>
      </c>
      <c r="K263" s="226"/>
      <c r="L263" s="293"/>
      <c r="M263" s="293"/>
      <c r="N263" s="293"/>
      <c r="O263" s="293"/>
      <c r="P263" s="293"/>
      <c r="Q263" s="293"/>
      <c r="R263" s="293"/>
      <c r="S263" s="293"/>
      <c r="T263" s="293"/>
      <c r="U263" s="293"/>
      <c r="V263" s="293"/>
      <c r="W263" s="293"/>
      <c r="X263" s="293"/>
      <c r="Y263" s="293"/>
      <c r="Z263" s="293"/>
      <c r="AA263" s="293"/>
      <c r="AB263" s="293"/>
      <c r="AC263" s="293"/>
      <c r="AD263" s="293"/>
      <c r="AE263" s="293"/>
      <c r="AF263" s="293"/>
      <c r="AG263" s="293"/>
      <c r="AH263" s="293"/>
      <c r="AI263" s="293"/>
      <c r="AJ263" s="293"/>
      <c r="AK263" s="293"/>
      <c r="AL263" s="293"/>
      <c r="AM263" s="293"/>
      <c r="AN263" s="293"/>
      <c r="AO263" s="293"/>
      <c r="AP263" s="293"/>
      <c r="AQ263" s="293"/>
      <c r="AR263" s="293"/>
      <c r="AS263" s="293"/>
      <c r="AT263" s="293"/>
      <c r="AU263" s="293"/>
      <c r="AV263" s="293"/>
      <c r="AW263" s="293"/>
      <c r="AX263" s="293"/>
      <c r="AY263" s="293"/>
      <c r="AZ263" s="293"/>
      <c r="BA263" s="293"/>
      <c r="BB263" s="293"/>
      <c r="BC263" s="293"/>
      <c r="BD263" s="293"/>
      <c r="BE263" s="293"/>
      <c r="BF263" s="293"/>
      <c r="BG263" s="293"/>
      <c r="BH263" s="293"/>
      <c r="BI263" s="293"/>
      <c r="BJ263" s="293"/>
      <c r="BK263" s="293"/>
      <c r="BL263" s="293"/>
      <c r="BM263" s="293"/>
      <c r="BN263" s="293"/>
      <c r="BO263" s="293"/>
      <c r="BP263" s="293"/>
      <c r="BQ263" s="293"/>
      <c r="BR263" s="293"/>
      <c r="BS263" s="293"/>
      <c r="BT263" s="293"/>
      <c r="BU263" s="293"/>
      <c r="BV263" s="293"/>
      <c r="BW263" s="293"/>
      <c r="BX263" s="293"/>
      <c r="BY263" s="293"/>
      <c r="BZ263" s="293"/>
      <c r="CA263" s="285"/>
      <c r="CB263" s="286"/>
      <c r="CC263" s="286"/>
      <c r="CD263" s="286"/>
      <c r="CE263" s="286"/>
      <c r="CF263" s="286"/>
      <c r="CG263" s="286"/>
      <c r="CH263" s="286"/>
      <c r="CI263" s="286"/>
      <c r="CJ263" s="286"/>
      <c r="CK263" s="286"/>
      <c r="CL263" s="286"/>
      <c r="CM263" s="286"/>
      <c r="CN263" s="286"/>
      <c r="CO263" s="286"/>
      <c r="CP263" s="286"/>
      <c r="CQ263" s="286"/>
      <c r="CR263" s="286"/>
      <c r="CS263" s="286"/>
      <c r="CT263" s="286"/>
      <c r="CU263" s="286"/>
      <c r="CV263" s="286"/>
      <c r="CW263" s="286"/>
      <c r="CX263" s="286"/>
      <c r="CY263" s="286"/>
      <c r="CZ263" s="286"/>
      <c r="DA263" s="286"/>
      <c r="DB263" s="286"/>
      <c r="DC263" s="286"/>
      <c r="DD263" s="286"/>
      <c r="DE263" s="286"/>
      <c r="DF263" s="286"/>
      <c r="DG263" s="286"/>
      <c r="DH263" s="286"/>
      <c r="DI263" s="286"/>
      <c r="DJ263" s="286"/>
      <c r="DK263" s="286"/>
      <c r="DL263" s="286"/>
      <c r="DM263" s="286"/>
      <c r="DN263" s="286"/>
      <c r="DO263" s="286"/>
      <c r="DP263" s="286"/>
      <c r="DR263" s="58" t="str">
        <f>IF(ISNUMBER(MATCH(#REF!,'Audit Characteristic Mapping'!$B$3:$B$500,0)),"Y","")</f>
        <v/>
      </c>
      <c r="DS263" s="58" t="str">
        <f>IF(ISNUMBER(MATCH(#REF!,'Audit Characteristic Mapping'!$C$3:$C$500,0)),"Y","")</f>
        <v/>
      </c>
      <c r="DT263" s="58" t="str">
        <f>IF(ISNUMBER(MATCH(#REF!,'Audit Characteristic Mapping'!$D$3:$D$500,0)),"Y","")</f>
        <v/>
      </c>
      <c r="DU263" s="58" t="str">
        <f>IF(ISNUMBER(MATCH(#REF!,'Audit Characteristic Mapping'!$E$3:$E$500,0)),"Y","")</f>
        <v/>
      </c>
      <c r="DV263" s="58" t="str">
        <f>IF(ISNUMBER(MATCH(#REF!,'Audit Characteristic Mapping'!$F$3:$F$500,0)),"Y","")</f>
        <v/>
      </c>
      <c r="DW263" s="58" t="str">
        <f>IF(ISNUMBER(MATCH(#REF!,'Audit Characteristic Mapping'!$G$3:$G$500,0)),"Y","")</f>
        <v/>
      </c>
      <c r="DX263" s="58" t="str">
        <f>IF(ISNUMBER(MATCH(#REF!,'Audit Characteristic Mapping'!$H$3:$H$500,0)),"Y","")</f>
        <v/>
      </c>
      <c r="DY263" s="58" t="str">
        <f>IF(ISNUMBER(MATCH(#REF!,'Audit Characteristic Mapping'!$I$3:$I$500,0)),"Y","")</f>
        <v/>
      </c>
      <c r="DZ263" s="58" t="str">
        <f>IF(ISNUMBER(MATCH(#REF!,'Audit Characteristic Mapping'!$J$3:$J$500,0)),"Y","")</f>
        <v/>
      </c>
      <c r="EA263" s="58" t="str">
        <f>IF(ISNUMBER(MATCH(#REF!,'Audit Characteristic Mapping'!$K$3:$K$500,0)),"Y","")</f>
        <v/>
      </c>
    </row>
    <row r="264" spans="1:131" ht="16" hidden="1" x14ac:dyDescent="0.2">
      <c r="A264" s="288">
        <v>255</v>
      </c>
      <c r="B264" s="287" t="s">
        <v>253</v>
      </c>
      <c r="C264" s="226" t="s">
        <v>394</v>
      </c>
      <c r="D264" s="170">
        <v>5</v>
      </c>
      <c r="E264" s="288">
        <v>53</v>
      </c>
      <c r="F264" s="291" t="str">
        <f>VLOOKUP(Calculation!A264,'Descriptor maps'!$A$2:$F$1658,2,0)</f>
        <v>Studies &amp; Design</v>
      </c>
      <c r="G264" s="296"/>
      <c r="H264" s="290"/>
      <c r="I264" s="291"/>
      <c r="J264" s="292" t="e" cm="1">
        <f t="array" ref="J264">INDEX('Descriptor maps'!$I$2:$I$1658,MATCH(1,('Descriptor maps'!$A$2:$A$1658=Calculation!$A264)*('Descriptor maps'!$G$2:$G$1658=Calculation!$G264),0))</f>
        <v>#N/A</v>
      </c>
      <c r="K264" s="226"/>
      <c r="L264" s="293"/>
      <c r="M264" s="293"/>
      <c r="N264" s="293"/>
      <c r="O264" s="293"/>
      <c r="P264" s="293"/>
      <c r="Q264" s="293"/>
      <c r="R264" s="293"/>
      <c r="S264" s="293"/>
      <c r="T264" s="293"/>
      <c r="U264" s="293"/>
      <c r="V264" s="293"/>
      <c r="W264" s="293"/>
      <c r="X264" s="293"/>
      <c r="Y264" s="293"/>
      <c r="Z264" s="293"/>
      <c r="AA264" s="293"/>
      <c r="AB264" s="293"/>
      <c r="AC264" s="293"/>
      <c r="AD264" s="293"/>
      <c r="AE264" s="293"/>
      <c r="AF264" s="293"/>
      <c r="AG264" s="293"/>
      <c r="AH264" s="293"/>
      <c r="AI264" s="293"/>
      <c r="AJ264" s="293"/>
      <c r="AK264" s="293"/>
      <c r="AL264" s="293"/>
      <c r="AM264" s="293"/>
      <c r="AN264" s="293"/>
      <c r="AO264" s="293"/>
      <c r="AP264" s="293"/>
      <c r="AQ264" s="293"/>
      <c r="AR264" s="293"/>
      <c r="AS264" s="293"/>
      <c r="AT264" s="293"/>
      <c r="AU264" s="293"/>
      <c r="AV264" s="293"/>
      <c r="AW264" s="293"/>
      <c r="AX264" s="293"/>
      <c r="AY264" s="293"/>
      <c r="AZ264" s="293"/>
      <c r="BA264" s="293"/>
      <c r="BB264" s="293"/>
      <c r="BC264" s="293"/>
      <c r="BD264" s="293"/>
      <c r="BE264" s="293"/>
      <c r="BF264" s="293"/>
      <c r="BG264" s="293"/>
      <c r="BH264" s="293"/>
      <c r="BI264" s="293"/>
      <c r="BJ264" s="293"/>
      <c r="BK264" s="293"/>
      <c r="BL264" s="293"/>
      <c r="BM264" s="293"/>
      <c r="BN264" s="293"/>
      <c r="BO264" s="293"/>
      <c r="BP264" s="293"/>
      <c r="BQ264" s="293"/>
      <c r="BR264" s="293"/>
      <c r="BS264" s="293"/>
      <c r="BT264" s="293"/>
      <c r="BU264" s="293"/>
      <c r="BV264" s="293"/>
      <c r="BW264" s="293"/>
      <c r="BX264" s="293"/>
      <c r="BY264" s="293"/>
      <c r="BZ264" s="293"/>
      <c r="CA264" s="285"/>
      <c r="CB264" s="286"/>
      <c r="CC264" s="286"/>
      <c r="CD264" s="286"/>
      <c r="CE264" s="286"/>
      <c r="CF264" s="286"/>
      <c r="CG264" s="286"/>
      <c r="CH264" s="286"/>
      <c r="CI264" s="286"/>
      <c r="CJ264" s="286"/>
      <c r="CK264" s="286"/>
      <c r="CL264" s="286"/>
      <c r="CM264" s="286"/>
      <c r="CN264" s="286"/>
      <c r="CO264" s="286"/>
      <c r="CP264" s="286"/>
      <c r="CQ264" s="286"/>
      <c r="CR264" s="286"/>
      <c r="CS264" s="286"/>
      <c r="CT264" s="286"/>
      <c r="CU264" s="286"/>
      <c r="CV264" s="286"/>
      <c r="CW264" s="286"/>
      <c r="CX264" s="286"/>
      <c r="CY264" s="286"/>
      <c r="CZ264" s="286"/>
      <c r="DA264" s="286"/>
      <c r="DB264" s="286"/>
      <c r="DC264" s="286"/>
      <c r="DD264" s="286"/>
      <c r="DE264" s="286"/>
      <c r="DF264" s="286"/>
      <c r="DG264" s="286"/>
      <c r="DH264" s="286"/>
      <c r="DI264" s="286"/>
      <c r="DJ264" s="286"/>
      <c r="DK264" s="286"/>
      <c r="DL264" s="286"/>
      <c r="DM264" s="286"/>
      <c r="DN264" s="286"/>
      <c r="DO264" s="286"/>
      <c r="DP264" s="286"/>
      <c r="DR264" s="58" t="str">
        <f>IF(ISNUMBER(MATCH(#REF!,'Audit Characteristic Mapping'!$B$3:$B$500,0)),"Y","")</f>
        <v/>
      </c>
      <c r="DS264" s="58" t="str">
        <f>IF(ISNUMBER(MATCH(#REF!,'Audit Characteristic Mapping'!$C$3:$C$500,0)),"Y","")</f>
        <v/>
      </c>
      <c r="DT264" s="58" t="str">
        <f>IF(ISNUMBER(MATCH(#REF!,'Audit Characteristic Mapping'!$D$3:$D$500,0)),"Y","")</f>
        <v/>
      </c>
      <c r="DU264" s="58" t="str">
        <f>IF(ISNUMBER(MATCH(#REF!,'Audit Characteristic Mapping'!$E$3:$E$500,0)),"Y","")</f>
        <v/>
      </c>
      <c r="DV264" s="58" t="str">
        <f>IF(ISNUMBER(MATCH(#REF!,'Audit Characteristic Mapping'!$F$3:$F$500,0)),"Y","")</f>
        <v/>
      </c>
      <c r="DW264" s="58" t="str">
        <f>IF(ISNUMBER(MATCH(#REF!,'Audit Characteristic Mapping'!$G$3:$G$500,0)),"Y","")</f>
        <v/>
      </c>
      <c r="DX264" s="58" t="str">
        <f>IF(ISNUMBER(MATCH(#REF!,'Audit Characteristic Mapping'!$H$3:$H$500,0)),"Y","")</f>
        <v/>
      </c>
      <c r="DY264" s="58" t="str">
        <f>IF(ISNUMBER(MATCH(#REF!,'Audit Characteristic Mapping'!$I$3:$I$500,0)),"Y","")</f>
        <v/>
      </c>
      <c r="DZ264" s="58" t="str">
        <f>IF(ISNUMBER(MATCH(#REF!,'Audit Characteristic Mapping'!$J$3:$J$500,0)),"Y","")</f>
        <v/>
      </c>
      <c r="EA264" s="58" t="str">
        <f>IF(ISNUMBER(MATCH(#REF!,'Audit Characteristic Mapping'!$K$3:$K$500,0)),"Y","")</f>
        <v/>
      </c>
    </row>
    <row r="265" spans="1:131" ht="16" hidden="1" x14ac:dyDescent="0.2">
      <c r="A265" s="288">
        <v>256</v>
      </c>
      <c r="B265" s="287" t="s">
        <v>253</v>
      </c>
      <c r="C265" s="226" t="s">
        <v>394</v>
      </c>
      <c r="D265" s="170">
        <v>5</v>
      </c>
      <c r="E265" s="288">
        <v>53</v>
      </c>
      <c r="F265" s="291" t="str">
        <f>VLOOKUP(Calculation!A265,'Descriptor maps'!$A$2:$F$1658,2,0)</f>
        <v>Studies &amp; Design</v>
      </c>
      <c r="G265" s="296"/>
      <c r="H265" s="290"/>
      <c r="I265" s="291"/>
      <c r="J265" s="292" t="e" cm="1">
        <f t="array" ref="J265">INDEX('Descriptor maps'!$I$2:$I$1658,MATCH(1,('Descriptor maps'!$A$2:$A$1658=Calculation!$A265)*('Descriptor maps'!$G$2:$G$1658=Calculation!$G265),0))</f>
        <v>#N/A</v>
      </c>
      <c r="K265" s="226"/>
      <c r="L265" s="293"/>
      <c r="M265" s="293"/>
      <c r="N265" s="293"/>
      <c r="O265" s="293"/>
      <c r="P265" s="293"/>
      <c r="Q265" s="293"/>
      <c r="R265" s="293"/>
      <c r="S265" s="293"/>
      <c r="T265" s="293"/>
      <c r="U265" s="293"/>
      <c r="V265" s="293"/>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c r="AV265" s="293"/>
      <c r="AW265" s="293"/>
      <c r="AX265" s="293"/>
      <c r="AY265" s="293"/>
      <c r="AZ265" s="293"/>
      <c r="BA265" s="293"/>
      <c r="BB265" s="293"/>
      <c r="BC265" s="293"/>
      <c r="BD265" s="293"/>
      <c r="BE265" s="293"/>
      <c r="BF265" s="293"/>
      <c r="BG265" s="293"/>
      <c r="BH265" s="293"/>
      <c r="BI265" s="293"/>
      <c r="BJ265" s="293"/>
      <c r="BK265" s="293"/>
      <c r="BL265" s="293"/>
      <c r="BM265" s="293"/>
      <c r="BN265" s="293"/>
      <c r="BO265" s="293"/>
      <c r="BP265" s="293"/>
      <c r="BQ265" s="293"/>
      <c r="BR265" s="293"/>
      <c r="BS265" s="293"/>
      <c r="BT265" s="293"/>
      <c r="BU265" s="293"/>
      <c r="BV265" s="293"/>
      <c r="BW265" s="293"/>
      <c r="BX265" s="293"/>
      <c r="BY265" s="293"/>
      <c r="BZ265" s="293"/>
      <c r="CA265" s="285"/>
      <c r="CB265" s="286"/>
      <c r="CC265" s="286"/>
      <c r="CD265" s="286"/>
      <c r="CE265" s="286"/>
      <c r="CF265" s="286"/>
      <c r="CG265" s="286"/>
      <c r="CH265" s="286"/>
      <c r="CI265" s="286"/>
      <c r="CJ265" s="286"/>
      <c r="CK265" s="286"/>
      <c r="CL265" s="286"/>
      <c r="CM265" s="286"/>
      <c r="CN265" s="286"/>
      <c r="CO265" s="286"/>
      <c r="CP265" s="286"/>
      <c r="CQ265" s="286"/>
      <c r="CR265" s="286"/>
      <c r="CS265" s="286"/>
      <c r="CT265" s="286"/>
      <c r="CU265" s="286"/>
      <c r="CV265" s="286"/>
      <c r="CW265" s="286"/>
      <c r="CX265" s="286"/>
      <c r="CY265" s="286"/>
      <c r="CZ265" s="286"/>
      <c r="DA265" s="286"/>
      <c r="DB265" s="286"/>
      <c r="DC265" s="286"/>
      <c r="DD265" s="286"/>
      <c r="DE265" s="286"/>
      <c r="DF265" s="286"/>
      <c r="DG265" s="286"/>
      <c r="DH265" s="286"/>
      <c r="DI265" s="286"/>
      <c r="DJ265" s="286"/>
      <c r="DK265" s="286"/>
      <c r="DL265" s="286"/>
      <c r="DM265" s="286"/>
      <c r="DN265" s="286"/>
      <c r="DO265" s="286"/>
      <c r="DP265" s="286"/>
      <c r="DR265" s="58" t="str">
        <f>IF(ISNUMBER(MATCH(#REF!,'Audit Characteristic Mapping'!$B$3:$B$500,0)),"Y","")</f>
        <v/>
      </c>
      <c r="DS265" s="58" t="str">
        <f>IF(ISNUMBER(MATCH(#REF!,'Audit Characteristic Mapping'!$C$3:$C$500,0)),"Y","")</f>
        <v/>
      </c>
      <c r="DT265" s="58" t="str">
        <f>IF(ISNUMBER(MATCH(#REF!,'Audit Characteristic Mapping'!$D$3:$D$500,0)),"Y","")</f>
        <v/>
      </c>
      <c r="DU265" s="58" t="str">
        <f>IF(ISNUMBER(MATCH(#REF!,'Audit Characteristic Mapping'!$E$3:$E$500,0)),"Y","")</f>
        <v/>
      </c>
      <c r="DV265" s="58" t="str">
        <f>IF(ISNUMBER(MATCH(#REF!,'Audit Characteristic Mapping'!$F$3:$F$500,0)),"Y","")</f>
        <v/>
      </c>
      <c r="DW265" s="58" t="str">
        <f>IF(ISNUMBER(MATCH(#REF!,'Audit Characteristic Mapping'!$G$3:$G$500,0)),"Y","")</f>
        <v/>
      </c>
      <c r="DX265" s="58" t="str">
        <f>IF(ISNUMBER(MATCH(#REF!,'Audit Characteristic Mapping'!$H$3:$H$500,0)),"Y","")</f>
        <v/>
      </c>
      <c r="DY265" s="58" t="str">
        <f>IF(ISNUMBER(MATCH(#REF!,'Audit Characteristic Mapping'!$I$3:$I$500,0)),"Y","")</f>
        <v/>
      </c>
      <c r="DZ265" s="58" t="str">
        <f>IF(ISNUMBER(MATCH(#REF!,'Audit Characteristic Mapping'!$J$3:$J$500,0)),"Y","")</f>
        <v/>
      </c>
      <c r="EA265" s="58" t="str">
        <f>IF(ISNUMBER(MATCH(#REF!,'Audit Characteristic Mapping'!$K$3:$K$500,0)),"Y","")</f>
        <v/>
      </c>
    </row>
    <row r="266" spans="1:131" ht="16" hidden="1" x14ac:dyDescent="0.2">
      <c r="A266" s="288">
        <v>257</v>
      </c>
      <c r="B266" s="287" t="s">
        <v>253</v>
      </c>
      <c r="C266" s="226" t="s">
        <v>394</v>
      </c>
      <c r="D266" s="170">
        <v>5</v>
      </c>
      <c r="E266" s="288">
        <v>53</v>
      </c>
      <c r="F266" s="291" t="str">
        <f>VLOOKUP(Calculation!A266,'Descriptor maps'!$A$2:$F$1658,2,0)</f>
        <v>Studies &amp; Design</v>
      </c>
      <c r="G266" s="296"/>
      <c r="H266" s="290"/>
      <c r="I266" s="291"/>
      <c r="J266" s="292" t="e" cm="1">
        <f t="array" ref="J266">INDEX('Descriptor maps'!$I$2:$I$1658,MATCH(1,('Descriptor maps'!$A$2:$A$1658=Calculation!$A266)*('Descriptor maps'!$G$2:$G$1658=Calculation!$G266),0))</f>
        <v>#N/A</v>
      </c>
      <c r="K266" s="226"/>
      <c r="L266" s="293"/>
      <c r="M266" s="293"/>
      <c r="N266" s="293"/>
      <c r="O266" s="293"/>
      <c r="P266" s="293"/>
      <c r="Q266" s="293"/>
      <c r="R266" s="293"/>
      <c r="S266" s="293"/>
      <c r="T266" s="293"/>
      <c r="U266" s="293"/>
      <c r="V266" s="293"/>
      <c r="W266" s="293"/>
      <c r="X266" s="293"/>
      <c r="Y266" s="29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c r="AW266" s="293"/>
      <c r="AX266" s="293"/>
      <c r="AY266" s="293"/>
      <c r="AZ266" s="293"/>
      <c r="BA266" s="293"/>
      <c r="BB266" s="293"/>
      <c r="BC266" s="293"/>
      <c r="BD266" s="293"/>
      <c r="BE266" s="293"/>
      <c r="BF266" s="293"/>
      <c r="BG266" s="293"/>
      <c r="BH266" s="293"/>
      <c r="BI266" s="293"/>
      <c r="BJ266" s="293"/>
      <c r="BK266" s="293"/>
      <c r="BL266" s="293"/>
      <c r="BM266" s="293"/>
      <c r="BN266" s="293"/>
      <c r="BO266" s="293"/>
      <c r="BP266" s="293"/>
      <c r="BQ266" s="293"/>
      <c r="BR266" s="293"/>
      <c r="BS266" s="293"/>
      <c r="BT266" s="293"/>
      <c r="BU266" s="293"/>
      <c r="BV266" s="293"/>
      <c r="BW266" s="293"/>
      <c r="BX266" s="293"/>
      <c r="BY266" s="293"/>
      <c r="BZ266" s="293"/>
      <c r="CA266" s="285"/>
      <c r="CB266" s="286"/>
      <c r="CC266" s="286"/>
      <c r="CD266" s="286"/>
      <c r="CE266" s="286"/>
      <c r="CF266" s="286"/>
      <c r="CG266" s="286"/>
      <c r="CH266" s="286"/>
      <c r="CI266" s="286"/>
      <c r="CJ266" s="286"/>
      <c r="CK266" s="286"/>
      <c r="CL266" s="286"/>
      <c r="CM266" s="286"/>
      <c r="CN266" s="286"/>
      <c r="CO266" s="286"/>
      <c r="CP266" s="286"/>
      <c r="CQ266" s="286"/>
      <c r="CR266" s="286"/>
      <c r="CS266" s="286"/>
      <c r="CT266" s="286"/>
      <c r="CU266" s="286"/>
      <c r="CV266" s="286"/>
      <c r="CW266" s="286"/>
      <c r="CX266" s="286"/>
      <c r="CY266" s="286"/>
      <c r="CZ266" s="286"/>
      <c r="DA266" s="286"/>
      <c r="DB266" s="286"/>
      <c r="DC266" s="286"/>
      <c r="DD266" s="286"/>
      <c r="DE266" s="286"/>
      <c r="DF266" s="286"/>
      <c r="DG266" s="286"/>
      <c r="DH266" s="286"/>
      <c r="DI266" s="286"/>
      <c r="DJ266" s="286"/>
      <c r="DK266" s="286"/>
      <c r="DL266" s="286"/>
      <c r="DM266" s="286"/>
      <c r="DN266" s="286"/>
      <c r="DO266" s="286"/>
      <c r="DP266" s="286"/>
      <c r="DR266" s="58" t="str">
        <f>IF(ISNUMBER(MATCH(#REF!,'Audit Characteristic Mapping'!$B$3:$B$500,0)),"Y","")</f>
        <v/>
      </c>
      <c r="DS266" s="58" t="str">
        <f>IF(ISNUMBER(MATCH(#REF!,'Audit Characteristic Mapping'!$C$3:$C$500,0)),"Y","")</f>
        <v/>
      </c>
      <c r="DT266" s="58" t="str">
        <f>IF(ISNUMBER(MATCH(#REF!,'Audit Characteristic Mapping'!$D$3:$D$500,0)),"Y","")</f>
        <v/>
      </c>
      <c r="DU266" s="58" t="str">
        <f>IF(ISNUMBER(MATCH(#REF!,'Audit Characteristic Mapping'!$E$3:$E$500,0)),"Y","")</f>
        <v/>
      </c>
      <c r="DV266" s="58" t="str">
        <f>IF(ISNUMBER(MATCH(#REF!,'Audit Characteristic Mapping'!$F$3:$F$500,0)),"Y","")</f>
        <v/>
      </c>
      <c r="DW266" s="58" t="str">
        <f>IF(ISNUMBER(MATCH(#REF!,'Audit Characteristic Mapping'!$G$3:$G$500,0)),"Y","")</f>
        <v/>
      </c>
      <c r="DX266" s="58" t="str">
        <f>IF(ISNUMBER(MATCH(#REF!,'Audit Characteristic Mapping'!$H$3:$H$500,0)),"Y","")</f>
        <v/>
      </c>
      <c r="DY266" s="58" t="str">
        <f>IF(ISNUMBER(MATCH(#REF!,'Audit Characteristic Mapping'!$I$3:$I$500,0)),"Y","")</f>
        <v/>
      </c>
      <c r="DZ266" s="58" t="str">
        <f>IF(ISNUMBER(MATCH(#REF!,'Audit Characteristic Mapping'!$J$3:$J$500,0)),"Y","")</f>
        <v/>
      </c>
      <c r="EA266" s="58" t="str">
        <f>IF(ISNUMBER(MATCH(#REF!,'Audit Characteristic Mapping'!$K$3:$K$500,0)),"Y","")</f>
        <v/>
      </c>
    </row>
    <row r="267" spans="1:131" ht="16" hidden="1" x14ac:dyDescent="0.2">
      <c r="A267" s="288">
        <v>258</v>
      </c>
      <c r="B267" s="287" t="s">
        <v>253</v>
      </c>
      <c r="C267" s="226" t="s">
        <v>394</v>
      </c>
      <c r="D267" s="170">
        <v>5</v>
      </c>
      <c r="E267" s="288">
        <v>53</v>
      </c>
      <c r="F267" s="291" t="str">
        <f>VLOOKUP(Calculation!A267,'Descriptor maps'!$A$2:$F$1658,2,0)</f>
        <v>Studies &amp; Design</v>
      </c>
      <c r="G267" s="296"/>
      <c r="H267" s="290"/>
      <c r="I267" s="291"/>
      <c r="J267" s="292" t="e" cm="1">
        <f t="array" ref="J267">INDEX('Descriptor maps'!$I$2:$I$1658,MATCH(1,('Descriptor maps'!$A$2:$A$1658=Calculation!$A267)*('Descriptor maps'!$G$2:$G$1658=Calculation!$G267),0))</f>
        <v>#N/A</v>
      </c>
      <c r="K267" s="226"/>
      <c r="L267" s="293"/>
      <c r="M267" s="293"/>
      <c r="N267" s="293"/>
      <c r="O267" s="293"/>
      <c r="P267" s="293"/>
      <c r="Q267" s="293"/>
      <c r="R267" s="293"/>
      <c r="S267" s="293"/>
      <c r="T267" s="293"/>
      <c r="U267" s="293"/>
      <c r="V267" s="293"/>
      <c r="W267" s="293"/>
      <c r="X267" s="293"/>
      <c r="Y267" s="293"/>
      <c r="Z267" s="293"/>
      <c r="AA267" s="293"/>
      <c r="AB267" s="293"/>
      <c r="AC267" s="293"/>
      <c r="AD267" s="293"/>
      <c r="AE267" s="293"/>
      <c r="AF267" s="293"/>
      <c r="AG267" s="293"/>
      <c r="AH267" s="293"/>
      <c r="AI267" s="293"/>
      <c r="AJ267" s="293"/>
      <c r="AK267" s="293"/>
      <c r="AL267" s="293"/>
      <c r="AM267" s="293"/>
      <c r="AN267" s="293"/>
      <c r="AO267" s="293"/>
      <c r="AP267" s="293"/>
      <c r="AQ267" s="293"/>
      <c r="AR267" s="293"/>
      <c r="AS267" s="293"/>
      <c r="AT267" s="293"/>
      <c r="AU267" s="293"/>
      <c r="AV267" s="293"/>
      <c r="AW267" s="293"/>
      <c r="AX267" s="293"/>
      <c r="AY267" s="293"/>
      <c r="AZ267" s="293"/>
      <c r="BA267" s="293"/>
      <c r="BB267" s="293"/>
      <c r="BC267" s="293"/>
      <c r="BD267" s="293"/>
      <c r="BE267" s="293"/>
      <c r="BF267" s="293"/>
      <c r="BG267" s="293"/>
      <c r="BH267" s="293"/>
      <c r="BI267" s="293"/>
      <c r="BJ267" s="293"/>
      <c r="BK267" s="293"/>
      <c r="BL267" s="293"/>
      <c r="BM267" s="293"/>
      <c r="BN267" s="293"/>
      <c r="BO267" s="293"/>
      <c r="BP267" s="293"/>
      <c r="BQ267" s="293"/>
      <c r="BR267" s="293"/>
      <c r="BS267" s="293"/>
      <c r="BT267" s="293"/>
      <c r="BU267" s="293"/>
      <c r="BV267" s="293"/>
      <c r="BW267" s="293"/>
      <c r="BX267" s="293"/>
      <c r="BY267" s="293"/>
      <c r="BZ267" s="293"/>
      <c r="CA267" s="285"/>
      <c r="CB267" s="286"/>
      <c r="CC267" s="286"/>
      <c r="CD267" s="286"/>
      <c r="CE267" s="286"/>
      <c r="CF267" s="286"/>
      <c r="CG267" s="286"/>
      <c r="CH267" s="286"/>
      <c r="CI267" s="286"/>
      <c r="CJ267" s="286"/>
      <c r="CK267" s="286"/>
      <c r="CL267" s="286"/>
      <c r="CM267" s="286"/>
      <c r="CN267" s="286"/>
      <c r="CO267" s="286"/>
      <c r="CP267" s="286"/>
      <c r="CQ267" s="286"/>
      <c r="CR267" s="286"/>
      <c r="CS267" s="286"/>
      <c r="CT267" s="286"/>
      <c r="CU267" s="286"/>
      <c r="CV267" s="286"/>
      <c r="CW267" s="286"/>
      <c r="CX267" s="286"/>
      <c r="CY267" s="286"/>
      <c r="CZ267" s="286"/>
      <c r="DA267" s="286"/>
      <c r="DB267" s="286"/>
      <c r="DC267" s="286"/>
      <c r="DD267" s="286"/>
      <c r="DE267" s="286"/>
      <c r="DF267" s="286"/>
      <c r="DG267" s="286"/>
      <c r="DH267" s="286"/>
      <c r="DI267" s="286"/>
      <c r="DJ267" s="286"/>
      <c r="DK267" s="286"/>
      <c r="DL267" s="286"/>
      <c r="DM267" s="286"/>
      <c r="DN267" s="286"/>
      <c r="DO267" s="286"/>
      <c r="DP267" s="286"/>
      <c r="DR267" s="58" t="str">
        <f>IF(ISNUMBER(MATCH(#REF!,'Audit Characteristic Mapping'!$B$3:$B$500,0)),"Y","")</f>
        <v/>
      </c>
      <c r="DS267" s="58" t="str">
        <f>IF(ISNUMBER(MATCH(#REF!,'Audit Characteristic Mapping'!$C$3:$C$500,0)),"Y","")</f>
        <v/>
      </c>
      <c r="DT267" s="58" t="str">
        <f>IF(ISNUMBER(MATCH(#REF!,'Audit Characteristic Mapping'!$D$3:$D$500,0)),"Y","")</f>
        <v/>
      </c>
      <c r="DU267" s="58" t="str">
        <f>IF(ISNUMBER(MATCH(#REF!,'Audit Characteristic Mapping'!$E$3:$E$500,0)),"Y","")</f>
        <v/>
      </c>
      <c r="DV267" s="58" t="str">
        <f>IF(ISNUMBER(MATCH(#REF!,'Audit Characteristic Mapping'!$F$3:$F$500,0)),"Y","")</f>
        <v/>
      </c>
      <c r="DW267" s="58" t="str">
        <f>IF(ISNUMBER(MATCH(#REF!,'Audit Characteristic Mapping'!$G$3:$G$500,0)),"Y","")</f>
        <v/>
      </c>
      <c r="DX267" s="58" t="str">
        <f>IF(ISNUMBER(MATCH(#REF!,'Audit Characteristic Mapping'!$H$3:$H$500,0)),"Y","")</f>
        <v/>
      </c>
      <c r="DY267" s="58" t="str">
        <f>IF(ISNUMBER(MATCH(#REF!,'Audit Characteristic Mapping'!$I$3:$I$500,0)),"Y","")</f>
        <v/>
      </c>
      <c r="DZ267" s="58" t="str">
        <f>IF(ISNUMBER(MATCH(#REF!,'Audit Characteristic Mapping'!$J$3:$J$500,0)),"Y","")</f>
        <v/>
      </c>
      <c r="EA267" s="58" t="str">
        <f>IF(ISNUMBER(MATCH(#REF!,'Audit Characteristic Mapping'!$K$3:$K$500,0)),"Y","")</f>
        <v/>
      </c>
    </row>
    <row r="268" spans="1:131" ht="16" hidden="1" x14ac:dyDescent="0.2">
      <c r="A268" s="288">
        <v>259</v>
      </c>
      <c r="B268" s="287" t="s">
        <v>253</v>
      </c>
      <c r="C268" s="226" t="s">
        <v>394</v>
      </c>
      <c r="D268" s="170">
        <v>5</v>
      </c>
      <c r="E268" s="288">
        <v>53</v>
      </c>
      <c r="F268" s="291" t="e">
        <f>VLOOKUP(Calculation!A268,'Descriptor maps'!$A$2:$F$1658,2,0)</f>
        <v>#N/A</v>
      </c>
      <c r="G268" s="296"/>
      <c r="H268" s="290"/>
      <c r="I268" s="291"/>
      <c r="J268" s="292" t="e" cm="1">
        <f t="array" ref="J268">INDEX('Descriptor maps'!$I$2:$I$1658,MATCH(1,('Descriptor maps'!$A$2:$A$1658=Calculation!$A268)*('Descriptor maps'!$G$2:$G$1658=Calculation!$G268),0))</f>
        <v>#N/A</v>
      </c>
      <c r="K268" s="226"/>
      <c r="L268" s="293"/>
      <c r="M268" s="293"/>
      <c r="N268" s="293"/>
      <c r="O268" s="293"/>
      <c r="P268" s="293"/>
      <c r="Q268" s="293"/>
      <c r="R268" s="293"/>
      <c r="S268" s="293"/>
      <c r="T268" s="293"/>
      <c r="U268" s="293"/>
      <c r="V268" s="293"/>
      <c r="W268" s="293"/>
      <c r="X268" s="293"/>
      <c r="Y268" s="293"/>
      <c r="Z268" s="293"/>
      <c r="AA268" s="293"/>
      <c r="AB268" s="293"/>
      <c r="AC268" s="293"/>
      <c r="AD268" s="293"/>
      <c r="AE268" s="293"/>
      <c r="AF268" s="293"/>
      <c r="AG268" s="293"/>
      <c r="AH268" s="293"/>
      <c r="AI268" s="293"/>
      <c r="AJ268" s="293"/>
      <c r="AK268" s="293"/>
      <c r="AL268" s="293"/>
      <c r="AM268" s="293"/>
      <c r="AN268" s="293"/>
      <c r="AO268" s="293"/>
      <c r="AP268" s="293"/>
      <c r="AQ268" s="293"/>
      <c r="AR268" s="293"/>
      <c r="AS268" s="293"/>
      <c r="AT268" s="293"/>
      <c r="AU268" s="293"/>
      <c r="AV268" s="293"/>
      <c r="AW268" s="293"/>
      <c r="AX268" s="293"/>
      <c r="AY268" s="293"/>
      <c r="AZ268" s="293"/>
      <c r="BA268" s="293"/>
      <c r="BB268" s="293"/>
      <c r="BC268" s="293"/>
      <c r="BD268" s="293"/>
      <c r="BE268" s="293"/>
      <c r="BF268" s="293"/>
      <c r="BG268" s="293"/>
      <c r="BH268" s="293"/>
      <c r="BI268" s="293"/>
      <c r="BJ268" s="293"/>
      <c r="BK268" s="293"/>
      <c r="BL268" s="293"/>
      <c r="BM268" s="293"/>
      <c r="BN268" s="293"/>
      <c r="BO268" s="293"/>
      <c r="BP268" s="293"/>
      <c r="BQ268" s="293"/>
      <c r="BR268" s="293"/>
      <c r="BS268" s="293"/>
      <c r="BT268" s="293"/>
      <c r="BU268" s="293"/>
      <c r="BV268" s="293"/>
      <c r="BW268" s="293"/>
      <c r="BX268" s="293"/>
      <c r="BY268" s="293"/>
      <c r="BZ268" s="293"/>
      <c r="CA268" s="285"/>
      <c r="CB268" s="286"/>
      <c r="CC268" s="286"/>
      <c r="CD268" s="286"/>
      <c r="CE268" s="286"/>
      <c r="CF268" s="286"/>
      <c r="CG268" s="286"/>
      <c r="CH268" s="286"/>
      <c r="CI268" s="286"/>
      <c r="CJ268" s="286"/>
      <c r="CK268" s="286"/>
      <c r="CL268" s="286"/>
      <c r="CM268" s="286"/>
      <c r="CN268" s="286"/>
      <c r="CO268" s="286"/>
      <c r="CP268" s="286"/>
      <c r="CQ268" s="286"/>
      <c r="CR268" s="286"/>
      <c r="CS268" s="286"/>
      <c r="CT268" s="286"/>
      <c r="CU268" s="286"/>
      <c r="CV268" s="286"/>
      <c r="CW268" s="286"/>
      <c r="CX268" s="286"/>
      <c r="CY268" s="286"/>
      <c r="CZ268" s="286"/>
      <c r="DA268" s="286"/>
      <c r="DB268" s="286"/>
      <c r="DC268" s="286"/>
      <c r="DD268" s="286"/>
      <c r="DE268" s="286"/>
      <c r="DF268" s="286"/>
      <c r="DG268" s="286"/>
      <c r="DH268" s="286"/>
      <c r="DI268" s="286"/>
      <c r="DJ268" s="286"/>
      <c r="DK268" s="286"/>
      <c r="DL268" s="286"/>
      <c r="DM268" s="286"/>
      <c r="DN268" s="286"/>
      <c r="DO268" s="286"/>
      <c r="DP268" s="286"/>
      <c r="DR268" s="58" t="str">
        <f>IF(ISNUMBER(MATCH(#REF!,'Audit Characteristic Mapping'!$B$3:$B$500,0)),"Y","")</f>
        <v/>
      </c>
      <c r="DS268" s="58" t="str">
        <f>IF(ISNUMBER(MATCH(#REF!,'Audit Characteristic Mapping'!$C$3:$C$500,0)),"Y","")</f>
        <v/>
      </c>
      <c r="DT268" s="58" t="str">
        <f>IF(ISNUMBER(MATCH(#REF!,'Audit Characteristic Mapping'!$D$3:$D$500,0)),"Y","")</f>
        <v/>
      </c>
      <c r="DU268" s="58" t="str">
        <f>IF(ISNUMBER(MATCH(#REF!,'Audit Characteristic Mapping'!$E$3:$E$500,0)),"Y","")</f>
        <v/>
      </c>
      <c r="DV268" s="58" t="str">
        <f>IF(ISNUMBER(MATCH(#REF!,'Audit Characteristic Mapping'!$F$3:$F$500,0)),"Y","")</f>
        <v/>
      </c>
      <c r="DW268" s="58" t="str">
        <f>IF(ISNUMBER(MATCH(#REF!,'Audit Characteristic Mapping'!$G$3:$G$500,0)),"Y","")</f>
        <v/>
      </c>
      <c r="DX268" s="58" t="str">
        <f>IF(ISNUMBER(MATCH(#REF!,'Audit Characteristic Mapping'!$H$3:$H$500,0)),"Y","")</f>
        <v/>
      </c>
      <c r="DY268" s="58" t="str">
        <f>IF(ISNUMBER(MATCH(#REF!,'Audit Characteristic Mapping'!$I$3:$I$500,0)),"Y","")</f>
        <v/>
      </c>
      <c r="DZ268" s="58" t="str">
        <f>IF(ISNUMBER(MATCH(#REF!,'Audit Characteristic Mapping'!$J$3:$J$500,0)),"Y","")</f>
        <v/>
      </c>
      <c r="EA268" s="58" t="str">
        <f>IF(ISNUMBER(MATCH(#REF!,'Audit Characteristic Mapping'!$K$3:$K$500,0)),"Y","")</f>
        <v/>
      </c>
    </row>
    <row r="269" spans="1:131" ht="16" hidden="1" x14ac:dyDescent="0.2">
      <c r="A269" s="288">
        <v>260</v>
      </c>
      <c r="B269" s="287" t="s">
        <v>253</v>
      </c>
      <c r="C269" s="226" t="s">
        <v>394</v>
      </c>
      <c r="D269" s="170">
        <v>5</v>
      </c>
      <c r="E269" s="288">
        <v>53</v>
      </c>
      <c r="F269" s="291" t="str">
        <f>VLOOKUP(Calculation!A269,'Descriptor maps'!$A$2:$F$1658,2,0)</f>
        <v>Studies &amp; Design</v>
      </c>
      <c r="G269" s="296"/>
      <c r="H269" s="290"/>
      <c r="I269" s="291"/>
      <c r="J269" s="292" t="e" cm="1">
        <f t="array" ref="J269">INDEX('Descriptor maps'!$I$2:$I$1658,MATCH(1,('Descriptor maps'!$A$2:$A$1658=Calculation!$A269)*('Descriptor maps'!$G$2:$G$1658=Calculation!$G269),0))</f>
        <v>#N/A</v>
      </c>
      <c r="K269" s="226"/>
      <c r="L269" s="293"/>
      <c r="M269" s="293"/>
      <c r="N269" s="293"/>
      <c r="O269" s="293"/>
      <c r="P269" s="293"/>
      <c r="Q269" s="293"/>
      <c r="R269" s="293"/>
      <c r="S269" s="293"/>
      <c r="T269" s="293"/>
      <c r="U269" s="293"/>
      <c r="V269" s="293"/>
      <c r="W269" s="293"/>
      <c r="X269" s="293"/>
      <c r="Y269" s="293"/>
      <c r="Z269" s="293"/>
      <c r="AA269" s="293"/>
      <c r="AB269" s="293"/>
      <c r="AC269" s="293"/>
      <c r="AD269" s="293"/>
      <c r="AE269" s="293"/>
      <c r="AF269" s="293"/>
      <c r="AG269" s="293"/>
      <c r="AH269" s="293"/>
      <c r="AI269" s="293"/>
      <c r="AJ269" s="293"/>
      <c r="AK269" s="293"/>
      <c r="AL269" s="293"/>
      <c r="AM269" s="293"/>
      <c r="AN269" s="293"/>
      <c r="AO269" s="293"/>
      <c r="AP269" s="293"/>
      <c r="AQ269" s="293"/>
      <c r="AR269" s="293"/>
      <c r="AS269" s="293"/>
      <c r="AT269" s="293"/>
      <c r="AU269" s="293"/>
      <c r="AV269" s="293"/>
      <c r="AW269" s="293"/>
      <c r="AX269" s="293"/>
      <c r="AY269" s="293"/>
      <c r="AZ269" s="293"/>
      <c r="BA269" s="293"/>
      <c r="BB269" s="293"/>
      <c r="BC269" s="293"/>
      <c r="BD269" s="293"/>
      <c r="BE269" s="293"/>
      <c r="BF269" s="293"/>
      <c r="BG269" s="293"/>
      <c r="BH269" s="293"/>
      <c r="BI269" s="293"/>
      <c r="BJ269" s="293"/>
      <c r="BK269" s="293"/>
      <c r="BL269" s="293"/>
      <c r="BM269" s="293"/>
      <c r="BN269" s="293"/>
      <c r="BO269" s="293"/>
      <c r="BP269" s="293"/>
      <c r="BQ269" s="293"/>
      <c r="BR269" s="293"/>
      <c r="BS269" s="293"/>
      <c r="BT269" s="293"/>
      <c r="BU269" s="293"/>
      <c r="BV269" s="293"/>
      <c r="BW269" s="293"/>
      <c r="BX269" s="293"/>
      <c r="BY269" s="293"/>
      <c r="BZ269" s="293"/>
      <c r="CA269" s="285"/>
      <c r="CB269" s="286"/>
      <c r="CC269" s="286"/>
      <c r="CD269" s="286"/>
      <c r="CE269" s="286"/>
      <c r="CF269" s="286"/>
      <c r="CG269" s="286"/>
      <c r="CH269" s="286"/>
      <c r="CI269" s="286"/>
      <c r="CJ269" s="286"/>
      <c r="CK269" s="286"/>
      <c r="CL269" s="286"/>
      <c r="CM269" s="286"/>
      <c r="CN269" s="286"/>
      <c r="CO269" s="286"/>
      <c r="CP269" s="286"/>
      <c r="CQ269" s="286"/>
      <c r="CR269" s="286"/>
      <c r="CS269" s="286"/>
      <c r="CT269" s="286"/>
      <c r="CU269" s="286"/>
      <c r="CV269" s="286"/>
      <c r="CW269" s="286"/>
      <c r="CX269" s="286"/>
      <c r="CY269" s="286"/>
      <c r="CZ269" s="286"/>
      <c r="DA269" s="286"/>
      <c r="DB269" s="286"/>
      <c r="DC269" s="286"/>
      <c r="DD269" s="286"/>
      <c r="DE269" s="286"/>
      <c r="DF269" s="286"/>
      <c r="DG269" s="286"/>
      <c r="DH269" s="286"/>
      <c r="DI269" s="286"/>
      <c r="DJ269" s="286"/>
      <c r="DK269" s="286"/>
      <c r="DL269" s="286"/>
      <c r="DM269" s="286"/>
      <c r="DN269" s="286"/>
      <c r="DO269" s="286"/>
      <c r="DP269" s="286"/>
      <c r="DR269" s="58" t="str">
        <f>IF(ISNUMBER(MATCH(#REF!,'Audit Characteristic Mapping'!$B$3:$B$500,0)),"Y","")</f>
        <v/>
      </c>
      <c r="DS269" s="58" t="str">
        <f>IF(ISNUMBER(MATCH(#REF!,'Audit Characteristic Mapping'!$C$3:$C$500,0)),"Y","")</f>
        <v/>
      </c>
      <c r="DT269" s="58" t="str">
        <f>IF(ISNUMBER(MATCH(#REF!,'Audit Characteristic Mapping'!$D$3:$D$500,0)),"Y","")</f>
        <v/>
      </c>
      <c r="DU269" s="58" t="str">
        <f>IF(ISNUMBER(MATCH(#REF!,'Audit Characteristic Mapping'!$E$3:$E$500,0)),"Y","")</f>
        <v/>
      </c>
      <c r="DV269" s="58" t="str">
        <f>IF(ISNUMBER(MATCH(#REF!,'Audit Characteristic Mapping'!$F$3:$F$500,0)),"Y","")</f>
        <v/>
      </c>
      <c r="DW269" s="58" t="str">
        <f>IF(ISNUMBER(MATCH(#REF!,'Audit Characteristic Mapping'!$G$3:$G$500,0)),"Y","")</f>
        <v/>
      </c>
      <c r="DX269" s="58" t="str">
        <f>IF(ISNUMBER(MATCH(#REF!,'Audit Characteristic Mapping'!$H$3:$H$500,0)),"Y","")</f>
        <v/>
      </c>
      <c r="DY269" s="58" t="str">
        <f>IF(ISNUMBER(MATCH(#REF!,'Audit Characteristic Mapping'!$I$3:$I$500,0)),"Y","")</f>
        <v/>
      </c>
      <c r="DZ269" s="58" t="str">
        <f>IF(ISNUMBER(MATCH(#REF!,'Audit Characteristic Mapping'!$J$3:$J$500,0)),"Y","")</f>
        <v/>
      </c>
      <c r="EA269" s="58" t="str">
        <f>IF(ISNUMBER(MATCH(#REF!,'Audit Characteristic Mapping'!$K$3:$K$500,0)),"Y","")</f>
        <v/>
      </c>
    </row>
    <row r="270" spans="1:131" ht="16" hidden="1" x14ac:dyDescent="0.2">
      <c r="A270" s="288">
        <v>261</v>
      </c>
      <c r="B270" s="287" t="s">
        <v>253</v>
      </c>
      <c r="C270" s="226" t="s">
        <v>394</v>
      </c>
      <c r="D270" s="170">
        <v>5</v>
      </c>
      <c r="E270" s="288">
        <v>53</v>
      </c>
      <c r="F270" s="291" t="str">
        <f>VLOOKUP(Calculation!A270,'Descriptor maps'!$A$2:$F$1658,2,0)</f>
        <v>Studies &amp; Design</v>
      </c>
      <c r="G270" s="296"/>
      <c r="H270" s="290"/>
      <c r="I270" s="291"/>
      <c r="J270" s="292" t="e" cm="1">
        <f t="array" ref="J270">INDEX('Descriptor maps'!$I$2:$I$1658,MATCH(1,('Descriptor maps'!$A$2:$A$1658=Calculation!$A270)*('Descriptor maps'!$G$2:$G$1658=Calculation!$G270),0))</f>
        <v>#N/A</v>
      </c>
      <c r="K270" s="226"/>
      <c r="L270" s="293"/>
      <c r="M270" s="293"/>
      <c r="N270" s="293"/>
      <c r="O270" s="293"/>
      <c r="P270" s="293"/>
      <c r="Q270" s="293"/>
      <c r="R270" s="293"/>
      <c r="S270" s="293"/>
      <c r="T270" s="293"/>
      <c r="U270" s="293"/>
      <c r="V270" s="293"/>
      <c r="W270" s="293"/>
      <c r="X270" s="293"/>
      <c r="Y270" s="293"/>
      <c r="Z270" s="293"/>
      <c r="AA270" s="293"/>
      <c r="AB270" s="293"/>
      <c r="AC270" s="293"/>
      <c r="AD270" s="293"/>
      <c r="AE270" s="293"/>
      <c r="AF270" s="293"/>
      <c r="AG270" s="293"/>
      <c r="AH270" s="293"/>
      <c r="AI270" s="293"/>
      <c r="AJ270" s="293"/>
      <c r="AK270" s="293"/>
      <c r="AL270" s="293"/>
      <c r="AM270" s="293"/>
      <c r="AN270" s="293"/>
      <c r="AO270" s="293"/>
      <c r="AP270" s="293"/>
      <c r="AQ270" s="293"/>
      <c r="AR270" s="293"/>
      <c r="AS270" s="293"/>
      <c r="AT270" s="293"/>
      <c r="AU270" s="293"/>
      <c r="AV270" s="293"/>
      <c r="AW270" s="293"/>
      <c r="AX270" s="293"/>
      <c r="AY270" s="293"/>
      <c r="AZ270" s="293"/>
      <c r="BA270" s="293"/>
      <c r="BB270" s="293"/>
      <c r="BC270" s="293"/>
      <c r="BD270" s="293"/>
      <c r="BE270" s="293"/>
      <c r="BF270" s="293"/>
      <c r="BG270" s="293"/>
      <c r="BH270" s="293"/>
      <c r="BI270" s="293"/>
      <c r="BJ270" s="293"/>
      <c r="BK270" s="293"/>
      <c r="BL270" s="293"/>
      <c r="BM270" s="293"/>
      <c r="BN270" s="293"/>
      <c r="BO270" s="293"/>
      <c r="BP270" s="293"/>
      <c r="BQ270" s="293"/>
      <c r="BR270" s="293"/>
      <c r="BS270" s="293"/>
      <c r="BT270" s="293"/>
      <c r="BU270" s="293"/>
      <c r="BV270" s="293"/>
      <c r="BW270" s="293"/>
      <c r="BX270" s="293"/>
      <c r="BY270" s="293"/>
      <c r="BZ270" s="293"/>
      <c r="CA270" s="285"/>
      <c r="CB270" s="286"/>
      <c r="CC270" s="286"/>
      <c r="CD270" s="286"/>
      <c r="CE270" s="286"/>
      <c r="CF270" s="286"/>
      <c r="CG270" s="286"/>
      <c r="CH270" s="286"/>
      <c r="CI270" s="286"/>
      <c r="CJ270" s="286"/>
      <c r="CK270" s="286"/>
      <c r="CL270" s="286"/>
      <c r="CM270" s="286"/>
      <c r="CN270" s="286"/>
      <c r="CO270" s="286"/>
      <c r="CP270" s="286"/>
      <c r="CQ270" s="286"/>
      <c r="CR270" s="286"/>
      <c r="CS270" s="286"/>
      <c r="CT270" s="286"/>
      <c r="CU270" s="286"/>
      <c r="CV270" s="286"/>
      <c r="CW270" s="286"/>
      <c r="CX270" s="286"/>
      <c r="CY270" s="286"/>
      <c r="CZ270" s="286"/>
      <c r="DA270" s="286"/>
      <c r="DB270" s="286"/>
      <c r="DC270" s="286"/>
      <c r="DD270" s="286"/>
      <c r="DE270" s="286"/>
      <c r="DF270" s="286"/>
      <c r="DG270" s="286"/>
      <c r="DH270" s="286"/>
      <c r="DI270" s="286"/>
      <c r="DJ270" s="286"/>
      <c r="DK270" s="286"/>
      <c r="DL270" s="286"/>
      <c r="DM270" s="286"/>
      <c r="DN270" s="286"/>
      <c r="DO270" s="286"/>
      <c r="DP270" s="286"/>
      <c r="DR270" s="58" t="str">
        <f>IF(ISNUMBER(MATCH(#REF!,'Audit Characteristic Mapping'!$B$3:$B$500,0)),"Y","")</f>
        <v/>
      </c>
      <c r="DS270" s="58" t="str">
        <f>IF(ISNUMBER(MATCH(#REF!,'Audit Characteristic Mapping'!$C$3:$C$500,0)),"Y","")</f>
        <v/>
      </c>
      <c r="DT270" s="58" t="str">
        <f>IF(ISNUMBER(MATCH(#REF!,'Audit Characteristic Mapping'!$D$3:$D$500,0)),"Y","")</f>
        <v/>
      </c>
      <c r="DU270" s="58" t="str">
        <f>IF(ISNUMBER(MATCH(#REF!,'Audit Characteristic Mapping'!$E$3:$E$500,0)),"Y","")</f>
        <v/>
      </c>
      <c r="DV270" s="58" t="str">
        <f>IF(ISNUMBER(MATCH(#REF!,'Audit Characteristic Mapping'!$F$3:$F$500,0)),"Y","")</f>
        <v/>
      </c>
      <c r="DW270" s="58" t="str">
        <f>IF(ISNUMBER(MATCH(#REF!,'Audit Characteristic Mapping'!$G$3:$G$500,0)),"Y","")</f>
        <v/>
      </c>
      <c r="DX270" s="58" t="str">
        <f>IF(ISNUMBER(MATCH(#REF!,'Audit Characteristic Mapping'!$H$3:$H$500,0)),"Y","")</f>
        <v/>
      </c>
      <c r="DY270" s="58" t="str">
        <f>IF(ISNUMBER(MATCH(#REF!,'Audit Characteristic Mapping'!$I$3:$I$500,0)),"Y","")</f>
        <v/>
      </c>
      <c r="DZ270" s="58" t="str">
        <f>IF(ISNUMBER(MATCH(#REF!,'Audit Characteristic Mapping'!$J$3:$J$500,0)),"Y","")</f>
        <v/>
      </c>
      <c r="EA270" s="58" t="str">
        <f>IF(ISNUMBER(MATCH(#REF!,'Audit Characteristic Mapping'!$K$3:$K$500,0)),"Y","")</f>
        <v/>
      </c>
    </row>
    <row r="271" spans="1:131" ht="16" hidden="1" x14ac:dyDescent="0.2">
      <c r="A271" s="288">
        <v>262</v>
      </c>
      <c r="B271" s="287" t="s">
        <v>253</v>
      </c>
      <c r="C271" s="226" t="s">
        <v>394</v>
      </c>
      <c r="D271" s="170">
        <v>5</v>
      </c>
      <c r="E271" s="288">
        <v>53</v>
      </c>
      <c r="F271" s="291" t="e">
        <f>VLOOKUP(Calculation!A271,'Descriptor maps'!$A$2:$F$1658,2,0)</f>
        <v>#N/A</v>
      </c>
      <c r="G271" s="296"/>
      <c r="H271" s="290"/>
      <c r="I271" s="291"/>
      <c r="J271" s="292" t="e" cm="1">
        <f t="array" ref="J271">INDEX('Descriptor maps'!$I$2:$I$1658,MATCH(1,('Descriptor maps'!$A$2:$A$1658=Calculation!$A271)*('Descriptor maps'!$G$2:$G$1658=Calculation!$G271),0))</f>
        <v>#N/A</v>
      </c>
      <c r="K271" s="226"/>
      <c r="L271" s="293"/>
      <c r="M271" s="293"/>
      <c r="N271" s="293"/>
      <c r="O271" s="293"/>
      <c r="P271" s="293"/>
      <c r="Q271" s="293"/>
      <c r="R271" s="293"/>
      <c r="S271" s="293"/>
      <c r="T271" s="293"/>
      <c r="U271" s="293"/>
      <c r="V271" s="293"/>
      <c r="W271" s="293"/>
      <c r="X271" s="293"/>
      <c r="Y271" s="293"/>
      <c r="Z271" s="293"/>
      <c r="AA271" s="293"/>
      <c r="AB271" s="293"/>
      <c r="AC271" s="293"/>
      <c r="AD271" s="293"/>
      <c r="AE271" s="293"/>
      <c r="AF271" s="293"/>
      <c r="AG271" s="293"/>
      <c r="AH271" s="293"/>
      <c r="AI271" s="293"/>
      <c r="AJ271" s="293"/>
      <c r="AK271" s="293"/>
      <c r="AL271" s="293"/>
      <c r="AM271" s="293"/>
      <c r="AN271" s="293"/>
      <c r="AO271" s="293"/>
      <c r="AP271" s="293"/>
      <c r="AQ271" s="293"/>
      <c r="AR271" s="293"/>
      <c r="AS271" s="293"/>
      <c r="AT271" s="293"/>
      <c r="AU271" s="293"/>
      <c r="AV271" s="293"/>
      <c r="AW271" s="293"/>
      <c r="AX271" s="293"/>
      <c r="AY271" s="293"/>
      <c r="AZ271" s="293"/>
      <c r="BA271" s="293"/>
      <c r="BB271" s="293"/>
      <c r="BC271" s="293"/>
      <c r="BD271" s="293"/>
      <c r="BE271" s="293"/>
      <c r="BF271" s="293"/>
      <c r="BG271" s="293"/>
      <c r="BH271" s="293"/>
      <c r="BI271" s="293"/>
      <c r="BJ271" s="293"/>
      <c r="BK271" s="293"/>
      <c r="BL271" s="293"/>
      <c r="BM271" s="293"/>
      <c r="BN271" s="293"/>
      <c r="BO271" s="293"/>
      <c r="BP271" s="293"/>
      <c r="BQ271" s="293"/>
      <c r="BR271" s="293"/>
      <c r="BS271" s="293"/>
      <c r="BT271" s="293"/>
      <c r="BU271" s="293"/>
      <c r="BV271" s="293"/>
      <c r="BW271" s="293"/>
      <c r="BX271" s="293"/>
      <c r="BY271" s="293"/>
      <c r="BZ271" s="293"/>
      <c r="CA271" s="285"/>
      <c r="CB271" s="286"/>
      <c r="CC271" s="286"/>
      <c r="CD271" s="286"/>
      <c r="CE271" s="286"/>
      <c r="CF271" s="286"/>
      <c r="CG271" s="286"/>
      <c r="CH271" s="286"/>
      <c r="CI271" s="286"/>
      <c r="CJ271" s="286"/>
      <c r="CK271" s="286"/>
      <c r="CL271" s="286"/>
      <c r="CM271" s="286"/>
      <c r="CN271" s="286"/>
      <c r="CO271" s="286"/>
      <c r="CP271" s="286"/>
      <c r="CQ271" s="286"/>
      <c r="CR271" s="286"/>
      <c r="CS271" s="286"/>
      <c r="CT271" s="286"/>
      <c r="CU271" s="286"/>
      <c r="CV271" s="286"/>
      <c r="CW271" s="286"/>
      <c r="CX271" s="286"/>
      <c r="CY271" s="286"/>
      <c r="CZ271" s="286"/>
      <c r="DA271" s="286"/>
      <c r="DB271" s="286"/>
      <c r="DC271" s="286"/>
      <c r="DD271" s="286"/>
      <c r="DE271" s="286"/>
      <c r="DF271" s="286"/>
      <c r="DG271" s="286"/>
      <c r="DH271" s="286"/>
      <c r="DI271" s="286"/>
      <c r="DJ271" s="286"/>
      <c r="DK271" s="286"/>
      <c r="DL271" s="286"/>
      <c r="DM271" s="286"/>
      <c r="DN271" s="286"/>
      <c r="DO271" s="286"/>
      <c r="DP271" s="286"/>
      <c r="DR271" s="58" t="str">
        <f>IF(ISNUMBER(MATCH(#REF!,'Audit Characteristic Mapping'!$B$3:$B$500,0)),"Y","")</f>
        <v/>
      </c>
      <c r="DS271" s="58" t="str">
        <f>IF(ISNUMBER(MATCH(#REF!,'Audit Characteristic Mapping'!$C$3:$C$500,0)),"Y","")</f>
        <v/>
      </c>
      <c r="DT271" s="58" t="str">
        <f>IF(ISNUMBER(MATCH(#REF!,'Audit Characteristic Mapping'!$D$3:$D$500,0)),"Y","")</f>
        <v/>
      </c>
      <c r="DU271" s="58" t="str">
        <f>IF(ISNUMBER(MATCH(#REF!,'Audit Characteristic Mapping'!$E$3:$E$500,0)),"Y","")</f>
        <v/>
      </c>
      <c r="DV271" s="58" t="str">
        <f>IF(ISNUMBER(MATCH(#REF!,'Audit Characteristic Mapping'!$F$3:$F$500,0)),"Y","")</f>
        <v/>
      </c>
      <c r="DW271" s="58" t="str">
        <f>IF(ISNUMBER(MATCH(#REF!,'Audit Characteristic Mapping'!$G$3:$G$500,0)),"Y","")</f>
        <v/>
      </c>
      <c r="DX271" s="58" t="str">
        <f>IF(ISNUMBER(MATCH(#REF!,'Audit Characteristic Mapping'!$H$3:$H$500,0)),"Y","")</f>
        <v/>
      </c>
      <c r="DY271" s="58" t="str">
        <f>IF(ISNUMBER(MATCH(#REF!,'Audit Characteristic Mapping'!$I$3:$I$500,0)),"Y","")</f>
        <v/>
      </c>
      <c r="DZ271" s="58" t="str">
        <f>IF(ISNUMBER(MATCH(#REF!,'Audit Characteristic Mapping'!$J$3:$J$500,0)),"Y","")</f>
        <v/>
      </c>
      <c r="EA271" s="58" t="str">
        <f>IF(ISNUMBER(MATCH(#REF!,'Audit Characteristic Mapping'!$K$3:$K$500,0)),"Y","")</f>
        <v/>
      </c>
    </row>
    <row r="272" spans="1:131" ht="16" hidden="1" x14ac:dyDescent="0.2">
      <c r="A272" s="288">
        <v>263</v>
      </c>
      <c r="B272" s="287" t="s">
        <v>253</v>
      </c>
      <c r="C272" s="226" t="s">
        <v>394</v>
      </c>
      <c r="D272" s="170">
        <v>5</v>
      </c>
      <c r="E272" s="288">
        <v>53</v>
      </c>
      <c r="F272" s="291" t="str">
        <f>VLOOKUP(Calculation!A272,'Descriptor maps'!$A$2:$F$1658,2,0)</f>
        <v>Studies &amp; Design</v>
      </c>
      <c r="G272" s="296"/>
      <c r="H272" s="290"/>
      <c r="I272" s="291"/>
      <c r="J272" s="292" t="e" cm="1">
        <f t="array" ref="J272">INDEX('Descriptor maps'!$I$2:$I$1658,MATCH(1,('Descriptor maps'!$A$2:$A$1658=Calculation!$A272)*('Descriptor maps'!$G$2:$G$1658=Calculation!$G272),0))</f>
        <v>#N/A</v>
      </c>
      <c r="K272" s="226"/>
      <c r="L272" s="293"/>
      <c r="M272" s="293"/>
      <c r="N272" s="293"/>
      <c r="O272" s="293"/>
      <c r="P272" s="293"/>
      <c r="Q272" s="293"/>
      <c r="R272" s="293"/>
      <c r="S272" s="293"/>
      <c r="T272" s="293"/>
      <c r="U272" s="293"/>
      <c r="V272" s="293"/>
      <c r="W272" s="293"/>
      <c r="X272" s="293"/>
      <c r="Y272" s="293"/>
      <c r="Z272" s="293"/>
      <c r="AA272" s="293"/>
      <c r="AB272" s="293"/>
      <c r="AC272" s="293"/>
      <c r="AD272" s="293"/>
      <c r="AE272" s="293"/>
      <c r="AF272" s="293"/>
      <c r="AG272" s="293"/>
      <c r="AH272" s="293"/>
      <c r="AI272" s="293"/>
      <c r="AJ272" s="293"/>
      <c r="AK272" s="293"/>
      <c r="AL272" s="293"/>
      <c r="AM272" s="293"/>
      <c r="AN272" s="293"/>
      <c r="AO272" s="293"/>
      <c r="AP272" s="293"/>
      <c r="AQ272" s="293"/>
      <c r="AR272" s="293"/>
      <c r="AS272" s="293"/>
      <c r="AT272" s="293"/>
      <c r="AU272" s="293"/>
      <c r="AV272" s="293"/>
      <c r="AW272" s="293"/>
      <c r="AX272" s="293"/>
      <c r="AY272" s="293"/>
      <c r="AZ272" s="293"/>
      <c r="BA272" s="293"/>
      <c r="BB272" s="293"/>
      <c r="BC272" s="293"/>
      <c r="BD272" s="293"/>
      <c r="BE272" s="293"/>
      <c r="BF272" s="293"/>
      <c r="BG272" s="293"/>
      <c r="BH272" s="293"/>
      <c r="BI272" s="293"/>
      <c r="BJ272" s="293"/>
      <c r="BK272" s="293"/>
      <c r="BL272" s="293"/>
      <c r="BM272" s="293"/>
      <c r="BN272" s="293"/>
      <c r="BO272" s="293"/>
      <c r="BP272" s="293"/>
      <c r="BQ272" s="293"/>
      <c r="BR272" s="293"/>
      <c r="BS272" s="293"/>
      <c r="BT272" s="293"/>
      <c r="BU272" s="293"/>
      <c r="BV272" s="293"/>
      <c r="BW272" s="293"/>
      <c r="BX272" s="293"/>
      <c r="BY272" s="293"/>
      <c r="BZ272" s="293"/>
      <c r="CA272" s="285"/>
      <c r="CB272" s="286"/>
      <c r="CC272" s="286"/>
      <c r="CD272" s="286"/>
      <c r="CE272" s="286"/>
      <c r="CF272" s="286"/>
      <c r="CG272" s="286"/>
      <c r="CH272" s="286"/>
      <c r="CI272" s="286"/>
      <c r="CJ272" s="286"/>
      <c r="CK272" s="286"/>
      <c r="CL272" s="286"/>
      <c r="CM272" s="286"/>
      <c r="CN272" s="286"/>
      <c r="CO272" s="286"/>
      <c r="CP272" s="286"/>
      <c r="CQ272" s="286"/>
      <c r="CR272" s="286"/>
      <c r="CS272" s="286"/>
      <c r="CT272" s="286"/>
      <c r="CU272" s="286"/>
      <c r="CV272" s="286"/>
      <c r="CW272" s="286"/>
      <c r="CX272" s="286"/>
      <c r="CY272" s="286"/>
      <c r="CZ272" s="286"/>
      <c r="DA272" s="286"/>
      <c r="DB272" s="286"/>
      <c r="DC272" s="286"/>
      <c r="DD272" s="286"/>
      <c r="DE272" s="286"/>
      <c r="DF272" s="286"/>
      <c r="DG272" s="286"/>
      <c r="DH272" s="286"/>
      <c r="DI272" s="286"/>
      <c r="DJ272" s="286"/>
      <c r="DK272" s="286"/>
      <c r="DL272" s="286"/>
      <c r="DM272" s="286"/>
      <c r="DN272" s="286"/>
      <c r="DO272" s="286"/>
      <c r="DP272" s="286"/>
      <c r="DR272" s="58" t="str">
        <f>IF(ISNUMBER(MATCH(#REF!,'Audit Characteristic Mapping'!$B$3:$B$500,0)),"Y","")</f>
        <v/>
      </c>
      <c r="DS272" s="58" t="str">
        <f>IF(ISNUMBER(MATCH(#REF!,'Audit Characteristic Mapping'!$C$3:$C$500,0)),"Y","")</f>
        <v/>
      </c>
      <c r="DT272" s="58" t="str">
        <f>IF(ISNUMBER(MATCH(#REF!,'Audit Characteristic Mapping'!$D$3:$D$500,0)),"Y","")</f>
        <v/>
      </c>
      <c r="DU272" s="58" t="str">
        <f>IF(ISNUMBER(MATCH(#REF!,'Audit Characteristic Mapping'!$E$3:$E$500,0)),"Y","")</f>
        <v/>
      </c>
      <c r="DV272" s="58" t="str">
        <f>IF(ISNUMBER(MATCH(#REF!,'Audit Characteristic Mapping'!$F$3:$F$500,0)),"Y","")</f>
        <v/>
      </c>
      <c r="DW272" s="58" t="str">
        <f>IF(ISNUMBER(MATCH(#REF!,'Audit Characteristic Mapping'!$G$3:$G$500,0)),"Y","")</f>
        <v/>
      </c>
      <c r="DX272" s="58" t="str">
        <f>IF(ISNUMBER(MATCH(#REF!,'Audit Characteristic Mapping'!$H$3:$H$500,0)),"Y","")</f>
        <v/>
      </c>
      <c r="DY272" s="58" t="str">
        <f>IF(ISNUMBER(MATCH(#REF!,'Audit Characteristic Mapping'!$I$3:$I$500,0)),"Y","")</f>
        <v/>
      </c>
      <c r="DZ272" s="58" t="str">
        <f>IF(ISNUMBER(MATCH(#REF!,'Audit Characteristic Mapping'!$J$3:$J$500,0)),"Y","")</f>
        <v/>
      </c>
      <c r="EA272" s="58" t="str">
        <f>IF(ISNUMBER(MATCH(#REF!,'Audit Characteristic Mapping'!$K$3:$K$500,0)),"Y","")</f>
        <v/>
      </c>
    </row>
    <row r="273" spans="1:131" ht="16" hidden="1" x14ac:dyDescent="0.2">
      <c r="A273" s="288">
        <v>264</v>
      </c>
      <c r="B273" s="287" t="s">
        <v>253</v>
      </c>
      <c r="C273" s="226" t="s">
        <v>394</v>
      </c>
      <c r="D273" s="170">
        <v>5</v>
      </c>
      <c r="E273" s="288">
        <v>53</v>
      </c>
      <c r="F273" s="291" t="str">
        <f>VLOOKUP(Calculation!A273,'Descriptor maps'!$A$2:$F$1658,2,0)</f>
        <v>Studies &amp; Design</v>
      </c>
      <c r="G273" s="296"/>
      <c r="H273" s="290"/>
      <c r="I273" s="291"/>
      <c r="J273" s="292" t="e" cm="1">
        <f t="array" ref="J273">INDEX('Descriptor maps'!$I$2:$I$1658,MATCH(1,('Descriptor maps'!$A$2:$A$1658=Calculation!$A273)*('Descriptor maps'!$G$2:$G$1658=Calculation!$G273),0))</f>
        <v>#N/A</v>
      </c>
      <c r="K273" s="226"/>
      <c r="L273" s="293"/>
      <c r="M273" s="293"/>
      <c r="N273" s="293"/>
      <c r="O273" s="293"/>
      <c r="P273" s="293"/>
      <c r="Q273" s="293"/>
      <c r="R273" s="293"/>
      <c r="S273" s="293"/>
      <c r="T273" s="293"/>
      <c r="U273" s="293"/>
      <c r="V273" s="293"/>
      <c r="W273" s="293"/>
      <c r="X273" s="293"/>
      <c r="Y273" s="293"/>
      <c r="Z273" s="293"/>
      <c r="AA273" s="293"/>
      <c r="AB273" s="293"/>
      <c r="AC273" s="293"/>
      <c r="AD273" s="293"/>
      <c r="AE273" s="293"/>
      <c r="AF273" s="293"/>
      <c r="AG273" s="293"/>
      <c r="AH273" s="293"/>
      <c r="AI273" s="293"/>
      <c r="AJ273" s="293"/>
      <c r="AK273" s="293"/>
      <c r="AL273" s="293"/>
      <c r="AM273" s="293"/>
      <c r="AN273" s="293"/>
      <c r="AO273" s="293"/>
      <c r="AP273" s="293"/>
      <c r="AQ273" s="293"/>
      <c r="AR273" s="293"/>
      <c r="AS273" s="293"/>
      <c r="AT273" s="293"/>
      <c r="AU273" s="293"/>
      <c r="AV273" s="293"/>
      <c r="AW273" s="293"/>
      <c r="AX273" s="293"/>
      <c r="AY273" s="293"/>
      <c r="AZ273" s="293"/>
      <c r="BA273" s="293"/>
      <c r="BB273" s="293"/>
      <c r="BC273" s="293"/>
      <c r="BD273" s="293"/>
      <c r="BE273" s="293"/>
      <c r="BF273" s="293"/>
      <c r="BG273" s="293"/>
      <c r="BH273" s="293"/>
      <c r="BI273" s="293"/>
      <c r="BJ273" s="293"/>
      <c r="BK273" s="293"/>
      <c r="BL273" s="293"/>
      <c r="BM273" s="293"/>
      <c r="BN273" s="293"/>
      <c r="BO273" s="293"/>
      <c r="BP273" s="293"/>
      <c r="BQ273" s="293"/>
      <c r="BR273" s="293"/>
      <c r="BS273" s="293"/>
      <c r="BT273" s="293"/>
      <c r="BU273" s="293"/>
      <c r="BV273" s="293"/>
      <c r="BW273" s="293"/>
      <c r="BX273" s="293"/>
      <c r="BY273" s="293"/>
      <c r="BZ273" s="293"/>
      <c r="CA273" s="285"/>
      <c r="CB273" s="286"/>
      <c r="CC273" s="286"/>
      <c r="CD273" s="286"/>
      <c r="CE273" s="286"/>
      <c r="CF273" s="286"/>
      <c r="CG273" s="286"/>
      <c r="CH273" s="286"/>
      <c r="CI273" s="286"/>
      <c r="CJ273" s="286"/>
      <c r="CK273" s="286"/>
      <c r="CL273" s="286"/>
      <c r="CM273" s="286"/>
      <c r="CN273" s="286"/>
      <c r="CO273" s="286"/>
      <c r="CP273" s="286"/>
      <c r="CQ273" s="286"/>
      <c r="CR273" s="286"/>
      <c r="CS273" s="286"/>
      <c r="CT273" s="286"/>
      <c r="CU273" s="286"/>
      <c r="CV273" s="286"/>
      <c r="CW273" s="286"/>
      <c r="CX273" s="286"/>
      <c r="CY273" s="286"/>
      <c r="CZ273" s="286"/>
      <c r="DA273" s="286"/>
      <c r="DB273" s="286"/>
      <c r="DC273" s="286"/>
      <c r="DD273" s="286"/>
      <c r="DE273" s="286"/>
      <c r="DF273" s="286"/>
      <c r="DG273" s="286"/>
      <c r="DH273" s="286"/>
      <c r="DI273" s="286"/>
      <c r="DJ273" s="286"/>
      <c r="DK273" s="286"/>
      <c r="DL273" s="286"/>
      <c r="DM273" s="286"/>
      <c r="DN273" s="286"/>
      <c r="DO273" s="286"/>
      <c r="DP273" s="286"/>
      <c r="DR273" s="58" t="str">
        <f>IF(ISNUMBER(MATCH(#REF!,'Audit Characteristic Mapping'!$B$3:$B$500,0)),"Y","")</f>
        <v/>
      </c>
      <c r="DS273" s="58" t="str">
        <f>IF(ISNUMBER(MATCH(#REF!,'Audit Characteristic Mapping'!$C$3:$C$500,0)),"Y","")</f>
        <v/>
      </c>
      <c r="DT273" s="58" t="str">
        <f>IF(ISNUMBER(MATCH(#REF!,'Audit Characteristic Mapping'!$D$3:$D$500,0)),"Y","")</f>
        <v/>
      </c>
      <c r="DU273" s="58" t="str">
        <f>IF(ISNUMBER(MATCH(#REF!,'Audit Characteristic Mapping'!$E$3:$E$500,0)),"Y","")</f>
        <v/>
      </c>
      <c r="DV273" s="58" t="str">
        <f>IF(ISNUMBER(MATCH(#REF!,'Audit Characteristic Mapping'!$F$3:$F$500,0)),"Y","")</f>
        <v/>
      </c>
      <c r="DW273" s="58" t="str">
        <f>IF(ISNUMBER(MATCH(#REF!,'Audit Characteristic Mapping'!$G$3:$G$500,0)),"Y","")</f>
        <v/>
      </c>
      <c r="DX273" s="58" t="str">
        <f>IF(ISNUMBER(MATCH(#REF!,'Audit Characteristic Mapping'!$H$3:$H$500,0)),"Y","")</f>
        <v/>
      </c>
      <c r="DY273" s="58" t="str">
        <f>IF(ISNUMBER(MATCH(#REF!,'Audit Characteristic Mapping'!$I$3:$I$500,0)),"Y","")</f>
        <v/>
      </c>
      <c r="DZ273" s="58" t="str">
        <f>IF(ISNUMBER(MATCH(#REF!,'Audit Characteristic Mapping'!$J$3:$J$500,0)),"Y","")</f>
        <v/>
      </c>
      <c r="EA273" s="58" t="str">
        <f>IF(ISNUMBER(MATCH(#REF!,'Audit Characteristic Mapping'!$K$3:$K$500,0)),"Y","")</f>
        <v/>
      </c>
    </row>
    <row r="274" spans="1:131" ht="16" hidden="1" x14ac:dyDescent="0.2">
      <c r="A274" s="288">
        <v>265</v>
      </c>
      <c r="B274" s="287" t="s">
        <v>405</v>
      </c>
      <c r="C274" s="226" t="s">
        <v>406</v>
      </c>
      <c r="D274" s="170">
        <v>6</v>
      </c>
      <c r="E274" s="288">
        <v>54</v>
      </c>
      <c r="F274" s="291" t="str">
        <f>VLOOKUP(Calculation!A274,'Descriptor maps'!$A$2:$F$1658,2,0)</f>
        <v>Governance</v>
      </c>
      <c r="G274" s="296"/>
      <c r="H274" s="290"/>
      <c r="I274" s="291"/>
      <c r="J274" s="292" t="e" cm="1">
        <f t="array" ref="J274">INDEX('Descriptor maps'!$I$2:$I$1658,MATCH(1,('Descriptor maps'!$A$2:$A$1658=Calculation!$A274)*('Descriptor maps'!$G$2:$G$1658=Calculation!$G274),0))</f>
        <v>#N/A</v>
      </c>
      <c r="K274" s="226"/>
      <c r="L274" s="293"/>
      <c r="M274" s="293"/>
      <c r="N274" s="293"/>
      <c r="O274" s="293"/>
      <c r="P274" s="293"/>
      <c r="Q274" s="293"/>
      <c r="R274" s="293"/>
      <c r="S274" s="293"/>
      <c r="T274" s="293"/>
      <c r="U274" s="293"/>
      <c r="V274" s="293"/>
      <c r="W274" s="293"/>
      <c r="X274" s="293"/>
      <c r="Y274" s="293"/>
      <c r="Z274" s="293"/>
      <c r="AA274" s="293"/>
      <c r="AB274" s="293"/>
      <c r="AC274" s="293"/>
      <c r="AD274" s="293"/>
      <c r="AE274" s="293"/>
      <c r="AF274" s="293"/>
      <c r="AG274" s="293"/>
      <c r="AH274" s="293"/>
      <c r="AI274" s="293"/>
      <c r="AJ274" s="293"/>
      <c r="AK274" s="293"/>
      <c r="AL274" s="293"/>
      <c r="AM274" s="293"/>
      <c r="AN274" s="293"/>
      <c r="AO274" s="293"/>
      <c r="AP274" s="293"/>
      <c r="AQ274" s="293"/>
      <c r="AR274" s="293"/>
      <c r="AS274" s="293"/>
      <c r="AT274" s="293"/>
      <c r="AU274" s="293"/>
      <c r="AV274" s="293"/>
      <c r="AW274" s="293"/>
      <c r="AX274" s="293"/>
      <c r="AY274" s="293"/>
      <c r="AZ274" s="293"/>
      <c r="BA274" s="293"/>
      <c r="BB274" s="293"/>
      <c r="BC274" s="293"/>
      <c r="BD274" s="293"/>
      <c r="BE274" s="293"/>
      <c r="BF274" s="293"/>
      <c r="BG274" s="293"/>
      <c r="BH274" s="293"/>
      <c r="BI274" s="293"/>
      <c r="BJ274" s="293"/>
      <c r="BK274" s="293"/>
      <c r="BL274" s="293"/>
      <c r="BM274" s="293"/>
      <c r="BN274" s="293"/>
      <c r="BO274" s="293"/>
      <c r="BP274" s="293"/>
      <c r="BQ274" s="293"/>
      <c r="BR274" s="293"/>
      <c r="BS274" s="293"/>
      <c r="BT274" s="293"/>
      <c r="BU274" s="293"/>
      <c r="BV274" s="293"/>
      <c r="BW274" s="293"/>
      <c r="BX274" s="293"/>
      <c r="BY274" s="293"/>
      <c r="BZ274" s="293"/>
      <c r="CA274" s="285"/>
      <c r="CB274" s="286"/>
      <c r="CC274" s="286"/>
      <c r="CD274" s="286"/>
      <c r="CE274" s="286"/>
      <c r="CF274" s="286"/>
      <c r="CG274" s="286"/>
      <c r="CH274" s="286"/>
      <c r="CI274" s="286"/>
      <c r="CJ274" s="286"/>
      <c r="CK274" s="286"/>
      <c r="CL274" s="286"/>
      <c r="CM274" s="286"/>
      <c r="CN274" s="286"/>
      <c r="CO274" s="286"/>
      <c r="CP274" s="286"/>
      <c r="CQ274" s="286"/>
      <c r="CR274" s="286"/>
      <c r="CS274" s="286"/>
      <c r="CT274" s="286"/>
      <c r="CU274" s="286"/>
      <c r="CV274" s="286"/>
      <c r="CW274" s="286"/>
      <c r="CX274" s="286"/>
      <c r="CY274" s="286"/>
      <c r="CZ274" s="286"/>
      <c r="DA274" s="286"/>
      <c r="DB274" s="286"/>
      <c r="DC274" s="286"/>
      <c r="DD274" s="286"/>
      <c r="DE274" s="286"/>
      <c r="DF274" s="286"/>
      <c r="DG274" s="286"/>
      <c r="DH274" s="286"/>
      <c r="DI274" s="286"/>
      <c r="DJ274" s="286"/>
      <c r="DK274" s="286"/>
      <c r="DL274" s="286"/>
      <c r="DM274" s="286"/>
      <c r="DN274" s="286"/>
      <c r="DO274" s="286"/>
      <c r="DP274" s="286"/>
      <c r="DR274" s="58" t="str">
        <f>IF(ISNUMBER(MATCH(#REF!,'Audit Characteristic Mapping'!$B$3:$B$500,0)),"Y","")</f>
        <v/>
      </c>
      <c r="DS274" s="58" t="str">
        <f>IF(ISNUMBER(MATCH(#REF!,'Audit Characteristic Mapping'!$C$3:$C$500,0)),"Y","")</f>
        <v/>
      </c>
      <c r="DT274" s="58" t="str">
        <f>IF(ISNUMBER(MATCH(#REF!,'Audit Characteristic Mapping'!$D$3:$D$500,0)),"Y","")</f>
        <v/>
      </c>
      <c r="DU274" s="58" t="str">
        <f>IF(ISNUMBER(MATCH(#REF!,'Audit Characteristic Mapping'!$E$3:$E$500,0)),"Y","")</f>
        <v/>
      </c>
      <c r="DV274" s="58" t="str">
        <f>IF(ISNUMBER(MATCH(#REF!,'Audit Characteristic Mapping'!$F$3:$F$500,0)),"Y","")</f>
        <v/>
      </c>
      <c r="DW274" s="58" t="str">
        <f>IF(ISNUMBER(MATCH(#REF!,'Audit Characteristic Mapping'!$G$3:$G$500,0)),"Y","")</f>
        <v/>
      </c>
      <c r="DX274" s="58" t="str">
        <f>IF(ISNUMBER(MATCH(#REF!,'Audit Characteristic Mapping'!$H$3:$H$500,0)),"Y","")</f>
        <v/>
      </c>
      <c r="DY274" s="58" t="str">
        <f>IF(ISNUMBER(MATCH(#REF!,'Audit Characteristic Mapping'!$I$3:$I$500,0)),"Y","")</f>
        <v/>
      </c>
      <c r="DZ274" s="58" t="str">
        <f>IF(ISNUMBER(MATCH(#REF!,'Audit Characteristic Mapping'!$J$3:$J$500,0)),"Y","")</f>
        <v/>
      </c>
      <c r="EA274" s="58" t="str">
        <f>IF(ISNUMBER(MATCH(#REF!,'Audit Characteristic Mapping'!$K$3:$K$500,0)),"Y","")</f>
        <v/>
      </c>
    </row>
    <row r="275" spans="1:131" ht="16" hidden="1" x14ac:dyDescent="0.2">
      <c r="A275" s="288">
        <v>266</v>
      </c>
      <c r="B275" s="287" t="s">
        <v>405</v>
      </c>
      <c r="C275" s="226" t="s">
        <v>406</v>
      </c>
      <c r="D275" s="170">
        <v>6</v>
      </c>
      <c r="E275" s="288">
        <v>54</v>
      </c>
      <c r="F275" s="291" t="str">
        <f>VLOOKUP(Calculation!A275,'Descriptor maps'!$A$2:$F$1658,2,0)</f>
        <v>Governance</v>
      </c>
      <c r="G275" s="296"/>
      <c r="H275" s="290"/>
      <c r="I275" s="291"/>
      <c r="J275" s="292" t="e" cm="1">
        <f t="array" ref="J275">INDEX('Descriptor maps'!$I$2:$I$1658,MATCH(1,('Descriptor maps'!$A$2:$A$1658=Calculation!$A275)*('Descriptor maps'!$G$2:$G$1658=Calculation!$G275),0))</f>
        <v>#N/A</v>
      </c>
      <c r="K275" s="226"/>
      <c r="L275" s="293"/>
      <c r="M275" s="293"/>
      <c r="N275" s="293"/>
      <c r="O275" s="293"/>
      <c r="P275" s="293"/>
      <c r="Q275" s="293"/>
      <c r="R275" s="293"/>
      <c r="S275" s="293"/>
      <c r="T275" s="293"/>
      <c r="U275" s="293"/>
      <c r="V275" s="293"/>
      <c r="W275" s="293"/>
      <c r="X275" s="293"/>
      <c r="Y275" s="293"/>
      <c r="Z275" s="293"/>
      <c r="AA275" s="293"/>
      <c r="AB275" s="293"/>
      <c r="AC275" s="293"/>
      <c r="AD275" s="293"/>
      <c r="AE275" s="293"/>
      <c r="AF275" s="293"/>
      <c r="AG275" s="293"/>
      <c r="AH275" s="293"/>
      <c r="AI275" s="293"/>
      <c r="AJ275" s="293"/>
      <c r="AK275" s="293"/>
      <c r="AL275" s="293"/>
      <c r="AM275" s="293"/>
      <c r="AN275" s="293"/>
      <c r="AO275" s="293"/>
      <c r="AP275" s="293"/>
      <c r="AQ275" s="293"/>
      <c r="AR275" s="293"/>
      <c r="AS275" s="293"/>
      <c r="AT275" s="293"/>
      <c r="AU275" s="293"/>
      <c r="AV275" s="293"/>
      <c r="AW275" s="293"/>
      <c r="AX275" s="293"/>
      <c r="AY275" s="293"/>
      <c r="AZ275" s="293"/>
      <c r="BA275" s="293"/>
      <c r="BB275" s="293"/>
      <c r="BC275" s="293"/>
      <c r="BD275" s="293"/>
      <c r="BE275" s="293"/>
      <c r="BF275" s="293"/>
      <c r="BG275" s="293"/>
      <c r="BH275" s="293"/>
      <c r="BI275" s="293"/>
      <c r="BJ275" s="293"/>
      <c r="BK275" s="293"/>
      <c r="BL275" s="293"/>
      <c r="BM275" s="293"/>
      <c r="BN275" s="293"/>
      <c r="BO275" s="293"/>
      <c r="BP275" s="293"/>
      <c r="BQ275" s="293"/>
      <c r="BR275" s="293"/>
      <c r="BS275" s="293"/>
      <c r="BT275" s="293"/>
      <c r="BU275" s="293"/>
      <c r="BV275" s="293"/>
      <c r="BW275" s="293"/>
      <c r="BX275" s="293"/>
      <c r="BY275" s="293"/>
      <c r="BZ275" s="293"/>
      <c r="CA275" s="285"/>
      <c r="CB275" s="286"/>
      <c r="CC275" s="286"/>
      <c r="CD275" s="286"/>
      <c r="CE275" s="286"/>
      <c r="CF275" s="286"/>
      <c r="CG275" s="286"/>
      <c r="CH275" s="286"/>
      <c r="CI275" s="286"/>
      <c r="CJ275" s="286"/>
      <c r="CK275" s="286"/>
      <c r="CL275" s="286"/>
      <c r="CM275" s="286"/>
      <c r="CN275" s="286"/>
      <c r="CO275" s="286"/>
      <c r="CP275" s="286"/>
      <c r="CQ275" s="286"/>
      <c r="CR275" s="286"/>
      <c r="CS275" s="286"/>
      <c r="CT275" s="286"/>
      <c r="CU275" s="286"/>
      <c r="CV275" s="286"/>
      <c r="CW275" s="286"/>
      <c r="CX275" s="286"/>
      <c r="CY275" s="286"/>
      <c r="CZ275" s="286"/>
      <c r="DA275" s="286"/>
      <c r="DB275" s="286"/>
      <c r="DC275" s="286"/>
      <c r="DD275" s="286"/>
      <c r="DE275" s="286"/>
      <c r="DF275" s="286"/>
      <c r="DG275" s="286"/>
      <c r="DH275" s="286"/>
      <c r="DI275" s="286"/>
      <c r="DJ275" s="286"/>
      <c r="DK275" s="286"/>
      <c r="DL275" s="286"/>
      <c r="DM275" s="286"/>
      <c r="DN275" s="286"/>
      <c r="DO275" s="286"/>
      <c r="DP275" s="286"/>
      <c r="DR275" s="58" t="str">
        <f>IF(ISNUMBER(MATCH(#REF!,'Audit Characteristic Mapping'!$B$3:$B$500,0)),"Y","")</f>
        <v/>
      </c>
      <c r="DS275" s="58" t="str">
        <f>IF(ISNUMBER(MATCH(#REF!,'Audit Characteristic Mapping'!$C$3:$C$500,0)),"Y","")</f>
        <v/>
      </c>
      <c r="DT275" s="58" t="str">
        <f>IF(ISNUMBER(MATCH(#REF!,'Audit Characteristic Mapping'!$D$3:$D$500,0)),"Y","")</f>
        <v/>
      </c>
      <c r="DU275" s="58" t="str">
        <f>IF(ISNUMBER(MATCH(#REF!,'Audit Characteristic Mapping'!$E$3:$E$500,0)),"Y","")</f>
        <v/>
      </c>
      <c r="DV275" s="58" t="str">
        <f>IF(ISNUMBER(MATCH(#REF!,'Audit Characteristic Mapping'!$F$3:$F$500,0)),"Y","")</f>
        <v/>
      </c>
      <c r="DW275" s="58" t="str">
        <f>IF(ISNUMBER(MATCH(#REF!,'Audit Characteristic Mapping'!$G$3:$G$500,0)),"Y","")</f>
        <v/>
      </c>
      <c r="DX275" s="58" t="str">
        <f>IF(ISNUMBER(MATCH(#REF!,'Audit Characteristic Mapping'!$H$3:$H$500,0)),"Y","")</f>
        <v/>
      </c>
      <c r="DY275" s="58" t="str">
        <f>IF(ISNUMBER(MATCH(#REF!,'Audit Characteristic Mapping'!$I$3:$I$500,0)),"Y","")</f>
        <v/>
      </c>
      <c r="DZ275" s="58" t="str">
        <f>IF(ISNUMBER(MATCH(#REF!,'Audit Characteristic Mapping'!$J$3:$J$500,0)),"Y","")</f>
        <v/>
      </c>
      <c r="EA275" s="58" t="str">
        <f>IF(ISNUMBER(MATCH(#REF!,'Audit Characteristic Mapping'!$K$3:$K$500,0)),"Y","")</f>
        <v/>
      </c>
    </row>
    <row r="276" spans="1:131" ht="16" hidden="1" x14ac:dyDescent="0.2">
      <c r="A276" s="288">
        <v>267</v>
      </c>
      <c r="B276" s="287" t="s">
        <v>405</v>
      </c>
      <c r="C276" s="226" t="s">
        <v>406</v>
      </c>
      <c r="D276" s="170">
        <v>6</v>
      </c>
      <c r="E276" s="288">
        <v>54</v>
      </c>
      <c r="F276" s="291" t="str">
        <f>VLOOKUP(Calculation!A276,'Descriptor maps'!$A$2:$F$1658,2,0)</f>
        <v>Governance</v>
      </c>
      <c r="G276" s="296"/>
      <c r="H276" s="290"/>
      <c r="I276" s="291"/>
      <c r="J276" s="292" t="e" cm="1">
        <f t="array" ref="J276">INDEX('Descriptor maps'!$I$2:$I$1658,MATCH(1,('Descriptor maps'!$A$2:$A$1658=Calculation!$A276)*('Descriptor maps'!$G$2:$G$1658=Calculation!$G276),0))</f>
        <v>#N/A</v>
      </c>
      <c r="K276" s="226"/>
      <c r="L276" s="293"/>
      <c r="M276" s="293"/>
      <c r="N276" s="293"/>
      <c r="O276" s="293"/>
      <c r="P276" s="293"/>
      <c r="Q276" s="293"/>
      <c r="R276" s="293"/>
      <c r="S276" s="293"/>
      <c r="T276" s="293"/>
      <c r="U276" s="293"/>
      <c r="V276" s="293"/>
      <c r="W276" s="293"/>
      <c r="X276" s="293"/>
      <c r="Y276" s="293"/>
      <c r="Z276" s="293"/>
      <c r="AA276" s="293"/>
      <c r="AB276" s="293"/>
      <c r="AC276" s="293"/>
      <c r="AD276" s="293"/>
      <c r="AE276" s="293"/>
      <c r="AF276" s="293"/>
      <c r="AG276" s="293"/>
      <c r="AH276" s="293"/>
      <c r="AI276" s="293"/>
      <c r="AJ276" s="293"/>
      <c r="AK276" s="293"/>
      <c r="AL276" s="293"/>
      <c r="AM276" s="293"/>
      <c r="AN276" s="293"/>
      <c r="AO276" s="293"/>
      <c r="AP276" s="293"/>
      <c r="AQ276" s="293"/>
      <c r="AR276" s="293"/>
      <c r="AS276" s="293"/>
      <c r="AT276" s="293"/>
      <c r="AU276" s="293"/>
      <c r="AV276" s="293"/>
      <c r="AW276" s="293"/>
      <c r="AX276" s="293"/>
      <c r="AY276" s="293"/>
      <c r="AZ276" s="293"/>
      <c r="BA276" s="293"/>
      <c r="BB276" s="293"/>
      <c r="BC276" s="293"/>
      <c r="BD276" s="293"/>
      <c r="BE276" s="293"/>
      <c r="BF276" s="293"/>
      <c r="BG276" s="293"/>
      <c r="BH276" s="293"/>
      <c r="BI276" s="293"/>
      <c r="BJ276" s="293"/>
      <c r="BK276" s="293"/>
      <c r="BL276" s="293"/>
      <c r="BM276" s="293"/>
      <c r="BN276" s="293"/>
      <c r="BO276" s="293"/>
      <c r="BP276" s="293"/>
      <c r="BQ276" s="293"/>
      <c r="BR276" s="293"/>
      <c r="BS276" s="293"/>
      <c r="BT276" s="293"/>
      <c r="BU276" s="293"/>
      <c r="BV276" s="293"/>
      <c r="BW276" s="293"/>
      <c r="BX276" s="293"/>
      <c r="BY276" s="293"/>
      <c r="BZ276" s="293"/>
      <c r="CA276" s="285"/>
      <c r="CB276" s="286"/>
      <c r="CC276" s="286"/>
      <c r="CD276" s="286"/>
      <c r="CE276" s="286"/>
      <c r="CF276" s="286"/>
      <c r="CG276" s="286"/>
      <c r="CH276" s="286"/>
      <c r="CI276" s="286"/>
      <c r="CJ276" s="286"/>
      <c r="CK276" s="286"/>
      <c r="CL276" s="286"/>
      <c r="CM276" s="286"/>
      <c r="CN276" s="286"/>
      <c r="CO276" s="286"/>
      <c r="CP276" s="286"/>
      <c r="CQ276" s="286"/>
      <c r="CR276" s="286"/>
      <c r="CS276" s="286"/>
      <c r="CT276" s="286"/>
      <c r="CU276" s="286"/>
      <c r="CV276" s="286"/>
      <c r="CW276" s="286"/>
      <c r="CX276" s="286"/>
      <c r="CY276" s="286"/>
      <c r="CZ276" s="286"/>
      <c r="DA276" s="286"/>
      <c r="DB276" s="286"/>
      <c r="DC276" s="286"/>
      <c r="DD276" s="286"/>
      <c r="DE276" s="286"/>
      <c r="DF276" s="286"/>
      <c r="DG276" s="286"/>
      <c r="DH276" s="286"/>
      <c r="DI276" s="286"/>
      <c r="DJ276" s="286"/>
      <c r="DK276" s="286"/>
      <c r="DL276" s="286"/>
      <c r="DM276" s="286"/>
      <c r="DN276" s="286"/>
      <c r="DO276" s="286"/>
      <c r="DP276" s="286"/>
      <c r="DR276" s="58" t="str">
        <f>IF(ISNUMBER(MATCH(#REF!,'Audit Characteristic Mapping'!$B$3:$B$500,0)),"Y","")</f>
        <v/>
      </c>
      <c r="DS276" s="58" t="str">
        <f>IF(ISNUMBER(MATCH(#REF!,'Audit Characteristic Mapping'!$C$3:$C$500,0)),"Y","")</f>
        <v/>
      </c>
      <c r="DT276" s="58" t="str">
        <f>IF(ISNUMBER(MATCH(#REF!,'Audit Characteristic Mapping'!$D$3:$D$500,0)),"Y","")</f>
        <v/>
      </c>
      <c r="DU276" s="58" t="str">
        <f>IF(ISNUMBER(MATCH(#REF!,'Audit Characteristic Mapping'!$E$3:$E$500,0)),"Y","")</f>
        <v/>
      </c>
      <c r="DV276" s="58" t="str">
        <f>IF(ISNUMBER(MATCH(#REF!,'Audit Characteristic Mapping'!$F$3:$F$500,0)),"Y","")</f>
        <v/>
      </c>
      <c r="DW276" s="58" t="str">
        <f>IF(ISNUMBER(MATCH(#REF!,'Audit Characteristic Mapping'!$G$3:$G$500,0)),"Y","")</f>
        <v/>
      </c>
      <c r="DX276" s="58" t="str">
        <f>IF(ISNUMBER(MATCH(#REF!,'Audit Characteristic Mapping'!$H$3:$H$500,0)),"Y","")</f>
        <v/>
      </c>
      <c r="DY276" s="58" t="str">
        <f>IF(ISNUMBER(MATCH(#REF!,'Audit Characteristic Mapping'!$I$3:$I$500,0)),"Y","")</f>
        <v/>
      </c>
      <c r="DZ276" s="58" t="str">
        <f>IF(ISNUMBER(MATCH(#REF!,'Audit Characteristic Mapping'!$J$3:$J$500,0)),"Y","")</f>
        <v/>
      </c>
      <c r="EA276" s="58" t="str">
        <f>IF(ISNUMBER(MATCH(#REF!,'Audit Characteristic Mapping'!$K$3:$K$500,0)),"Y","")</f>
        <v/>
      </c>
    </row>
    <row r="277" spans="1:131" ht="16" hidden="1" x14ac:dyDescent="0.2">
      <c r="A277" s="288">
        <v>268</v>
      </c>
      <c r="B277" s="287" t="s">
        <v>405</v>
      </c>
      <c r="C277" s="226" t="s">
        <v>406</v>
      </c>
      <c r="D277" s="170">
        <v>6</v>
      </c>
      <c r="E277" s="288">
        <v>54</v>
      </c>
      <c r="F277" s="291" t="str">
        <f>VLOOKUP(Calculation!A277,'Descriptor maps'!$A$2:$F$1658,2,0)</f>
        <v>Governance</v>
      </c>
      <c r="G277" s="296"/>
      <c r="H277" s="290"/>
      <c r="I277" s="291"/>
      <c r="J277" s="292" t="e" cm="1">
        <f t="array" ref="J277">INDEX('Descriptor maps'!$I$2:$I$1658,MATCH(1,('Descriptor maps'!$A$2:$A$1658=Calculation!$A277)*('Descriptor maps'!$G$2:$G$1658=Calculation!$G277),0))</f>
        <v>#N/A</v>
      </c>
      <c r="K277" s="226"/>
      <c r="L277" s="293"/>
      <c r="M277" s="293"/>
      <c r="N277" s="293"/>
      <c r="O277" s="293"/>
      <c r="P277" s="293"/>
      <c r="Q277" s="293"/>
      <c r="R277" s="293"/>
      <c r="S277" s="293"/>
      <c r="T277" s="293"/>
      <c r="U277" s="293"/>
      <c r="V277" s="293"/>
      <c r="W277" s="293"/>
      <c r="X277" s="293"/>
      <c r="Y277" s="293"/>
      <c r="Z277" s="293"/>
      <c r="AA277" s="293"/>
      <c r="AB277" s="293"/>
      <c r="AC277" s="293"/>
      <c r="AD277" s="293"/>
      <c r="AE277" s="293"/>
      <c r="AF277" s="293"/>
      <c r="AG277" s="293"/>
      <c r="AH277" s="293"/>
      <c r="AI277" s="293"/>
      <c r="AJ277" s="293"/>
      <c r="AK277" s="293"/>
      <c r="AL277" s="293"/>
      <c r="AM277" s="293"/>
      <c r="AN277" s="293"/>
      <c r="AO277" s="293"/>
      <c r="AP277" s="293"/>
      <c r="AQ277" s="293"/>
      <c r="AR277" s="293"/>
      <c r="AS277" s="293"/>
      <c r="AT277" s="293"/>
      <c r="AU277" s="293"/>
      <c r="AV277" s="293"/>
      <c r="AW277" s="293"/>
      <c r="AX277" s="293"/>
      <c r="AY277" s="293"/>
      <c r="AZ277" s="293"/>
      <c r="BA277" s="293"/>
      <c r="BB277" s="293"/>
      <c r="BC277" s="293"/>
      <c r="BD277" s="293"/>
      <c r="BE277" s="293"/>
      <c r="BF277" s="293"/>
      <c r="BG277" s="293"/>
      <c r="BH277" s="293"/>
      <c r="BI277" s="293"/>
      <c r="BJ277" s="293"/>
      <c r="BK277" s="293"/>
      <c r="BL277" s="293"/>
      <c r="BM277" s="293"/>
      <c r="BN277" s="293"/>
      <c r="BO277" s="293"/>
      <c r="BP277" s="293"/>
      <c r="BQ277" s="293"/>
      <c r="BR277" s="293"/>
      <c r="BS277" s="293"/>
      <c r="BT277" s="293"/>
      <c r="BU277" s="293"/>
      <c r="BV277" s="293"/>
      <c r="BW277" s="293"/>
      <c r="BX277" s="293"/>
      <c r="BY277" s="293"/>
      <c r="BZ277" s="293"/>
      <c r="CA277" s="285"/>
      <c r="CB277" s="286"/>
      <c r="CC277" s="286"/>
      <c r="CD277" s="286"/>
      <c r="CE277" s="286"/>
      <c r="CF277" s="286"/>
      <c r="CG277" s="286"/>
      <c r="CH277" s="286"/>
      <c r="CI277" s="286"/>
      <c r="CJ277" s="286"/>
      <c r="CK277" s="286"/>
      <c r="CL277" s="286"/>
      <c r="CM277" s="286"/>
      <c r="CN277" s="286"/>
      <c r="CO277" s="286"/>
      <c r="CP277" s="286"/>
      <c r="CQ277" s="286"/>
      <c r="CR277" s="286"/>
      <c r="CS277" s="286"/>
      <c r="CT277" s="286"/>
      <c r="CU277" s="286"/>
      <c r="CV277" s="286"/>
      <c r="CW277" s="286"/>
      <c r="CX277" s="286"/>
      <c r="CY277" s="286"/>
      <c r="CZ277" s="286"/>
      <c r="DA277" s="286"/>
      <c r="DB277" s="286"/>
      <c r="DC277" s="286"/>
      <c r="DD277" s="286"/>
      <c r="DE277" s="286"/>
      <c r="DF277" s="286"/>
      <c r="DG277" s="286"/>
      <c r="DH277" s="286"/>
      <c r="DI277" s="286"/>
      <c r="DJ277" s="286"/>
      <c r="DK277" s="286"/>
      <c r="DL277" s="286"/>
      <c r="DM277" s="286"/>
      <c r="DN277" s="286"/>
      <c r="DO277" s="286"/>
      <c r="DP277" s="286"/>
      <c r="DR277" s="58" t="str">
        <f>IF(ISNUMBER(MATCH(#REF!,'Audit Characteristic Mapping'!$B$3:$B$500,0)),"Y","")</f>
        <v/>
      </c>
      <c r="DS277" s="58" t="str">
        <f>IF(ISNUMBER(MATCH(#REF!,'Audit Characteristic Mapping'!$C$3:$C$500,0)),"Y","")</f>
        <v/>
      </c>
      <c r="DT277" s="58" t="str">
        <f>IF(ISNUMBER(MATCH(#REF!,'Audit Characteristic Mapping'!$D$3:$D$500,0)),"Y","")</f>
        <v/>
      </c>
      <c r="DU277" s="58" t="str">
        <f>IF(ISNUMBER(MATCH(#REF!,'Audit Characteristic Mapping'!$E$3:$E$500,0)),"Y","")</f>
        <v/>
      </c>
      <c r="DV277" s="58" t="str">
        <f>IF(ISNUMBER(MATCH(#REF!,'Audit Characteristic Mapping'!$F$3:$F$500,0)),"Y","")</f>
        <v/>
      </c>
      <c r="DW277" s="58" t="str">
        <f>IF(ISNUMBER(MATCH(#REF!,'Audit Characteristic Mapping'!$G$3:$G$500,0)),"Y","")</f>
        <v/>
      </c>
      <c r="DX277" s="58" t="str">
        <f>IF(ISNUMBER(MATCH(#REF!,'Audit Characteristic Mapping'!$H$3:$H$500,0)),"Y","")</f>
        <v/>
      </c>
      <c r="DY277" s="58" t="str">
        <f>IF(ISNUMBER(MATCH(#REF!,'Audit Characteristic Mapping'!$I$3:$I$500,0)),"Y","")</f>
        <v/>
      </c>
      <c r="DZ277" s="58" t="str">
        <f>IF(ISNUMBER(MATCH(#REF!,'Audit Characteristic Mapping'!$J$3:$J$500,0)),"Y","")</f>
        <v/>
      </c>
      <c r="EA277" s="58" t="str">
        <f>IF(ISNUMBER(MATCH(#REF!,'Audit Characteristic Mapping'!$K$3:$K$500,0)),"Y","")</f>
        <v/>
      </c>
    </row>
    <row r="278" spans="1:131" ht="16" hidden="1" x14ac:dyDescent="0.2">
      <c r="A278" s="288">
        <v>269</v>
      </c>
      <c r="B278" s="287" t="s">
        <v>405</v>
      </c>
      <c r="C278" s="226" t="s">
        <v>406</v>
      </c>
      <c r="D278" s="170">
        <v>6</v>
      </c>
      <c r="E278" s="288">
        <v>54</v>
      </c>
      <c r="F278" s="291" t="str">
        <f>VLOOKUP(Calculation!A278,'Descriptor maps'!$A$2:$F$1658,2,0)</f>
        <v>Governance</v>
      </c>
      <c r="G278" s="296"/>
      <c r="H278" s="290"/>
      <c r="I278" s="291"/>
      <c r="J278" s="292" t="e" cm="1">
        <f t="array" ref="J278">INDEX('Descriptor maps'!$I$2:$I$1658,MATCH(1,('Descriptor maps'!$A$2:$A$1658=Calculation!$A278)*('Descriptor maps'!$G$2:$G$1658=Calculation!$G278),0))</f>
        <v>#N/A</v>
      </c>
      <c r="K278" s="226"/>
      <c r="L278" s="293"/>
      <c r="M278" s="293"/>
      <c r="N278" s="293"/>
      <c r="O278" s="293"/>
      <c r="P278" s="293"/>
      <c r="Q278" s="293"/>
      <c r="R278" s="293"/>
      <c r="S278" s="293"/>
      <c r="T278" s="293"/>
      <c r="U278" s="293"/>
      <c r="V278" s="293"/>
      <c r="W278" s="293"/>
      <c r="X278" s="293"/>
      <c r="Y278" s="293"/>
      <c r="Z278" s="293"/>
      <c r="AA278" s="293"/>
      <c r="AB278" s="293"/>
      <c r="AC278" s="293"/>
      <c r="AD278" s="293"/>
      <c r="AE278" s="293"/>
      <c r="AF278" s="293"/>
      <c r="AG278" s="293"/>
      <c r="AH278" s="293"/>
      <c r="AI278" s="293"/>
      <c r="AJ278" s="293"/>
      <c r="AK278" s="293"/>
      <c r="AL278" s="293"/>
      <c r="AM278" s="293"/>
      <c r="AN278" s="293"/>
      <c r="AO278" s="293"/>
      <c r="AP278" s="293"/>
      <c r="AQ278" s="293"/>
      <c r="AR278" s="293"/>
      <c r="AS278" s="293"/>
      <c r="AT278" s="293"/>
      <c r="AU278" s="293"/>
      <c r="AV278" s="293"/>
      <c r="AW278" s="293"/>
      <c r="AX278" s="293"/>
      <c r="AY278" s="293"/>
      <c r="AZ278" s="293"/>
      <c r="BA278" s="293"/>
      <c r="BB278" s="293"/>
      <c r="BC278" s="293"/>
      <c r="BD278" s="293"/>
      <c r="BE278" s="293"/>
      <c r="BF278" s="293"/>
      <c r="BG278" s="293"/>
      <c r="BH278" s="293"/>
      <c r="BI278" s="293"/>
      <c r="BJ278" s="293"/>
      <c r="BK278" s="293"/>
      <c r="BL278" s="293"/>
      <c r="BM278" s="293"/>
      <c r="BN278" s="293"/>
      <c r="BO278" s="293"/>
      <c r="BP278" s="293"/>
      <c r="BQ278" s="293"/>
      <c r="BR278" s="293"/>
      <c r="BS278" s="293"/>
      <c r="BT278" s="293"/>
      <c r="BU278" s="293"/>
      <c r="BV278" s="293"/>
      <c r="BW278" s="293"/>
      <c r="BX278" s="293"/>
      <c r="BY278" s="293"/>
      <c r="BZ278" s="293"/>
      <c r="CA278" s="285"/>
      <c r="CB278" s="286"/>
      <c r="CC278" s="286"/>
      <c r="CD278" s="286"/>
      <c r="CE278" s="286"/>
      <c r="CF278" s="286"/>
      <c r="CG278" s="286"/>
      <c r="CH278" s="286"/>
      <c r="CI278" s="286"/>
      <c r="CJ278" s="286"/>
      <c r="CK278" s="286"/>
      <c r="CL278" s="286"/>
      <c r="CM278" s="286"/>
      <c r="CN278" s="286"/>
      <c r="CO278" s="286"/>
      <c r="CP278" s="286"/>
      <c r="CQ278" s="286"/>
      <c r="CR278" s="286"/>
      <c r="CS278" s="286"/>
      <c r="CT278" s="286"/>
      <c r="CU278" s="286"/>
      <c r="CV278" s="286"/>
      <c r="CW278" s="286"/>
      <c r="CX278" s="286"/>
      <c r="CY278" s="286"/>
      <c r="CZ278" s="286"/>
      <c r="DA278" s="286"/>
      <c r="DB278" s="286"/>
      <c r="DC278" s="286"/>
      <c r="DD278" s="286"/>
      <c r="DE278" s="286"/>
      <c r="DF278" s="286"/>
      <c r="DG278" s="286"/>
      <c r="DH278" s="286"/>
      <c r="DI278" s="286"/>
      <c r="DJ278" s="286"/>
      <c r="DK278" s="286"/>
      <c r="DL278" s="286"/>
      <c r="DM278" s="286"/>
      <c r="DN278" s="286"/>
      <c r="DO278" s="286"/>
      <c r="DP278" s="286"/>
      <c r="DR278" s="58" t="str">
        <f>IF(ISNUMBER(MATCH(#REF!,'Audit Characteristic Mapping'!$B$3:$B$500,0)),"Y","")</f>
        <v/>
      </c>
      <c r="DS278" s="58" t="str">
        <f>IF(ISNUMBER(MATCH(#REF!,'Audit Characteristic Mapping'!$C$3:$C$500,0)),"Y","")</f>
        <v/>
      </c>
      <c r="DT278" s="58" t="str">
        <f>IF(ISNUMBER(MATCH(#REF!,'Audit Characteristic Mapping'!$D$3:$D$500,0)),"Y","")</f>
        <v/>
      </c>
      <c r="DU278" s="58" t="str">
        <f>IF(ISNUMBER(MATCH(#REF!,'Audit Characteristic Mapping'!$E$3:$E$500,0)),"Y","")</f>
        <v/>
      </c>
      <c r="DV278" s="58" t="str">
        <f>IF(ISNUMBER(MATCH(#REF!,'Audit Characteristic Mapping'!$F$3:$F$500,0)),"Y","")</f>
        <v/>
      </c>
      <c r="DW278" s="58" t="str">
        <f>IF(ISNUMBER(MATCH(#REF!,'Audit Characteristic Mapping'!$G$3:$G$500,0)),"Y","")</f>
        <v/>
      </c>
      <c r="DX278" s="58" t="str">
        <f>IF(ISNUMBER(MATCH(#REF!,'Audit Characteristic Mapping'!$H$3:$H$500,0)),"Y","")</f>
        <v/>
      </c>
      <c r="DY278" s="58" t="str">
        <f>IF(ISNUMBER(MATCH(#REF!,'Audit Characteristic Mapping'!$I$3:$I$500,0)),"Y","")</f>
        <v/>
      </c>
      <c r="DZ278" s="58" t="str">
        <f>IF(ISNUMBER(MATCH(#REF!,'Audit Characteristic Mapping'!$J$3:$J$500,0)),"Y","")</f>
        <v/>
      </c>
      <c r="EA278" s="58" t="str">
        <f>IF(ISNUMBER(MATCH(#REF!,'Audit Characteristic Mapping'!$K$3:$K$500,0)),"Y","")</f>
        <v/>
      </c>
    </row>
    <row r="279" spans="1:131" ht="64" x14ac:dyDescent="0.2">
      <c r="A279" s="294">
        <v>273</v>
      </c>
      <c r="B279" s="287" t="s">
        <v>412</v>
      </c>
      <c r="C279" s="226" t="s">
        <v>416</v>
      </c>
      <c r="D279" s="170">
        <v>7</v>
      </c>
      <c r="E279" s="288">
        <v>57</v>
      </c>
      <c r="F279" s="291" t="str">
        <f>VLOOKUP(Calculation!A279,'Descriptor maps'!$A$2:$F$1658,6,0)</f>
        <v>Is there documented evidence that deviations from the Technical Specifications were identified and documented, to achieve the objective of documenting all pertinent construction activities and assessing and understanding the effect of any deviances to the risk profile of the facility?</v>
      </c>
      <c r="G279" s="296" t="s">
        <v>1192</v>
      </c>
      <c r="H279" s="290"/>
      <c r="I279" s="291" cm="1">
        <f t="array" ref="I279">INDEX('Descriptor maps'!$H$2:$H$1658,MATCH(1,('Descriptor maps'!$A$2:$A$1658=Calculation!$A279)*('Descriptor maps'!$G$2:$G$1658=Calculation!$G279),0))</f>
        <v>1</v>
      </c>
      <c r="J279" s="292" cm="1">
        <f t="array" ref="J279">INDEX('Descriptor maps'!$I$2:$I$1658,MATCH(1,('Descriptor maps'!$A$2:$A$1658=Calculation!$A279)*('Descriptor maps'!$G$2:$G$1658=Calculation!$G279),0))</f>
        <v>1</v>
      </c>
      <c r="K279" s="226"/>
      <c r="L279" s="293"/>
      <c r="M279" s="293"/>
      <c r="N279" s="293"/>
      <c r="O279" s="293">
        <f>1*$J279</f>
        <v>1</v>
      </c>
      <c r="P279" s="293"/>
      <c r="Q279" s="293"/>
      <c r="R279" s="293"/>
      <c r="S279" s="293"/>
      <c r="T279" s="293"/>
      <c r="U279" s="293"/>
      <c r="V279" s="293">
        <f>1*$J279</f>
        <v>1</v>
      </c>
      <c r="W279" s="293"/>
      <c r="X279" s="293"/>
      <c r="Y279" s="293"/>
      <c r="Z279" s="293"/>
      <c r="AA279" s="293"/>
      <c r="AB279" s="293"/>
      <c r="AC279" s="293">
        <f>1*$J279</f>
        <v>1</v>
      </c>
      <c r="AD279" s="293"/>
      <c r="AE279" s="293"/>
      <c r="AF279" s="293"/>
      <c r="AG279" s="293"/>
      <c r="AH279" s="293"/>
      <c r="AI279" s="293">
        <f>1*$J279</f>
        <v>1</v>
      </c>
      <c r="AJ279" s="293"/>
      <c r="AK279" s="293"/>
      <c r="AL279" s="293">
        <f>1*$J279</f>
        <v>1</v>
      </c>
      <c r="AM279" s="293"/>
      <c r="AN279" s="293"/>
      <c r="AO279" s="293"/>
      <c r="AP279" s="293"/>
      <c r="AQ279" s="293"/>
      <c r="AR279" s="293"/>
      <c r="AS279" s="293"/>
      <c r="AT279" s="293"/>
      <c r="AU279" s="293"/>
      <c r="AV279" s="293"/>
      <c r="AW279" s="293">
        <f>J279</f>
        <v>1</v>
      </c>
      <c r="AX279" s="293"/>
      <c r="AY279" s="293"/>
      <c r="AZ279" s="293"/>
      <c r="BA279" s="293"/>
      <c r="BB279" s="293"/>
      <c r="BC279" s="293"/>
      <c r="BD279" s="293"/>
      <c r="BE279" s="293"/>
      <c r="BF279" s="293"/>
      <c r="BG279" s="293"/>
      <c r="BH279" s="293"/>
      <c r="BI279" s="293"/>
      <c r="BJ279" s="293"/>
      <c r="BK279" s="293"/>
      <c r="BL279" s="293"/>
      <c r="BM279" s="293"/>
      <c r="BN279" s="293"/>
      <c r="BO279" s="293"/>
      <c r="BP279" s="293"/>
      <c r="BQ279" s="293"/>
      <c r="BR279" s="293"/>
      <c r="BS279" s="293"/>
      <c r="BT279" s="293"/>
      <c r="BU279" s="293"/>
      <c r="BV279" s="293"/>
      <c r="BW279" s="293"/>
      <c r="BX279" s="293"/>
      <c r="BY279" s="293"/>
      <c r="BZ279" s="293"/>
      <c r="CA279" s="285"/>
      <c r="CB279" s="286"/>
      <c r="CC279" s="286"/>
      <c r="CD279" s="286"/>
      <c r="CE279" s="286"/>
      <c r="CF279" s="286">
        <v>1</v>
      </c>
      <c r="CG279" s="286"/>
      <c r="CH279" s="286"/>
      <c r="CI279" s="286">
        <v>1</v>
      </c>
      <c r="CJ279" s="286"/>
      <c r="CK279" s="286"/>
      <c r="CL279" s="286"/>
      <c r="CM279" s="286"/>
      <c r="CN279" s="286"/>
      <c r="CO279" s="286">
        <v>1</v>
      </c>
      <c r="CP279" s="286"/>
      <c r="CQ279" s="286"/>
      <c r="CR279" s="286"/>
      <c r="CS279" s="286"/>
      <c r="CT279" s="286"/>
      <c r="CU279" s="286"/>
      <c r="CV279" s="286">
        <v>1</v>
      </c>
      <c r="CW279" s="286"/>
      <c r="CX279" s="286">
        <v>1</v>
      </c>
      <c r="CY279" s="286"/>
      <c r="CZ279" s="286"/>
      <c r="DA279" s="286"/>
      <c r="DB279" s="286">
        <v>1</v>
      </c>
      <c r="DC279" s="286"/>
      <c r="DD279" s="286"/>
      <c r="DE279" s="286"/>
      <c r="DF279" s="286"/>
      <c r="DG279" s="286">
        <v>1</v>
      </c>
      <c r="DH279" s="286">
        <v>1</v>
      </c>
      <c r="DI279" s="286"/>
      <c r="DJ279" s="286"/>
      <c r="DK279" s="286"/>
      <c r="DL279" s="286">
        <v>1</v>
      </c>
      <c r="DM279" s="286"/>
      <c r="DN279" s="286"/>
      <c r="DO279" s="286"/>
      <c r="DP279" s="286"/>
      <c r="DR279" s="58" t="str">
        <f>IF(ISNUMBER(MATCH(#REF!,'Audit Characteristic Mapping'!$B$3:$B$500,0)),"Y","")</f>
        <v/>
      </c>
      <c r="DS279" s="58" t="str">
        <f>IF(ISNUMBER(MATCH(#REF!,'Audit Characteristic Mapping'!$C$3:$C$500,0)),"Y","")</f>
        <v/>
      </c>
      <c r="DT279" s="58" t="str">
        <f>IF(ISNUMBER(MATCH(#REF!,'Audit Characteristic Mapping'!$D$3:$D$500,0)),"Y","")</f>
        <v/>
      </c>
      <c r="DU279" s="58" t="str">
        <f>IF(ISNUMBER(MATCH(#REF!,'Audit Characteristic Mapping'!$E$3:$E$500,0)),"Y","")</f>
        <v/>
      </c>
      <c r="DV279" s="58" t="str">
        <f>IF(ISNUMBER(MATCH(#REF!,'Audit Characteristic Mapping'!$F$3:$F$500,0)),"Y","")</f>
        <v/>
      </c>
      <c r="DW279" s="58" t="str">
        <f>IF(ISNUMBER(MATCH(#REF!,'Audit Characteristic Mapping'!$G$3:$G$500,0)),"Y","")</f>
        <v/>
      </c>
      <c r="DX279" s="58" t="str">
        <f>IF(ISNUMBER(MATCH(#REF!,'Audit Characteristic Mapping'!$H$3:$H$500,0)),"Y","")</f>
        <v/>
      </c>
      <c r="DY279" s="58" t="str">
        <f>IF(ISNUMBER(MATCH(#REF!,'Audit Characteristic Mapping'!$I$3:$I$500,0)),"Y","")</f>
        <v/>
      </c>
      <c r="DZ279" s="58" t="str">
        <f>IF(ISNUMBER(MATCH(#REF!,'Audit Characteristic Mapping'!$J$3:$J$500,0)),"Y","")</f>
        <v/>
      </c>
      <c r="EA279" s="58" t="str">
        <f>IF(ISNUMBER(MATCH(#REF!,'Audit Characteristic Mapping'!$K$3:$K$500,0)),"Y","")</f>
        <v/>
      </c>
    </row>
    <row r="280" spans="1:131" ht="48" x14ac:dyDescent="0.2">
      <c r="A280" s="294">
        <v>274</v>
      </c>
      <c r="B280" s="287" t="s">
        <v>412</v>
      </c>
      <c r="C280" s="226" t="s">
        <v>416</v>
      </c>
      <c r="D280" s="170">
        <v>7</v>
      </c>
      <c r="E280" s="288">
        <v>57</v>
      </c>
      <c r="F280" s="291" t="str">
        <f>VLOOKUP(Calculation!A280,'Descriptor maps'!$A$2:$F$1658,6,0)</f>
        <v>Have the As-Constructed data from each construction project been collated and documented, to achieve the objective of adding to the facility knowledge base and adhering to the requirements of relevant standards and guidelines?</v>
      </c>
      <c r="G280" s="296" t="s">
        <v>1192</v>
      </c>
      <c r="H280" s="290"/>
      <c r="I280" s="291" cm="1">
        <f t="array" ref="I280">INDEX('Descriptor maps'!$H$2:$H$1658,MATCH(1,('Descriptor maps'!$A$2:$A$1658=Calculation!$A280)*('Descriptor maps'!$G$2:$G$1658=Calculation!$G280),0))</f>
        <v>1</v>
      </c>
      <c r="J280" s="292" cm="1">
        <f t="array" ref="J280">INDEX('Descriptor maps'!$I$2:$I$1658,MATCH(1,('Descriptor maps'!$A$2:$A$1658=Calculation!$A280)*('Descriptor maps'!$G$2:$G$1658=Calculation!$G280),0))</f>
        <v>1</v>
      </c>
      <c r="K280" s="226"/>
      <c r="L280" s="293"/>
      <c r="M280" s="293"/>
      <c r="N280" s="293"/>
      <c r="O280" s="293">
        <f>1*$J280</f>
        <v>1</v>
      </c>
      <c r="P280" s="293"/>
      <c r="Q280" s="293"/>
      <c r="R280" s="293"/>
      <c r="S280" s="293"/>
      <c r="T280" s="293"/>
      <c r="U280" s="293"/>
      <c r="V280" s="293">
        <f>1*$J280</f>
        <v>1</v>
      </c>
      <c r="W280" s="293"/>
      <c r="X280" s="293"/>
      <c r="Y280" s="293"/>
      <c r="Z280" s="293"/>
      <c r="AA280" s="293"/>
      <c r="AB280" s="293"/>
      <c r="AC280" s="293">
        <f>1*$J280</f>
        <v>1</v>
      </c>
      <c r="AD280" s="293"/>
      <c r="AE280" s="293"/>
      <c r="AF280" s="293"/>
      <c r="AG280" s="293"/>
      <c r="AH280" s="293"/>
      <c r="AI280" s="293">
        <f>1*$J280</f>
        <v>1</v>
      </c>
      <c r="AJ280" s="293"/>
      <c r="AK280" s="293"/>
      <c r="AL280" s="293">
        <f>1*$J280</f>
        <v>1</v>
      </c>
      <c r="AM280" s="293"/>
      <c r="AN280" s="293"/>
      <c r="AO280" s="293"/>
      <c r="AP280" s="293"/>
      <c r="AQ280" s="293"/>
      <c r="AR280" s="293"/>
      <c r="AS280" s="293"/>
      <c r="AT280" s="293"/>
      <c r="AU280" s="293"/>
      <c r="AV280" s="293"/>
      <c r="AW280" s="293">
        <f>J280</f>
        <v>1</v>
      </c>
      <c r="AX280" s="293"/>
      <c r="AY280" s="293"/>
      <c r="AZ280" s="293"/>
      <c r="BA280" s="293"/>
      <c r="BB280" s="293"/>
      <c r="BC280" s="293"/>
      <c r="BD280" s="293"/>
      <c r="BE280" s="293"/>
      <c r="BF280" s="293"/>
      <c r="BG280" s="293"/>
      <c r="BH280" s="293"/>
      <c r="BI280" s="293"/>
      <c r="BJ280" s="293"/>
      <c r="BK280" s="293"/>
      <c r="BL280" s="293"/>
      <c r="BM280" s="293"/>
      <c r="BN280" s="293"/>
      <c r="BO280" s="293"/>
      <c r="BP280" s="293"/>
      <c r="BQ280" s="293"/>
      <c r="BR280" s="293"/>
      <c r="BS280" s="293"/>
      <c r="BT280" s="293"/>
      <c r="BU280" s="293"/>
      <c r="BV280" s="293"/>
      <c r="BW280" s="293"/>
      <c r="BX280" s="293"/>
      <c r="BY280" s="293"/>
      <c r="BZ280" s="293"/>
      <c r="CA280" s="285"/>
      <c r="CB280" s="286"/>
      <c r="CC280" s="286"/>
      <c r="CD280" s="286"/>
      <c r="CE280" s="286"/>
      <c r="CF280" s="286"/>
      <c r="CG280" s="286"/>
      <c r="CH280" s="286"/>
      <c r="CI280" s="286"/>
      <c r="CJ280" s="286"/>
      <c r="CK280" s="286"/>
      <c r="CL280" s="286"/>
      <c r="CM280" s="286"/>
      <c r="CN280" s="286"/>
      <c r="CO280" s="286"/>
      <c r="CP280" s="286"/>
      <c r="CQ280" s="286"/>
      <c r="CR280" s="286"/>
      <c r="CS280" s="286"/>
      <c r="CT280" s="286"/>
      <c r="CU280" s="286"/>
      <c r="CV280" s="286"/>
      <c r="CW280" s="286"/>
      <c r="CX280" s="286"/>
      <c r="CY280" s="286"/>
      <c r="CZ280" s="286"/>
      <c r="DA280" s="286"/>
      <c r="DB280" s="286"/>
      <c r="DC280" s="286"/>
      <c r="DD280" s="286"/>
      <c r="DE280" s="286"/>
      <c r="DF280" s="286"/>
      <c r="DG280" s="286"/>
      <c r="DH280" s="286"/>
      <c r="DI280" s="286"/>
      <c r="DJ280" s="286"/>
      <c r="DK280" s="286"/>
      <c r="DL280" s="286"/>
      <c r="DM280" s="286"/>
      <c r="DN280" s="286"/>
      <c r="DO280" s="286"/>
      <c r="DP280" s="286"/>
      <c r="DR280" s="58" t="str">
        <f>IF(ISNUMBER(MATCH(#REF!,'Audit Characteristic Mapping'!$B$3:$B$500,0)),"Y","")</f>
        <v/>
      </c>
      <c r="DS280" s="58" t="str">
        <f>IF(ISNUMBER(MATCH(#REF!,'Audit Characteristic Mapping'!$C$3:$C$500,0)),"Y","")</f>
        <v/>
      </c>
      <c r="DT280" s="58" t="str">
        <f>IF(ISNUMBER(MATCH(#REF!,'Audit Characteristic Mapping'!$D$3:$D$500,0)),"Y","")</f>
        <v/>
      </c>
      <c r="DU280" s="58" t="str">
        <f>IF(ISNUMBER(MATCH(#REF!,'Audit Characteristic Mapping'!$E$3:$E$500,0)),"Y","")</f>
        <v/>
      </c>
      <c r="DV280" s="58" t="str">
        <f>IF(ISNUMBER(MATCH(#REF!,'Audit Characteristic Mapping'!$F$3:$F$500,0)),"Y","")</f>
        <v/>
      </c>
      <c r="DW280" s="58" t="str">
        <f>IF(ISNUMBER(MATCH(#REF!,'Audit Characteristic Mapping'!$G$3:$G$500,0)),"Y","")</f>
        <v/>
      </c>
      <c r="DX280" s="58" t="str">
        <f>IF(ISNUMBER(MATCH(#REF!,'Audit Characteristic Mapping'!$H$3:$H$500,0)),"Y","")</f>
        <v/>
      </c>
      <c r="DY280" s="58" t="str">
        <f>IF(ISNUMBER(MATCH(#REF!,'Audit Characteristic Mapping'!$I$3:$I$500,0)),"Y","")</f>
        <v/>
      </c>
      <c r="DZ280" s="58" t="str">
        <f>IF(ISNUMBER(MATCH(#REF!,'Audit Characteristic Mapping'!$J$3:$J$500,0)),"Y","")</f>
        <v/>
      </c>
      <c r="EA280" s="58" t="str">
        <f>IF(ISNUMBER(MATCH(#REF!,'Audit Characteristic Mapping'!$K$3:$K$500,0)),"Y","")</f>
        <v/>
      </c>
    </row>
    <row r="281" spans="1:131" ht="48" x14ac:dyDescent="0.2">
      <c r="A281" s="294">
        <v>275</v>
      </c>
      <c r="B281" s="287" t="s">
        <v>412</v>
      </c>
      <c r="C281" s="226" t="s">
        <v>416</v>
      </c>
      <c r="D281" s="170">
        <v>7</v>
      </c>
      <c r="E281" s="288">
        <v>57</v>
      </c>
      <c r="F281" s="291" t="str">
        <f>VLOOKUP(Calculation!A281,'Descriptor maps'!$A$2:$F$1658,6,0)</f>
        <v>Have Construction Reports for each construction project been produced, to achieve the objective of adding to the facility knowledge base and adhering to the requirements of relevant standards and guidelines?</v>
      </c>
      <c r="G281" s="296" t="s">
        <v>1192</v>
      </c>
      <c r="H281" s="290"/>
      <c r="I281" s="291" cm="1">
        <f t="array" ref="I281">INDEX('Descriptor maps'!$H$2:$H$1658,MATCH(1,('Descriptor maps'!$A$2:$A$1658=Calculation!$A281)*('Descriptor maps'!$G$2:$G$1658=Calculation!$G281),0))</f>
        <v>1</v>
      </c>
      <c r="J281" s="292" cm="1">
        <f t="array" ref="J281">INDEX('Descriptor maps'!$I$2:$I$1658,MATCH(1,('Descriptor maps'!$A$2:$A$1658=Calculation!$A281)*('Descriptor maps'!$G$2:$G$1658=Calculation!$G281),0))</f>
        <v>1</v>
      </c>
      <c r="K281" s="226"/>
      <c r="L281" s="293"/>
      <c r="M281" s="293"/>
      <c r="N281" s="293"/>
      <c r="O281" s="293">
        <f>1*$J281</f>
        <v>1</v>
      </c>
      <c r="P281" s="293"/>
      <c r="Q281" s="293"/>
      <c r="R281" s="293"/>
      <c r="S281" s="293"/>
      <c r="T281" s="293"/>
      <c r="U281" s="293"/>
      <c r="V281" s="293">
        <f>1*$J281</f>
        <v>1</v>
      </c>
      <c r="W281" s="293"/>
      <c r="X281" s="293"/>
      <c r="Y281" s="293"/>
      <c r="Z281" s="293"/>
      <c r="AA281" s="293"/>
      <c r="AB281" s="293"/>
      <c r="AC281" s="293">
        <f>1*$J281</f>
        <v>1</v>
      </c>
      <c r="AD281" s="293"/>
      <c r="AE281" s="293"/>
      <c r="AF281" s="293"/>
      <c r="AG281" s="293"/>
      <c r="AH281" s="293"/>
      <c r="AI281" s="293">
        <f>1*$J281</f>
        <v>1</v>
      </c>
      <c r="AJ281" s="293"/>
      <c r="AK281" s="293"/>
      <c r="AL281" s="293">
        <f>1*$J281</f>
        <v>1</v>
      </c>
      <c r="AM281" s="293"/>
      <c r="AN281" s="293"/>
      <c r="AO281" s="293"/>
      <c r="AP281" s="293"/>
      <c r="AQ281" s="293"/>
      <c r="AR281" s="293"/>
      <c r="AS281" s="293"/>
      <c r="AT281" s="293"/>
      <c r="AU281" s="293"/>
      <c r="AV281" s="293"/>
      <c r="AW281" s="293">
        <f>J281</f>
        <v>1</v>
      </c>
      <c r="AX281" s="293"/>
      <c r="AY281" s="293"/>
      <c r="AZ281" s="293"/>
      <c r="BA281" s="293"/>
      <c r="BB281" s="293"/>
      <c r="BC281" s="293"/>
      <c r="BD281" s="293"/>
      <c r="BE281" s="293"/>
      <c r="BF281" s="293"/>
      <c r="BG281" s="293"/>
      <c r="BH281" s="293"/>
      <c r="BI281" s="293"/>
      <c r="BJ281" s="293"/>
      <c r="BK281" s="293"/>
      <c r="BL281" s="293"/>
      <c r="BM281" s="293"/>
      <c r="BN281" s="293"/>
      <c r="BO281" s="293"/>
      <c r="BP281" s="293"/>
      <c r="BQ281" s="293"/>
      <c r="BR281" s="293"/>
      <c r="BS281" s="293"/>
      <c r="BT281" s="293"/>
      <c r="BU281" s="293"/>
      <c r="BV281" s="293"/>
      <c r="BW281" s="293"/>
      <c r="BX281" s="293"/>
      <c r="BY281" s="293"/>
      <c r="BZ281" s="293"/>
      <c r="CA281" s="285"/>
      <c r="CB281" s="286"/>
      <c r="CC281" s="286"/>
      <c r="CD281" s="286"/>
      <c r="CE281" s="286"/>
      <c r="CF281" s="286"/>
      <c r="CG281" s="286"/>
      <c r="CH281" s="286"/>
      <c r="CI281" s="286"/>
      <c r="CJ281" s="286"/>
      <c r="CK281" s="286"/>
      <c r="CL281" s="286"/>
      <c r="CM281" s="286"/>
      <c r="CN281" s="286"/>
      <c r="CO281" s="286"/>
      <c r="CP281" s="286"/>
      <c r="CQ281" s="286"/>
      <c r="CR281" s="286"/>
      <c r="CS281" s="286"/>
      <c r="CT281" s="286"/>
      <c r="CU281" s="286"/>
      <c r="CV281" s="286"/>
      <c r="CW281" s="286"/>
      <c r="CX281" s="286"/>
      <c r="CY281" s="286"/>
      <c r="CZ281" s="286"/>
      <c r="DA281" s="286"/>
      <c r="DB281" s="286"/>
      <c r="DC281" s="286"/>
      <c r="DD281" s="286"/>
      <c r="DE281" s="286"/>
      <c r="DF281" s="286"/>
      <c r="DG281" s="286"/>
      <c r="DH281" s="286"/>
      <c r="DI281" s="286"/>
      <c r="DJ281" s="286"/>
      <c r="DK281" s="286"/>
      <c r="DL281" s="286"/>
      <c r="DM281" s="286"/>
      <c r="DN281" s="286"/>
      <c r="DO281" s="286"/>
      <c r="DP281" s="286"/>
      <c r="DR281" s="58" t="str">
        <f>IF(ISNUMBER(MATCH(#REF!,'Audit Characteristic Mapping'!$B$3:$B$500,0)),"Y","")</f>
        <v/>
      </c>
      <c r="DS281" s="58" t="str">
        <f>IF(ISNUMBER(MATCH(#REF!,'Audit Characteristic Mapping'!$C$3:$C$500,0)),"Y","")</f>
        <v/>
      </c>
      <c r="DT281" s="58" t="str">
        <f>IF(ISNUMBER(MATCH(#REF!,'Audit Characteristic Mapping'!$D$3:$D$500,0)),"Y","")</f>
        <v/>
      </c>
      <c r="DU281" s="58" t="str">
        <f>IF(ISNUMBER(MATCH(#REF!,'Audit Characteristic Mapping'!$E$3:$E$500,0)),"Y","")</f>
        <v/>
      </c>
      <c r="DV281" s="58" t="str">
        <f>IF(ISNUMBER(MATCH(#REF!,'Audit Characteristic Mapping'!$F$3:$F$500,0)),"Y","")</f>
        <v/>
      </c>
      <c r="DW281" s="58" t="str">
        <f>IF(ISNUMBER(MATCH(#REF!,'Audit Characteristic Mapping'!$G$3:$G$500,0)),"Y","")</f>
        <v/>
      </c>
      <c r="DX281" s="58" t="str">
        <f>IF(ISNUMBER(MATCH(#REF!,'Audit Characteristic Mapping'!$H$3:$H$500,0)),"Y","")</f>
        <v/>
      </c>
      <c r="DY281" s="58" t="str">
        <f>IF(ISNUMBER(MATCH(#REF!,'Audit Characteristic Mapping'!$I$3:$I$500,0)),"Y","")</f>
        <v/>
      </c>
      <c r="DZ281" s="58" t="str">
        <f>IF(ISNUMBER(MATCH(#REF!,'Audit Characteristic Mapping'!$J$3:$J$500,0)),"Y","")</f>
        <v/>
      </c>
      <c r="EA281" s="58" t="str">
        <f>IF(ISNUMBER(MATCH(#REF!,'Audit Characteristic Mapping'!$K$3:$K$500,0)),"Y","")</f>
        <v/>
      </c>
    </row>
    <row r="282" spans="1:131" ht="48" x14ac:dyDescent="0.2">
      <c r="A282" s="294">
        <v>358</v>
      </c>
      <c r="B282" s="287" t="s">
        <v>492</v>
      </c>
      <c r="C282" s="226" t="s">
        <v>513</v>
      </c>
      <c r="D282" s="170">
        <v>10</v>
      </c>
      <c r="E282" s="288">
        <v>72</v>
      </c>
      <c r="F282" s="291" t="str">
        <f>VLOOKUP(Calculation!A282,'Descriptor maps'!$A$2:$F$1658,6,0)</f>
        <v>Is there documented evidence that regular inspections are being properly carried out at the required frequency to achieve the objective of identifying visual signs of maloperation or structural distress?</v>
      </c>
      <c r="G282" s="296" t="s">
        <v>1193</v>
      </c>
      <c r="H282" s="290"/>
      <c r="I282" s="291" cm="1">
        <f t="array" ref="I282">INDEX('Descriptor maps'!$H$2:$H$1658,MATCH(1,('Descriptor maps'!$A$2:$A$1658=Calculation!$A282)*('Descriptor maps'!$G$2:$G$1658=Calculation!$G282),0))</f>
        <v>2</v>
      </c>
      <c r="J282" s="292" cm="1">
        <f t="array" ref="J282">INDEX('Descriptor maps'!$I$2:$I$1658,MATCH(1,('Descriptor maps'!$A$2:$A$1658=Calculation!$A282)*('Descriptor maps'!$G$2:$G$1658=Calculation!$G282),0))</f>
        <v>2</v>
      </c>
      <c r="K282" s="292"/>
      <c r="L282" s="293"/>
      <c r="M282" s="293"/>
      <c r="N282" s="293"/>
      <c r="O282" s="293"/>
      <c r="P282" s="293">
        <f>1*$J282</f>
        <v>2</v>
      </c>
      <c r="Q282" s="293"/>
      <c r="R282" s="293"/>
      <c r="S282" s="293"/>
      <c r="T282" s="293"/>
      <c r="U282" s="293"/>
      <c r="V282" s="293"/>
      <c r="W282" s="293">
        <f>1*$J282</f>
        <v>2</v>
      </c>
      <c r="X282" s="293"/>
      <c r="Y282" s="293"/>
      <c r="Z282" s="293"/>
      <c r="AA282" s="293"/>
      <c r="AB282" s="293"/>
      <c r="AC282" s="293"/>
      <c r="AD282" s="293">
        <f>1*$J282</f>
        <v>2</v>
      </c>
      <c r="AE282" s="293"/>
      <c r="AF282" s="293"/>
      <c r="AG282" s="293"/>
      <c r="AH282" s="293"/>
      <c r="AI282" s="293"/>
      <c r="AJ282" s="293"/>
      <c r="AK282" s="293"/>
      <c r="AL282" s="293"/>
      <c r="AM282" s="293"/>
      <c r="AN282" s="293"/>
      <c r="AO282" s="293"/>
      <c r="AP282" s="293">
        <f>J282</f>
        <v>2</v>
      </c>
      <c r="AQ282" s="293"/>
      <c r="AR282" s="293"/>
      <c r="AS282" s="293"/>
      <c r="AT282" s="293"/>
      <c r="AU282" s="293"/>
      <c r="AV282" s="293"/>
      <c r="AW282" s="293"/>
      <c r="AX282" s="293"/>
      <c r="AY282" s="293"/>
      <c r="AZ282" s="293"/>
      <c r="BA282" s="293">
        <f>1*$J282</f>
        <v>2</v>
      </c>
      <c r="BB282" s="293"/>
      <c r="BC282" s="293"/>
      <c r="BD282" s="293"/>
      <c r="BE282" s="293"/>
      <c r="BF282" s="293"/>
      <c r="BG282" s="293"/>
      <c r="BH282" s="293"/>
      <c r="BI282" s="293"/>
      <c r="BJ282" s="293"/>
      <c r="BK282" s="293"/>
      <c r="BL282" s="293"/>
      <c r="BM282" s="293"/>
      <c r="BN282" s="293">
        <f>1*$J282</f>
        <v>2</v>
      </c>
      <c r="BO282" s="293"/>
      <c r="BP282" s="293"/>
      <c r="BQ282" s="293"/>
      <c r="BR282" s="293"/>
      <c r="BS282" s="293"/>
      <c r="BT282" s="293"/>
      <c r="BU282" s="293"/>
      <c r="BV282" s="293"/>
      <c r="BW282" s="293"/>
      <c r="BX282" s="293"/>
      <c r="BY282" s="293"/>
      <c r="BZ282" s="293"/>
      <c r="CA282" s="285"/>
      <c r="CB282" s="286"/>
      <c r="CC282" s="286"/>
      <c r="CD282" s="286"/>
      <c r="CE282" s="286"/>
      <c r="CF282" s="286"/>
      <c r="CG282" s="286"/>
      <c r="CH282" s="286"/>
      <c r="CI282" s="286"/>
      <c r="CJ282" s="286"/>
      <c r="CK282" s="286"/>
      <c r="CL282" s="286"/>
      <c r="CM282" s="286"/>
      <c r="CN282" s="286"/>
      <c r="CO282" s="286"/>
      <c r="CP282" s="286"/>
      <c r="CQ282" s="286"/>
      <c r="CR282" s="286"/>
      <c r="CS282" s="286"/>
      <c r="CT282" s="286"/>
      <c r="CU282" s="286"/>
      <c r="CV282" s="286"/>
      <c r="CW282" s="286"/>
      <c r="CX282" s="286"/>
      <c r="CY282" s="286"/>
      <c r="CZ282" s="286">
        <v>1</v>
      </c>
      <c r="DA282" s="286"/>
      <c r="DB282" s="286"/>
      <c r="DC282" s="286"/>
      <c r="DD282" s="286"/>
      <c r="DE282" s="286"/>
      <c r="DF282" s="286"/>
      <c r="DG282" s="286"/>
      <c r="DH282" s="286"/>
      <c r="DI282" s="286"/>
      <c r="DJ282" s="286">
        <v>1</v>
      </c>
      <c r="DK282" s="286"/>
      <c r="DL282" s="286"/>
      <c r="DM282" s="286"/>
      <c r="DN282" s="286"/>
      <c r="DO282" s="286"/>
      <c r="DP282" s="286">
        <v>1</v>
      </c>
      <c r="DR282" s="58" t="str">
        <f>IF(ISNUMBER(MATCH(#REF!,'Audit Characteristic Mapping'!$B$3:$B$500,0)),"Y","")</f>
        <v/>
      </c>
      <c r="DS282" s="58" t="str">
        <f>IF(ISNUMBER(MATCH(#REF!,'Audit Characteristic Mapping'!$C$3:$C$500,0)),"Y","")</f>
        <v/>
      </c>
      <c r="DT282" s="58" t="str">
        <f>IF(ISNUMBER(MATCH(#REF!,'Audit Characteristic Mapping'!$D$3:$D$500,0)),"Y","")</f>
        <v/>
      </c>
      <c r="DU282" s="58" t="str">
        <f>IF(ISNUMBER(MATCH(#REF!,'Audit Characteristic Mapping'!$E$3:$E$500,0)),"Y","")</f>
        <v/>
      </c>
      <c r="DV282" s="58" t="str">
        <f>IF(ISNUMBER(MATCH(#REF!,'Audit Characteristic Mapping'!$F$3:$F$500,0)),"Y","")</f>
        <v/>
      </c>
      <c r="DW282" s="58" t="str">
        <f>IF(ISNUMBER(MATCH(#REF!,'Audit Characteristic Mapping'!$G$3:$G$500,0)),"Y","")</f>
        <v/>
      </c>
      <c r="DX282" s="58" t="str">
        <f>IF(ISNUMBER(MATCH(#REF!,'Audit Characteristic Mapping'!$H$3:$H$500,0)),"Y","")</f>
        <v/>
      </c>
      <c r="DY282" s="58" t="str">
        <f>IF(ISNUMBER(MATCH(#REF!,'Audit Characteristic Mapping'!$I$3:$I$500,0)),"Y","")</f>
        <v/>
      </c>
      <c r="DZ282" s="58" t="str">
        <f>IF(ISNUMBER(MATCH(#REF!,'Audit Characteristic Mapping'!$J$3:$J$500,0)),"Y","")</f>
        <v/>
      </c>
      <c r="EA282" s="58" t="str">
        <f>IF(ISNUMBER(MATCH(#REF!,'Audit Characteristic Mapping'!$K$3:$K$500,0)),"Y","")</f>
        <v/>
      </c>
    </row>
    <row r="283" spans="1:131" ht="48" x14ac:dyDescent="0.2">
      <c r="A283" s="294">
        <v>359</v>
      </c>
      <c r="B283" s="287" t="s">
        <v>492</v>
      </c>
      <c r="C283" s="226" t="s">
        <v>513</v>
      </c>
      <c r="D283" s="170">
        <v>10</v>
      </c>
      <c r="E283" s="288">
        <v>72</v>
      </c>
      <c r="F283" s="291" t="str">
        <f>VLOOKUP(Calculation!A283,'Descriptor maps'!$A$2:$F$1658,6,0)</f>
        <v>Is there documented evidence that annual inspections by qualified personnel are being appropriately and properly carried out, to achieve the objective of reviewing the performance, behaviour, management and operation of the facility?</v>
      </c>
      <c r="G283" s="296" t="s">
        <v>1193</v>
      </c>
      <c r="H283" s="290"/>
      <c r="I283" s="291" cm="1">
        <f t="array" ref="I283">INDEX('Descriptor maps'!$H$2:$H$1658,MATCH(1,('Descriptor maps'!$A$2:$A$1658=Calculation!$A283)*('Descriptor maps'!$G$2:$G$1658=Calculation!$G283),0))</f>
        <v>2</v>
      </c>
      <c r="J283" s="292" cm="1">
        <f t="array" ref="J283">INDEX('Descriptor maps'!$I$2:$I$1658,MATCH(1,('Descriptor maps'!$A$2:$A$1658=Calculation!$A283)*('Descriptor maps'!$G$2:$G$1658=Calculation!$G283),0))</f>
        <v>2</v>
      </c>
      <c r="K283" s="226"/>
      <c r="L283" s="293"/>
      <c r="M283" s="293"/>
      <c r="N283" s="293"/>
      <c r="O283" s="293"/>
      <c r="P283" s="293">
        <f>1*$J283</f>
        <v>2</v>
      </c>
      <c r="Q283" s="293"/>
      <c r="R283" s="293"/>
      <c r="S283" s="293"/>
      <c r="T283" s="293"/>
      <c r="U283" s="293"/>
      <c r="V283" s="293"/>
      <c r="W283" s="293">
        <f>1*$J283</f>
        <v>2</v>
      </c>
      <c r="X283" s="293"/>
      <c r="Y283" s="293"/>
      <c r="Z283" s="293"/>
      <c r="AA283" s="293"/>
      <c r="AB283" s="293"/>
      <c r="AC283" s="293"/>
      <c r="AD283" s="293">
        <f>1*$J283</f>
        <v>2</v>
      </c>
      <c r="AE283" s="293"/>
      <c r="AF283" s="293"/>
      <c r="AG283" s="293"/>
      <c r="AH283" s="293"/>
      <c r="AI283" s="293"/>
      <c r="AJ283" s="293"/>
      <c r="AK283" s="293"/>
      <c r="AL283" s="293"/>
      <c r="AM283" s="293"/>
      <c r="AN283" s="293"/>
      <c r="AO283" s="293"/>
      <c r="AP283" s="293"/>
      <c r="AQ283" s="293"/>
      <c r="AR283" s="293"/>
      <c r="AS283" s="293"/>
      <c r="AT283" s="293"/>
      <c r="AU283" s="293"/>
      <c r="AV283" s="293"/>
      <c r="AW283" s="293"/>
      <c r="AX283" s="293"/>
      <c r="AY283" s="293"/>
      <c r="AZ283" s="293"/>
      <c r="BA283" s="293"/>
      <c r="BB283" s="293"/>
      <c r="BC283" s="293"/>
      <c r="BD283" s="293"/>
      <c r="BE283" s="293"/>
      <c r="BF283" s="293"/>
      <c r="BG283" s="293"/>
      <c r="BH283" s="293"/>
      <c r="BI283" s="293"/>
      <c r="BJ283" s="293"/>
      <c r="BK283" s="293"/>
      <c r="BL283" s="293"/>
      <c r="BM283" s="293"/>
      <c r="BN283" s="293"/>
      <c r="BO283" s="293"/>
      <c r="BP283" s="293"/>
      <c r="BQ283" s="293"/>
      <c r="BR283" s="293"/>
      <c r="BS283" s="293"/>
      <c r="BT283" s="293"/>
      <c r="BU283" s="293"/>
      <c r="BV283" s="293"/>
      <c r="BW283" s="293"/>
      <c r="BX283" s="293"/>
      <c r="BY283" s="293"/>
      <c r="BZ283" s="293"/>
      <c r="CA283" s="285"/>
      <c r="CB283" s="286"/>
      <c r="CC283" s="286"/>
      <c r="CD283" s="286"/>
      <c r="CE283" s="286"/>
      <c r="CF283" s="286"/>
      <c r="CG283" s="286"/>
      <c r="CH283" s="286"/>
      <c r="CI283" s="286"/>
      <c r="CJ283" s="286"/>
      <c r="CK283" s="286"/>
      <c r="CL283" s="286"/>
      <c r="CM283" s="286"/>
      <c r="CN283" s="286"/>
      <c r="CO283" s="286"/>
      <c r="CP283" s="286"/>
      <c r="CQ283" s="286"/>
      <c r="CR283" s="286"/>
      <c r="CS283" s="286"/>
      <c r="CT283" s="286"/>
      <c r="CU283" s="286"/>
      <c r="CV283" s="286"/>
      <c r="CW283" s="286"/>
      <c r="CX283" s="286"/>
      <c r="CY283" s="286"/>
      <c r="CZ283" s="286"/>
      <c r="DA283" s="286"/>
      <c r="DB283" s="286"/>
      <c r="DC283" s="286"/>
      <c r="DD283" s="286"/>
      <c r="DE283" s="286"/>
      <c r="DF283" s="286"/>
      <c r="DG283" s="286"/>
      <c r="DH283" s="286"/>
      <c r="DI283" s="286"/>
      <c r="DJ283" s="286"/>
      <c r="DK283" s="286"/>
      <c r="DL283" s="286"/>
      <c r="DM283" s="286"/>
      <c r="DN283" s="286"/>
      <c r="DO283" s="286"/>
      <c r="DP283" s="286"/>
      <c r="DR283" s="58" t="str">
        <f>IF(ISNUMBER(MATCH(#REF!,'Audit Characteristic Mapping'!$B$3:$B$500,0)),"Y","")</f>
        <v/>
      </c>
      <c r="DS283" s="58" t="str">
        <f>IF(ISNUMBER(MATCH(#REF!,'Audit Characteristic Mapping'!$C$3:$C$500,0)),"Y","")</f>
        <v/>
      </c>
      <c r="DT283" s="58" t="str">
        <f>IF(ISNUMBER(MATCH(#REF!,'Audit Characteristic Mapping'!$D$3:$D$500,0)),"Y","")</f>
        <v/>
      </c>
      <c r="DU283" s="58" t="str">
        <f>IF(ISNUMBER(MATCH(#REF!,'Audit Characteristic Mapping'!$E$3:$E$500,0)),"Y","")</f>
        <v/>
      </c>
      <c r="DV283" s="58" t="str">
        <f>IF(ISNUMBER(MATCH(#REF!,'Audit Characteristic Mapping'!$F$3:$F$500,0)),"Y","")</f>
        <v/>
      </c>
      <c r="DW283" s="58" t="str">
        <f>IF(ISNUMBER(MATCH(#REF!,'Audit Characteristic Mapping'!$G$3:$G$500,0)),"Y","")</f>
        <v/>
      </c>
      <c r="DX283" s="58" t="str">
        <f>IF(ISNUMBER(MATCH(#REF!,'Audit Characteristic Mapping'!$H$3:$H$500,0)),"Y","")</f>
        <v/>
      </c>
      <c r="DY283" s="58" t="str">
        <f>IF(ISNUMBER(MATCH(#REF!,'Audit Characteristic Mapping'!$I$3:$I$500,0)),"Y","")</f>
        <v/>
      </c>
      <c r="DZ283" s="58" t="str">
        <f>IF(ISNUMBER(MATCH(#REF!,'Audit Characteristic Mapping'!$J$3:$J$500,0)),"Y","")</f>
        <v/>
      </c>
      <c r="EA283" s="58" t="str">
        <f>IF(ISNUMBER(MATCH(#REF!,'Audit Characteristic Mapping'!$K$3:$K$500,0)),"Y","")</f>
        <v/>
      </c>
    </row>
    <row r="284" spans="1:131" ht="64" x14ac:dyDescent="0.2">
      <c r="A284" s="294">
        <v>360</v>
      </c>
      <c r="B284" s="287" t="s">
        <v>492</v>
      </c>
      <c r="C284" s="226" t="s">
        <v>513</v>
      </c>
      <c r="D284" s="170">
        <v>10</v>
      </c>
      <c r="E284" s="288">
        <v>72</v>
      </c>
      <c r="F284" s="291" t="str">
        <f>VLOOKUP(Calculation!A284,'Descriptor maps'!$A$2:$F$1658,6,0)</f>
        <v>Is there documented evidence that Comprehensive Reviews by qualified personnel are being appropriately and properly carried out, to achieve the objective of reviewing the performance, design intent, assumptions, inputs, design activities, estimated consequences of failure, management, governance and operation of the facility?</v>
      </c>
      <c r="G284" s="296" t="s">
        <v>1195</v>
      </c>
      <c r="H284" s="290"/>
      <c r="I284" s="291" cm="1">
        <f t="array" ref="I284">INDEX('Descriptor maps'!$H$2:$H$1658,MATCH(1,('Descriptor maps'!$A$2:$A$1658=Calculation!$A284)*('Descriptor maps'!$G$2:$G$1658=Calculation!$G284),0))</f>
        <v>4</v>
      </c>
      <c r="J284" s="292" cm="1">
        <f t="array" ref="J284">INDEX('Descriptor maps'!$I$2:$I$1658,MATCH(1,('Descriptor maps'!$A$2:$A$1658=Calculation!$A284)*('Descriptor maps'!$G$2:$G$1658=Calculation!$G284),0))</f>
        <v>4</v>
      </c>
      <c r="K284" s="226"/>
      <c r="L284" s="293"/>
      <c r="M284" s="293"/>
      <c r="N284" s="293"/>
      <c r="O284" s="293"/>
      <c r="P284" s="293">
        <f>1*$J284</f>
        <v>4</v>
      </c>
      <c r="Q284" s="293"/>
      <c r="R284" s="293"/>
      <c r="S284" s="293"/>
      <c r="T284" s="293"/>
      <c r="U284" s="293"/>
      <c r="V284" s="293"/>
      <c r="W284" s="293">
        <f>1*$J284</f>
        <v>4</v>
      </c>
      <c r="X284" s="293"/>
      <c r="Y284" s="293"/>
      <c r="Z284" s="293"/>
      <c r="AA284" s="293"/>
      <c r="AB284" s="293"/>
      <c r="AC284" s="293"/>
      <c r="AD284" s="293">
        <f>1*$J284</f>
        <v>4</v>
      </c>
      <c r="AE284" s="293"/>
      <c r="AF284" s="293"/>
      <c r="AG284" s="293"/>
      <c r="AH284" s="293"/>
      <c r="AI284" s="293"/>
      <c r="AJ284" s="293"/>
      <c r="AK284" s="293"/>
      <c r="AL284" s="293"/>
      <c r="AM284" s="293"/>
      <c r="AN284" s="293"/>
      <c r="AO284" s="293"/>
      <c r="AP284" s="293"/>
      <c r="AQ284" s="293"/>
      <c r="AR284" s="293"/>
      <c r="AS284" s="293"/>
      <c r="AT284" s="293"/>
      <c r="AU284" s="293"/>
      <c r="AV284" s="293"/>
      <c r="AW284" s="293"/>
      <c r="AX284" s="293"/>
      <c r="AY284" s="293"/>
      <c r="AZ284" s="293"/>
      <c r="BA284" s="293"/>
      <c r="BB284" s="293"/>
      <c r="BC284" s="293"/>
      <c r="BD284" s="293"/>
      <c r="BE284" s="293"/>
      <c r="BF284" s="293"/>
      <c r="BG284" s="293"/>
      <c r="BH284" s="293"/>
      <c r="BI284" s="293"/>
      <c r="BJ284" s="293"/>
      <c r="BK284" s="293"/>
      <c r="BL284" s="293"/>
      <c r="BM284" s="293"/>
      <c r="BN284" s="293"/>
      <c r="BO284" s="293"/>
      <c r="BP284" s="293"/>
      <c r="BQ284" s="293"/>
      <c r="BR284" s="293"/>
      <c r="BS284" s="293"/>
      <c r="BT284" s="293"/>
      <c r="BU284" s="293"/>
      <c r="BV284" s="293"/>
      <c r="BW284" s="293"/>
      <c r="BX284" s="293"/>
      <c r="BY284" s="293"/>
      <c r="BZ284" s="293"/>
      <c r="CA284" s="285"/>
      <c r="CB284" s="286"/>
      <c r="CC284" s="286"/>
      <c r="CD284" s="286"/>
      <c r="CE284" s="286"/>
      <c r="CF284" s="286"/>
      <c r="CG284" s="286"/>
      <c r="CH284" s="286"/>
      <c r="CI284" s="286"/>
      <c r="CJ284" s="286"/>
      <c r="CK284" s="286"/>
      <c r="CL284" s="286"/>
      <c r="CM284" s="286"/>
      <c r="CN284" s="286"/>
      <c r="CO284" s="286"/>
      <c r="CP284" s="286"/>
      <c r="CQ284" s="286"/>
      <c r="CR284" s="286"/>
      <c r="CS284" s="286"/>
      <c r="CT284" s="286"/>
      <c r="CU284" s="286"/>
      <c r="CV284" s="286"/>
      <c r="CW284" s="286"/>
      <c r="CX284" s="286"/>
      <c r="CY284" s="286"/>
      <c r="CZ284" s="286"/>
      <c r="DA284" s="286"/>
      <c r="DB284" s="286"/>
      <c r="DC284" s="286"/>
      <c r="DD284" s="286"/>
      <c r="DE284" s="286"/>
      <c r="DF284" s="286"/>
      <c r="DG284" s="286"/>
      <c r="DH284" s="286"/>
      <c r="DI284" s="286"/>
      <c r="DJ284" s="286"/>
      <c r="DK284" s="286"/>
      <c r="DL284" s="286"/>
      <c r="DM284" s="286"/>
      <c r="DN284" s="286"/>
      <c r="DO284" s="286"/>
      <c r="DP284" s="286"/>
      <c r="DR284" s="58" t="str">
        <f>IF(ISNUMBER(MATCH(#REF!,'Audit Characteristic Mapping'!$B$3:$B$500,0)),"Y","")</f>
        <v/>
      </c>
      <c r="DS284" s="58" t="str">
        <f>IF(ISNUMBER(MATCH(#REF!,'Audit Characteristic Mapping'!$C$3:$C$500,0)),"Y","")</f>
        <v/>
      </c>
      <c r="DT284" s="58" t="str">
        <f>IF(ISNUMBER(MATCH(#REF!,'Audit Characteristic Mapping'!$D$3:$D$500,0)),"Y","")</f>
        <v/>
      </c>
      <c r="DU284" s="58" t="str">
        <f>IF(ISNUMBER(MATCH(#REF!,'Audit Characteristic Mapping'!$E$3:$E$500,0)),"Y","")</f>
        <v/>
      </c>
      <c r="DV284" s="58" t="str">
        <f>IF(ISNUMBER(MATCH(#REF!,'Audit Characteristic Mapping'!$F$3:$F$500,0)),"Y","")</f>
        <v/>
      </c>
      <c r="DW284" s="58" t="str">
        <f>IF(ISNUMBER(MATCH(#REF!,'Audit Characteristic Mapping'!$G$3:$G$500,0)),"Y","")</f>
        <v/>
      </c>
      <c r="DX284" s="58" t="str">
        <f>IF(ISNUMBER(MATCH(#REF!,'Audit Characteristic Mapping'!$H$3:$H$500,0)),"Y","")</f>
        <v/>
      </c>
      <c r="DY284" s="58" t="str">
        <f>IF(ISNUMBER(MATCH(#REF!,'Audit Characteristic Mapping'!$I$3:$I$500,0)),"Y","")</f>
        <v/>
      </c>
      <c r="DZ284" s="58" t="str">
        <f>IF(ISNUMBER(MATCH(#REF!,'Audit Characteristic Mapping'!$J$3:$J$500,0)),"Y","")</f>
        <v/>
      </c>
      <c r="EA284" s="58" t="str">
        <f>IF(ISNUMBER(MATCH(#REF!,'Audit Characteristic Mapping'!$K$3:$K$500,0)),"Y","")</f>
        <v/>
      </c>
    </row>
    <row r="285" spans="1:131" ht="16" hidden="1" x14ac:dyDescent="0.2">
      <c r="A285" s="288">
        <v>276</v>
      </c>
      <c r="B285" s="287" t="s">
        <v>421</v>
      </c>
      <c r="C285" s="226" t="s">
        <v>422</v>
      </c>
      <c r="D285" s="170">
        <v>8</v>
      </c>
      <c r="E285" s="288">
        <v>58</v>
      </c>
      <c r="F285" s="291" t="str">
        <f>VLOOKUP(Calculation!A285,'Descriptor maps'!$A$2:$F$1658,2,0)</f>
        <v>Governance</v>
      </c>
      <c r="G285" s="296"/>
      <c r="H285" s="290"/>
      <c r="I285" s="291"/>
      <c r="J285" s="292" t="e" cm="1">
        <f t="array" ref="J285">INDEX('Descriptor maps'!$I$2:$I$1658,MATCH(1,('Descriptor maps'!$A$2:$A$1658=Calculation!$A285)*('Descriptor maps'!$G$2:$G$1658=Calculation!$G285),0))</f>
        <v>#N/A</v>
      </c>
      <c r="K285" s="226"/>
      <c r="L285" s="293"/>
      <c r="M285" s="293"/>
      <c r="N285" s="293"/>
      <c r="O285" s="293"/>
      <c r="P285" s="293"/>
      <c r="Q285" s="293"/>
      <c r="R285" s="293"/>
      <c r="S285" s="293"/>
      <c r="T285" s="293"/>
      <c r="U285" s="293"/>
      <c r="V285" s="293"/>
      <c r="W285" s="293"/>
      <c r="X285" s="293"/>
      <c r="Y285" s="293"/>
      <c r="Z285" s="293"/>
      <c r="AA285" s="293"/>
      <c r="AB285" s="293"/>
      <c r="AC285" s="293"/>
      <c r="AD285" s="293"/>
      <c r="AE285" s="293"/>
      <c r="AF285" s="293"/>
      <c r="AG285" s="293"/>
      <c r="AH285" s="293"/>
      <c r="AI285" s="293"/>
      <c r="AJ285" s="293"/>
      <c r="AK285" s="293"/>
      <c r="AL285" s="293"/>
      <c r="AM285" s="293"/>
      <c r="AN285" s="293"/>
      <c r="AO285" s="293"/>
      <c r="AP285" s="293"/>
      <c r="AQ285" s="293"/>
      <c r="AR285" s="293"/>
      <c r="AS285" s="293"/>
      <c r="AT285" s="293"/>
      <c r="AU285" s="293"/>
      <c r="AV285" s="293"/>
      <c r="AW285" s="293"/>
      <c r="AX285" s="293"/>
      <c r="AY285" s="293"/>
      <c r="AZ285" s="293"/>
      <c r="BA285" s="293"/>
      <c r="BB285" s="293"/>
      <c r="BC285" s="293"/>
      <c r="BD285" s="293"/>
      <c r="BE285" s="293"/>
      <c r="BF285" s="293"/>
      <c r="BG285" s="293"/>
      <c r="BH285" s="293"/>
      <c r="BI285" s="293"/>
      <c r="BJ285" s="293"/>
      <c r="BK285" s="293"/>
      <c r="BL285" s="293"/>
      <c r="BM285" s="293"/>
      <c r="BN285" s="293"/>
      <c r="BO285" s="293"/>
      <c r="BP285" s="293"/>
      <c r="BQ285" s="293"/>
      <c r="BR285" s="293"/>
      <c r="BS285" s="293"/>
      <c r="BT285" s="293"/>
      <c r="BU285" s="293"/>
      <c r="BV285" s="293"/>
      <c r="BW285" s="293"/>
      <c r="BX285" s="293"/>
      <c r="BY285" s="293"/>
      <c r="BZ285" s="293"/>
      <c r="CA285" s="285"/>
      <c r="CB285" s="286"/>
      <c r="CC285" s="286"/>
      <c r="CD285" s="286"/>
      <c r="CE285" s="286"/>
      <c r="CF285" s="286"/>
      <c r="CG285" s="286"/>
      <c r="CH285" s="286"/>
      <c r="CI285" s="286"/>
      <c r="CJ285" s="286"/>
      <c r="CK285" s="286"/>
      <c r="CL285" s="286"/>
      <c r="CM285" s="286"/>
      <c r="CN285" s="286"/>
      <c r="CO285" s="286"/>
      <c r="CP285" s="286"/>
      <c r="CQ285" s="286"/>
      <c r="CR285" s="286"/>
      <c r="CS285" s="286"/>
      <c r="CT285" s="286"/>
      <c r="CU285" s="286"/>
      <c r="CV285" s="286"/>
      <c r="CW285" s="286"/>
      <c r="CX285" s="286"/>
      <c r="CY285" s="286"/>
      <c r="CZ285" s="286"/>
      <c r="DA285" s="286"/>
      <c r="DB285" s="286"/>
      <c r="DC285" s="286"/>
      <c r="DD285" s="286"/>
      <c r="DE285" s="286"/>
      <c r="DF285" s="286"/>
      <c r="DG285" s="286"/>
      <c r="DH285" s="286"/>
      <c r="DI285" s="286"/>
      <c r="DJ285" s="286"/>
      <c r="DK285" s="286"/>
      <c r="DL285" s="286"/>
      <c r="DM285" s="286"/>
      <c r="DN285" s="286"/>
      <c r="DO285" s="286"/>
      <c r="DP285" s="286"/>
      <c r="DR285" s="58" t="str">
        <f>IF(ISNUMBER(MATCH(#REF!,'Audit Characteristic Mapping'!$B$3:$B$500,0)),"Y","")</f>
        <v/>
      </c>
      <c r="DS285" s="58" t="str">
        <f>IF(ISNUMBER(MATCH(#REF!,'Audit Characteristic Mapping'!$C$3:$C$500,0)),"Y","")</f>
        <v/>
      </c>
      <c r="DT285" s="58" t="str">
        <f>IF(ISNUMBER(MATCH(#REF!,'Audit Characteristic Mapping'!$D$3:$D$500,0)),"Y","")</f>
        <v/>
      </c>
      <c r="DU285" s="58" t="str">
        <f>IF(ISNUMBER(MATCH(#REF!,'Audit Characteristic Mapping'!$E$3:$E$500,0)),"Y","")</f>
        <v/>
      </c>
      <c r="DV285" s="58" t="str">
        <f>IF(ISNUMBER(MATCH(#REF!,'Audit Characteristic Mapping'!$F$3:$F$500,0)),"Y","")</f>
        <v/>
      </c>
      <c r="DW285" s="58" t="str">
        <f>IF(ISNUMBER(MATCH(#REF!,'Audit Characteristic Mapping'!$G$3:$G$500,0)),"Y","")</f>
        <v/>
      </c>
      <c r="DX285" s="58" t="str">
        <f>IF(ISNUMBER(MATCH(#REF!,'Audit Characteristic Mapping'!$H$3:$H$500,0)),"Y","")</f>
        <v/>
      </c>
      <c r="DY285" s="58" t="str">
        <f>IF(ISNUMBER(MATCH(#REF!,'Audit Characteristic Mapping'!$I$3:$I$500,0)),"Y","")</f>
        <v/>
      </c>
      <c r="DZ285" s="58" t="str">
        <f>IF(ISNUMBER(MATCH(#REF!,'Audit Characteristic Mapping'!$J$3:$J$500,0)),"Y","")</f>
        <v/>
      </c>
      <c r="EA285" s="58" t="str">
        <f>IF(ISNUMBER(MATCH(#REF!,'Audit Characteristic Mapping'!$K$3:$K$500,0)),"Y","")</f>
        <v/>
      </c>
    </row>
    <row r="286" spans="1:131" ht="16" hidden="1" x14ac:dyDescent="0.2">
      <c r="A286" s="288">
        <v>277</v>
      </c>
      <c r="B286" s="287" t="s">
        <v>421</v>
      </c>
      <c r="C286" s="226" t="s">
        <v>422</v>
      </c>
      <c r="D286" s="170">
        <v>8</v>
      </c>
      <c r="E286" s="288">
        <v>58</v>
      </c>
      <c r="F286" s="291" t="str">
        <f>VLOOKUP(Calculation!A286,'Descriptor maps'!$A$2:$F$1658,2,0)</f>
        <v>Governance</v>
      </c>
      <c r="G286" s="296"/>
      <c r="H286" s="290"/>
      <c r="I286" s="291"/>
      <c r="J286" s="292" t="e" cm="1">
        <f t="array" ref="J286">INDEX('Descriptor maps'!$I$2:$I$1658,MATCH(1,('Descriptor maps'!$A$2:$A$1658=Calculation!$A286)*('Descriptor maps'!$G$2:$G$1658=Calculation!$G286),0))</f>
        <v>#N/A</v>
      </c>
      <c r="K286" s="226"/>
      <c r="L286" s="293"/>
      <c r="M286" s="293"/>
      <c r="N286" s="293"/>
      <c r="O286" s="293"/>
      <c r="P286" s="293"/>
      <c r="Q286" s="293"/>
      <c r="R286" s="293"/>
      <c r="S286" s="293"/>
      <c r="T286" s="293"/>
      <c r="U286" s="293"/>
      <c r="V286" s="293"/>
      <c r="W286" s="293"/>
      <c r="X286" s="293"/>
      <c r="Y286" s="293"/>
      <c r="Z286" s="293"/>
      <c r="AA286" s="293"/>
      <c r="AB286" s="293"/>
      <c r="AC286" s="293"/>
      <c r="AD286" s="293"/>
      <c r="AE286" s="293"/>
      <c r="AF286" s="293"/>
      <c r="AG286" s="293"/>
      <c r="AH286" s="293"/>
      <c r="AI286" s="293"/>
      <c r="AJ286" s="293"/>
      <c r="AK286" s="293"/>
      <c r="AL286" s="293"/>
      <c r="AM286" s="293"/>
      <c r="AN286" s="293"/>
      <c r="AO286" s="293"/>
      <c r="AP286" s="293"/>
      <c r="AQ286" s="293"/>
      <c r="AR286" s="293"/>
      <c r="AS286" s="293"/>
      <c r="AT286" s="293"/>
      <c r="AU286" s="293"/>
      <c r="AV286" s="293"/>
      <c r="AW286" s="293"/>
      <c r="AX286" s="293"/>
      <c r="AY286" s="293"/>
      <c r="AZ286" s="293"/>
      <c r="BA286" s="293"/>
      <c r="BB286" s="293"/>
      <c r="BC286" s="293"/>
      <c r="BD286" s="293"/>
      <c r="BE286" s="293"/>
      <c r="BF286" s="293"/>
      <c r="BG286" s="293"/>
      <c r="BH286" s="293"/>
      <c r="BI286" s="293"/>
      <c r="BJ286" s="293"/>
      <c r="BK286" s="293"/>
      <c r="BL286" s="293"/>
      <c r="BM286" s="293"/>
      <c r="BN286" s="293"/>
      <c r="BO286" s="293"/>
      <c r="BP286" s="293"/>
      <c r="BQ286" s="293"/>
      <c r="BR286" s="293"/>
      <c r="BS286" s="293"/>
      <c r="BT286" s="293"/>
      <c r="BU286" s="293"/>
      <c r="BV286" s="293"/>
      <c r="BW286" s="293"/>
      <c r="BX286" s="293"/>
      <c r="BY286" s="293"/>
      <c r="BZ286" s="293"/>
      <c r="CA286" s="285"/>
      <c r="CB286" s="286"/>
      <c r="CC286" s="286"/>
      <c r="CD286" s="286"/>
      <c r="CE286" s="286"/>
      <c r="CF286" s="286"/>
      <c r="CG286" s="286"/>
      <c r="CH286" s="286"/>
      <c r="CI286" s="286"/>
      <c r="CJ286" s="286"/>
      <c r="CK286" s="286"/>
      <c r="CL286" s="286"/>
      <c r="CM286" s="286"/>
      <c r="CN286" s="286"/>
      <c r="CO286" s="286"/>
      <c r="CP286" s="286"/>
      <c r="CQ286" s="286"/>
      <c r="CR286" s="286"/>
      <c r="CS286" s="286"/>
      <c r="CT286" s="286"/>
      <c r="CU286" s="286"/>
      <c r="CV286" s="286"/>
      <c r="CW286" s="286"/>
      <c r="CX286" s="286"/>
      <c r="CY286" s="286"/>
      <c r="CZ286" s="286"/>
      <c r="DA286" s="286"/>
      <c r="DB286" s="286"/>
      <c r="DC286" s="286"/>
      <c r="DD286" s="286"/>
      <c r="DE286" s="286"/>
      <c r="DF286" s="286"/>
      <c r="DG286" s="286"/>
      <c r="DH286" s="286"/>
      <c r="DI286" s="286"/>
      <c r="DJ286" s="286"/>
      <c r="DK286" s="286"/>
      <c r="DL286" s="286"/>
      <c r="DM286" s="286"/>
      <c r="DN286" s="286"/>
      <c r="DO286" s="286"/>
      <c r="DP286" s="286"/>
      <c r="DR286" s="58" t="str">
        <f>IF(ISNUMBER(MATCH(#REF!,'Audit Characteristic Mapping'!$B$3:$B$500,0)),"Y","")</f>
        <v/>
      </c>
      <c r="DS286" s="58" t="str">
        <f>IF(ISNUMBER(MATCH(#REF!,'Audit Characteristic Mapping'!$C$3:$C$500,0)),"Y","")</f>
        <v/>
      </c>
      <c r="DT286" s="58" t="str">
        <f>IF(ISNUMBER(MATCH(#REF!,'Audit Characteristic Mapping'!$D$3:$D$500,0)),"Y","")</f>
        <v/>
      </c>
      <c r="DU286" s="58" t="str">
        <f>IF(ISNUMBER(MATCH(#REF!,'Audit Characteristic Mapping'!$E$3:$E$500,0)),"Y","")</f>
        <v/>
      </c>
      <c r="DV286" s="58" t="str">
        <f>IF(ISNUMBER(MATCH(#REF!,'Audit Characteristic Mapping'!$F$3:$F$500,0)),"Y","")</f>
        <v/>
      </c>
      <c r="DW286" s="58" t="str">
        <f>IF(ISNUMBER(MATCH(#REF!,'Audit Characteristic Mapping'!$G$3:$G$500,0)),"Y","")</f>
        <v/>
      </c>
      <c r="DX286" s="58" t="str">
        <f>IF(ISNUMBER(MATCH(#REF!,'Audit Characteristic Mapping'!$H$3:$H$500,0)),"Y","")</f>
        <v/>
      </c>
      <c r="DY286" s="58" t="str">
        <f>IF(ISNUMBER(MATCH(#REF!,'Audit Characteristic Mapping'!$I$3:$I$500,0)),"Y","")</f>
        <v/>
      </c>
      <c r="DZ286" s="58" t="str">
        <f>IF(ISNUMBER(MATCH(#REF!,'Audit Characteristic Mapping'!$J$3:$J$500,0)),"Y","")</f>
        <v/>
      </c>
      <c r="EA286" s="58" t="str">
        <f>IF(ISNUMBER(MATCH(#REF!,'Audit Characteristic Mapping'!$K$3:$K$500,0)),"Y","")</f>
        <v/>
      </c>
    </row>
    <row r="287" spans="1:131" ht="16" hidden="1" x14ac:dyDescent="0.2">
      <c r="A287" s="288">
        <v>278</v>
      </c>
      <c r="B287" s="287" t="s">
        <v>421</v>
      </c>
      <c r="C287" s="226" t="s">
        <v>422</v>
      </c>
      <c r="D287" s="170">
        <v>8</v>
      </c>
      <c r="E287" s="288">
        <v>58</v>
      </c>
      <c r="F287" s="291" t="str">
        <f>VLOOKUP(Calculation!A287,'Descriptor maps'!$A$2:$F$1658,2,0)</f>
        <v>Governance</v>
      </c>
      <c r="G287" s="296"/>
      <c r="H287" s="290"/>
      <c r="I287" s="291"/>
      <c r="J287" s="292" t="e" cm="1">
        <f t="array" ref="J287">INDEX('Descriptor maps'!$I$2:$I$1658,MATCH(1,('Descriptor maps'!$A$2:$A$1658=Calculation!$A287)*('Descriptor maps'!$G$2:$G$1658=Calculation!$G287),0))</f>
        <v>#N/A</v>
      </c>
      <c r="K287" s="226"/>
      <c r="L287" s="293"/>
      <c r="M287" s="293"/>
      <c r="N287" s="293"/>
      <c r="O287" s="293"/>
      <c r="P287" s="293"/>
      <c r="Q287" s="293"/>
      <c r="R287" s="293"/>
      <c r="S287" s="293"/>
      <c r="T287" s="293"/>
      <c r="U287" s="293"/>
      <c r="V287" s="293"/>
      <c r="W287" s="293"/>
      <c r="X287" s="293"/>
      <c r="Y287" s="293"/>
      <c r="Z287" s="293"/>
      <c r="AA287" s="293"/>
      <c r="AB287" s="293"/>
      <c r="AC287" s="293"/>
      <c r="AD287" s="293"/>
      <c r="AE287" s="293"/>
      <c r="AF287" s="293"/>
      <c r="AG287" s="293"/>
      <c r="AH287" s="293"/>
      <c r="AI287" s="293"/>
      <c r="AJ287" s="293"/>
      <c r="AK287" s="293"/>
      <c r="AL287" s="293"/>
      <c r="AM287" s="293"/>
      <c r="AN287" s="293"/>
      <c r="AO287" s="293"/>
      <c r="AP287" s="293"/>
      <c r="AQ287" s="293"/>
      <c r="AR287" s="293"/>
      <c r="AS287" s="293"/>
      <c r="AT287" s="293"/>
      <c r="AU287" s="293"/>
      <c r="AV287" s="293"/>
      <c r="AW287" s="293"/>
      <c r="AX287" s="293"/>
      <c r="AY287" s="293"/>
      <c r="AZ287" s="293"/>
      <c r="BA287" s="293"/>
      <c r="BB287" s="293"/>
      <c r="BC287" s="293"/>
      <c r="BD287" s="293"/>
      <c r="BE287" s="293"/>
      <c r="BF287" s="293"/>
      <c r="BG287" s="293"/>
      <c r="BH287" s="293"/>
      <c r="BI287" s="293"/>
      <c r="BJ287" s="293"/>
      <c r="BK287" s="293"/>
      <c r="BL287" s="293"/>
      <c r="BM287" s="293"/>
      <c r="BN287" s="293"/>
      <c r="BO287" s="293"/>
      <c r="BP287" s="293"/>
      <c r="BQ287" s="293"/>
      <c r="BR287" s="293"/>
      <c r="BS287" s="293"/>
      <c r="BT287" s="293"/>
      <c r="BU287" s="293"/>
      <c r="BV287" s="293"/>
      <c r="BW287" s="293"/>
      <c r="BX287" s="293"/>
      <c r="BY287" s="293"/>
      <c r="BZ287" s="293"/>
      <c r="CA287" s="285"/>
      <c r="CB287" s="286"/>
      <c r="CC287" s="286"/>
      <c r="CD287" s="286"/>
      <c r="CE287" s="286"/>
      <c r="CF287" s="286"/>
      <c r="CG287" s="286"/>
      <c r="CH287" s="286"/>
      <c r="CI287" s="286"/>
      <c r="CJ287" s="286"/>
      <c r="CK287" s="286"/>
      <c r="CL287" s="286"/>
      <c r="CM287" s="286"/>
      <c r="CN287" s="286"/>
      <c r="CO287" s="286"/>
      <c r="CP287" s="286"/>
      <c r="CQ287" s="286"/>
      <c r="CR287" s="286"/>
      <c r="CS287" s="286"/>
      <c r="CT287" s="286"/>
      <c r="CU287" s="286"/>
      <c r="CV287" s="286"/>
      <c r="CW287" s="286"/>
      <c r="CX287" s="286"/>
      <c r="CY287" s="286"/>
      <c r="CZ287" s="286"/>
      <c r="DA287" s="286"/>
      <c r="DB287" s="286"/>
      <c r="DC287" s="286"/>
      <c r="DD287" s="286"/>
      <c r="DE287" s="286"/>
      <c r="DF287" s="286"/>
      <c r="DG287" s="286"/>
      <c r="DH287" s="286"/>
      <c r="DI287" s="286"/>
      <c r="DJ287" s="286"/>
      <c r="DK287" s="286"/>
      <c r="DL287" s="286"/>
      <c r="DM287" s="286"/>
      <c r="DN287" s="286"/>
      <c r="DO287" s="286"/>
      <c r="DP287" s="286"/>
      <c r="DR287" s="58" t="str">
        <f>IF(ISNUMBER(MATCH(#REF!,'Audit Characteristic Mapping'!$B$3:$B$500,0)),"Y","")</f>
        <v/>
      </c>
      <c r="DS287" s="58" t="str">
        <f>IF(ISNUMBER(MATCH(#REF!,'Audit Characteristic Mapping'!$C$3:$C$500,0)),"Y","")</f>
        <v/>
      </c>
      <c r="DT287" s="58" t="str">
        <f>IF(ISNUMBER(MATCH(#REF!,'Audit Characteristic Mapping'!$D$3:$D$500,0)),"Y","")</f>
        <v/>
      </c>
      <c r="DU287" s="58" t="str">
        <f>IF(ISNUMBER(MATCH(#REF!,'Audit Characteristic Mapping'!$E$3:$E$500,0)),"Y","")</f>
        <v/>
      </c>
      <c r="DV287" s="58" t="str">
        <f>IF(ISNUMBER(MATCH(#REF!,'Audit Characteristic Mapping'!$F$3:$F$500,0)),"Y","")</f>
        <v/>
      </c>
      <c r="DW287" s="58" t="str">
        <f>IF(ISNUMBER(MATCH(#REF!,'Audit Characteristic Mapping'!$G$3:$G$500,0)),"Y","")</f>
        <v/>
      </c>
      <c r="DX287" s="58" t="str">
        <f>IF(ISNUMBER(MATCH(#REF!,'Audit Characteristic Mapping'!$H$3:$H$500,0)),"Y","")</f>
        <v/>
      </c>
      <c r="DY287" s="58" t="str">
        <f>IF(ISNUMBER(MATCH(#REF!,'Audit Characteristic Mapping'!$I$3:$I$500,0)),"Y","")</f>
        <v/>
      </c>
      <c r="DZ287" s="58" t="str">
        <f>IF(ISNUMBER(MATCH(#REF!,'Audit Characteristic Mapping'!$J$3:$J$500,0)),"Y","")</f>
        <v/>
      </c>
      <c r="EA287" s="58" t="str">
        <f>IF(ISNUMBER(MATCH(#REF!,'Audit Characteristic Mapping'!$K$3:$K$500,0)),"Y","")</f>
        <v/>
      </c>
    </row>
    <row r="288" spans="1:131" ht="16" hidden="1" x14ac:dyDescent="0.2">
      <c r="A288" s="288">
        <v>279</v>
      </c>
      <c r="B288" s="287" t="s">
        <v>421</v>
      </c>
      <c r="C288" s="226" t="s">
        <v>422</v>
      </c>
      <c r="D288" s="170">
        <v>8</v>
      </c>
      <c r="E288" s="288">
        <v>58</v>
      </c>
      <c r="F288" s="291" t="str">
        <f>VLOOKUP(Calculation!A288,'Descriptor maps'!$A$2:$F$1658,2,0)</f>
        <v>Governance</v>
      </c>
      <c r="G288" s="296"/>
      <c r="H288" s="290"/>
      <c r="I288" s="291"/>
      <c r="J288" s="292" t="e" cm="1">
        <f t="array" ref="J288">INDEX('Descriptor maps'!$I$2:$I$1658,MATCH(1,('Descriptor maps'!$A$2:$A$1658=Calculation!$A288)*('Descriptor maps'!$G$2:$G$1658=Calculation!$G288),0))</f>
        <v>#N/A</v>
      </c>
      <c r="K288" s="226"/>
      <c r="L288" s="293"/>
      <c r="M288" s="293"/>
      <c r="N288" s="293"/>
      <c r="O288" s="293"/>
      <c r="P288" s="293"/>
      <c r="Q288" s="293"/>
      <c r="R288" s="293"/>
      <c r="S288" s="293"/>
      <c r="T288" s="293"/>
      <c r="U288" s="293"/>
      <c r="V288" s="293"/>
      <c r="W288" s="293"/>
      <c r="X288" s="293"/>
      <c r="Y288" s="293"/>
      <c r="Z288" s="293"/>
      <c r="AA288" s="293"/>
      <c r="AB288" s="293"/>
      <c r="AC288" s="293"/>
      <c r="AD288" s="293"/>
      <c r="AE288" s="293"/>
      <c r="AF288" s="293"/>
      <c r="AG288" s="293"/>
      <c r="AH288" s="293"/>
      <c r="AI288" s="293"/>
      <c r="AJ288" s="293"/>
      <c r="AK288" s="293"/>
      <c r="AL288" s="293"/>
      <c r="AM288" s="293"/>
      <c r="AN288" s="293"/>
      <c r="AO288" s="293"/>
      <c r="AP288" s="293"/>
      <c r="AQ288" s="293"/>
      <c r="AR288" s="293"/>
      <c r="AS288" s="293"/>
      <c r="AT288" s="293"/>
      <c r="AU288" s="293"/>
      <c r="AV288" s="293"/>
      <c r="AW288" s="293"/>
      <c r="AX288" s="293"/>
      <c r="AY288" s="293"/>
      <c r="AZ288" s="293"/>
      <c r="BA288" s="293"/>
      <c r="BB288" s="293"/>
      <c r="BC288" s="293"/>
      <c r="BD288" s="293"/>
      <c r="BE288" s="293"/>
      <c r="BF288" s="293"/>
      <c r="BG288" s="293"/>
      <c r="BH288" s="293"/>
      <c r="BI288" s="293"/>
      <c r="BJ288" s="293"/>
      <c r="BK288" s="293"/>
      <c r="BL288" s="293"/>
      <c r="BM288" s="293"/>
      <c r="BN288" s="293"/>
      <c r="BO288" s="293"/>
      <c r="BP288" s="293"/>
      <c r="BQ288" s="293"/>
      <c r="BR288" s="293"/>
      <c r="BS288" s="293"/>
      <c r="BT288" s="293"/>
      <c r="BU288" s="293"/>
      <c r="BV288" s="293"/>
      <c r="BW288" s="293"/>
      <c r="BX288" s="293"/>
      <c r="BY288" s="293"/>
      <c r="BZ288" s="293"/>
      <c r="CA288" s="285"/>
      <c r="CB288" s="286"/>
      <c r="CC288" s="286"/>
      <c r="CD288" s="286"/>
      <c r="CE288" s="286"/>
      <c r="CF288" s="286"/>
      <c r="CG288" s="286"/>
      <c r="CH288" s="286"/>
      <c r="CI288" s="286"/>
      <c r="CJ288" s="286"/>
      <c r="CK288" s="286"/>
      <c r="CL288" s="286"/>
      <c r="CM288" s="286"/>
      <c r="CN288" s="286"/>
      <c r="CO288" s="286"/>
      <c r="CP288" s="286"/>
      <c r="CQ288" s="286"/>
      <c r="CR288" s="286"/>
      <c r="CS288" s="286"/>
      <c r="CT288" s="286"/>
      <c r="CU288" s="286"/>
      <c r="CV288" s="286"/>
      <c r="CW288" s="286"/>
      <c r="CX288" s="286"/>
      <c r="CY288" s="286"/>
      <c r="CZ288" s="286"/>
      <c r="DA288" s="286"/>
      <c r="DB288" s="286"/>
      <c r="DC288" s="286"/>
      <c r="DD288" s="286"/>
      <c r="DE288" s="286"/>
      <c r="DF288" s="286"/>
      <c r="DG288" s="286"/>
      <c r="DH288" s="286"/>
      <c r="DI288" s="286"/>
      <c r="DJ288" s="286"/>
      <c r="DK288" s="286"/>
      <c r="DL288" s="286"/>
      <c r="DM288" s="286"/>
      <c r="DN288" s="286"/>
      <c r="DO288" s="286"/>
      <c r="DP288" s="286"/>
      <c r="DR288" s="58" t="str">
        <f>IF(ISNUMBER(MATCH(#REF!,'Audit Characteristic Mapping'!$B$3:$B$500,0)),"Y","")</f>
        <v/>
      </c>
      <c r="DS288" s="58" t="str">
        <f>IF(ISNUMBER(MATCH(#REF!,'Audit Characteristic Mapping'!$C$3:$C$500,0)),"Y","")</f>
        <v/>
      </c>
      <c r="DT288" s="58" t="str">
        <f>IF(ISNUMBER(MATCH(#REF!,'Audit Characteristic Mapping'!$D$3:$D$500,0)),"Y","")</f>
        <v/>
      </c>
      <c r="DU288" s="58" t="str">
        <f>IF(ISNUMBER(MATCH(#REF!,'Audit Characteristic Mapping'!$E$3:$E$500,0)),"Y","")</f>
        <v/>
      </c>
      <c r="DV288" s="58" t="str">
        <f>IF(ISNUMBER(MATCH(#REF!,'Audit Characteristic Mapping'!$F$3:$F$500,0)),"Y","")</f>
        <v/>
      </c>
      <c r="DW288" s="58" t="str">
        <f>IF(ISNUMBER(MATCH(#REF!,'Audit Characteristic Mapping'!$G$3:$G$500,0)),"Y","")</f>
        <v/>
      </c>
      <c r="DX288" s="58" t="str">
        <f>IF(ISNUMBER(MATCH(#REF!,'Audit Characteristic Mapping'!$H$3:$H$500,0)),"Y","")</f>
        <v/>
      </c>
      <c r="DY288" s="58" t="str">
        <f>IF(ISNUMBER(MATCH(#REF!,'Audit Characteristic Mapping'!$I$3:$I$500,0)),"Y","")</f>
        <v/>
      </c>
      <c r="DZ288" s="58" t="str">
        <f>IF(ISNUMBER(MATCH(#REF!,'Audit Characteristic Mapping'!$J$3:$J$500,0)),"Y","")</f>
        <v/>
      </c>
      <c r="EA288" s="58" t="str">
        <f>IF(ISNUMBER(MATCH(#REF!,'Audit Characteristic Mapping'!$K$3:$K$500,0)),"Y","")</f>
        <v/>
      </c>
    </row>
    <row r="289" spans="1:131" ht="16" hidden="1" x14ac:dyDescent="0.2">
      <c r="A289" s="288">
        <v>280</v>
      </c>
      <c r="B289" s="287" t="s">
        <v>421</v>
      </c>
      <c r="C289" s="226" t="s">
        <v>422</v>
      </c>
      <c r="D289" s="170">
        <v>8</v>
      </c>
      <c r="E289" s="288">
        <v>58</v>
      </c>
      <c r="F289" s="291" t="str">
        <f>VLOOKUP(Calculation!A289,'Descriptor maps'!$A$2:$F$1658,2,0)</f>
        <v>Governance</v>
      </c>
      <c r="G289" s="296"/>
      <c r="H289" s="290"/>
      <c r="I289" s="291"/>
      <c r="J289" s="292" t="e" cm="1">
        <f t="array" ref="J289">INDEX('Descriptor maps'!$I$2:$I$1658,MATCH(1,('Descriptor maps'!$A$2:$A$1658=Calculation!$A289)*('Descriptor maps'!$G$2:$G$1658=Calculation!$G289),0))</f>
        <v>#N/A</v>
      </c>
      <c r="K289" s="226"/>
      <c r="L289" s="293"/>
      <c r="M289" s="293"/>
      <c r="N289" s="293"/>
      <c r="O289" s="293"/>
      <c r="P289" s="293"/>
      <c r="Q289" s="293"/>
      <c r="R289" s="293"/>
      <c r="S289" s="293"/>
      <c r="T289" s="293"/>
      <c r="U289" s="293"/>
      <c r="V289" s="293"/>
      <c r="W289" s="293"/>
      <c r="X289" s="293"/>
      <c r="Y289" s="293"/>
      <c r="Z289" s="293"/>
      <c r="AA289" s="293"/>
      <c r="AB289" s="293"/>
      <c r="AC289" s="293"/>
      <c r="AD289" s="293"/>
      <c r="AE289" s="293"/>
      <c r="AF289" s="293"/>
      <c r="AG289" s="293"/>
      <c r="AH289" s="293"/>
      <c r="AI289" s="293"/>
      <c r="AJ289" s="293"/>
      <c r="AK289" s="293"/>
      <c r="AL289" s="293"/>
      <c r="AM289" s="293"/>
      <c r="AN289" s="293"/>
      <c r="AO289" s="293"/>
      <c r="AP289" s="293"/>
      <c r="AQ289" s="293"/>
      <c r="AR289" s="293"/>
      <c r="AS289" s="293"/>
      <c r="AT289" s="293"/>
      <c r="AU289" s="293"/>
      <c r="AV289" s="293"/>
      <c r="AW289" s="293"/>
      <c r="AX289" s="293"/>
      <c r="AY289" s="293"/>
      <c r="AZ289" s="293"/>
      <c r="BA289" s="293"/>
      <c r="BB289" s="293"/>
      <c r="BC289" s="293"/>
      <c r="BD289" s="293"/>
      <c r="BE289" s="293"/>
      <c r="BF289" s="293"/>
      <c r="BG289" s="293"/>
      <c r="BH289" s="293"/>
      <c r="BI289" s="293"/>
      <c r="BJ289" s="293"/>
      <c r="BK289" s="293"/>
      <c r="BL289" s="293"/>
      <c r="BM289" s="293"/>
      <c r="BN289" s="293"/>
      <c r="BO289" s="293"/>
      <c r="BP289" s="293"/>
      <c r="BQ289" s="293"/>
      <c r="BR289" s="293"/>
      <c r="BS289" s="293"/>
      <c r="BT289" s="293"/>
      <c r="BU289" s="293"/>
      <c r="BV289" s="293"/>
      <c r="BW289" s="293"/>
      <c r="BX289" s="293"/>
      <c r="BY289" s="293"/>
      <c r="BZ289" s="293"/>
      <c r="CA289" s="285"/>
      <c r="CB289" s="286"/>
      <c r="CC289" s="286"/>
      <c r="CD289" s="286"/>
      <c r="CE289" s="286"/>
      <c r="CF289" s="286"/>
      <c r="CG289" s="286"/>
      <c r="CH289" s="286"/>
      <c r="CI289" s="286"/>
      <c r="CJ289" s="286"/>
      <c r="CK289" s="286"/>
      <c r="CL289" s="286"/>
      <c r="CM289" s="286"/>
      <c r="CN289" s="286"/>
      <c r="CO289" s="286"/>
      <c r="CP289" s="286"/>
      <c r="CQ289" s="286"/>
      <c r="CR289" s="286"/>
      <c r="CS289" s="286"/>
      <c r="CT289" s="286"/>
      <c r="CU289" s="286"/>
      <c r="CV289" s="286"/>
      <c r="CW289" s="286"/>
      <c r="CX289" s="286"/>
      <c r="CY289" s="286"/>
      <c r="CZ289" s="286"/>
      <c r="DA289" s="286"/>
      <c r="DB289" s="286"/>
      <c r="DC289" s="286"/>
      <c r="DD289" s="286"/>
      <c r="DE289" s="286"/>
      <c r="DF289" s="286"/>
      <c r="DG289" s="286"/>
      <c r="DH289" s="286"/>
      <c r="DI289" s="286"/>
      <c r="DJ289" s="286"/>
      <c r="DK289" s="286"/>
      <c r="DL289" s="286"/>
      <c r="DM289" s="286"/>
      <c r="DN289" s="286"/>
      <c r="DO289" s="286"/>
      <c r="DP289" s="286"/>
      <c r="DR289" s="58" t="str">
        <f>IF(ISNUMBER(MATCH(#REF!,'Audit Characteristic Mapping'!$B$3:$B$500,0)),"Y","")</f>
        <v/>
      </c>
      <c r="DS289" s="58" t="str">
        <f>IF(ISNUMBER(MATCH(#REF!,'Audit Characteristic Mapping'!$C$3:$C$500,0)),"Y","")</f>
        <v/>
      </c>
      <c r="DT289" s="58" t="str">
        <f>IF(ISNUMBER(MATCH(#REF!,'Audit Characteristic Mapping'!$D$3:$D$500,0)),"Y","")</f>
        <v/>
      </c>
      <c r="DU289" s="58" t="str">
        <f>IF(ISNUMBER(MATCH(#REF!,'Audit Characteristic Mapping'!$E$3:$E$500,0)),"Y","")</f>
        <v/>
      </c>
      <c r="DV289" s="58" t="str">
        <f>IF(ISNUMBER(MATCH(#REF!,'Audit Characteristic Mapping'!$F$3:$F$500,0)),"Y","")</f>
        <v/>
      </c>
      <c r="DW289" s="58" t="str">
        <f>IF(ISNUMBER(MATCH(#REF!,'Audit Characteristic Mapping'!$G$3:$G$500,0)),"Y","")</f>
        <v/>
      </c>
      <c r="DX289" s="58" t="str">
        <f>IF(ISNUMBER(MATCH(#REF!,'Audit Characteristic Mapping'!$H$3:$H$500,0)),"Y","")</f>
        <v/>
      </c>
      <c r="DY289" s="58" t="str">
        <f>IF(ISNUMBER(MATCH(#REF!,'Audit Characteristic Mapping'!$I$3:$I$500,0)),"Y","")</f>
        <v/>
      </c>
      <c r="DZ289" s="58" t="str">
        <f>IF(ISNUMBER(MATCH(#REF!,'Audit Characteristic Mapping'!$J$3:$J$500,0)),"Y","")</f>
        <v/>
      </c>
      <c r="EA289" s="58" t="str">
        <f>IF(ISNUMBER(MATCH(#REF!,'Audit Characteristic Mapping'!$K$3:$K$500,0)),"Y","")</f>
        <v/>
      </c>
    </row>
    <row r="290" spans="1:131" ht="16" hidden="1" x14ac:dyDescent="0.2">
      <c r="A290" s="288">
        <v>281</v>
      </c>
      <c r="B290" s="287" t="s">
        <v>421</v>
      </c>
      <c r="C290" s="226" t="s">
        <v>422</v>
      </c>
      <c r="D290" s="170">
        <v>8</v>
      </c>
      <c r="E290" s="288">
        <v>58</v>
      </c>
      <c r="F290" s="291" t="str">
        <f>VLOOKUP(Calculation!A290,'Descriptor maps'!$A$2:$F$1658,2,0)</f>
        <v>Governance</v>
      </c>
      <c r="G290" s="296"/>
      <c r="H290" s="290"/>
      <c r="I290" s="291"/>
      <c r="J290" s="292" t="e" cm="1">
        <f t="array" ref="J290">INDEX('Descriptor maps'!$I$2:$I$1658,MATCH(1,('Descriptor maps'!$A$2:$A$1658=Calculation!$A290)*('Descriptor maps'!$G$2:$G$1658=Calculation!$G290),0))</f>
        <v>#N/A</v>
      </c>
      <c r="K290" s="226"/>
      <c r="L290" s="293"/>
      <c r="M290" s="293"/>
      <c r="N290" s="293"/>
      <c r="O290" s="293"/>
      <c r="P290" s="293"/>
      <c r="Q290" s="293"/>
      <c r="R290" s="293"/>
      <c r="S290" s="293"/>
      <c r="T290" s="293"/>
      <c r="U290" s="293"/>
      <c r="V290" s="293"/>
      <c r="W290" s="293"/>
      <c r="X290" s="293"/>
      <c r="Y290" s="293"/>
      <c r="Z290" s="293"/>
      <c r="AA290" s="293"/>
      <c r="AB290" s="293"/>
      <c r="AC290" s="293"/>
      <c r="AD290" s="293"/>
      <c r="AE290" s="293"/>
      <c r="AF290" s="293"/>
      <c r="AG290" s="293"/>
      <c r="AH290" s="293"/>
      <c r="AI290" s="293"/>
      <c r="AJ290" s="293"/>
      <c r="AK290" s="293"/>
      <c r="AL290" s="293"/>
      <c r="AM290" s="293"/>
      <c r="AN290" s="293"/>
      <c r="AO290" s="293"/>
      <c r="AP290" s="293"/>
      <c r="AQ290" s="293"/>
      <c r="AR290" s="293"/>
      <c r="AS290" s="293"/>
      <c r="AT290" s="293"/>
      <c r="AU290" s="293"/>
      <c r="AV290" s="293"/>
      <c r="AW290" s="293"/>
      <c r="AX290" s="293"/>
      <c r="AY290" s="293"/>
      <c r="AZ290" s="293"/>
      <c r="BA290" s="293"/>
      <c r="BB290" s="293"/>
      <c r="BC290" s="293"/>
      <c r="BD290" s="293"/>
      <c r="BE290" s="293"/>
      <c r="BF290" s="293"/>
      <c r="BG290" s="293"/>
      <c r="BH290" s="293"/>
      <c r="BI290" s="293"/>
      <c r="BJ290" s="293"/>
      <c r="BK290" s="293"/>
      <c r="BL290" s="293"/>
      <c r="BM290" s="293"/>
      <c r="BN290" s="293"/>
      <c r="BO290" s="293"/>
      <c r="BP290" s="293"/>
      <c r="BQ290" s="293"/>
      <c r="BR290" s="293"/>
      <c r="BS290" s="293"/>
      <c r="BT290" s="293"/>
      <c r="BU290" s="293"/>
      <c r="BV290" s="293"/>
      <c r="BW290" s="293"/>
      <c r="BX290" s="293"/>
      <c r="BY290" s="293"/>
      <c r="BZ290" s="293"/>
      <c r="CA290" s="285"/>
      <c r="CB290" s="286"/>
      <c r="CC290" s="286"/>
      <c r="CD290" s="286"/>
      <c r="CE290" s="286"/>
      <c r="CF290" s="286"/>
      <c r="CG290" s="286"/>
      <c r="CH290" s="286"/>
      <c r="CI290" s="286"/>
      <c r="CJ290" s="286"/>
      <c r="CK290" s="286"/>
      <c r="CL290" s="286"/>
      <c r="CM290" s="286"/>
      <c r="CN290" s="286"/>
      <c r="CO290" s="286"/>
      <c r="CP290" s="286"/>
      <c r="CQ290" s="286"/>
      <c r="CR290" s="286"/>
      <c r="CS290" s="286"/>
      <c r="CT290" s="286"/>
      <c r="CU290" s="286"/>
      <c r="CV290" s="286"/>
      <c r="CW290" s="286"/>
      <c r="CX290" s="286"/>
      <c r="CY290" s="286"/>
      <c r="CZ290" s="286"/>
      <c r="DA290" s="286"/>
      <c r="DB290" s="286"/>
      <c r="DC290" s="286"/>
      <c r="DD290" s="286"/>
      <c r="DE290" s="286"/>
      <c r="DF290" s="286"/>
      <c r="DG290" s="286"/>
      <c r="DH290" s="286"/>
      <c r="DI290" s="286"/>
      <c r="DJ290" s="286"/>
      <c r="DK290" s="286"/>
      <c r="DL290" s="286"/>
      <c r="DM290" s="286"/>
      <c r="DN290" s="286"/>
      <c r="DO290" s="286"/>
      <c r="DP290" s="286"/>
      <c r="DR290" s="58" t="str">
        <f>IF(ISNUMBER(MATCH(#REF!,'Audit Characteristic Mapping'!$B$3:$B$500,0)),"Y","")</f>
        <v/>
      </c>
      <c r="DS290" s="58" t="str">
        <f>IF(ISNUMBER(MATCH(#REF!,'Audit Characteristic Mapping'!$C$3:$C$500,0)),"Y","")</f>
        <v/>
      </c>
      <c r="DT290" s="58" t="str">
        <f>IF(ISNUMBER(MATCH(#REF!,'Audit Characteristic Mapping'!$D$3:$D$500,0)),"Y","")</f>
        <v/>
      </c>
      <c r="DU290" s="58" t="str">
        <f>IF(ISNUMBER(MATCH(#REF!,'Audit Characteristic Mapping'!$E$3:$E$500,0)),"Y","")</f>
        <v/>
      </c>
      <c r="DV290" s="58" t="str">
        <f>IF(ISNUMBER(MATCH(#REF!,'Audit Characteristic Mapping'!$F$3:$F$500,0)),"Y","")</f>
        <v/>
      </c>
      <c r="DW290" s="58" t="str">
        <f>IF(ISNUMBER(MATCH(#REF!,'Audit Characteristic Mapping'!$G$3:$G$500,0)),"Y","")</f>
        <v/>
      </c>
      <c r="DX290" s="58" t="str">
        <f>IF(ISNUMBER(MATCH(#REF!,'Audit Characteristic Mapping'!$H$3:$H$500,0)),"Y","")</f>
        <v/>
      </c>
      <c r="DY290" s="58" t="str">
        <f>IF(ISNUMBER(MATCH(#REF!,'Audit Characteristic Mapping'!$I$3:$I$500,0)),"Y","")</f>
        <v/>
      </c>
      <c r="DZ290" s="58" t="str">
        <f>IF(ISNUMBER(MATCH(#REF!,'Audit Characteristic Mapping'!$J$3:$J$500,0)),"Y","")</f>
        <v/>
      </c>
      <c r="EA290" s="58" t="str">
        <f>IF(ISNUMBER(MATCH(#REF!,'Audit Characteristic Mapping'!$K$3:$K$500,0)),"Y","")</f>
        <v/>
      </c>
    </row>
    <row r="291" spans="1:131" ht="16" hidden="1" x14ac:dyDescent="0.2">
      <c r="A291" s="288">
        <v>282</v>
      </c>
      <c r="B291" s="287" t="s">
        <v>421</v>
      </c>
      <c r="C291" s="226" t="s">
        <v>429</v>
      </c>
      <c r="D291" s="170">
        <v>8</v>
      </c>
      <c r="E291" s="288">
        <v>59</v>
      </c>
      <c r="F291" s="291" t="str">
        <f>VLOOKUP(Calculation!A291,'Descriptor maps'!$A$2:$F$1658,2,0)</f>
        <v>Governance</v>
      </c>
      <c r="G291" s="296"/>
      <c r="H291" s="290"/>
      <c r="I291" s="291"/>
      <c r="J291" s="292" t="e" cm="1">
        <f t="array" ref="J291">INDEX('Descriptor maps'!$I$2:$I$1658,MATCH(1,('Descriptor maps'!$A$2:$A$1658=Calculation!$A291)*('Descriptor maps'!$G$2:$G$1658=Calculation!$G291),0))</f>
        <v>#N/A</v>
      </c>
      <c r="K291" s="226"/>
      <c r="L291" s="293"/>
      <c r="M291" s="293"/>
      <c r="N291" s="293"/>
      <c r="O291" s="293"/>
      <c r="P291" s="293"/>
      <c r="Q291" s="293"/>
      <c r="R291" s="293"/>
      <c r="S291" s="293"/>
      <c r="T291" s="293"/>
      <c r="U291" s="293"/>
      <c r="V291" s="293"/>
      <c r="W291" s="293"/>
      <c r="X291" s="293"/>
      <c r="Y291" s="293"/>
      <c r="Z291" s="293"/>
      <c r="AA291" s="293"/>
      <c r="AB291" s="293"/>
      <c r="AC291" s="293"/>
      <c r="AD291" s="293"/>
      <c r="AE291" s="293"/>
      <c r="AF291" s="293"/>
      <c r="AG291" s="293"/>
      <c r="AH291" s="293"/>
      <c r="AI291" s="293"/>
      <c r="AJ291" s="293"/>
      <c r="AK291" s="293"/>
      <c r="AL291" s="293"/>
      <c r="AM291" s="293"/>
      <c r="AN291" s="293"/>
      <c r="AO291" s="293"/>
      <c r="AP291" s="293"/>
      <c r="AQ291" s="293"/>
      <c r="AR291" s="293"/>
      <c r="AS291" s="293"/>
      <c r="AT291" s="293"/>
      <c r="AU291" s="293"/>
      <c r="AV291" s="293"/>
      <c r="AW291" s="293"/>
      <c r="AX291" s="293"/>
      <c r="AY291" s="293"/>
      <c r="AZ291" s="293"/>
      <c r="BA291" s="293"/>
      <c r="BB291" s="293"/>
      <c r="BC291" s="293"/>
      <c r="BD291" s="293"/>
      <c r="BE291" s="293"/>
      <c r="BF291" s="293"/>
      <c r="BG291" s="293"/>
      <c r="BH291" s="293"/>
      <c r="BI291" s="293"/>
      <c r="BJ291" s="293"/>
      <c r="BK291" s="293"/>
      <c r="BL291" s="293"/>
      <c r="BM291" s="293"/>
      <c r="BN291" s="293"/>
      <c r="BO291" s="293"/>
      <c r="BP291" s="293"/>
      <c r="BQ291" s="293"/>
      <c r="BR291" s="293"/>
      <c r="BS291" s="293"/>
      <c r="BT291" s="293"/>
      <c r="BU291" s="293"/>
      <c r="BV291" s="293"/>
      <c r="BW291" s="293"/>
      <c r="BX291" s="293"/>
      <c r="BY291" s="293"/>
      <c r="BZ291" s="293"/>
      <c r="CA291" s="285"/>
      <c r="CB291" s="286"/>
      <c r="CC291" s="286"/>
      <c r="CD291" s="286"/>
      <c r="CE291" s="286"/>
      <c r="CF291" s="286"/>
      <c r="CG291" s="286"/>
      <c r="CH291" s="286"/>
      <c r="CI291" s="286"/>
      <c r="CJ291" s="286"/>
      <c r="CK291" s="286"/>
      <c r="CL291" s="286"/>
      <c r="CM291" s="286"/>
      <c r="CN291" s="286"/>
      <c r="CO291" s="286"/>
      <c r="CP291" s="286"/>
      <c r="CQ291" s="286"/>
      <c r="CR291" s="286"/>
      <c r="CS291" s="286"/>
      <c r="CT291" s="286"/>
      <c r="CU291" s="286"/>
      <c r="CV291" s="286"/>
      <c r="CW291" s="286"/>
      <c r="CX291" s="286"/>
      <c r="CY291" s="286"/>
      <c r="CZ291" s="286"/>
      <c r="DA291" s="286"/>
      <c r="DB291" s="286"/>
      <c r="DC291" s="286"/>
      <c r="DD291" s="286"/>
      <c r="DE291" s="286"/>
      <c r="DF291" s="286"/>
      <c r="DG291" s="286"/>
      <c r="DH291" s="286"/>
      <c r="DI291" s="286"/>
      <c r="DJ291" s="286"/>
      <c r="DK291" s="286"/>
      <c r="DL291" s="286"/>
      <c r="DM291" s="286"/>
      <c r="DN291" s="286"/>
      <c r="DO291" s="286"/>
      <c r="DP291" s="286"/>
      <c r="DR291" s="58" t="str">
        <f>IF(ISNUMBER(MATCH(#REF!,'Audit Characteristic Mapping'!$B$3:$B$500,0)),"Y","")</f>
        <v/>
      </c>
      <c r="DS291" s="58" t="str">
        <f>IF(ISNUMBER(MATCH(#REF!,'Audit Characteristic Mapping'!$C$3:$C$500,0)),"Y","")</f>
        <v/>
      </c>
      <c r="DT291" s="58" t="str">
        <f>IF(ISNUMBER(MATCH(#REF!,'Audit Characteristic Mapping'!$D$3:$D$500,0)),"Y","")</f>
        <v/>
      </c>
      <c r="DU291" s="58" t="str">
        <f>IF(ISNUMBER(MATCH(#REF!,'Audit Characteristic Mapping'!$E$3:$E$500,0)),"Y","")</f>
        <v/>
      </c>
      <c r="DV291" s="58" t="str">
        <f>IF(ISNUMBER(MATCH(#REF!,'Audit Characteristic Mapping'!$F$3:$F$500,0)),"Y","")</f>
        <v/>
      </c>
      <c r="DW291" s="58" t="str">
        <f>IF(ISNUMBER(MATCH(#REF!,'Audit Characteristic Mapping'!$G$3:$G$500,0)),"Y","")</f>
        <v/>
      </c>
      <c r="DX291" s="58" t="str">
        <f>IF(ISNUMBER(MATCH(#REF!,'Audit Characteristic Mapping'!$H$3:$H$500,0)),"Y","")</f>
        <v/>
      </c>
      <c r="DY291" s="58" t="str">
        <f>IF(ISNUMBER(MATCH(#REF!,'Audit Characteristic Mapping'!$I$3:$I$500,0)),"Y","")</f>
        <v/>
      </c>
      <c r="DZ291" s="58" t="str">
        <f>IF(ISNUMBER(MATCH(#REF!,'Audit Characteristic Mapping'!$J$3:$J$500,0)),"Y","")</f>
        <v/>
      </c>
      <c r="EA291" s="58" t="str">
        <f>IF(ISNUMBER(MATCH(#REF!,'Audit Characteristic Mapping'!$K$3:$K$500,0)),"Y","")</f>
        <v/>
      </c>
    </row>
    <row r="292" spans="1:131" ht="16" hidden="1" x14ac:dyDescent="0.2">
      <c r="A292" s="288">
        <v>283</v>
      </c>
      <c r="B292" s="287" t="s">
        <v>421</v>
      </c>
      <c r="C292" s="226" t="s">
        <v>429</v>
      </c>
      <c r="D292" s="170">
        <v>8</v>
      </c>
      <c r="E292" s="288">
        <v>59</v>
      </c>
      <c r="F292" s="291" t="str">
        <f>VLOOKUP(Calculation!A292,'Descriptor maps'!$A$2:$F$1658,2,0)</f>
        <v>Governance</v>
      </c>
      <c r="G292" s="296"/>
      <c r="H292" s="290"/>
      <c r="I292" s="291"/>
      <c r="J292" s="292" t="e" cm="1">
        <f t="array" ref="J292">INDEX('Descriptor maps'!$I$2:$I$1658,MATCH(1,('Descriptor maps'!$A$2:$A$1658=Calculation!$A292)*('Descriptor maps'!$G$2:$G$1658=Calculation!$G292),0))</f>
        <v>#N/A</v>
      </c>
      <c r="K292" s="226"/>
      <c r="L292" s="293"/>
      <c r="M292" s="293"/>
      <c r="N292" s="293"/>
      <c r="O292" s="293"/>
      <c r="P292" s="293"/>
      <c r="Q292" s="293"/>
      <c r="R292" s="293"/>
      <c r="S292" s="293"/>
      <c r="T292" s="293"/>
      <c r="U292" s="293"/>
      <c r="V292" s="293"/>
      <c r="W292" s="293"/>
      <c r="X292" s="293"/>
      <c r="Y292" s="293"/>
      <c r="Z292" s="293"/>
      <c r="AA292" s="293"/>
      <c r="AB292" s="293"/>
      <c r="AC292" s="293"/>
      <c r="AD292" s="293"/>
      <c r="AE292" s="293"/>
      <c r="AF292" s="293"/>
      <c r="AG292" s="293"/>
      <c r="AH292" s="293"/>
      <c r="AI292" s="293"/>
      <c r="AJ292" s="293"/>
      <c r="AK292" s="293"/>
      <c r="AL292" s="293"/>
      <c r="AM292" s="293"/>
      <c r="AN292" s="293"/>
      <c r="AO292" s="293"/>
      <c r="AP292" s="293"/>
      <c r="AQ292" s="293"/>
      <c r="AR292" s="293"/>
      <c r="AS292" s="293"/>
      <c r="AT292" s="293"/>
      <c r="AU292" s="293"/>
      <c r="AV292" s="293"/>
      <c r="AW292" s="293"/>
      <c r="AX292" s="293"/>
      <c r="AY292" s="293"/>
      <c r="AZ292" s="293"/>
      <c r="BA292" s="293"/>
      <c r="BB292" s="293"/>
      <c r="BC292" s="293"/>
      <c r="BD292" s="293"/>
      <c r="BE292" s="293"/>
      <c r="BF292" s="293"/>
      <c r="BG292" s="293"/>
      <c r="BH292" s="293"/>
      <c r="BI292" s="293"/>
      <c r="BJ292" s="293"/>
      <c r="BK292" s="293"/>
      <c r="BL292" s="293"/>
      <c r="BM292" s="293"/>
      <c r="BN292" s="293"/>
      <c r="BO292" s="293"/>
      <c r="BP292" s="293"/>
      <c r="BQ292" s="293"/>
      <c r="BR292" s="293"/>
      <c r="BS292" s="293"/>
      <c r="BT292" s="293"/>
      <c r="BU292" s="293"/>
      <c r="BV292" s="293"/>
      <c r="BW292" s="293"/>
      <c r="BX292" s="293"/>
      <c r="BY292" s="293"/>
      <c r="BZ292" s="293"/>
      <c r="CA292" s="285"/>
      <c r="CB292" s="286"/>
      <c r="CC292" s="286"/>
      <c r="CD292" s="286"/>
      <c r="CE292" s="286"/>
      <c r="CF292" s="286"/>
      <c r="CG292" s="286"/>
      <c r="CH292" s="286"/>
      <c r="CI292" s="286"/>
      <c r="CJ292" s="286"/>
      <c r="CK292" s="286"/>
      <c r="CL292" s="286"/>
      <c r="CM292" s="286"/>
      <c r="CN292" s="286"/>
      <c r="CO292" s="286"/>
      <c r="CP292" s="286"/>
      <c r="CQ292" s="286"/>
      <c r="CR292" s="286"/>
      <c r="CS292" s="286"/>
      <c r="CT292" s="286"/>
      <c r="CU292" s="286"/>
      <c r="CV292" s="286"/>
      <c r="CW292" s="286"/>
      <c r="CX292" s="286"/>
      <c r="CY292" s="286"/>
      <c r="CZ292" s="286"/>
      <c r="DA292" s="286"/>
      <c r="DB292" s="286"/>
      <c r="DC292" s="286"/>
      <c r="DD292" s="286"/>
      <c r="DE292" s="286"/>
      <c r="DF292" s="286"/>
      <c r="DG292" s="286"/>
      <c r="DH292" s="286"/>
      <c r="DI292" s="286"/>
      <c r="DJ292" s="286"/>
      <c r="DK292" s="286"/>
      <c r="DL292" s="286"/>
      <c r="DM292" s="286"/>
      <c r="DN292" s="286"/>
      <c r="DO292" s="286"/>
      <c r="DP292" s="286"/>
      <c r="DR292" s="58" t="str">
        <f>IF(ISNUMBER(MATCH(#REF!,'Audit Characteristic Mapping'!$B$3:$B$500,0)),"Y","")</f>
        <v/>
      </c>
      <c r="DS292" s="58" t="str">
        <f>IF(ISNUMBER(MATCH(#REF!,'Audit Characteristic Mapping'!$C$3:$C$500,0)),"Y","")</f>
        <v/>
      </c>
      <c r="DT292" s="58" t="str">
        <f>IF(ISNUMBER(MATCH(#REF!,'Audit Characteristic Mapping'!$D$3:$D$500,0)),"Y","")</f>
        <v/>
      </c>
      <c r="DU292" s="58" t="str">
        <f>IF(ISNUMBER(MATCH(#REF!,'Audit Characteristic Mapping'!$E$3:$E$500,0)),"Y","")</f>
        <v/>
      </c>
      <c r="DV292" s="58" t="str">
        <f>IF(ISNUMBER(MATCH(#REF!,'Audit Characteristic Mapping'!$F$3:$F$500,0)),"Y","")</f>
        <v/>
      </c>
      <c r="DW292" s="58" t="str">
        <f>IF(ISNUMBER(MATCH(#REF!,'Audit Characteristic Mapping'!$G$3:$G$500,0)),"Y","")</f>
        <v/>
      </c>
      <c r="DX292" s="58" t="str">
        <f>IF(ISNUMBER(MATCH(#REF!,'Audit Characteristic Mapping'!$H$3:$H$500,0)),"Y","")</f>
        <v/>
      </c>
      <c r="DY292" s="58" t="str">
        <f>IF(ISNUMBER(MATCH(#REF!,'Audit Characteristic Mapping'!$I$3:$I$500,0)),"Y","")</f>
        <v/>
      </c>
      <c r="DZ292" s="58" t="str">
        <f>IF(ISNUMBER(MATCH(#REF!,'Audit Characteristic Mapping'!$J$3:$J$500,0)),"Y","")</f>
        <v/>
      </c>
      <c r="EA292" s="58" t="str">
        <f>IF(ISNUMBER(MATCH(#REF!,'Audit Characteristic Mapping'!$K$3:$K$500,0)),"Y","")</f>
        <v/>
      </c>
    </row>
    <row r="293" spans="1:131" ht="16" hidden="1" x14ac:dyDescent="0.2">
      <c r="A293" s="288">
        <v>284</v>
      </c>
      <c r="B293" s="287" t="s">
        <v>421</v>
      </c>
      <c r="C293" s="226" t="s">
        <v>429</v>
      </c>
      <c r="D293" s="170">
        <v>8</v>
      </c>
      <c r="E293" s="288">
        <v>59</v>
      </c>
      <c r="F293" s="291" t="str">
        <f>VLOOKUP(Calculation!A293,'Descriptor maps'!$A$2:$F$1658,2,0)</f>
        <v>Governance</v>
      </c>
      <c r="G293" s="296"/>
      <c r="H293" s="290"/>
      <c r="I293" s="291"/>
      <c r="J293" s="292" t="e" cm="1">
        <f t="array" ref="J293">INDEX('Descriptor maps'!$I$2:$I$1658,MATCH(1,('Descriptor maps'!$A$2:$A$1658=Calculation!$A293)*('Descriptor maps'!$G$2:$G$1658=Calculation!$G293),0))</f>
        <v>#N/A</v>
      </c>
      <c r="K293" s="226"/>
      <c r="L293" s="293"/>
      <c r="M293" s="293"/>
      <c r="N293" s="293"/>
      <c r="O293" s="293"/>
      <c r="P293" s="293"/>
      <c r="Q293" s="293"/>
      <c r="R293" s="293"/>
      <c r="S293" s="293"/>
      <c r="T293" s="293"/>
      <c r="U293" s="293"/>
      <c r="V293" s="293"/>
      <c r="W293" s="293"/>
      <c r="X293" s="293"/>
      <c r="Y293" s="293"/>
      <c r="Z293" s="293"/>
      <c r="AA293" s="293"/>
      <c r="AB293" s="293"/>
      <c r="AC293" s="293"/>
      <c r="AD293" s="293"/>
      <c r="AE293" s="293"/>
      <c r="AF293" s="293"/>
      <c r="AG293" s="293"/>
      <c r="AH293" s="293"/>
      <c r="AI293" s="293"/>
      <c r="AJ293" s="293"/>
      <c r="AK293" s="293"/>
      <c r="AL293" s="293"/>
      <c r="AM293" s="293"/>
      <c r="AN293" s="293"/>
      <c r="AO293" s="293"/>
      <c r="AP293" s="293"/>
      <c r="AQ293" s="293"/>
      <c r="AR293" s="293"/>
      <c r="AS293" s="293"/>
      <c r="AT293" s="293"/>
      <c r="AU293" s="293"/>
      <c r="AV293" s="293"/>
      <c r="AW293" s="293"/>
      <c r="AX293" s="293"/>
      <c r="AY293" s="293"/>
      <c r="AZ293" s="293"/>
      <c r="BA293" s="293"/>
      <c r="BB293" s="293"/>
      <c r="BC293" s="293"/>
      <c r="BD293" s="293"/>
      <c r="BE293" s="293"/>
      <c r="BF293" s="293"/>
      <c r="BG293" s="293"/>
      <c r="BH293" s="293"/>
      <c r="BI293" s="293"/>
      <c r="BJ293" s="293"/>
      <c r="BK293" s="293"/>
      <c r="BL293" s="293"/>
      <c r="BM293" s="293"/>
      <c r="BN293" s="293"/>
      <c r="BO293" s="293"/>
      <c r="BP293" s="293"/>
      <c r="BQ293" s="293"/>
      <c r="BR293" s="293"/>
      <c r="BS293" s="293"/>
      <c r="BT293" s="293"/>
      <c r="BU293" s="293"/>
      <c r="BV293" s="293"/>
      <c r="BW293" s="293"/>
      <c r="BX293" s="293"/>
      <c r="BY293" s="293"/>
      <c r="BZ293" s="293"/>
      <c r="CA293" s="285"/>
      <c r="CB293" s="286"/>
      <c r="CC293" s="286"/>
      <c r="CD293" s="286"/>
      <c r="CE293" s="286"/>
      <c r="CF293" s="286"/>
      <c r="CG293" s="286"/>
      <c r="CH293" s="286"/>
      <c r="CI293" s="286"/>
      <c r="CJ293" s="286"/>
      <c r="CK293" s="286"/>
      <c r="CL293" s="286"/>
      <c r="CM293" s="286"/>
      <c r="CN293" s="286"/>
      <c r="CO293" s="286"/>
      <c r="CP293" s="286"/>
      <c r="CQ293" s="286"/>
      <c r="CR293" s="286"/>
      <c r="CS293" s="286"/>
      <c r="CT293" s="286"/>
      <c r="CU293" s="286"/>
      <c r="CV293" s="286"/>
      <c r="CW293" s="286"/>
      <c r="CX293" s="286"/>
      <c r="CY293" s="286"/>
      <c r="CZ293" s="286"/>
      <c r="DA293" s="286"/>
      <c r="DB293" s="286"/>
      <c r="DC293" s="286"/>
      <c r="DD293" s="286"/>
      <c r="DE293" s="286"/>
      <c r="DF293" s="286"/>
      <c r="DG293" s="286"/>
      <c r="DH293" s="286"/>
      <c r="DI293" s="286"/>
      <c r="DJ293" s="286"/>
      <c r="DK293" s="286"/>
      <c r="DL293" s="286"/>
      <c r="DM293" s="286"/>
      <c r="DN293" s="286"/>
      <c r="DO293" s="286"/>
      <c r="DP293" s="286"/>
      <c r="DR293" s="58" t="str">
        <f>IF(ISNUMBER(MATCH(#REF!,'Audit Characteristic Mapping'!$B$3:$B$500,0)),"Y","")</f>
        <v/>
      </c>
      <c r="DS293" s="58" t="str">
        <f>IF(ISNUMBER(MATCH(#REF!,'Audit Characteristic Mapping'!$C$3:$C$500,0)),"Y","")</f>
        <v/>
      </c>
      <c r="DT293" s="58" t="str">
        <f>IF(ISNUMBER(MATCH(#REF!,'Audit Characteristic Mapping'!$D$3:$D$500,0)),"Y","")</f>
        <v/>
      </c>
      <c r="DU293" s="58" t="str">
        <f>IF(ISNUMBER(MATCH(#REF!,'Audit Characteristic Mapping'!$E$3:$E$500,0)),"Y","")</f>
        <v/>
      </c>
      <c r="DV293" s="58" t="str">
        <f>IF(ISNUMBER(MATCH(#REF!,'Audit Characteristic Mapping'!$F$3:$F$500,0)),"Y","")</f>
        <v/>
      </c>
      <c r="DW293" s="58" t="str">
        <f>IF(ISNUMBER(MATCH(#REF!,'Audit Characteristic Mapping'!$G$3:$G$500,0)),"Y","")</f>
        <v/>
      </c>
      <c r="DX293" s="58" t="str">
        <f>IF(ISNUMBER(MATCH(#REF!,'Audit Characteristic Mapping'!$H$3:$H$500,0)),"Y","")</f>
        <v/>
      </c>
      <c r="DY293" s="58" t="str">
        <f>IF(ISNUMBER(MATCH(#REF!,'Audit Characteristic Mapping'!$I$3:$I$500,0)),"Y","")</f>
        <v/>
      </c>
      <c r="DZ293" s="58" t="str">
        <f>IF(ISNUMBER(MATCH(#REF!,'Audit Characteristic Mapping'!$J$3:$J$500,0)),"Y","")</f>
        <v/>
      </c>
      <c r="EA293" s="58" t="str">
        <f>IF(ISNUMBER(MATCH(#REF!,'Audit Characteristic Mapping'!$K$3:$K$500,0)),"Y","")</f>
        <v/>
      </c>
    </row>
    <row r="294" spans="1:131" ht="16" hidden="1" x14ac:dyDescent="0.2">
      <c r="A294" s="288">
        <v>285</v>
      </c>
      <c r="B294" s="287" t="s">
        <v>421</v>
      </c>
      <c r="C294" s="226" t="s">
        <v>429</v>
      </c>
      <c r="D294" s="170">
        <v>8</v>
      </c>
      <c r="E294" s="288">
        <v>59</v>
      </c>
      <c r="F294" s="291" t="str">
        <f>VLOOKUP(Calculation!A294,'Descriptor maps'!$A$2:$F$1658,2,0)</f>
        <v>Governance</v>
      </c>
      <c r="G294" s="296"/>
      <c r="H294" s="290"/>
      <c r="I294" s="291"/>
      <c r="J294" s="292" t="e" cm="1">
        <f t="array" ref="J294">INDEX('Descriptor maps'!$I$2:$I$1658,MATCH(1,('Descriptor maps'!$A$2:$A$1658=Calculation!$A294)*('Descriptor maps'!$G$2:$G$1658=Calculation!$G294),0))</f>
        <v>#N/A</v>
      </c>
      <c r="K294" s="226"/>
      <c r="L294" s="293"/>
      <c r="M294" s="293"/>
      <c r="N294" s="293"/>
      <c r="O294" s="293"/>
      <c r="P294" s="293"/>
      <c r="Q294" s="293"/>
      <c r="R294" s="293"/>
      <c r="S294" s="293"/>
      <c r="T294" s="293"/>
      <c r="U294" s="293"/>
      <c r="V294" s="293"/>
      <c r="W294" s="293"/>
      <c r="X294" s="293"/>
      <c r="Y294" s="293"/>
      <c r="Z294" s="293"/>
      <c r="AA294" s="293"/>
      <c r="AB294" s="293"/>
      <c r="AC294" s="293"/>
      <c r="AD294" s="293"/>
      <c r="AE294" s="293"/>
      <c r="AF294" s="293"/>
      <c r="AG294" s="293"/>
      <c r="AH294" s="293"/>
      <c r="AI294" s="293"/>
      <c r="AJ294" s="293"/>
      <c r="AK294" s="293"/>
      <c r="AL294" s="293"/>
      <c r="AM294" s="293"/>
      <c r="AN294" s="293"/>
      <c r="AO294" s="293"/>
      <c r="AP294" s="293"/>
      <c r="AQ294" s="293"/>
      <c r="AR294" s="293"/>
      <c r="AS294" s="293"/>
      <c r="AT294" s="293"/>
      <c r="AU294" s="293"/>
      <c r="AV294" s="293"/>
      <c r="AW294" s="293"/>
      <c r="AX294" s="293"/>
      <c r="AY294" s="293"/>
      <c r="AZ294" s="293"/>
      <c r="BA294" s="293"/>
      <c r="BB294" s="293"/>
      <c r="BC294" s="293"/>
      <c r="BD294" s="293"/>
      <c r="BE294" s="293"/>
      <c r="BF294" s="293"/>
      <c r="BG294" s="293"/>
      <c r="BH294" s="293"/>
      <c r="BI294" s="293"/>
      <c r="BJ294" s="293"/>
      <c r="BK294" s="293"/>
      <c r="BL294" s="293"/>
      <c r="BM294" s="293"/>
      <c r="BN294" s="293"/>
      <c r="BO294" s="293"/>
      <c r="BP294" s="293"/>
      <c r="BQ294" s="293"/>
      <c r="BR294" s="293"/>
      <c r="BS294" s="293"/>
      <c r="BT294" s="293"/>
      <c r="BU294" s="293"/>
      <c r="BV294" s="293"/>
      <c r="BW294" s="293"/>
      <c r="BX294" s="293"/>
      <c r="BY294" s="293"/>
      <c r="BZ294" s="293"/>
      <c r="CA294" s="285"/>
      <c r="CB294" s="286"/>
      <c r="CC294" s="286"/>
      <c r="CD294" s="286"/>
      <c r="CE294" s="286"/>
      <c r="CF294" s="286"/>
      <c r="CG294" s="286"/>
      <c r="CH294" s="286"/>
      <c r="CI294" s="286"/>
      <c r="CJ294" s="286"/>
      <c r="CK294" s="286"/>
      <c r="CL294" s="286"/>
      <c r="CM294" s="286"/>
      <c r="CN294" s="286"/>
      <c r="CO294" s="286"/>
      <c r="CP294" s="286"/>
      <c r="CQ294" s="286"/>
      <c r="CR294" s="286"/>
      <c r="CS294" s="286"/>
      <c r="CT294" s="286"/>
      <c r="CU294" s="286"/>
      <c r="CV294" s="286"/>
      <c r="CW294" s="286"/>
      <c r="CX294" s="286"/>
      <c r="CY294" s="286"/>
      <c r="CZ294" s="286"/>
      <c r="DA294" s="286"/>
      <c r="DB294" s="286"/>
      <c r="DC294" s="286"/>
      <c r="DD294" s="286"/>
      <c r="DE294" s="286"/>
      <c r="DF294" s="286"/>
      <c r="DG294" s="286"/>
      <c r="DH294" s="286"/>
      <c r="DI294" s="286"/>
      <c r="DJ294" s="286"/>
      <c r="DK294" s="286"/>
      <c r="DL294" s="286"/>
      <c r="DM294" s="286"/>
      <c r="DN294" s="286"/>
      <c r="DO294" s="286"/>
      <c r="DP294" s="286"/>
      <c r="DR294" s="58" t="str">
        <f>IF(ISNUMBER(MATCH(#REF!,'Audit Characteristic Mapping'!$B$3:$B$500,0)),"Y","")</f>
        <v/>
      </c>
      <c r="DS294" s="58" t="str">
        <f>IF(ISNUMBER(MATCH(#REF!,'Audit Characteristic Mapping'!$C$3:$C$500,0)),"Y","")</f>
        <v/>
      </c>
      <c r="DT294" s="58" t="str">
        <f>IF(ISNUMBER(MATCH(#REF!,'Audit Characteristic Mapping'!$D$3:$D$500,0)),"Y","")</f>
        <v/>
      </c>
      <c r="DU294" s="58" t="str">
        <f>IF(ISNUMBER(MATCH(#REF!,'Audit Characteristic Mapping'!$E$3:$E$500,0)),"Y","")</f>
        <v/>
      </c>
      <c r="DV294" s="58" t="str">
        <f>IF(ISNUMBER(MATCH(#REF!,'Audit Characteristic Mapping'!$F$3:$F$500,0)),"Y","")</f>
        <v/>
      </c>
      <c r="DW294" s="58" t="str">
        <f>IF(ISNUMBER(MATCH(#REF!,'Audit Characteristic Mapping'!$G$3:$G$500,0)),"Y","")</f>
        <v/>
      </c>
      <c r="DX294" s="58" t="str">
        <f>IF(ISNUMBER(MATCH(#REF!,'Audit Characteristic Mapping'!$H$3:$H$500,0)),"Y","")</f>
        <v/>
      </c>
      <c r="DY294" s="58" t="str">
        <f>IF(ISNUMBER(MATCH(#REF!,'Audit Characteristic Mapping'!$I$3:$I$500,0)),"Y","")</f>
        <v/>
      </c>
      <c r="DZ294" s="58" t="str">
        <f>IF(ISNUMBER(MATCH(#REF!,'Audit Characteristic Mapping'!$J$3:$J$500,0)),"Y","")</f>
        <v/>
      </c>
      <c r="EA294" s="58" t="str">
        <f>IF(ISNUMBER(MATCH(#REF!,'Audit Characteristic Mapping'!$K$3:$K$500,0)),"Y","")</f>
        <v/>
      </c>
    </row>
    <row r="295" spans="1:131" ht="16" hidden="1" x14ac:dyDescent="0.2">
      <c r="A295" s="288">
        <v>286</v>
      </c>
      <c r="B295" s="287" t="s">
        <v>421</v>
      </c>
      <c r="C295" s="226" t="s">
        <v>429</v>
      </c>
      <c r="D295" s="170">
        <v>8</v>
      </c>
      <c r="E295" s="288">
        <v>59</v>
      </c>
      <c r="F295" s="291" t="str">
        <f>VLOOKUP(Calculation!A295,'Descriptor maps'!$A$2:$F$1658,2,0)</f>
        <v>Governance</v>
      </c>
      <c r="G295" s="296"/>
      <c r="H295" s="290"/>
      <c r="I295" s="291"/>
      <c r="J295" s="292" t="e" cm="1">
        <f t="array" ref="J295">INDEX('Descriptor maps'!$I$2:$I$1658,MATCH(1,('Descriptor maps'!$A$2:$A$1658=Calculation!$A295)*('Descriptor maps'!$G$2:$G$1658=Calculation!$G295),0))</f>
        <v>#N/A</v>
      </c>
      <c r="K295" s="226"/>
      <c r="L295" s="293"/>
      <c r="M295" s="293"/>
      <c r="N295" s="293"/>
      <c r="O295" s="293"/>
      <c r="P295" s="293"/>
      <c r="Q295" s="293"/>
      <c r="R295" s="293"/>
      <c r="S295" s="293"/>
      <c r="T295" s="293"/>
      <c r="U295" s="293"/>
      <c r="V295" s="293"/>
      <c r="W295" s="293"/>
      <c r="X295" s="293"/>
      <c r="Y295" s="293"/>
      <c r="Z295" s="293"/>
      <c r="AA295" s="293"/>
      <c r="AB295" s="293"/>
      <c r="AC295" s="293"/>
      <c r="AD295" s="293"/>
      <c r="AE295" s="293"/>
      <c r="AF295" s="293"/>
      <c r="AG295" s="293"/>
      <c r="AH295" s="293"/>
      <c r="AI295" s="293"/>
      <c r="AJ295" s="293"/>
      <c r="AK295" s="293"/>
      <c r="AL295" s="293"/>
      <c r="AM295" s="293"/>
      <c r="AN295" s="293"/>
      <c r="AO295" s="293"/>
      <c r="AP295" s="293"/>
      <c r="AQ295" s="293"/>
      <c r="AR295" s="293"/>
      <c r="AS295" s="293"/>
      <c r="AT295" s="293"/>
      <c r="AU295" s="293"/>
      <c r="AV295" s="293"/>
      <c r="AW295" s="293"/>
      <c r="AX295" s="293"/>
      <c r="AY295" s="293"/>
      <c r="AZ295" s="293"/>
      <c r="BA295" s="293"/>
      <c r="BB295" s="293"/>
      <c r="BC295" s="293"/>
      <c r="BD295" s="293"/>
      <c r="BE295" s="293"/>
      <c r="BF295" s="293"/>
      <c r="BG295" s="293"/>
      <c r="BH295" s="293"/>
      <c r="BI295" s="293"/>
      <c r="BJ295" s="293"/>
      <c r="BK295" s="293"/>
      <c r="BL295" s="293"/>
      <c r="BM295" s="293"/>
      <c r="BN295" s="293"/>
      <c r="BO295" s="293"/>
      <c r="BP295" s="293"/>
      <c r="BQ295" s="293"/>
      <c r="BR295" s="293"/>
      <c r="BS295" s="293"/>
      <c r="BT295" s="293"/>
      <c r="BU295" s="293"/>
      <c r="BV295" s="293"/>
      <c r="BW295" s="293"/>
      <c r="BX295" s="293"/>
      <c r="BY295" s="293"/>
      <c r="BZ295" s="293"/>
      <c r="CA295" s="285"/>
      <c r="CB295" s="286"/>
      <c r="CC295" s="286"/>
      <c r="CD295" s="286"/>
      <c r="CE295" s="286"/>
      <c r="CF295" s="286"/>
      <c r="CG295" s="286"/>
      <c r="CH295" s="286"/>
      <c r="CI295" s="286"/>
      <c r="CJ295" s="286"/>
      <c r="CK295" s="286"/>
      <c r="CL295" s="286"/>
      <c r="CM295" s="286"/>
      <c r="CN295" s="286"/>
      <c r="CO295" s="286"/>
      <c r="CP295" s="286"/>
      <c r="CQ295" s="286"/>
      <c r="CR295" s="286"/>
      <c r="CS295" s="286"/>
      <c r="CT295" s="286"/>
      <c r="CU295" s="286"/>
      <c r="CV295" s="286"/>
      <c r="CW295" s="286"/>
      <c r="CX295" s="286"/>
      <c r="CY295" s="286"/>
      <c r="CZ295" s="286"/>
      <c r="DA295" s="286"/>
      <c r="DB295" s="286"/>
      <c r="DC295" s="286"/>
      <c r="DD295" s="286"/>
      <c r="DE295" s="286"/>
      <c r="DF295" s="286"/>
      <c r="DG295" s="286"/>
      <c r="DH295" s="286"/>
      <c r="DI295" s="286"/>
      <c r="DJ295" s="286"/>
      <c r="DK295" s="286"/>
      <c r="DL295" s="286"/>
      <c r="DM295" s="286"/>
      <c r="DN295" s="286"/>
      <c r="DO295" s="286"/>
      <c r="DP295" s="286"/>
      <c r="DR295" s="58" t="str">
        <f>IF(ISNUMBER(MATCH(#REF!,'Audit Characteristic Mapping'!$B$3:$B$500,0)),"Y","")</f>
        <v/>
      </c>
      <c r="DS295" s="58" t="str">
        <f>IF(ISNUMBER(MATCH(#REF!,'Audit Characteristic Mapping'!$C$3:$C$500,0)),"Y","")</f>
        <v/>
      </c>
      <c r="DT295" s="58" t="str">
        <f>IF(ISNUMBER(MATCH(#REF!,'Audit Characteristic Mapping'!$D$3:$D$500,0)),"Y","")</f>
        <v/>
      </c>
      <c r="DU295" s="58" t="str">
        <f>IF(ISNUMBER(MATCH(#REF!,'Audit Characteristic Mapping'!$E$3:$E$500,0)),"Y","")</f>
        <v/>
      </c>
      <c r="DV295" s="58" t="str">
        <f>IF(ISNUMBER(MATCH(#REF!,'Audit Characteristic Mapping'!$F$3:$F$500,0)),"Y","")</f>
        <v/>
      </c>
      <c r="DW295" s="58" t="str">
        <f>IF(ISNUMBER(MATCH(#REF!,'Audit Characteristic Mapping'!$G$3:$G$500,0)),"Y","")</f>
        <v/>
      </c>
      <c r="DX295" s="58" t="str">
        <f>IF(ISNUMBER(MATCH(#REF!,'Audit Characteristic Mapping'!$H$3:$H$500,0)),"Y","")</f>
        <v/>
      </c>
      <c r="DY295" s="58" t="str">
        <f>IF(ISNUMBER(MATCH(#REF!,'Audit Characteristic Mapping'!$I$3:$I$500,0)),"Y","")</f>
        <v/>
      </c>
      <c r="DZ295" s="58" t="str">
        <f>IF(ISNUMBER(MATCH(#REF!,'Audit Characteristic Mapping'!$J$3:$J$500,0)),"Y","")</f>
        <v/>
      </c>
      <c r="EA295" s="58" t="str">
        <f>IF(ISNUMBER(MATCH(#REF!,'Audit Characteristic Mapping'!$K$3:$K$500,0)),"Y","")</f>
        <v/>
      </c>
    </row>
    <row r="296" spans="1:131" ht="16" hidden="1" x14ac:dyDescent="0.2">
      <c r="A296" s="288">
        <v>287</v>
      </c>
      <c r="B296" s="287" t="s">
        <v>421</v>
      </c>
      <c r="C296" s="226" t="s">
        <v>429</v>
      </c>
      <c r="D296" s="170">
        <v>8</v>
      </c>
      <c r="E296" s="288">
        <v>59</v>
      </c>
      <c r="F296" s="291" t="str">
        <f>VLOOKUP(Calculation!A296,'Descriptor maps'!$A$2:$F$1658,2,0)</f>
        <v>Governance</v>
      </c>
      <c r="G296" s="296"/>
      <c r="H296" s="290"/>
      <c r="I296" s="291"/>
      <c r="J296" s="292" t="e" cm="1">
        <f t="array" ref="J296">INDEX('Descriptor maps'!$I$2:$I$1658,MATCH(1,('Descriptor maps'!$A$2:$A$1658=Calculation!$A296)*('Descriptor maps'!$G$2:$G$1658=Calculation!$G296),0))</f>
        <v>#N/A</v>
      </c>
      <c r="K296" s="226"/>
      <c r="L296" s="293"/>
      <c r="M296" s="293"/>
      <c r="N296" s="293"/>
      <c r="O296" s="293"/>
      <c r="P296" s="293"/>
      <c r="Q296" s="293"/>
      <c r="R296" s="293"/>
      <c r="S296" s="293"/>
      <c r="T296" s="293"/>
      <c r="U296" s="293"/>
      <c r="V296" s="293"/>
      <c r="W296" s="293"/>
      <c r="X296" s="293"/>
      <c r="Y296" s="293"/>
      <c r="Z296" s="293"/>
      <c r="AA296" s="293"/>
      <c r="AB296" s="293"/>
      <c r="AC296" s="293"/>
      <c r="AD296" s="293"/>
      <c r="AE296" s="293"/>
      <c r="AF296" s="293"/>
      <c r="AG296" s="293"/>
      <c r="AH296" s="293"/>
      <c r="AI296" s="293"/>
      <c r="AJ296" s="293"/>
      <c r="AK296" s="293"/>
      <c r="AL296" s="293"/>
      <c r="AM296" s="293"/>
      <c r="AN296" s="293"/>
      <c r="AO296" s="293"/>
      <c r="AP296" s="293"/>
      <c r="AQ296" s="293"/>
      <c r="AR296" s="293"/>
      <c r="AS296" s="293"/>
      <c r="AT296" s="293"/>
      <c r="AU296" s="293"/>
      <c r="AV296" s="293"/>
      <c r="AW296" s="293"/>
      <c r="AX296" s="293"/>
      <c r="AY296" s="293"/>
      <c r="AZ296" s="293"/>
      <c r="BA296" s="293"/>
      <c r="BB296" s="293"/>
      <c r="BC296" s="293"/>
      <c r="BD296" s="293"/>
      <c r="BE296" s="293"/>
      <c r="BF296" s="293"/>
      <c r="BG296" s="293"/>
      <c r="BH296" s="293"/>
      <c r="BI296" s="293"/>
      <c r="BJ296" s="293"/>
      <c r="BK296" s="293"/>
      <c r="BL296" s="293"/>
      <c r="BM296" s="293"/>
      <c r="BN296" s="293"/>
      <c r="BO296" s="293"/>
      <c r="BP296" s="293"/>
      <c r="BQ296" s="293"/>
      <c r="BR296" s="293"/>
      <c r="BS296" s="293"/>
      <c r="BT296" s="293"/>
      <c r="BU296" s="293"/>
      <c r="BV296" s="293"/>
      <c r="BW296" s="293"/>
      <c r="BX296" s="293"/>
      <c r="BY296" s="293"/>
      <c r="BZ296" s="293"/>
      <c r="CA296" s="285"/>
      <c r="CB296" s="286"/>
      <c r="CC296" s="286"/>
      <c r="CD296" s="286"/>
      <c r="CE296" s="286"/>
      <c r="CF296" s="286"/>
      <c r="CG296" s="286"/>
      <c r="CH296" s="286"/>
      <c r="CI296" s="286"/>
      <c r="CJ296" s="286"/>
      <c r="CK296" s="286"/>
      <c r="CL296" s="286"/>
      <c r="CM296" s="286"/>
      <c r="CN296" s="286"/>
      <c r="CO296" s="286"/>
      <c r="CP296" s="286"/>
      <c r="CQ296" s="286"/>
      <c r="CR296" s="286"/>
      <c r="CS296" s="286"/>
      <c r="CT296" s="286"/>
      <c r="CU296" s="286"/>
      <c r="CV296" s="286"/>
      <c r="CW296" s="286"/>
      <c r="CX296" s="286"/>
      <c r="CY296" s="286"/>
      <c r="CZ296" s="286"/>
      <c r="DA296" s="286"/>
      <c r="DB296" s="286"/>
      <c r="DC296" s="286"/>
      <c r="DD296" s="286"/>
      <c r="DE296" s="286"/>
      <c r="DF296" s="286"/>
      <c r="DG296" s="286"/>
      <c r="DH296" s="286"/>
      <c r="DI296" s="286"/>
      <c r="DJ296" s="286"/>
      <c r="DK296" s="286"/>
      <c r="DL296" s="286"/>
      <c r="DM296" s="286"/>
      <c r="DN296" s="286"/>
      <c r="DO296" s="286"/>
      <c r="DP296" s="286"/>
      <c r="DR296" s="58" t="str">
        <f>IF(ISNUMBER(MATCH(#REF!,'Audit Characteristic Mapping'!$B$3:$B$500,0)),"Y","")</f>
        <v/>
      </c>
      <c r="DS296" s="58" t="str">
        <f>IF(ISNUMBER(MATCH(#REF!,'Audit Characteristic Mapping'!$C$3:$C$500,0)),"Y","")</f>
        <v/>
      </c>
      <c r="DT296" s="58" t="str">
        <f>IF(ISNUMBER(MATCH(#REF!,'Audit Characteristic Mapping'!$D$3:$D$500,0)),"Y","")</f>
        <v/>
      </c>
      <c r="DU296" s="58" t="str">
        <f>IF(ISNUMBER(MATCH(#REF!,'Audit Characteristic Mapping'!$E$3:$E$500,0)),"Y","")</f>
        <v/>
      </c>
      <c r="DV296" s="58" t="str">
        <f>IF(ISNUMBER(MATCH(#REF!,'Audit Characteristic Mapping'!$F$3:$F$500,0)),"Y","")</f>
        <v/>
      </c>
      <c r="DW296" s="58" t="str">
        <f>IF(ISNUMBER(MATCH(#REF!,'Audit Characteristic Mapping'!$G$3:$G$500,0)),"Y","")</f>
        <v/>
      </c>
      <c r="DX296" s="58" t="str">
        <f>IF(ISNUMBER(MATCH(#REF!,'Audit Characteristic Mapping'!$H$3:$H$500,0)),"Y","")</f>
        <v/>
      </c>
      <c r="DY296" s="58" t="str">
        <f>IF(ISNUMBER(MATCH(#REF!,'Audit Characteristic Mapping'!$I$3:$I$500,0)),"Y","")</f>
        <v/>
      </c>
      <c r="DZ296" s="58" t="str">
        <f>IF(ISNUMBER(MATCH(#REF!,'Audit Characteristic Mapping'!$J$3:$J$500,0)),"Y","")</f>
        <v/>
      </c>
      <c r="EA296" s="58" t="str">
        <f>IF(ISNUMBER(MATCH(#REF!,'Audit Characteristic Mapping'!$K$3:$K$500,0)),"Y","")</f>
        <v/>
      </c>
    </row>
    <row r="297" spans="1:131" ht="16" hidden="1" x14ac:dyDescent="0.2">
      <c r="A297" s="288">
        <v>288</v>
      </c>
      <c r="B297" s="287" t="s">
        <v>421</v>
      </c>
      <c r="C297" s="226" t="s">
        <v>429</v>
      </c>
      <c r="D297" s="170">
        <v>8</v>
      </c>
      <c r="E297" s="288">
        <v>59</v>
      </c>
      <c r="F297" s="291" t="str">
        <f>VLOOKUP(Calculation!A297,'Descriptor maps'!$A$2:$F$1658,2,0)</f>
        <v>Governance</v>
      </c>
      <c r="G297" s="296"/>
      <c r="H297" s="290"/>
      <c r="I297" s="291"/>
      <c r="J297" s="292" t="e" cm="1">
        <f t="array" ref="J297">INDEX('Descriptor maps'!$I$2:$I$1658,MATCH(1,('Descriptor maps'!$A$2:$A$1658=Calculation!$A297)*('Descriptor maps'!$G$2:$G$1658=Calculation!$G297),0))</f>
        <v>#N/A</v>
      </c>
      <c r="K297" s="226"/>
      <c r="L297" s="293"/>
      <c r="M297" s="293"/>
      <c r="N297" s="293"/>
      <c r="O297" s="293"/>
      <c r="P297" s="293"/>
      <c r="Q297" s="293"/>
      <c r="R297" s="293"/>
      <c r="S297" s="293"/>
      <c r="T297" s="293"/>
      <c r="U297" s="293"/>
      <c r="V297" s="293"/>
      <c r="W297" s="293"/>
      <c r="X297" s="293"/>
      <c r="Y297" s="293"/>
      <c r="Z297" s="293"/>
      <c r="AA297" s="293"/>
      <c r="AB297" s="293"/>
      <c r="AC297" s="293"/>
      <c r="AD297" s="293"/>
      <c r="AE297" s="293"/>
      <c r="AF297" s="293"/>
      <c r="AG297" s="293"/>
      <c r="AH297" s="293"/>
      <c r="AI297" s="293"/>
      <c r="AJ297" s="293"/>
      <c r="AK297" s="293"/>
      <c r="AL297" s="293"/>
      <c r="AM297" s="293"/>
      <c r="AN297" s="293"/>
      <c r="AO297" s="293"/>
      <c r="AP297" s="293"/>
      <c r="AQ297" s="293"/>
      <c r="AR297" s="293"/>
      <c r="AS297" s="293"/>
      <c r="AT297" s="293"/>
      <c r="AU297" s="293"/>
      <c r="AV297" s="293"/>
      <c r="AW297" s="293"/>
      <c r="AX297" s="293"/>
      <c r="AY297" s="293"/>
      <c r="AZ297" s="293"/>
      <c r="BA297" s="293"/>
      <c r="BB297" s="293"/>
      <c r="BC297" s="293"/>
      <c r="BD297" s="293"/>
      <c r="BE297" s="293"/>
      <c r="BF297" s="293"/>
      <c r="BG297" s="293"/>
      <c r="BH297" s="293"/>
      <c r="BI297" s="293"/>
      <c r="BJ297" s="293"/>
      <c r="BK297" s="293"/>
      <c r="BL297" s="293"/>
      <c r="BM297" s="293"/>
      <c r="BN297" s="293"/>
      <c r="BO297" s="293"/>
      <c r="BP297" s="293"/>
      <c r="BQ297" s="293"/>
      <c r="BR297" s="293"/>
      <c r="BS297" s="293"/>
      <c r="BT297" s="293"/>
      <c r="BU297" s="293"/>
      <c r="BV297" s="293"/>
      <c r="BW297" s="293"/>
      <c r="BX297" s="293"/>
      <c r="BY297" s="293"/>
      <c r="BZ297" s="293"/>
      <c r="CA297" s="285"/>
      <c r="CB297" s="286"/>
      <c r="CC297" s="286"/>
      <c r="CD297" s="286"/>
      <c r="CE297" s="286"/>
      <c r="CF297" s="286"/>
      <c r="CG297" s="286"/>
      <c r="CH297" s="286"/>
      <c r="CI297" s="286"/>
      <c r="CJ297" s="286"/>
      <c r="CK297" s="286"/>
      <c r="CL297" s="286"/>
      <c r="CM297" s="286"/>
      <c r="CN297" s="286"/>
      <c r="CO297" s="286"/>
      <c r="CP297" s="286"/>
      <c r="CQ297" s="286"/>
      <c r="CR297" s="286"/>
      <c r="CS297" s="286"/>
      <c r="CT297" s="286"/>
      <c r="CU297" s="286"/>
      <c r="CV297" s="286"/>
      <c r="CW297" s="286"/>
      <c r="CX297" s="286"/>
      <c r="CY297" s="286"/>
      <c r="CZ297" s="286"/>
      <c r="DA297" s="286"/>
      <c r="DB297" s="286"/>
      <c r="DC297" s="286"/>
      <c r="DD297" s="286"/>
      <c r="DE297" s="286"/>
      <c r="DF297" s="286"/>
      <c r="DG297" s="286"/>
      <c r="DH297" s="286"/>
      <c r="DI297" s="286"/>
      <c r="DJ297" s="286"/>
      <c r="DK297" s="286"/>
      <c r="DL297" s="286"/>
      <c r="DM297" s="286"/>
      <c r="DN297" s="286"/>
      <c r="DO297" s="286"/>
      <c r="DP297" s="286"/>
      <c r="DR297" s="58" t="str">
        <f>IF(ISNUMBER(MATCH(#REF!,'Audit Characteristic Mapping'!$B$3:$B$500,0)),"Y","")</f>
        <v/>
      </c>
      <c r="DS297" s="58" t="str">
        <f>IF(ISNUMBER(MATCH(#REF!,'Audit Characteristic Mapping'!$C$3:$C$500,0)),"Y","")</f>
        <v/>
      </c>
      <c r="DT297" s="58" t="str">
        <f>IF(ISNUMBER(MATCH(#REF!,'Audit Characteristic Mapping'!$D$3:$D$500,0)),"Y","")</f>
        <v/>
      </c>
      <c r="DU297" s="58" t="str">
        <f>IF(ISNUMBER(MATCH(#REF!,'Audit Characteristic Mapping'!$E$3:$E$500,0)),"Y","")</f>
        <v/>
      </c>
      <c r="DV297" s="58" t="str">
        <f>IF(ISNUMBER(MATCH(#REF!,'Audit Characteristic Mapping'!$F$3:$F$500,0)),"Y","")</f>
        <v/>
      </c>
      <c r="DW297" s="58" t="str">
        <f>IF(ISNUMBER(MATCH(#REF!,'Audit Characteristic Mapping'!$G$3:$G$500,0)),"Y","")</f>
        <v/>
      </c>
      <c r="DX297" s="58" t="str">
        <f>IF(ISNUMBER(MATCH(#REF!,'Audit Characteristic Mapping'!$H$3:$H$500,0)),"Y","")</f>
        <v/>
      </c>
      <c r="DY297" s="58" t="str">
        <f>IF(ISNUMBER(MATCH(#REF!,'Audit Characteristic Mapping'!$I$3:$I$500,0)),"Y","")</f>
        <v/>
      </c>
      <c r="DZ297" s="58" t="str">
        <f>IF(ISNUMBER(MATCH(#REF!,'Audit Characteristic Mapping'!$J$3:$J$500,0)),"Y","")</f>
        <v/>
      </c>
      <c r="EA297" s="58" t="str">
        <f>IF(ISNUMBER(MATCH(#REF!,'Audit Characteristic Mapping'!$K$3:$K$500,0)),"Y","")</f>
        <v/>
      </c>
    </row>
    <row r="298" spans="1:131" ht="16" hidden="1" x14ac:dyDescent="0.2">
      <c r="A298" s="288">
        <v>289</v>
      </c>
      <c r="B298" s="287" t="s">
        <v>421</v>
      </c>
      <c r="C298" s="226" t="s">
        <v>429</v>
      </c>
      <c r="D298" s="170">
        <v>8</v>
      </c>
      <c r="E298" s="288">
        <v>59</v>
      </c>
      <c r="F298" s="291" t="str">
        <f>VLOOKUP(Calculation!A298,'Descriptor maps'!$A$2:$F$1658,2,0)</f>
        <v>Governance</v>
      </c>
      <c r="G298" s="296"/>
      <c r="H298" s="290"/>
      <c r="I298" s="291"/>
      <c r="J298" s="292" t="e" cm="1">
        <f t="array" ref="J298">INDEX('Descriptor maps'!$I$2:$I$1658,MATCH(1,('Descriptor maps'!$A$2:$A$1658=Calculation!$A298)*('Descriptor maps'!$G$2:$G$1658=Calculation!$G298),0))</f>
        <v>#N/A</v>
      </c>
      <c r="K298" s="226"/>
      <c r="L298" s="293"/>
      <c r="M298" s="293"/>
      <c r="N298" s="293"/>
      <c r="O298" s="293"/>
      <c r="P298" s="293"/>
      <c r="Q298" s="293"/>
      <c r="R298" s="293"/>
      <c r="S298" s="293"/>
      <c r="T298" s="293"/>
      <c r="U298" s="293"/>
      <c r="V298" s="293"/>
      <c r="W298" s="293"/>
      <c r="X298" s="293"/>
      <c r="Y298" s="293"/>
      <c r="Z298" s="293"/>
      <c r="AA298" s="293"/>
      <c r="AB298" s="293"/>
      <c r="AC298" s="293"/>
      <c r="AD298" s="293"/>
      <c r="AE298" s="293"/>
      <c r="AF298" s="293"/>
      <c r="AG298" s="293"/>
      <c r="AH298" s="293"/>
      <c r="AI298" s="293"/>
      <c r="AJ298" s="293"/>
      <c r="AK298" s="293"/>
      <c r="AL298" s="293"/>
      <c r="AM298" s="293"/>
      <c r="AN298" s="293"/>
      <c r="AO298" s="293"/>
      <c r="AP298" s="293"/>
      <c r="AQ298" s="293"/>
      <c r="AR298" s="293"/>
      <c r="AS298" s="293"/>
      <c r="AT298" s="293"/>
      <c r="AU298" s="293"/>
      <c r="AV298" s="293"/>
      <c r="AW298" s="293"/>
      <c r="AX298" s="293"/>
      <c r="AY298" s="293"/>
      <c r="AZ298" s="293"/>
      <c r="BA298" s="293"/>
      <c r="BB298" s="293"/>
      <c r="BC298" s="293"/>
      <c r="BD298" s="293"/>
      <c r="BE298" s="293"/>
      <c r="BF298" s="293"/>
      <c r="BG298" s="293"/>
      <c r="BH298" s="293"/>
      <c r="BI298" s="293"/>
      <c r="BJ298" s="293"/>
      <c r="BK298" s="293"/>
      <c r="BL298" s="293"/>
      <c r="BM298" s="293"/>
      <c r="BN298" s="293"/>
      <c r="BO298" s="293"/>
      <c r="BP298" s="293"/>
      <c r="BQ298" s="293"/>
      <c r="BR298" s="293"/>
      <c r="BS298" s="293"/>
      <c r="BT298" s="293"/>
      <c r="BU298" s="293"/>
      <c r="BV298" s="293"/>
      <c r="BW298" s="293"/>
      <c r="BX298" s="293"/>
      <c r="BY298" s="293"/>
      <c r="BZ298" s="293"/>
      <c r="CA298" s="285"/>
      <c r="CB298" s="286"/>
      <c r="CC298" s="286"/>
      <c r="CD298" s="286"/>
      <c r="CE298" s="286"/>
      <c r="CF298" s="286"/>
      <c r="CG298" s="286"/>
      <c r="CH298" s="286"/>
      <c r="CI298" s="286"/>
      <c r="CJ298" s="286"/>
      <c r="CK298" s="286"/>
      <c r="CL298" s="286"/>
      <c r="CM298" s="286"/>
      <c r="CN298" s="286"/>
      <c r="CO298" s="286"/>
      <c r="CP298" s="286"/>
      <c r="CQ298" s="286"/>
      <c r="CR298" s="286"/>
      <c r="CS298" s="286"/>
      <c r="CT298" s="286"/>
      <c r="CU298" s="286"/>
      <c r="CV298" s="286"/>
      <c r="CW298" s="286"/>
      <c r="CX298" s="286"/>
      <c r="CY298" s="286"/>
      <c r="CZ298" s="286"/>
      <c r="DA298" s="286"/>
      <c r="DB298" s="286"/>
      <c r="DC298" s="286"/>
      <c r="DD298" s="286"/>
      <c r="DE298" s="286"/>
      <c r="DF298" s="286"/>
      <c r="DG298" s="286"/>
      <c r="DH298" s="286"/>
      <c r="DI298" s="286"/>
      <c r="DJ298" s="286"/>
      <c r="DK298" s="286"/>
      <c r="DL298" s="286"/>
      <c r="DM298" s="286"/>
      <c r="DN298" s="286"/>
      <c r="DO298" s="286"/>
      <c r="DP298" s="286"/>
      <c r="DR298" s="58" t="str">
        <f>IF(ISNUMBER(MATCH(#REF!,'Audit Characteristic Mapping'!$B$3:$B$500,0)),"Y","")</f>
        <v/>
      </c>
      <c r="DS298" s="58" t="str">
        <f>IF(ISNUMBER(MATCH(#REF!,'Audit Characteristic Mapping'!$C$3:$C$500,0)),"Y","")</f>
        <v/>
      </c>
      <c r="DT298" s="58" t="str">
        <f>IF(ISNUMBER(MATCH(#REF!,'Audit Characteristic Mapping'!$D$3:$D$500,0)),"Y","")</f>
        <v/>
      </c>
      <c r="DU298" s="58" t="str">
        <f>IF(ISNUMBER(MATCH(#REF!,'Audit Characteristic Mapping'!$E$3:$E$500,0)),"Y","")</f>
        <v/>
      </c>
      <c r="DV298" s="58" t="str">
        <f>IF(ISNUMBER(MATCH(#REF!,'Audit Characteristic Mapping'!$F$3:$F$500,0)),"Y","")</f>
        <v/>
      </c>
      <c r="DW298" s="58" t="str">
        <f>IF(ISNUMBER(MATCH(#REF!,'Audit Characteristic Mapping'!$G$3:$G$500,0)),"Y","")</f>
        <v/>
      </c>
      <c r="DX298" s="58" t="str">
        <f>IF(ISNUMBER(MATCH(#REF!,'Audit Characteristic Mapping'!$H$3:$H$500,0)),"Y","")</f>
        <v/>
      </c>
      <c r="DY298" s="58" t="str">
        <f>IF(ISNUMBER(MATCH(#REF!,'Audit Characteristic Mapping'!$I$3:$I$500,0)),"Y","")</f>
        <v/>
      </c>
      <c r="DZ298" s="58" t="str">
        <f>IF(ISNUMBER(MATCH(#REF!,'Audit Characteristic Mapping'!$J$3:$J$500,0)),"Y","")</f>
        <v/>
      </c>
      <c r="EA298" s="58" t="str">
        <f>IF(ISNUMBER(MATCH(#REF!,'Audit Characteristic Mapping'!$K$3:$K$500,0)),"Y","")</f>
        <v/>
      </c>
    </row>
    <row r="299" spans="1:131" ht="16" hidden="1" x14ac:dyDescent="0.2">
      <c r="A299" s="288">
        <v>290</v>
      </c>
      <c r="B299" s="287" t="s">
        <v>421</v>
      </c>
      <c r="C299" s="226" t="s">
        <v>429</v>
      </c>
      <c r="D299" s="170">
        <v>8</v>
      </c>
      <c r="E299" s="288">
        <v>59</v>
      </c>
      <c r="F299" s="291" t="str">
        <f>VLOOKUP(Calculation!A299,'Descriptor maps'!$A$2:$F$1658,2,0)</f>
        <v>Governance</v>
      </c>
      <c r="G299" s="296"/>
      <c r="H299" s="290"/>
      <c r="I299" s="291"/>
      <c r="J299" s="292" t="e" cm="1">
        <f t="array" ref="J299">INDEX('Descriptor maps'!$I$2:$I$1658,MATCH(1,('Descriptor maps'!$A$2:$A$1658=Calculation!$A299)*('Descriptor maps'!$G$2:$G$1658=Calculation!$G299),0))</f>
        <v>#N/A</v>
      </c>
      <c r="K299" s="226"/>
      <c r="L299" s="293"/>
      <c r="M299" s="293"/>
      <c r="N299" s="293"/>
      <c r="O299" s="293"/>
      <c r="P299" s="293"/>
      <c r="Q299" s="293"/>
      <c r="R299" s="293"/>
      <c r="S299" s="293"/>
      <c r="T299" s="293"/>
      <c r="U299" s="293"/>
      <c r="V299" s="293"/>
      <c r="W299" s="293"/>
      <c r="X299" s="293"/>
      <c r="Y299" s="293"/>
      <c r="Z299" s="293"/>
      <c r="AA299" s="293"/>
      <c r="AB299" s="293"/>
      <c r="AC299" s="293"/>
      <c r="AD299" s="293"/>
      <c r="AE299" s="293"/>
      <c r="AF299" s="293"/>
      <c r="AG299" s="293"/>
      <c r="AH299" s="293"/>
      <c r="AI299" s="293"/>
      <c r="AJ299" s="293"/>
      <c r="AK299" s="293"/>
      <c r="AL299" s="293"/>
      <c r="AM299" s="293"/>
      <c r="AN299" s="293"/>
      <c r="AO299" s="293"/>
      <c r="AP299" s="293"/>
      <c r="AQ299" s="293"/>
      <c r="AR299" s="293"/>
      <c r="AS299" s="293"/>
      <c r="AT299" s="293"/>
      <c r="AU299" s="293"/>
      <c r="AV299" s="293"/>
      <c r="AW299" s="293"/>
      <c r="AX299" s="293"/>
      <c r="AY299" s="293"/>
      <c r="AZ299" s="293"/>
      <c r="BA299" s="293"/>
      <c r="BB299" s="293"/>
      <c r="BC299" s="293"/>
      <c r="BD299" s="293"/>
      <c r="BE299" s="293"/>
      <c r="BF299" s="293"/>
      <c r="BG299" s="293"/>
      <c r="BH299" s="293"/>
      <c r="BI299" s="293"/>
      <c r="BJ299" s="293"/>
      <c r="BK299" s="293"/>
      <c r="BL299" s="293"/>
      <c r="BM299" s="293"/>
      <c r="BN299" s="293"/>
      <c r="BO299" s="293"/>
      <c r="BP299" s="293"/>
      <c r="BQ299" s="293"/>
      <c r="BR299" s="293"/>
      <c r="BS299" s="293"/>
      <c r="BT299" s="293"/>
      <c r="BU299" s="293"/>
      <c r="BV299" s="293"/>
      <c r="BW299" s="293"/>
      <c r="BX299" s="293"/>
      <c r="BY299" s="293"/>
      <c r="BZ299" s="293"/>
      <c r="CA299" s="285"/>
      <c r="CB299" s="286"/>
      <c r="CC299" s="286"/>
      <c r="CD299" s="286"/>
      <c r="CE299" s="286"/>
      <c r="CF299" s="286"/>
      <c r="CG299" s="286"/>
      <c r="CH299" s="286"/>
      <c r="CI299" s="286"/>
      <c r="CJ299" s="286"/>
      <c r="CK299" s="286"/>
      <c r="CL299" s="286"/>
      <c r="CM299" s="286"/>
      <c r="CN299" s="286"/>
      <c r="CO299" s="286"/>
      <c r="CP299" s="286"/>
      <c r="CQ299" s="286"/>
      <c r="CR299" s="286"/>
      <c r="CS299" s="286"/>
      <c r="CT299" s="286"/>
      <c r="CU299" s="286"/>
      <c r="CV299" s="286"/>
      <c r="CW299" s="286"/>
      <c r="CX299" s="286"/>
      <c r="CY299" s="286"/>
      <c r="CZ299" s="286"/>
      <c r="DA299" s="286"/>
      <c r="DB299" s="286"/>
      <c r="DC299" s="286"/>
      <c r="DD299" s="286"/>
      <c r="DE299" s="286"/>
      <c r="DF299" s="286"/>
      <c r="DG299" s="286"/>
      <c r="DH299" s="286"/>
      <c r="DI299" s="286"/>
      <c r="DJ299" s="286"/>
      <c r="DK299" s="286"/>
      <c r="DL299" s="286"/>
      <c r="DM299" s="286"/>
      <c r="DN299" s="286"/>
      <c r="DO299" s="286"/>
      <c r="DP299" s="286"/>
      <c r="DR299" s="58" t="str">
        <f>IF(ISNUMBER(MATCH(#REF!,'Audit Characteristic Mapping'!$B$3:$B$500,0)),"Y","")</f>
        <v/>
      </c>
      <c r="DS299" s="58" t="str">
        <f>IF(ISNUMBER(MATCH(#REF!,'Audit Characteristic Mapping'!$C$3:$C$500,0)),"Y","")</f>
        <v/>
      </c>
      <c r="DT299" s="58" t="str">
        <f>IF(ISNUMBER(MATCH(#REF!,'Audit Characteristic Mapping'!$D$3:$D$500,0)),"Y","")</f>
        <v/>
      </c>
      <c r="DU299" s="58" t="str">
        <f>IF(ISNUMBER(MATCH(#REF!,'Audit Characteristic Mapping'!$E$3:$E$500,0)),"Y","")</f>
        <v/>
      </c>
      <c r="DV299" s="58" t="str">
        <f>IF(ISNUMBER(MATCH(#REF!,'Audit Characteristic Mapping'!$F$3:$F$500,0)),"Y","")</f>
        <v/>
      </c>
      <c r="DW299" s="58" t="str">
        <f>IF(ISNUMBER(MATCH(#REF!,'Audit Characteristic Mapping'!$G$3:$G$500,0)),"Y","")</f>
        <v/>
      </c>
      <c r="DX299" s="58" t="str">
        <f>IF(ISNUMBER(MATCH(#REF!,'Audit Characteristic Mapping'!$H$3:$H$500,0)),"Y","")</f>
        <v/>
      </c>
      <c r="DY299" s="58" t="str">
        <f>IF(ISNUMBER(MATCH(#REF!,'Audit Characteristic Mapping'!$I$3:$I$500,0)),"Y","")</f>
        <v/>
      </c>
      <c r="DZ299" s="58" t="str">
        <f>IF(ISNUMBER(MATCH(#REF!,'Audit Characteristic Mapping'!$J$3:$J$500,0)),"Y","")</f>
        <v/>
      </c>
      <c r="EA299" s="58" t="str">
        <f>IF(ISNUMBER(MATCH(#REF!,'Audit Characteristic Mapping'!$K$3:$K$500,0)),"Y","")</f>
        <v/>
      </c>
    </row>
    <row r="300" spans="1:131" ht="16" hidden="1" x14ac:dyDescent="0.2">
      <c r="A300" s="288">
        <v>291</v>
      </c>
      <c r="B300" s="287" t="s">
        <v>421</v>
      </c>
      <c r="C300" s="226" t="s">
        <v>429</v>
      </c>
      <c r="D300" s="170">
        <v>8</v>
      </c>
      <c r="E300" s="288">
        <v>59</v>
      </c>
      <c r="F300" s="291" t="str">
        <f>VLOOKUP(Calculation!A300,'Descriptor maps'!$A$2:$F$1658,2,0)</f>
        <v>Governance</v>
      </c>
      <c r="G300" s="296"/>
      <c r="H300" s="290"/>
      <c r="I300" s="291"/>
      <c r="J300" s="292" t="e" cm="1">
        <f t="array" ref="J300">INDEX('Descriptor maps'!$I$2:$I$1658,MATCH(1,('Descriptor maps'!$A$2:$A$1658=Calculation!$A300)*('Descriptor maps'!$G$2:$G$1658=Calculation!$G300),0))</f>
        <v>#N/A</v>
      </c>
      <c r="K300" s="226"/>
      <c r="L300" s="293"/>
      <c r="M300" s="293"/>
      <c r="N300" s="293"/>
      <c r="O300" s="293"/>
      <c r="P300" s="293"/>
      <c r="Q300" s="293"/>
      <c r="R300" s="293"/>
      <c r="S300" s="293"/>
      <c r="T300" s="293"/>
      <c r="U300" s="293"/>
      <c r="V300" s="293"/>
      <c r="W300" s="293"/>
      <c r="X300" s="293"/>
      <c r="Y300" s="293"/>
      <c r="Z300" s="293"/>
      <c r="AA300" s="293"/>
      <c r="AB300" s="293"/>
      <c r="AC300" s="293"/>
      <c r="AD300" s="293"/>
      <c r="AE300" s="293"/>
      <c r="AF300" s="293"/>
      <c r="AG300" s="293"/>
      <c r="AH300" s="293"/>
      <c r="AI300" s="293"/>
      <c r="AJ300" s="293"/>
      <c r="AK300" s="293"/>
      <c r="AL300" s="293"/>
      <c r="AM300" s="293"/>
      <c r="AN300" s="293"/>
      <c r="AO300" s="293"/>
      <c r="AP300" s="293"/>
      <c r="AQ300" s="293"/>
      <c r="AR300" s="293"/>
      <c r="AS300" s="293"/>
      <c r="AT300" s="293"/>
      <c r="AU300" s="293"/>
      <c r="AV300" s="293"/>
      <c r="AW300" s="293"/>
      <c r="AX300" s="293"/>
      <c r="AY300" s="293"/>
      <c r="AZ300" s="293"/>
      <c r="BA300" s="293"/>
      <c r="BB300" s="293"/>
      <c r="BC300" s="293"/>
      <c r="BD300" s="293"/>
      <c r="BE300" s="293"/>
      <c r="BF300" s="293"/>
      <c r="BG300" s="293"/>
      <c r="BH300" s="293"/>
      <c r="BI300" s="293"/>
      <c r="BJ300" s="293"/>
      <c r="BK300" s="293"/>
      <c r="BL300" s="293"/>
      <c r="BM300" s="293"/>
      <c r="BN300" s="293"/>
      <c r="BO300" s="293"/>
      <c r="BP300" s="293"/>
      <c r="BQ300" s="293"/>
      <c r="BR300" s="293"/>
      <c r="BS300" s="293"/>
      <c r="BT300" s="293"/>
      <c r="BU300" s="293"/>
      <c r="BV300" s="293"/>
      <c r="BW300" s="293"/>
      <c r="BX300" s="293"/>
      <c r="BY300" s="293"/>
      <c r="BZ300" s="293"/>
      <c r="CA300" s="285"/>
      <c r="CB300" s="286"/>
      <c r="CC300" s="286"/>
      <c r="CD300" s="286"/>
      <c r="CE300" s="286"/>
      <c r="CF300" s="286"/>
      <c r="CG300" s="286"/>
      <c r="CH300" s="286"/>
      <c r="CI300" s="286"/>
      <c r="CJ300" s="286"/>
      <c r="CK300" s="286"/>
      <c r="CL300" s="286"/>
      <c r="CM300" s="286"/>
      <c r="CN300" s="286"/>
      <c r="CO300" s="286"/>
      <c r="CP300" s="286"/>
      <c r="CQ300" s="286"/>
      <c r="CR300" s="286"/>
      <c r="CS300" s="286"/>
      <c r="CT300" s="286"/>
      <c r="CU300" s="286"/>
      <c r="CV300" s="286"/>
      <c r="CW300" s="286"/>
      <c r="CX300" s="286"/>
      <c r="CY300" s="286"/>
      <c r="CZ300" s="286"/>
      <c r="DA300" s="286"/>
      <c r="DB300" s="286"/>
      <c r="DC300" s="286"/>
      <c r="DD300" s="286"/>
      <c r="DE300" s="286"/>
      <c r="DF300" s="286"/>
      <c r="DG300" s="286"/>
      <c r="DH300" s="286"/>
      <c r="DI300" s="286"/>
      <c r="DJ300" s="286"/>
      <c r="DK300" s="286"/>
      <c r="DL300" s="286"/>
      <c r="DM300" s="286"/>
      <c r="DN300" s="286"/>
      <c r="DO300" s="286"/>
      <c r="DP300" s="286"/>
      <c r="DR300" s="58" t="str">
        <f>IF(ISNUMBER(MATCH(#REF!,'Audit Characteristic Mapping'!$B$3:$B$500,0)),"Y","")</f>
        <v/>
      </c>
      <c r="DS300" s="58" t="str">
        <f>IF(ISNUMBER(MATCH(#REF!,'Audit Characteristic Mapping'!$C$3:$C$500,0)),"Y","")</f>
        <v/>
      </c>
      <c r="DT300" s="58" t="str">
        <f>IF(ISNUMBER(MATCH(#REF!,'Audit Characteristic Mapping'!$D$3:$D$500,0)),"Y","")</f>
        <v/>
      </c>
      <c r="DU300" s="58" t="str">
        <f>IF(ISNUMBER(MATCH(#REF!,'Audit Characteristic Mapping'!$E$3:$E$500,0)),"Y","")</f>
        <v/>
      </c>
      <c r="DV300" s="58" t="str">
        <f>IF(ISNUMBER(MATCH(#REF!,'Audit Characteristic Mapping'!$F$3:$F$500,0)),"Y","")</f>
        <v/>
      </c>
      <c r="DW300" s="58" t="str">
        <f>IF(ISNUMBER(MATCH(#REF!,'Audit Characteristic Mapping'!$G$3:$G$500,0)),"Y","")</f>
        <v/>
      </c>
      <c r="DX300" s="58" t="str">
        <f>IF(ISNUMBER(MATCH(#REF!,'Audit Characteristic Mapping'!$H$3:$H$500,0)),"Y","")</f>
        <v/>
      </c>
      <c r="DY300" s="58" t="str">
        <f>IF(ISNUMBER(MATCH(#REF!,'Audit Characteristic Mapping'!$I$3:$I$500,0)),"Y","")</f>
        <v/>
      </c>
      <c r="DZ300" s="58" t="str">
        <f>IF(ISNUMBER(MATCH(#REF!,'Audit Characteristic Mapping'!$J$3:$J$500,0)),"Y","")</f>
        <v/>
      </c>
      <c r="EA300" s="58" t="str">
        <f>IF(ISNUMBER(MATCH(#REF!,'Audit Characteristic Mapping'!$K$3:$K$500,0)),"Y","")</f>
        <v/>
      </c>
    </row>
    <row r="301" spans="1:131" ht="16" hidden="1" x14ac:dyDescent="0.2">
      <c r="A301" s="288">
        <v>292</v>
      </c>
      <c r="B301" s="287" t="s">
        <v>421</v>
      </c>
      <c r="C301" s="226" t="s">
        <v>429</v>
      </c>
      <c r="D301" s="170">
        <v>8</v>
      </c>
      <c r="E301" s="288">
        <v>59</v>
      </c>
      <c r="F301" s="291" t="str">
        <f>VLOOKUP(Calculation!A301,'Descriptor maps'!$A$2:$F$1658,2,0)</f>
        <v>Governance</v>
      </c>
      <c r="G301" s="296"/>
      <c r="H301" s="290"/>
      <c r="I301" s="291"/>
      <c r="J301" s="292" t="e" cm="1">
        <f t="array" ref="J301">INDEX('Descriptor maps'!$I$2:$I$1658,MATCH(1,('Descriptor maps'!$A$2:$A$1658=Calculation!$A301)*('Descriptor maps'!$G$2:$G$1658=Calculation!$G301),0))</f>
        <v>#N/A</v>
      </c>
      <c r="K301" s="226"/>
      <c r="L301" s="293"/>
      <c r="M301" s="293"/>
      <c r="N301" s="293"/>
      <c r="O301" s="293"/>
      <c r="P301" s="293"/>
      <c r="Q301" s="293"/>
      <c r="R301" s="293"/>
      <c r="S301" s="293"/>
      <c r="T301" s="293"/>
      <c r="U301" s="293"/>
      <c r="V301" s="293"/>
      <c r="W301" s="293"/>
      <c r="X301" s="293"/>
      <c r="Y301" s="293"/>
      <c r="Z301" s="293"/>
      <c r="AA301" s="293"/>
      <c r="AB301" s="293"/>
      <c r="AC301" s="293"/>
      <c r="AD301" s="293"/>
      <c r="AE301" s="293"/>
      <c r="AF301" s="293"/>
      <c r="AG301" s="293"/>
      <c r="AH301" s="293"/>
      <c r="AI301" s="293"/>
      <c r="AJ301" s="293"/>
      <c r="AK301" s="293"/>
      <c r="AL301" s="293"/>
      <c r="AM301" s="293"/>
      <c r="AN301" s="293"/>
      <c r="AO301" s="293"/>
      <c r="AP301" s="293"/>
      <c r="AQ301" s="293"/>
      <c r="AR301" s="293"/>
      <c r="AS301" s="293"/>
      <c r="AT301" s="293"/>
      <c r="AU301" s="293"/>
      <c r="AV301" s="293"/>
      <c r="AW301" s="293"/>
      <c r="AX301" s="293"/>
      <c r="AY301" s="293"/>
      <c r="AZ301" s="293"/>
      <c r="BA301" s="293"/>
      <c r="BB301" s="293"/>
      <c r="BC301" s="293"/>
      <c r="BD301" s="293"/>
      <c r="BE301" s="293"/>
      <c r="BF301" s="293"/>
      <c r="BG301" s="293"/>
      <c r="BH301" s="293"/>
      <c r="BI301" s="293"/>
      <c r="BJ301" s="293"/>
      <c r="BK301" s="293"/>
      <c r="BL301" s="293"/>
      <c r="BM301" s="293"/>
      <c r="BN301" s="293"/>
      <c r="BO301" s="293"/>
      <c r="BP301" s="293"/>
      <c r="BQ301" s="293"/>
      <c r="BR301" s="293"/>
      <c r="BS301" s="293"/>
      <c r="BT301" s="293"/>
      <c r="BU301" s="293"/>
      <c r="BV301" s="293"/>
      <c r="BW301" s="293"/>
      <c r="BX301" s="293"/>
      <c r="BY301" s="293"/>
      <c r="BZ301" s="293"/>
      <c r="CA301" s="285"/>
      <c r="CB301" s="286"/>
      <c r="CC301" s="286"/>
      <c r="CD301" s="286"/>
      <c r="CE301" s="286"/>
      <c r="CF301" s="286"/>
      <c r="CG301" s="286"/>
      <c r="CH301" s="286"/>
      <c r="CI301" s="286"/>
      <c r="CJ301" s="286"/>
      <c r="CK301" s="286"/>
      <c r="CL301" s="286"/>
      <c r="CM301" s="286"/>
      <c r="CN301" s="286"/>
      <c r="CO301" s="286"/>
      <c r="CP301" s="286"/>
      <c r="CQ301" s="286"/>
      <c r="CR301" s="286"/>
      <c r="CS301" s="286"/>
      <c r="CT301" s="286"/>
      <c r="CU301" s="286"/>
      <c r="CV301" s="286"/>
      <c r="CW301" s="286"/>
      <c r="CX301" s="286"/>
      <c r="CY301" s="286"/>
      <c r="CZ301" s="286"/>
      <c r="DA301" s="286"/>
      <c r="DB301" s="286"/>
      <c r="DC301" s="286"/>
      <c r="DD301" s="286"/>
      <c r="DE301" s="286"/>
      <c r="DF301" s="286"/>
      <c r="DG301" s="286"/>
      <c r="DH301" s="286"/>
      <c r="DI301" s="286"/>
      <c r="DJ301" s="286"/>
      <c r="DK301" s="286"/>
      <c r="DL301" s="286"/>
      <c r="DM301" s="286"/>
      <c r="DN301" s="286"/>
      <c r="DO301" s="286"/>
      <c r="DP301" s="286"/>
      <c r="DR301" s="58" t="str">
        <f>IF(ISNUMBER(MATCH(#REF!,'Audit Characteristic Mapping'!$B$3:$B$500,0)),"Y","")</f>
        <v/>
      </c>
      <c r="DS301" s="58" t="str">
        <f>IF(ISNUMBER(MATCH(#REF!,'Audit Characteristic Mapping'!$C$3:$C$500,0)),"Y","")</f>
        <v/>
      </c>
      <c r="DT301" s="58" t="str">
        <f>IF(ISNUMBER(MATCH(#REF!,'Audit Characteristic Mapping'!$D$3:$D$500,0)),"Y","")</f>
        <v/>
      </c>
      <c r="DU301" s="58" t="str">
        <f>IF(ISNUMBER(MATCH(#REF!,'Audit Characteristic Mapping'!$E$3:$E$500,0)),"Y","")</f>
        <v/>
      </c>
      <c r="DV301" s="58" t="str">
        <f>IF(ISNUMBER(MATCH(#REF!,'Audit Characteristic Mapping'!$F$3:$F$500,0)),"Y","")</f>
        <v/>
      </c>
      <c r="DW301" s="58" t="str">
        <f>IF(ISNUMBER(MATCH(#REF!,'Audit Characteristic Mapping'!$G$3:$G$500,0)),"Y","")</f>
        <v/>
      </c>
      <c r="DX301" s="58" t="str">
        <f>IF(ISNUMBER(MATCH(#REF!,'Audit Characteristic Mapping'!$H$3:$H$500,0)),"Y","")</f>
        <v/>
      </c>
      <c r="DY301" s="58" t="str">
        <f>IF(ISNUMBER(MATCH(#REF!,'Audit Characteristic Mapping'!$I$3:$I$500,0)),"Y","")</f>
        <v/>
      </c>
      <c r="DZ301" s="58" t="str">
        <f>IF(ISNUMBER(MATCH(#REF!,'Audit Characteristic Mapping'!$J$3:$J$500,0)),"Y","")</f>
        <v/>
      </c>
      <c r="EA301" s="58" t="str">
        <f>IF(ISNUMBER(MATCH(#REF!,'Audit Characteristic Mapping'!$K$3:$K$500,0)),"Y","")</f>
        <v/>
      </c>
    </row>
    <row r="302" spans="1:131" ht="32" hidden="1" x14ac:dyDescent="0.2">
      <c r="A302" s="288">
        <v>293</v>
      </c>
      <c r="B302" s="287" t="s">
        <v>421</v>
      </c>
      <c r="C302" s="226" t="s">
        <v>441</v>
      </c>
      <c r="D302" s="170">
        <v>8</v>
      </c>
      <c r="E302" s="288">
        <v>60</v>
      </c>
      <c r="F302" s="291" t="str">
        <f>VLOOKUP(Calculation!A302,'Descriptor maps'!$A$2:$F$1658,2,0)</f>
        <v>Governance</v>
      </c>
      <c r="G302" s="296"/>
      <c r="H302" s="290"/>
      <c r="I302" s="291"/>
      <c r="J302" s="292" t="e" cm="1">
        <f t="array" ref="J302">INDEX('Descriptor maps'!$I$2:$I$1658,MATCH(1,('Descriptor maps'!$A$2:$A$1658=Calculation!$A302)*('Descriptor maps'!$G$2:$G$1658=Calculation!$G302),0))</f>
        <v>#N/A</v>
      </c>
      <c r="K302" s="226"/>
      <c r="L302" s="293"/>
      <c r="M302" s="293"/>
      <c r="N302" s="293"/>
      <c r="O302" s="293"/>
      <c r="P302" s="293"/>
      <c r="Q302" s="293"/>
      <c r="R302" s="293"/>
      <c r="S302" s="293"/>
      <c r="T302" s="293"/>
      <c r="U302" s="293"/>
      <c r="V302" s="293"/>
      <c r="W302" s="293"/>
      <c r="X302" s="293"/>
      <c r="Y302" s="293"/>
      <c r="Z302" s="293"/>
      <c r="AA302" s="293"/>
      <c r="AB302" s="293"/>
      <c r="AC302" s="293"/>
      <c r="AD302" s="293"/>
      <c r="AE302" s="293"/>
      <c r="AF302" s="293"/>
      <c r="AG302" s="293"/>
      <c r="AH302" s="293"/>
      <c r="AI302" s="293"/>
      <c r="AJ302" s="293"/>
      <c r="AK302" s="293"/>
      <c r="AL302" s="293"/>
      <c r="AM302" s="293"/>
      <c r="AN302" s="293"/>
      <c r="AO302" s="293"/>
      <c r="AP302" s="293"/>
      <c r="AQ302" s="293"/>
      <c r="AR302" s="293"/>
      <c r="AS302" s="293"/>
      <c r="AT302" s="293"/>
      <c r="AU302" s="293"/>
      <c r="AV302" s="293"/>
      <c r="AW302" s="293"/>
      <c r="AX302" s="293"/>
      <c r="AY302" s="293"/>
      <c r="AZ302" s="293"/>
      <c r="BA302" s="293"/>
      <c r="BB302" s="293"/>
      <c r="BC302" s="293"/>
      <c r="BD302" s="293"/>
      <c r="BE302" s="293"/>
      <c r="BF302" s="293"/>
      <c r="BG302" s="293"/>
      <c r="BH302" s="293"/>
      <c r="BI302" s="293"/>
      <c r="BJ302" s="293"/>
      <c r="BK302" s="293"/>
      <c r="BL302" s="293"/>
      <c r="BM302" s="293"/>
      <c r="BN302" s="293"/>
      <c r="BO302" s="293"/>
      <c r="BP302" s="293"/>
      <c r="BQ302" s="293"/>
      <c r="BR302" s="293"/>
      <c r="BS302" s="293"/>
      <c r="BT302" s="293"/>
      <c r="BU302" s="293"/>
      <c r="BV302" s="293"/>
      <c r="BW302" s="293"/>
      <c r="BX302" s="293"/>
      <c r="BY302" s="293"/>
      <c r="BZ302" s="293"/>
      <c r="CA302" s="285"/>
      <c r="CB302" s="286"/>
      <c r="CC302" s="286"/>
      <c r="CD302" s="286"/>
      <c r="CE302" s="286"/>
      <c r="CF302" s="286"/>
      <c r="CG302" s="286"/>
      <c r="CH302" s="286"/>
      <c r="CI302" s="286"/>
      <c r="CJ302" s="286"/>
      <c r="CK302" s="286"/>
      <c r="CL302" s="286"/>
      <c r="CM302" s="286"/>
      <c r="CN302" s="286"/>
      <c r="CO302" s="286"/>
      <c r="CP302" s="286"/>
      <c r="CQ302" s="286"/>
      <c r="CR302" s="286"/>
      <c r="CS302" s="286"/>
      <c r="CT302" s="286"/>
      <c r="CU302" s="286"/>
      <c r="CV302" s="286"/>
      <c r="CW302" s="286"/>
      <c r="CX302" s="286"/>
      <c r="CY302" s="286"/>
      <c r="CZ302" s="286"/>
      <c r="DA302" s="286"/>
      <c r="DB302" s="286"/>
      <c r="DC302" s="286"/>
      <c r="DD302" s="286"/>
      <c r="DE302" s="286"/>
      <c r="DF302" s="286"/>
      <c r="DG302" s="286"/>
      <c r="DH302" s="286"/>
      <c r="DI302" s="286"/>
      <c r="DJ302" s="286"/>
      <c r="DK302" s="286"/>
      <c r="DL302" s="286"/>
      <c r="DM302" s="286"/>
      <c r="DN302" s="286"/>
      <c r="DO302" s="286"/>
      <c r="DP302" s="286"/>
      <c r="DR302" s="58" t="str">
        <f>IF(ISNUMBER(MATCH(#REF!,'Audit Characteristic Mapping'!$B$3:$B$500,0)),"Y","")</f>
        <v/>
      </c>
      <c r="DS302" s="58" t="str">
        <f>IF(ISNUMBER(MATCH(#REF!,'Audit Characteristic Mapping'!$C$3:$C$500,0)),"Y","")</f>
        <v/>
      </c>
      <c r="DT302" s="58" t="str">
        <f>IF(ISNUMBER(MATCH(#REF!,'Audit Characteristic Mapping'!$D$3:$D$500,0)),"Y","")</f>
        <v/>
      </c>
      <c r="DU302" s="58" t="str">
        <f>IF(ISNUMBER(MATCH(#REF!,'Audit Characteristic Mapping'!$E$3:$E$500,0)),"Y","")</f>
        <v/>
      </c>
      <c r="DV302" s="58" t="str">
        <f>IF(ISNUMBER(MATCH(#REF!,'Audit Characteristic Mapping'!$F$3:$F$500,0)),"Y","")</f>
        <v/>
      </c>
      <c r="DW302" s="58" t="str">
        <f>IF(ISNUMBER(MATCH(#REF!,'Audit Characteristic Mapping'!$G$3:$G$500,0)),"Y","")</f>
        <v/>
      </c>
      <c r="DX302" s="58" t="str">
        <f>IF(ISNUMBER(MATCH(#REF!,'Audit Characteristic Mapping'!$H$3:$H$500,0)),"Y","")</f>
        <v/>
      </c>
      <c r="DY302" s="58" t="str">
        <f>IF(ISNUMBER(MATCH(#REF!,'Audit Characteristic Mapping'!$I$3:$I$500,0)),"Y","")</f>
        <v/>
      </c>
      <c r="DZ302" s="58" t="str">
        <f>IF(ISNUMBER(MATCH(#REF!,'Audit Characteristic Mapping'!$J$3:$J$500,0)),"Y","")</f>
        <v/>
      </c>
      <c r="EA302" s="58" t="str">
        <f>IF(ISNUMBER(MATCH(#REF!,'Audit Characteristic Mapping'!$K$3:$K$500,0)),"Y","")</f>
        <v/>
      </c>
    </row>
    <row r="303" spans="1:131" ht="16" hidden="1" x14ac:dyDescent="0.2">
      <c r="A303" s="288">
        <v>294</v>
      </c>
      <c r="B303" s="287" t="s">
        <v>421</v>
      </c>
      <c r="C303" s="226" t="s">
        <v>443</v>
      </c>
      <c r="D303" s="170">
        <v>8</v>
      </c>
      <c r="E303" s="288">
        <v>61</v>
      </c>
      <c r="F303" s="291" t="str">
        <f>VLOOKUP(Calculation!A303,'Descriptor maps'!$A$2:$F$1658,2,0)</f>
        <v>Governance</v>
      </c>
      <c r="G303" s="296"/>
      <c r="H303" s="290"/>
      <c r="I303" s="291"/>
      <c r="J303" s="292" t="e" cm="1">
        <f t="array" ref="J303">INDEX('Descriptor maps'!$I$2:$I$1658,MATCH(1,('Descriptor maps'!$A$2:$A$1658=Calculation!$A303)*('Descriptor maps'!$G$2:$G$1658=Calculation!$G303),0))</f>
        <v>#N/A</v>
      </c>
      <c r="K303" s="226"/>
      <c r="L303" s="293"/>
      <c r="M303" s="293"/>
      <c r="N303" s="293"/>
      <c r="O303" s="293"/>
      <c r="P303" s="293"/>
      <c r="Q303" s="293"/>
      <c r="R303" s="293"/>
      <c r="S303" s="293"/>
      <c r="T303" s="293"/>
      <c r="U303" s="293"/>
      <c r="V303" s="293"/>
      <c r="W303" s="293"/>
      <c r="X303" s="293"/>
      <c r="Y303" s="293"/>
      <c r="Z303" s="293"/>
      <c r="AA303" s="293"/>
      <c r="AB303" s="293"/>
      <c r="AC303" s="293"/>
      <c r="AD303" s="293"/>
      <c r="AE303" s="293"/>
      <c r="AF303" s="293"/>
      <c r="AG303" s="293"/>
      <c r="AH303" s="293"/>
      <c r="AI303" s="293"/>
      <c r="AJ303" s="293"/>
      <c r="AK303" s="293"/>
      <c r="AL303" s="293"/>
      <c r="AM303" s="293"/>
      <c r="AN303" s="293"/>
      <c r="AO303" s="293"/>
      <c r="AP303" s="293"/>
      <c r="AQ303" s="293"/>
      <c r="AR303" s="293"/>
      <c r="AS303" s="293"/>
      <c r="AT303" s="293"/>
      <c r="AU303" s="293"/>
      <c r="AV303" s="293"/>
      <c r="AW303" s="293"/>
      <c r="AX303" s="293"/>
      <c r="AY303" s="293"/>
      <c r="AZ303" s="293"/>
      <c r="BA303" s="293"/>
      <c r="BB303" s="293"/>
      <c r="BC303" s="293"/>
      <c r="BD303" s="293"/>
      <c r="BE303" s="293"/>
      <c r="BF303" s="293"/>
      <c r="BG303" s="293"/>
      <c r="BH303" s="293"/>
      <c r="BI303" s="293"/>
      <c r="BJ303" s="293"/>
      <c r="BK303" s="293"/>
      <c r="BL303" s="293"/>
      <c r="BM303" s="293"/>
      <c r="BN303" s="293"/>
      <c r="BO303" s="293"/>
      <c r="BP303" s="293"/>
      <c r="BQ303" s="293"/>
      <c r="BR303" s="293"/>
      <c r="BS303" s="293"/>
      <c r="BT303" s="293"/>
      <c r="BU303" s="293"/>
      <c r="BV303" s="293"/>
      <c r="BW303" s="293"/>
      <c r="BX303" s="293"/>
      <c r="BY303" s="293"/>
      <c r="BZ303" s="293"/>
      <c r="CA303" s="285"/>
      <c r="CB303" s="286"/>
      <c r="CC303" s="286"/>
      <c r="CD303" s="286"/>
      <c r="CE303" s="286"/>
      <c r="CF303" s="286"/>
      <c r="CG303" s="286"/>
      <c r="CH303" s="286"/>
      <c r="CI303" s="286"/>
      <c r="CJ303" s="286"/>
      <c r="CK303" s="286"/>
      <c r="CL303" s="286"/>
      <c r="CM303" s="286"/>
      <c r="CN303" s="286"/>
      <c r="CO303" s="286"/>
      <c r="CP303" s="286"/>
      <c r="CQ303" s="286"/>
      <c r="CR303" s="286"/>
      <c r="CS303" s="286"/>
      <c r="CT303" s="286"/>
      <c r="CU303" s="286"/>
      <c r="CV303" s="286"/>
      <c r="CW303" s="286"/>
      <c r="CX303" s="286"/>
      <c r="CY303" s="286"/>
      <c r="CZ303" s="286"/>
      <c r="DA303" s="286"/>
      <c r="DB303" s="286"/>
      <c r="DC303" s="286"/>
      <c r="DD303" s="286"/>
      <c r="DE303" s="286"/>
      <c r="DF303" s="286"/>
      <c r="DG303" s="286"/>
      <c r="DH303" s="286"/>
      <c r="DI303" s="286"/>
      <c r="DJ303" s="286"/>
      <c r="DK303" s="286"/>
      <c r="DL303" s="286"/>
      <c r="DM303" s="286"/>
      <c r="DN303" s="286"/>
      <c r="DO303" s="286"/>
      <c r="DP303" s="286"/>
      <c r="DR303" s="58" t="str">
        <f>IF(ISNUMBER(MATCH(#REF!,'Audit Characteristic Mapping'!$B$3:$B$500,0)),"Y","")</f>
        <v/>
      </c>
      <c r="DS303" s="58" t="str">
        <f>IF(ISNUMBER(MATCH(#REF!,'Audit Characteristic Mapping'!$C$3:$C$500,0)),"Y","")</f>
        <v/>
      </c>
      <c r="DT303" s="58" t="str">
        <f>IF(ISNUMBER(MATCH(#REF!,'Audit Characteristic Mapping'!$D$3:$D$500,0)),"Y","")</f>
        <v/>
      </c>
      <c r="DU303" s="58" t="str">
        <f>IF(ISNUMBER(MATCH(#REF!,'Audit Characteristic Mapping'!$E$3:$E$500,0)),"Y","")</f>
        <v/>
      </c>
      <c r="DV303" s="58" t="str">
        <f>IF(ISNUMBER(MATCH(#REF!,'Audit Characteristic Mapping'!$F$3:$F$500,0)),"Y","")</f>
        <v/>
      </c>
      <c r="DW303" s="58" t="str">
        <f>IF(ISNUMBER(MATCH(#REF!,'Audit Characteristic Mapping'!$G$3:$G$500,0)),"Y","")</f>
        <v/>
      </c>
      <c r="DX303" s="58" t="str">
        <f>IF(ISNUMBER(MATCH(#REF!,'Audit Characteristic Mapping'!$H$3:$H$500,0)),"Y","")</f>
        <v/>
      </c>
      <c r="DY303" s="58" t="str">
        <f>IF(ISNUMBER(MATCH(#REF!,'Audit Characteristic Mapping'!$I$3:$I$500,0)),"Y","")</f>
        <v/>
      </c>
      <c r="DZ303" s="58" t="str">
        <f>IF(ISNUMBER(MATCH(#REF!,'Audit Characteristic Mapping'!$J$3:$J$500,0)),"Y","")</f>
        <v/>
      </c>
      <c r="EA303" s="58" t="str">
        <f>IF(ISNUMBER(MATCH(#REF!,'Audit Characteristic Mapping'!$K$3:$K$500,0)),"Y","")</f>
        <v/>
      </c>
    </row>
    <row r="304" spans="1:131" ht="16" hidden="1" x14ac:dyDescent="0.2">
      <c r="A304" s="288">
        <v>295</v>
      </c>
      <c r="B304" s="287" t="s">
        <v>421</v>
      </c>
      <c r="C304" s="226" t="s">
        <v>443</v>
      </c>
      <c r="D304" s="170">
        <v>8</v>
      </c>
      <c r="E304" s="288">
        <v>61</v>
      </c>
      <c r="F304" s="291" t="str">
        <f>VLOOKUP(Calculation!A304,'Descriptor maps'!$A$2:$F$1658,2,0)</f>
        <v>Governance</v>
      </c>
      <c r="G304" s="296"/>
      <c r="H304" s="290"/>
      <c r="I304" s="291"/>
      <c r="J304" s="292" t="e" cm="1">
        <f t="array" ref="J304">INDEX('Descriptor maps'!$I$2:$I$1658,MATCH(1,('Descriptor maps'!$A$2:$A$1658=Calculation!$A304)*('Descriptor maps'!$G$2:$G$1658=Calculation!$G304),0))</f>
        <v>#N/A</v>
      </c>
      <c r="K304" s="226"/>
      <c r="L304" s="293"/>
      <c r="M304" s="293"/>
      <c r="N304" s="293"/>
      <c r="O304" s="293"/>
      <c r="P304" s="293"/>
      <c r="Q304" s="293"/>
      <c r="R304" s="293"/>
      <c r="S304" s="293"/>
      <c r="T304" s="293"/>
      <c r="U304" s="293"/>
      <c r="V304" s="293"/>
      <c r="W304" s="293"/>
      <c r="X304" s="293"/>
      <c r="Y304" s="293"/>
      <c r="Z304" s="293"/>
      <c r="AA304" s="293"/>
      <c r="AB304" s="293"/>
      <c r="AC304" s="293"/>
      <c r="AD304" s="293"/>
      <c r="AE304" s="293"/>
      <c r="AF304" s="293"/>
      <c r="AG304" s="293"/>
      <c r="AH304" s="293"/>
      <c r="AI304" s="293"/>
      <c r="AJ304" s="293"/>
      <c r="AK304" s="293"/>
      <c r="AL304" s="293"/>
      <c r="AM304" s="293"/>
      <c r="AN304" s="293"/>
      <c r="AO304" s="293"/>
      <c r="AP304" s="293"/>
      <c r="AQ304" s="293"/>
      <c r="AR304" s="293"/>
      <c r="AS304" s="293"/>
      <c r="AT304" s="293"/>
      <c r="AU304" s="293"/>
      <c r="AV304" s="293"/>
      <c r="AW304" s="293"/>
      <c r="AX304" s="293"/>
      <c r="AY304" s="293"/>
      <c r="AZ304" s="293"/>
      <c r="BA304" s="293"/>
      <c r="BB304" s="293"/>
      <c r="BC304" s="293"/>
      <c r="BD304" s="293"/>
      <c r="BE304" s="293"/>
      <c r="BF304" s="293"/>
      <c r="BG304" s="293"/>
      <c r="BH304" s="293"/>
      <c r="BI304" s="293"/>
      <c r="BJ304" s="293"/>
      <c r="BK304" s="293"/>
      <c r="BL304" s="293"/>
      <c r="BM304" s="293"/>
      <c r="BN304" s="293"/>
      <c r="BO304" s="293"/>
      <c r="BP304" s="293"/>
      <c r="BQ304" s="293"/>
      <c r="BR304" s="293"/>
      <c r="BS304" s="293"/>
      <c r="BT304" s="293"/>
      <c r="BU304" s="293"/>
      <c r="BV304" s="293"/>
      <c r="BW304" s="293"/>
      <c r="BX304" s="293"/>
      <c r="BY304" s="293"/>
      <c r="BZ304" s="293"/>
      <c r="CA304" s="285"/>
      <c r="CB304" s="286"/>
      <c r="CC304" s="286"/>
      <c r="CD304" s="286"/>
      <c r="CE304" s="286"/>
      <c r="CF304" s="286"/>
      <c r="CG304" s="286"/>
      <c r="CH304" s="286"/>
      <c r="CI304" s="286"/>
      <c r="CJ304" s="286"/>
      <c r="CK304" s="286"/>
      <c r="CL304" s="286"/>
      <c r="CM304" s="286"/>
      <c r="CN304" s="286"/>
      <c r="CO304" s="286"/>
      <c r="CP304" s="286"/>
      <c r="CQ304" s="286"/>
      <c r="CR304" s="286"/>
      <c r="CS304" s="286"/>
      <c r="CT304" s="286"/>
      <c r="CU304" s="286"/>
      <c r="CV304" s="286"/>
      <c r="CW304" s="286"/>
      <c r="CX304" s="286"/>
      <c r="CY304" s="286"/>
      <c r="CZ304" s="286"/>
      <c r="DA304" s="286"/>
      <c r="DB304" s="286"/>
      <c r="DC304" s="286"/>
      <c r="DD304" s="286"/>
      <c r="DE304" s="286"/>
      <c r="DF304" s="286"/>
      <c r="DG304" s="286"/>
      <c r="DH304" s="286"/>
      <c r="DI304" s="286"/>
      <c r="DJ304" s="286"/>
      <c r="DK304" s="286"/>
      <c r="DL304" s="286"/>
      <c r="DM304" s="286"/>
      <c r="DN304" s="286"/>
      <c r="DO304" s="286"/>
      <c r="DP304" s="286"/>
      <c r="DR304" s="58" t="str">
        <f>IF(ISNUMBER(MATCH(#REF!,'Audit Characteristic Mapping'!$B$3:$B$500,0)),"Y","")</f>
        <v/>
      </c>
      <c r="DS304" s="58" t="str">
        <f>IF(ISNUMBER(MATCH(#REF!,'Audit Characteristic Mapping'!$C$3:$C$500,0)),"Y","")</f>
        <v/>
      </c>
      <c r="DT304" s="58" t="str">
        <f>IF(ISNUMBER(MATCH(#REF!,'Audit Characteristic Mapping'!$D$3:$D$500,0)),"Y","")</f>
        <v/>
      </c>
      <c r="DU304" s="58" t="str">
        <f>IF(ISNUMBER(MATCH(#REF!,'Audit Characteristic Mapping'!$E$3:$E$500,0)),"Y","")</f>
        <v/>
      </c>
      <c r="DV304" s="58" t="str">
        <f>IF(ISNUMBER(MATCH(#REF!,'Audit Characteristic Mapping'!$F$3:$F$500,0)),"Y","")</f>
        <v/>
      </c>
      <c r="DW304" s="58" t="str">
        <f>IF(ISNUMBER(MATCH(#REF!,'Audit Characteristic Mapping'!$G$3:$G$500,0)),"Y","")</f>
        <v/>
      </c>
      <c r="DX304" s="58" t="str">
        <f>IF(ISNUMBER(MATCH(#REF!,'Audit Characteristic Mapping'!$H$3:$H$500,0)),"Y","")</f>
        <v/>
      </c>
      <c r="DY304" s="58" t="str">
        <f>IF(ISNUMBER(MATCH(#REF!,'Audit Characteristic Mapping'!$I$3:$I$500,0)),"Y","")</f>
        <v/>
      </c>
      <c r="DZ304" s="58" t="str">
        <f>IF(ISNUMBER(MATCH(#REF!,'Audit Characteristic Mapping'!$J$3:$J$500,0)),"Y","")</f>
        <v/>
      </c>
      <c r="EA304" s="58" t="str">
        <f>IF(ISNUMBER(MATCH(#REF!,'Audit Characteristic Mapping'!$K$3:$K$500,0)),"Y","")</f>
        <v/>
      </c>
    </row>
    <row r="305" spans="1:131" ht="16" hidden="1" x14ac:dyDescent="0.2">
      <c r="A305" s="288">
        <v>296</v>
      </c>
      <c r="B305" s="287" t="s">
        <v>421</v>
      </c>
      <c r="C305" s="226" t="s">
        <v>443</v>
      </c>
      <c r="D305" s="170">
        <v>8</v>
      </c>
      <c r="E305" s="288">
        <v>61</v>
      </c>
      <c r="F305" s="291" t="str">
        <f>VLOOKUP(Calculation!A305,'Descriptor maps'!$A$2:$F$1658,2,0)</f>
        <v>Governance</v>
      </c>
      <c r="G305" s="296"/>
      <c r="H305" s="290"/>
      <c r="I305" s="291"/>
      <c r="J305" s="292" t="e" cm="1">
        <f t="array" ref="J305">INDEX('Descriptor maps'!$I$2:$I$1658,MATCH(1,('Descriptor maps'!$A$2:$A$1658=Calculation!$A305)*('Descriptor maps'!$G$2:$G$1658=Calculation!$G305),0))</f>
        <v>#N/A</v>
      </c>
      <c r="K305" s="226"/>
      <c r="L305" s="293"/>
      <c r="M305" s="293"/>
      <c r="N305" s="293"/>
      <c r="O305" s="293"/>
      <c r="P305" s="293"/>
      <c r="Q305" s="293"/>
      <c r="R305" s="293"/>
      <c r="S305" s="293"/>
      <c r="T305" s="293"/>
      <c r="U305" s="293"/>
      <c r="V305" s="293"/>
      <c r="W305" s="293"/>
      <c r="X305" s="293"/>
      <c r="Y305" s="293"/>
      <c r="Z305" s="293"/>
      <c r="AA305" s="293"/>
      <c r="AB305" s="293"/>
      <c r="AC305" s="293"/>
      <c r="AD305" s="293"/>
      <c r="AE305" s="293"/>
      <c r="AF305" s="293"/>
      <c r="AG305" s="293"/>
      <c r="AH305" s="293"/>
      <c r="AI305" s="293"/>
      <c r="AJ305" s="293"/>
      <c r="AK305" s="293"/>
      <c r="AL305" s="293"/>
      <c r="AM305" s="293"/>
      <c r="AN305" s="293"/>
      <c r="AO305" s="293"/>
      <c r="AP305" s="293"/>
      <c r="AQ305" s="293"/>
      <c r="AR305" s="293"/>
      <c r="AS305" s="293"/>
      <c r="AT305" s="293"/>
      <c r="AU305" s="293"/>
      <c r="AV305" s="293"/>
      <c r="AW305" s="293"/>
      <c r="AX305" s="293"/>
      <c r="AY305" s="293"/>
      <c r="AZ305" s="293"/>
      <c r="BA305" s="293"/>
      <c r="BB305" s="293"/>
      <c r="BC305" s="293"/>
      <c r="BD305" s="293"/>
      <c r="BE305" s="293"/>
      <c r="BF305" s="293"/>
      <c r="BG305" s="293"/>
      <c r="BH305" s="293"/>
      <c r="BI305" s="293"/>
      <c r="BJ305" s="293"/>
      <c r="BK305" s="293"/>
      <c r="BL305" s="293"/>
      <c r="BM305" s="293"/>
      <c r="BN305" s="293"/>
      <c r="BO305" s="293"/>
      <c r="BP305" s="293"/>
      <c r="BQ305" s="293"/>
      <c r="BR305" s="293"/>
      <c r="BS305" s="293"/>
      <c r="BT305" s="293"/>
      <c r="BU305" s="293"/>
      <c r="BV305" s="293"/>
      <c r="BW305" s="293"/>
      <c r="BX305" s="293"/>
      <c r="BY305" s="293"/>
      <c r="BZ305" s="293"/>
      <c r="CA305" s="285"/>
      <c r="CB305" s="286"/>
      <c r="CC305" s="286"/>
      <c r="CD305" s="286"/>
      <c r="CE305" s="286"/>
      <c r="CF305" s="286"/>
      <c r="CG305" s="286"/>
      <c r="CH305" s="286"/>
      <c r="CI305" s="286"/>
      <c r="CJ305" s="286"/>
      <c r="CK305" s="286"/>
      <c r="CL305" s="286"/>
      <c r="CM305" s="286"/>
      <c r="CN305" s="286"/>
      <c r="CO305" s="286"/>
      <c r="CP305" s="286"/>
      <c r="CQ305" s="286"/>
      <c r="CR305" s="286"/>
      <c r="CS305" s="286"/>
      <c r="CT305" s="286"/>
      <c r="CU305" s="286"/>
      <c r="CV305" s="286"/>
      <c r="CW305" s="286"/>
      <c r="CX305" s="286"/>
      <c r="CY305" s="286"/>
      <c r="CZ305" s="286"/>
      <c r="DA305" s="286"/>
      <c r="DB305" s="286"/>
      <c r="DC305" s="286"/>
      <c r="DD305" s="286"/>
      <c r="DE305" s="286"/>
      <c r="DF305" s="286"/>
      <c r="DG305" s="286"/>
      <c r="DH305" s="286"/>
      <c r="DI305" s="286"/>
      <c r="DJ305" s="286"/>
      <c r="DK305" s="286"/>
      <c r="DL305" s="286"/>
      <c r="DM305" s="286"/>
      <c r="DN305" s="286"/>
      <c r="DO305" s="286"/>
      <c r="DP305" s="286"/>
      <c r="DR305" s="58" t="str">
        <f>IF(ISNUMBER(MATCH(#REF!,'Audit Characteristic Mapping'!$B$3:$B$500,0)),"Y","")</f>
        <v/>
      </c>
      <c r="DS305" s="58" t="str">
        <f>IF(ISNUMBER(MATCH(#REF!,'Audit Characteristic Mapping'!$C$3:$C$500,0)),"Y","")</f>
        <v/>
      </c>
      <c r="DT305" s="58" t="str">
        <f>IF(ISNUMBER(MATCH(#REF!,'Audit Characteristic Mapping'!$D$3:$D$500,0)),"Y","")</f>
        <v/>
      </c>
      <c r="DU305" s="58" t="str">
        <f>IF(ISNUMBER(MATCH(#REF!,'Audit Characteristic Mapping'!$E$3:$E$500,0)),"Y","")</f>
        <v/>
      </c>
      <c r="DV305" s="58" t="str">
        <f>IF(ISNUMBER(MATCH(#REF!,'Audit Characteristic Mapping'!$F$3:$F$500,0)),"Y","")</f>
        <v/>
      </c>
      <c r="DW305" s="58" t="str">
        <f>IF(ISNUMBER(MATCH(#REF!,'Audit Characteristic Mapping'!$G$3:$G$500,0)),"Y","")</f>
        <v/>
      </c>
      <c r="DX305" s="58" t="str">
        <f>IF(ISNUMBER(MATCH(#REF!,'Audit Characteristic Mapping'!$H$3:$H$500,0)),"Y","")</f>
        <v/>
      </c>
      <c r="DY305" s="58" t="str">
        <f>IF(ISNUMBER(MATCH(#REF!,'Audit Characteristic Mapping'!$I$3:$I$500,0)),"Y","")</f>
        <v/>
      </c>
      <c r="DZ305" s="58" t="str">
        <f>IF(ISNUMBER(MATCH(#REF!,'Audit Characteristic Mapping'!$J$3:$J$500,0)),"Y","")</f>
        <v/>
      </c>
      <c r="EA305" s="58" t="str">
        <f>IF(ISNUMBER(MATCH(#REF!,'Audit Characteristic Mapping'!$K$3:$K$500,0)),"Y","")</f>
        <v/>
      </c>
    </row>
    <row r="306" spans="1:131" ht="16" hidden="1" x14ac:dyDescent="0.2">
      <c r="A306" s="288">
        <v>297</v>
      </c>
      <c r="B306" s="287" t="s">
        <v>421</v>
      </c>
      <c r="C306" s="226" t="s">
        <v>443</v>
      </c>
      <c r="D306" s="170">
        <v>8</v>
      </c>
      <c r="E306" s="288">
        <v>61</v>
      </c>
      <c r="F306" s="291" t="str">
        <f>VLOOKUP(Calculation!A306,'Descriptor maps'!$A$2:$F$1658,2,0)</f>
        <v>Governance</v>
      </c>
      <c r="G306" s="296"/>
      <c r="H306" s="290"/>
      <c r="I306" s="291"/>
      <c r="J306" s="292" t="e" cm="1">
        <f t="array" ref="J306">INDEX('Descriptor maps'!$I$2:$I$1658,MATCH(1,('Descriptor maps'!$A$2:$A$1658=Calculation!$A306)*('Descriptor maps'!$G$2:$G$1658=Calculation!$G306),0))</f>
        <v>#N/A</v>
      </c>
      <c r="K306" s="226"/>
      <c r="L306" s="293"/>
      <c r="M306" s="293"/>
      <c r="N306" s="293"/>
      <c r="O306" s="293"/>
      <c r="P306" s="293"/>
      <c r="Q306" s="293"/>
      <c r="R306" s="293"/>
      <c r="S306" s="293"/>
      <c r="T306" s="293"/>
      <c r="U306" s="293"/>
      <c r="V306" s="293"/>
      <c r="W306" s="293"/>
      <c r="X306" s="293"/>
      <c r="Y306" s="293"/>
      <c r="Z306" s="293"/>
      <c r="AA306" s="293"/>
      <c r="AB306" s="293"/>
      <c r="AC306" s="293"/>
      <c r="AD306" s="293"/>
      <c r="AE306" s="293"/>
      <c r="AF306" s="293"/>
      <c r="AG306" s="293"/>
      <c r="AH306" s="293"/>
      <c r="AI306" s="293"/>
      <c r="AJ306" s="293"/>
      <c r="AK306" s="293"/>
      <c r="AL306" s="293"/>
      <c r="AM306" s="293"/>
      <c r="AN306" s="293"/>
      <c r="AO306" s="293"/>
      <c r="AP306" s="293"/>
      <c r="AQ306" s="293"/>
      <c r="AR306" s="293"/>
      <c r="AS306" s="293"/>
      <c r="AT306" s="293"/>
      <c r="AU306" s="293"/>
      <c r="AV306" s="293"/>
      <c r="AW306" s="293"/>
      <c r="AX306" s="293"/>
      <c r="AY306" s="293"/>
      <c r="AZ306" s="293"/>
      <c r="BA306" s="293"/>
      <c r="BB306" s="293"/>
      <c r="BC306" s="293"/>
      <c r="BD306" s="293"/>
      <c r="BE306" s="293"/>
      <c r="BF306" s="293"/>
      <c r="BG306" s="293"/>
      <c r="BH306" s="293"/>
      <c r="BI306" s="293"/>
      <c r="BJ306" s="293"/>
      <c r="BK306" s="293"/>
      <c r="BL306" s="293"/>
      <c r="BM306" s="293"/>
      <c r="BN306" s="293"/>
      <c r="BO306" s="293"/>
      <c r="BP306" s="293"/>
      <c r="BQ306" s="293"/>
      <c r="BR306" s="293"/>
      <c r="BS306" s="293"/>
      <c r="BT306" s="293"/>
      <c r="BU306" s="293"/>
      <c r="BV306" s="293"/>
      <c r="BW306" s="293"/>
      <c r="BX306" s="293"/>
      <c r="BY306" s="293"/>
      <c r="BZ306" s="293"/>
      <c r="CA306" s="285"/>
      <c r="CB306" s="286"/>
      <c r="CC306" s="286"/>
      <c r="CD306" s="286"/>
      <c r="CE306" s="286"/>
      <c r="CF306" s="286"/>
      <c r="CG306" s="286"/>
      <c r="CH306" s="286"/>
      <c r="CI306" s="286"/>
      <c r="CJ306" s="286"/>
      <c r="CK306" s="286"/>
      <c r="CL306" s="286"/>
      <c r="CM306" s="286"/>
      <c r="CN306" s="286"/>
      <c r="CO306" s="286"/>
      <c r="CP306" s="286"/>
      <c r="CQ306" s="286"/>
      <c r="CR306" s="286"/>
      <c r="CS306" s="286"/>
      <c r="CT306" s="286"/>
      <c r="CU306" s="286"/>
      <c r="CV306" s="286"/>
      <c r="CW306" s="286"/>
      <c r="CX306" s="286"/>
      <c r="CY306" s="286"/>
      <c r="CZ306" s="286"/>
      <c r="DA306" s="286"/>
      <c r="DB306" s="286"/>
      <c r="DC306" s="286"/>
      <c r="DD306" s="286"/>
      <c r="DE306" s="286"/>
      <c r="DF306" s="286"/>
      <c r="DG306" s="286"/>
      <c r="DH306" s="286"/>
      <c r="DI306" s="286"/>
      <c r="DJ306" s="286"/>
      <c r="DK306" s="286"/>
      <c r="DL306" s="286"/>
      <c r="DM306" s="286"/>
      <c r="DN306" s="286"/>
      <c r="DO306" s="286"/>
      <c r="DP306" s="286"/>
      <c r="DR306" s="58" t="str">
        <f>IF(ISNUMBER(MATCH(#REF!,'Audit Characteristic Mapping'!$B$3:$B$500,0)),"Y","")</f>
        <v/>
      </c>
      <c r="DS306" s="58" t="str">
        <f>IF(ISNUMBER(MATCH(#REF!,'Audit Characteristic Mapping'!$C$3:$C$500,0)),"Y","")</f>
        <v/>
      </c>
      <c r="DT306" s="58" t="str">
        <f>IF(ISNUMBER(MATCH(#REF!,'Audit Characteristic Mapping'!$D$3:$D$500,0)),"Y","")</f>
        <v/>
      </c>
      <c r="DU306" s="58" t="str">
        <f>IF(ISNUMBER(MATCH(#REF!,'Audit Characteristic Mapping'!$E$3:$E$500,0)),"Y","")</f>
        <v/>
      </c>
      <c r="DV306" s="58" t="str">
        <f>IF(ISNUMBER(MATCH(#REF!,'Audit Characteristic Mapping'!$F$3:$F$500,0)),"Y","")</f>
        <v/>
      </c>
      <c r="DW306" s="58" t="str">
        <f>IF(ISNUMBER(MATCH(#REF!,'Audit Characteristic Mapping'!$G$3:$G$500,0)),"Y","")</f>
        <v/>
      </c>
      <c r="DX306" s="58" t="str">
        <f>IF(ISNUMBER(MATCH(#REF!,'Audit Characteristic Mapping'!$H$3:$H$500,0)),"Y","")</f>
        <v/>
      </c>
      <c r="DY306" s="58" t="str">
        <f>IF(ISNUMBER(MATCH(#REF!,'Audit Characteristic Mapping'!$I$3:$I$500,0)),"Y","")</f>
        <v/>
      </c>
      <c r="DZ306" s="58" t="str">
        <f>IF(ISNUMBER(MATCH(#REF!,'Audit Characteristic Mapping'!$J$3:$J$500,0)),"Y","")</f>
        <v/>
      </c>
      <c r="EA306" s="58" t="str">
        <f>IF(ISNUMBER(MATCH(#REF!,'Audit Characteristic Mapping'!$K$3:$K$500,0)),"Y","")</f>
        <v/>
      </c>
    </row>
    <row r="307" spans="1:131" ht="16" hidden="1" x14ac:dyDescent="0.2">
      <c r="A307" s="288">
        <v>298</v>
      </c>
      <c r="B307" s="287" t="s">
        <v>421</v>
      </c>
      <c r="C307" s="226" t="s">
        <v>443</v>
      </c>
      <c r="D307" s="170">
        <v>8</v>
      </c>
      <c r="E307" s="288">
        <v>61</v>
      </c>
      <c r="F307" s="291" t="str">
        <f>VLOOKUP(Calculation!A307,'Descriptor maps'!$A$2:$F$1658,2,0)</f>
        <v>Governance</v>
      </c>
      <c r="G307" s="296"/>
      <c r="H307" s="290"/>
      <c r="I307" s="291"/>
      <c r="J307" s="292" t="e" cm="1">
        <f t="array" ref="J307">INDEX('Descriptor maps'!$I$2:$I$1658,MATCH(1,('Descriptor maps'!$A$2:$A$1658=Calculation!$A307)*('Descriptor maps'!$G$2:$G$1658=Calculation!$G307),0))</f>
        <v>#N/A</v>
      </c>
      <c r="K307" s="226"/>
      <c r="L307" s="293"/>
      <c r="M307" s="293"/>
      <c r="N307" s="293"/>
      <c r="O307" s="293"/>
      <c r="P307" s="293"/>
      <c r="Q307" s="293"/>
      <c r="R307" s="293"/>
      <c r="S307" s="293"/>
      <c r="T307" s="293"/>
      <c r="U307" s="293"/>
      <c r="V307" s="293"/>
      <c r="W307" s="293"/>
      <c r="X307" s="293"/>
      <c r="Y307" s="293"/>
      <c r="Z307" s="293"/>
      <c r="AA307" s="293"/>
      <c r="AB307" s="293"/>
      <c r="AC307" s="293"/>
      <c r="AD307" s="293"/>
      <c r="AE307" s="293"/>
      <c r="AF307" s="293"/>
      <c r="AG307" s="293"/>
      <c r="AH307" s="293"/>
      <c r="AI307" s="293"/>
      <c r="AJ307" s="293"/>
      <c r="AK307" s="293"/>
      <c r="AL307" s="293"/>
      <c r="AM307" s="293"/>
      <c r="AN307" s="293"/>
      <c r="AO307" s="293"/>
      <c r="AP307" s="293"/>
      <c r="AQ307" s="293"/>
      <c r="AR307" s="293"/>
      <c r="AS307" s="293"/>
      <c r="AT307" s="293"/>
      <c r="AU307" s="293"/>
      <c r="AV307" s="293"/>
      <c r="AW307" s="293"/>
      <c r="AX307" s="293"/>
      <c r="AY307" s="293"/>
      <c r="AZ307" s="293"/>
      <c r="BA307" s="293"/>
      <c r="BB307" s="293"/>
      <c r="BC307" s="293"/>
      <c r="BD307" s="293"/>
      <c r="BE307" s="293"/>
      <c r="BF307" s="293"/>
      <c r="BG307" s="293"/>
      <c r="BH307" s="293"/>
      <c r="BI307" s="293"/>
      <c r="BJ307" s="293"/>
      <c r="BK307" s="293"/>
      <c r="BL307" s="293"/>
      <c r="BM307" s="293"/>
      <c r="BN307" s="293"/>
      <c r="BO307" s="293"/>
      <c r="BP307" s="293"/>
      <c r="BQ307" s="293"/>
      <c r="BR307" s="293"/>
      <c r="BS307" s="293"/>
      <c r="BT307" s="293"/>
      <c r="BU307" s="293"/>
      <c r="BV307" s="293"/>
      <c r="BW307" s="293"/>
      <c r="BX307" s="293"/>
      <c r="BY307" s="293"/>
      <c r="BZ307" s="293"/>
      <c r="CA307" s="285"/>
      <c r="CB307" s="286"/>
      <c r="CC307" s="286"/>
      <c r="CD307" s="286"/>
      <c r="CE307" s="286"/>
      <c r="CF307" s="286"/>
      <c r="CG307" s="286"/>
      <c r="CH307" s="286"/>
      <c r="CI307" s="286"/>
      <c r="CJ307" s="286"/>
      <c r="CK307" s="286"/>
      <c r="CL307" s="286"/>
      <c r="CM307" s="286"/>
      <c r="CN307" s="286"/>
      <c r="CO307" s="286"/>
      <c r="CP307" s="286"/>
      <c r="CQ307" s="286"/>
      <c r="CR307" s="286"/>
      <c r="CS307" s="286"/>
      <c r="CT307" s="286"/>
      <c r="CU307" s="286"/>
      <c r="CV307" s="286"/>
      <c r="CW307" s="286"/>
      <c r="CX307" s="286"/>
      <c r="CY307" s="286"/>
      <c r="CZ307" s="286"/>
      <c r="DA307" s="286"/>
      <c r="DB307" s="286"/>
      <c r="DC307" s="286"/>
      <c r="DD307" s="286"/>
      <c r="DE307" s="286"/>
      <c r="DF307" s="286"/>
      <c r="DG307" s="286"/>
      <c r="DH307" s="286"/>
      <c r="DI307" s="286"/>
      <c r="DJ307" s="286"/>
      <c r="DK307" s="286"/>
      <c r="DL307" s="286"/>
      <c r="DM307" s="286"/>
      <c r="DN307" s="286"/>
      <c r="DO307" s="286"/>
      <c r="DP307" s="286"/>
      <c r="DR307" s="58" t="str">
        <f>IF(ISNUMBER(MATCH(#REF!,'Audit Characteristic Mapping'!$B$3:$B$500,0)),"Y","")</f>
        <v/>
      </c>
      <c r="DS307" s="58" t="str">
        <f>IF(ISNUMBER(MATCH(#REF!,'Audit Characteristic Mapping'!$C$3:$C$500,0)),"Y","")</f>
        <v/>
      </c>
      <c r="DT307" s="58" t="str">
        <f>IF(ISNUMBER(MATCH(#REF!,'Audit Characteristic Mapping'!$D$3:$D$500,0)),"Y","")</f>
        <v/>
      </c>
      <c r="DU307" s="58" t="str">
        <f>IF(ISNUMBER(MATCH(#REF!,'Audit Characteristic Mapping'!$E$3:$E$500,0)),"Y","")</f>
        <v/>
      </c>
      <c r="DV307" s="58" t="str">
        <f>IF(ISNUMBER(MATCH(#REF!,'Audit Characteristic Mapping'!$F$3:$F$500,0)),"Y","")</f>
        <v/>
      </c>
      <c r="DW307" s="58" t="str">
        <f>IF(ISNUMBER(MATCH(#REF!,'Audit Characteristic Mapping'!$G$3:$G$500,0)),"Y","")</f>
        <v/>
      </c>
      <c r="DX307" s="58" t="str">
        <f>IF(ISNUMBER(MATCH(#REF!,'Audit Characteristic Mapping'!$H$3:$H$500,0)),"Y","")</f>
        <v/>
      </c>
      <c r="DY307" s="58" t="str">
        <f>IF(ISNUMBER(MATCH(#REF!,'Audit Characteristic Mapping'!$I$3:$I$500,0)),"Y","")</f>
        <v/>
      </c>
      <c r="DZ307" s="58" t="str">
        <f>IF(ISNUMBER(MATCH(#REF!,'Audit Characteristic Mapping'!$J$3:$J$500,0)),"Y","")</f>
        <v/>
      </c>
      <c r="EA307" s="58" t="str">
        <f>IF(ISNUMBER(MATCH(#REF!,'Audit Characteristic Mapping'!$K$3:$K$500,0)),"Y","")</f>
        <v/>
      </c>
    </row>
    <row r="308" spans="1:131" ht="16" hidden="1" x14ac:dyDescent="0.2">
      <c r="A308" s="288">
        <v>299</v>
      </c>
      <c r="B308" s="287" t="s">
        <v>421</v>
      </c>
      <c r="C308" s="226" t="s">
        <v>443</v>
      </c>
      <c r="D308" s="170">
        <v>8</v>
      </c>
      <c r="E308" s="288">
        <v>61</v>
      </c>
      <c r="F308" s="291" t="str">
        <f>VLOOKUP(Calculation!A308,'Descriptor maps'!$A$2:$F$1658,2,0)</f>
        <v>Governance</v>
      </c>
      <c r="G308" s="296"/>
      <c r="H308" s="290"/>
      <c r="I308" s="291"/>
      <c r="J308" s="292" t="e" cm="1">
        <f t="array" ref="J308">INDEX('Descriptor maps'!$I$2:$I$1658,MATCH(1,('Descriptor maps'!$A$2:$A$1658=Calculation!$A308)*('Descriptor maps'!$G$2:$G$1658=Calculation!$G308),0))</f>
        <v>#N/A</v>
      </c>
      <c r="K308" s="226"/>
      <c r="L308" s="293"/>
      <c r="M308" s="293"/>
      <c r="N308" s="293"/>
      <c r="O308" s="293"/>
      <c r="P308" s="293"/>
      <c r="Q308" s="293"/>
      <c r="R308" s="293"/>
      <c r="S308" s="293"/>
      <c r="T308" s="293"/>
      <c r="U308" s="293"/>
      <c r="V308" s="293"/>
      <c r="W308" s="293"/>
      <c r="X308" s="293"/>
      <c r="Y308" s="293"/>
      <c r="Z308" s="293"/>
      <c r="AA308" s="293"/>
      <c r="AB308" s="293"/>
      <c r="AC308" s="293"/>
      <c r="AD308" s="293"/>
      <c r="AE308" s="293"/>
      <c r="AF308" s="293"/>
      <c r="AG308" s="293"/>
      <c r="AH308" s="293"/>
      <c r="AI308" s="293"/>
      <c r="AJ308" s="293"/>
      <c r="AK308" s="293"/>
      <c r="AL308" s="293"/>
      <c r="AM308" s="293"/>
      <c r="AN308" s="293"/>
      <c r="AO308" s="293"/>
      <c r="AP308" s="293"/>
      <c r="AQ308" s="293"/>
      <c r="AR308" s="293"/>
      <c r="AS308" s="293"/>
      <c r="AT308" s="293"/>
      <c r="AU308" s="293"/>
      <c r="AV308" s="293"/>
      <c r="AW308" s="293"/>
      <c r="AX308" s="293"/>
      <c r="AY308" s="293"/>
      <c r="AZ308" s="293"/>
      <c r="BA308" s="293"/>
      <c r="BB308" s="293"/>
      <c r="BC308" s="293"/>
      <c r="BD308" s="293"/>
      <c r="BE308" s="293"/>
      <c r="BF308" s="293"/>
      <c r="BG308" s="293"/>
      <c r="BH308" s="293"/>
      <c r="BI308" s="293"/>
      <c r="BJ308" s="293"/>
      <c r="BK308" s="293"/>
      <c r="BL308" s="293"/>
      <c r="BM308" s="293"/>
      <c r="BN308" s="293"/>
      <c r="BO308" s="293"/>
      <c r="BP308" s="293"/>
      <c r="BQ308" s="293"/>
      <c r="BR308" s="293"/>
      <c r="BS308" s="293"/>
      <c r="BT308" s="293"/>
      <c r="BU308" s="293"/>
      <c r="BV308" s="293"/>
      <c r="BW308" s="293"/>
      <c r="BX308" s="293"/>
      <c r="BY308" s="293"/>
      <c r="BZ308" s="293"/>
      <c r="CA308" s="285"/>
      <c r="CB308" s="286"/>
      <c r="CC308" s="286"/>
      <c r="CD308" s="286"/>
      <c r="CE308" s="286"/>
      <c r="CF308" s="286"/>
      <c r="CG308" s="286"/>
      <c r="CH308" s="286"/>
      <c r="CI308" s="286"/>
      <c r="CJ308" s="286"/>
      <c r="CK308" s="286"/>
      <c r="CL308" s="286"/>
      <c r="CM308" s="286"/>
      <c r="CN308" s="286"/>
      <c r="CO308" s="286"/>
      <c r="CP308" s="286"/>
      <c r="CQ308" s="286"/>
      <c r="CR308" s="286"/>
      <c r="CS308" s="286"/>
      <c r="CT308" s="286"/>
      <c r="CU308" s="286"/>
      <c r="CV308" s="286"/>
      <c r="CW308" s="286"/>
      <c r="CX308" s="286"/>
      <c r="CY308" s="286"/>
      <c r="CZ308" s="286"/>
      <c r="DA308" s="286"/>
      <c r="DB308" s="286"/>
      <c r="DC308" s="286"/>
      <c r="DD308" s="286"/>
      <c r="DE308" s="286"/>
      <c r="DF308" s="286"/>
      <c r="DG308" s="286"/>
      <c r="DH308" s="286"/>
      <c r="DI308" s="286"/>
      <c r="DJ308" s="286"/>
      <c r="DK308" s="286"/>
      <c r="DL308" s="286"/>
      <c r="DM308" s="286"/>
      <c r="DN308" s="286"/>
      <c r="DO308" s="286"/>
      <c r="DP308" s="286"/>
      <c r="DR308" s="58" t="str">
        <f>IF(ISNUMBER(MATCH(#REF!,'Audit Characteristic Mapping'!$B$3:$B$500,0)),"Y","")</f>
        <v/>
      </c>
      <c r="DS308" s="58" t="str">
        <f>IF(ISNUMBER(MATCH(#REF!,'Audit Characteristic Mapping'!$C$3:$C$500,0)),"Y","")</f>
        <v/>
      </c>
      <c r="DT308" s="58" t="str">
        <f>IF(ISNUMBER(MATCH(#REF!,'Audit Characteristic Mapping'!$D$3:$D$500,0)),"Y","")</f>
        <v/>
      </c>
      <c r="DU308" s="58" t="str">
        <f>IF(ISNUMBER(MATCH(#REF!,'Audit Characteristic Mapping'!$E$3:$E$500,0)),"Y","")</f>
        <v/>
      </c>
      <c r="DV308" s="58" t="str">
        <f>IF(ISNUMBER(MATCH(#REF!,'Audit Characteristic Mapping'!$F$3:$F$500,0)),"Y","")</f>
        <v/>
      </c>
      <c r="DW308" s="58" t="str">
        <f>IF(ISNUMBER(MATCH(#REF!,'Audit Characteristic Mapping'!$G$3:$G$500,0)),"Y","")</f>
        <v/>
      </c>
      <c r="DX308" s="58" t="str">
        <f>IF(ISNUMBER(MATCH(#REF!,'Audit Characteristic Mapping'!$H$3:$H$500,0)),"Y","")</f>
        <v/>
      </c>
      <c r="DY308" s="58" t="str">
        <f>IF(ISNUMBER(MATCH(#REF!,'Audit Characteristic Mapping'!$I$3:$I$500,0)),"Y","")</f>
        <v/>
      </c>
      <c r="DZ308" s="58" t="str">
        <f>IF(ISNUMBER(MATCH(#REF!,'Audit Characteristic Mapping'!$J$3:$J$500,0)),"Y","")</f>
        <v/>
      </c>
      <c r="EA308" s="58" t="str">
        <f>IF(ISNUMBER(MATCH(#REF!,'Audit Characteristic Mapping'!$K$3:$K$500,0)),"Y","")</f>
        <v/>
      </c>
    </row>
    <row r="309" spans="1:131" ht="16" hidden="1" x14ac:dyDescent="0.2">
      <c r="A309" s="288">
        <v>300</v>
      </c>
      <c r="B309" s="287" t="s">
        <v>421</v>
      </c>
      <c r="C309" s="226" t="s">
        <v>443</v>
      </c>
      <c r="D309" s="170">
        <v>8</v>
      </c>
      <c r="E309" s="288">
        <v>61</v>
      </c>
      <c r="F309" s="291" t="str">
        <f>VLOOKUP(Calculation!A309,'Descriptor maps'!$A$2:$F$1658,2,0)</f>
        <v>Governance</v>
      </c>
      <c r="G309" s="296"/>
      <c r="H309" s="290"/>
      <c r="I309" s="291"/>
      <c r="J309" s="292" t="e" cm="1">
        <f t="array" ref="J309">INDEX('Descriptor maps'!$I$2:$I$1658,MATCH(1,('Descriptor maps'!$A$2:$A$1658=Calculation!$A309)*('Descriptor maps'!$G$2:$G$1658=Calculation!$G309),0))</f>
        <v>#N/A</v>
      </c>
      <c r="K309" s="226"/>
      <c r="L309" s="293"/>
      <c r="M309" s="293"/>
      <c r="N309" s="293"/>
      <c r="O309" s="293"/>
      <c r="P309" s="293"/>
      <c r="Q309" s="293"/>
      <c r="R309" s="293"/>
      <c r="S309" s="293"/>
      <c r="T309" s="293"/>
      <c r="U309" s="293"/>
      <c r="V309" s="293"/>
      <c r="W309" s="293"/>
      <c r="X309" s="293"/>
      <c r="Y309" s="293"/>
      <c r="Z309" s="293"/>
      <c r="AA309" s="293"/>
      <c r="AB309" s="293"/>
      <c r="AC309" s="293"/>
      <c r="AD309" s="293"/>
      <c r="AE309" s="293"/>
      <c r="AF309" s="293"/>
      <c r="AG309" s="293"/>
      <c r="AH309" s="293"/>
      <c r="AI309" s="293"/>
      <c r="AJ309" s="293"/>
      <c r="AK309" s="293"/>
      <c r="AL309" s="293"/>
      <c r="AM309" s="293"/>
      <c r="AN309" s="293"/>
      <c r="AO309" s="293"/>
      <c r="AP309" s="293"/>
      <c r="AQ309" s="293"/>
      <c r="AR309" s="293"/>
      <c r="AS309" s="293"/>
      <c r="AT309" s="293"/>
      <c r="AU309" s="293"/>
      <c r="AV309" s="293"/>
      <c r="AW309" s="293"/>
      <c r="AX309" s="293"/>
      <c r="AY309" s="293"/>
      <c r="AZ309" s="293"/>
      <c r="BA309" s="293"/>
      <c r="BB309" s="293"/>
      <c r="BC309" s="293"/>
      <c r="BD309" s="293"/>
      <c r="BE309" s="293"/>
      <c r="BF309" s="293"/>
      <c r="BG309" s="293"/>
      <c r="BH309" s="293"/>
      <c r="BI309" s="293"/>
      <c r="BJ309" s="293"/>
      <c r="BK309" s="293"/>
      <c r="BL309" s="293"/>
      <c r="BM309" s="293"/>
      <c r="BN309" s="293"/>
      <c r="BO309" s="293"/>
      <c r="BP309" s="293"/>
      <c r="BQ309" s="293"/>
      <c r="BR309" s="293"/>
      <c r="BS309" s="293"/>
      <c r="BT309" s="293"/>
      <c r="BU309" s="293"/>
      <c r="BV309" s="293"/>
      <c r="BW309" s="293"/>
      <c r="BX309" s="293"/>
      <c r="BY309" s="293"/>
      <c r="BZ309" s="293"/>
      <c r="CA309" s="285"/>
      <c r="CB309" s="286"/>
      <c r="CC309" s="286"/>
      <c r="CD309" s="286"/>
      <c r="CE309" s="286"/>
      <c r="CF309" s="286"/>
      <c r="CG309" s="286"/>
      <c r="CH309" s="286"/>
      <c r="CI309" s="286"/>
      <c r="CJ309" s="286"/>
      <c r="CK309" s="286"/>
      <c r="CL309" s="286"/>
      <c r="CM309" s="286"/>
      <c r="CN309" s="286"/>
      <c r="CO309" s="286"/>
      <c r="CP309" s="286"/>
      <c r="CQ309" s="286"/>
      <c r="CR309" s="286"/>
      <c r="CS309" s="286"/>
      <c r="CT309" s="286"/>
      <c r="CU309" s="286"/>
      <c r="CV309" s="286"/>
      <c r="CW309" s="286"/>
      <c r="CX309" s="286"/>
      <c r="CY309" s="286"/>
      <c r="CZ309" s="286"/>
      <c r="DA309" s="286"/>
      <c r="DB309" s="286"/>
      <c r="DC309" s="286"/>
      <c r="DD309" s="286"/>
      <c r="DE309" s="286"/>
      <c r="DF309" s="286"/>
      <c r="DG309" s="286"/>
      <c r="DH309" s="286"/>
      <c r="DI309" s="286"/>
      <c r="DJ309" s="286"/>
      <c r="DK309" s="286"/>
      <c r="DL309" s="286"/>
      <c r="DM309" s="286"/>
      <c r="DN309" s="286"/>
      <c r="DO309" s="286"/>
      <c r="DP309" s="286"/>
      <c r="DR309" s="58" t="str">
        <f>IF(ISNUMBER(MATCH(#REF!,'Audit Characteristic Mapping'!$B$3:$B$500,0)),"Y","")</f>
        <v/>
      </c>
      <c r="DS309" s="58" t="str">
        <f>IF(ISNUMBER(MATCH(#REF!,'Audit Characteristic Mapping'!$C$3:$C$500,0)),"Y","")</f>
        <v/>
      </c>
      <c r="DT309" s="58" t="str">
        <f>IF(ISNUMBER(MATCH(#REF!,'Audit Characteristic Mapping'!$D$3:$D$500,0)),"Y","")</f>
        <v/>
      </c>
      <c r="DU309" s="58" t="str">
        <f>IF(ISNUMBER(MATCH(#REF!,'Audit Characteristic Mapping'!$E$3:$E$500,0)),"Y","")</f>
        <v/>
      </c>
      <c r="DV309" s="58" t="str">
        <f>IF(ISNUMBER(MATCH(#REF!,'Audit Characteristic Mapping'!$F$3:$F$500,0)),"Y","")</f>
        <v/>
      </c>
      <c r="DW309" s="58" t="str">
        <f>IF(ISNUMBER(MATCH(#REF!,'Audit Characteristic Mapping'!$G$3:$G$500,0)),"Y","")</f>
        <v/>
      </c>
      <c r="DX309" s="58" t="str">
        <f>IF(ISNUMBER(MATCH(#REF!,'Audit Characteristic Mapping'!$H$3:$H$500,0)),"Y","")</f>
        <v/>
      </c>
      <c r="DY309" s="58" t="str">
        <f>IF(ISNUMBER(MATCH(#REF!,'Audit Characteristic Mapping'!$I$3:$I$500,0)),"Y","")</f>
        <v/>
      </c>
      <c r="DZ309" s="58" t="str">
        <f>IF(ISNUMBER(MATCH(#REF!,'Audit Characteristic Mapping'!$J$3:$J$500,0)),"Y","")</f>
        <v/>
      </c>
      <c r="EA309" s="58" t="str">
        <f>IF(ISNUMBER(MATCH(#REF!,'Audit Characteristic Mapping'!$K$3:$K$500,0)),"Y","")</f>
        <v/>
      </c>
    </row>
    <row r="310" spans="1:131" ht="16" hidden="1" x14ac:dyDescent="0.2">
      <c r="A310" s="288">
        <v>301</v>
      </c>
      <c r="B310" s="287" t="s">
        <v>421</v>
      </c>
      <c r="C310" s="226" t="s">
        <v>443</v>
      </c>
      <c r="D310" s="170">
        <v>8</v>
      </c>
      <c r="E310" s="288">
        <v>61</v>
      </c>
      <c r="F310" s="291" t="str">
        <f>VLOOKUP(Calculation!A310,'Descriptor maps'!$A$2:$F$1658,2,0)</f>
        <v>Governance</v>
      </c>
      <c r="G310" s="296"/>
      <c r="H310" s="290"/>
      <c r="I310" s="291"/>
      <c r="J310" s="292" t="e" cm="1">
        <f t="array" ref="J310">INDEX('Descriptor maps'!$I$2:$I$1658,MATCH(1,('Descriptor maps'!$A$2:$A$1658=Calculation!$A310)*('Descriptor maps'!$G$2:$G$1658=Calculation!$G310),0))</f>
        <v>#N/A</v>
      </c>
      <c r="K310" s="226"/>
      <c r="L310" s="293"/>
      <c r="M310" s="293"/>
      <c r="N310" s="293"/>
      <c r="O310" s="293"/>
      <c r="P310" s="293"/>
      <c r="Q310" s="293"/>
      <c r="R310" s="293"/>
      <c r="S310" s="293"/>
      <c r="T310" s="293"/>
      <c r="U310" s="293"/>
      <c r="V310" s="293"/>
      <c r="W310" s="293"/>
      <c r="X310" s="293"/>
      <c r="Y310" s="293"/>
      <c r="Z310" s="293"/>
      <c r="AA310" s="293"/>
      <c r="AB310" s="293"/>
      <c r="AC310" s="293"/>
      <c r="AD310" s="293"/>
      <c r="AE310" s="293"/>
      <c r="AF310" s="293"/>
      <c r="AG310" s="293"/>
      <c r="AH310" s="293"/>
      <c r="AI310" s="293"/>
      <c r="AJ310" s="293"/>
      <c r="AK310" s="293"/>
      <c r="AL310" s="293"/>
      <c r="AM310" s="293"/>
      <c r="AN310" s="293"/>
      <c r="AO310" s="293"/>
      <c r="AP310" s="293"/>
      <c r="AQ310" s="293"/>
      <c r="AR310" s="293"/>
      <c r="AS310" s="293"/>
      <c r="AT310" s="293"/>
      <c r="AU310" s="293"/>
      <c r="AV310" s="293"/>
      <c r="AW310" s="293"/>
      <c r="AX310" s="293"/>
      <c r="AY310" s="293"/>
      <c r="AZ310" s="293"/>
      <c r="BA310" s="293"/>
      <c r="BB310" s="293"/>
      <c r="BC310" s="293"/>
      <c r="BD310" s="293"/>
      <c r="BE310" s="293"/>
      <c r="BF310" s="293"/>
      <c r="BG310" s="293"/>
      <c r="BH310" s="293"/>
      <c r="BI310" s="293"/>
      <c r="BJ310" s="293"/>
      <c r="BK310" s="293"/>
      <c r="BL310" s="293"/>
      <c r="BM310" s="293"/>
      <c r="BN310" s="293"/>
      <c r="BO310" s="293"/>
      <c r="BP310" s="293"/>
      <c r="BQ310" s="293"/>
      <c r="BR310" s="293"/>
      <c r="BS310" s="293"/>
      <c r="BT310" s="293"/>
      <c r="BU310" s="293"/>
      <c r="BV310" s="293"/>
      <c r="BW310" s="293"/>
      <c r="BX310" s="293"/>
      <c r="BY310" s="293"/>
      <c r="BZ310" s="293"/>
      <c r="CA310" s="285"/>
      <c r="CB310" s="286"/>
      <c r="CC310" s="286"/>
      <c r="CD310" s="286"/>
      <c r="CE310" s="286"/>
      <c r="CF310" s="286"/>
      <c r="CG310" s="286"/>
      <c r="CH310" s="286"/>
      <c r="CI310" s="286"/>
      <c r="CJ310" s="286"/>
      <c r="CK310" s="286"/>
      <c r="CL310" s="286"/>
      <c r="CM310" s="286"/>
      <c r="CN310" s="286"/>
      <c r="CO310" s="286"/>
      <c r="CP310" s="286"/>
      <c r="CQ310" s="286"/>
      <c r="CR310" s="286"/>
      <c r="CS310" s="286"/>
      <c r="CT310" s="286"/>
      <c r="CU310" s="286"/>
      <c r="CV310" s="286"/>
      <c r="CW310" s="286"/>
      <c r="CX310" s="286"/>
      <c r="CY310" s="286"/>
      <c r="CZ310" s="286"/>
      <c r="DA310" s="286"/>
      <c r="DB310" s="286"/>
      <c r="DC310" s="286"/>
      <c r="DD310" s="286"/>
      <c r="DE310" s="286"/>
      <c r="DF310" s="286"/>
      <c r="DG310" s="286"/>
      <c r="DH310" s="286"/>
      <c r="DI310" s="286"/>
      <c r="DJ310" s="286"/>
      <c r="DK310" s="286"/>
      <c r="DL310" s="286"/>
      <c r="DM310" s="286"/>
      <c r="DN310" s="286"/>
      <c r="DO310" s="286"/>
      <c r="DP310" s="286"/>
      <c r="DR310" s="58" t="str">
        <f>IF(ISNUMBER(MATCH(#REF!,'Audit Characteristic Mapping'!$B$3:$B$500,0)),"Y","")</f>
        <v/>
      </c>
      <c r="DS310" s="58" t="str">
        <f>IF(ISNUMBER(MATCH(#REF!,'Audit Characteristic Mapping'!$C$3:$C$500,0)),"Y","")</f>
        <v/>
      </c>
      <c r="DT310" s="58" t="str">
        <f>IF(ISNUMBER(MATCH(#REF!,'Audit Characteristic Mapping'!$D$3:$D$500,0)),"Y","")</f>
        <v/>
      </c>
      <c r="DU310" s="58" t="str">
        <f>IF(ISNUMBER(MATCH(#REF!,'Audit Characteristic Mapping'!$E$3:$E$500,0)),"Y","")</f>
        <v/>
      </c>
      <c r="DV310" s="58" t="str">
        <f>IF(ISNUMBER(MATCH(#REF!,'Audit Characteristic Mapping'!$F$3:$F$500,0)),"Y","")</f>
        <v/>
      </c>
      <c r="DW310" s="58" t="str">
        <f>IF(ISNUMBER(MATCH(#REF!,'Audit Characteristic Mapping'!$G$3:$G$500,0)),"Y","")</f>
        <v/>
      </c>
      <c r="DX310" s="58" t="str">
        <f>IF(ISNUMBER(MATCH(#REF!,'Audit Characteristic Mapping'!$H$3:$H$500,0)),"Y","")</f>
        <v/>
      </c>
      <c r="DY310" s="58" t="str">
        <f>IF(ISNUMBER(MATCH(#REF!,'Audit Characteristic Mapping'!$I$3:$I$500,0)),"Y","")</f>
        <v/>
      </c>
      <c r="DZ310" s="58" t="str">
        <f>IF(ISNUMBER(MATCH(#REF!,'Audit Characteristic Mapping'!$J$3:$J$500,0)),"Y","")</f>
        <v/>
      </c>
      <c r="EA310" s="58" t="str">
        <f>IF(ISNUMBER(MATCH(#REF!,'Audit Characteristic Mapping'!$K$3:$K$500,0)),"Y","")</f>
        <v/>
      </c>
    </row>
    <row r="311" spans="1:131" ht="16" hidden="1" x14ac:dyDescent="0.2">
      <c r="A311" s="288">
        <v>302</v>
      </c>
      <c r="B311" s="287" t="s">
        <v>450</v>
      </c>
      <c r="C311" s="226" t="s">
        <v>451</v>
      </c>
      <c r="D311" s="170">
        <v>9</v>
      </c>
      <c r="E311" s="288">
        <v>62</v>
      </c>
      <c r="F311" s="291" t="str">
        <f>VLOOKUP(Calculation!A311,'Descriptor maps'!$A$2:$F$1658,2,0)</f>
        <v>Management</v>
      </c>
      <c r="G311" s="296"/>
      <c r="H311" s="290"/>
      <c r="I311" s="291"/>
      <c r="J311" s="292" t="e" cm="1">
        <f t="array" ref="J311">INDEX('Descriptor maps'!$I$2:$I$1658,MATCH(1,('Descriptor maps'!$A$2:$A$1658=Calculation!$A311)*('Descriptor maps'!$G$2:$G$1658=Calculation!$G311),0))</f>
        <v>#N/A</v>
      </c>
      <c r="K311" s="226"/>
      <c r="L311" s="293"/>
      <c r="M311" s="293"/>
      <c r="N311" s="293"/>
      <c r="O311" s="293"/>
      <c r="P311" s="293"/>
      <c r="Q311" s="293"/>
      <c r="R311" s="293"/>
      <c r="S311" s="293"/>
      <c r="T311" s="293"/>
      <c r="U311" s="293"/>
      <c r="V311" s="293"/>
      <c r="W311" s="293"/>
      <c r="X311" s="293"/>
      <c r="Y311" s="293"/>
      <c r="Z311" s="293"/>
      <c r="AA311" s="293"/>
      <c r="AB311" s="293"/>
      <c r="AC311" s="293"/>
      <c r="AD311" s="293"/>
      <c r="AE311" s="293"/>
      <c r="AF311" s="293"/>
      <c r="AG311" s="293"/>
      <c r="AH311" s="293"/>
      <c r="AI311" s="293"/>
      <c r="AJ311" s="293"/>
      <c r="AK311" s="293"/>
      <c r="AL311" s="293"/>
      <c r="AM311" s="293"/>
      <c r="AN311" s="293"/>
      <c r="AO311" s="293"/>
      <c r="AP311" s="293"/>
      <c r="AQ311" s="293"/>
      <c r="AR311" s="293"/>
      <c r="AS311" s="293"/>
      <c r="AT311" s="293"/>
      <c r="AU311" s="293"/>
      <c r="AV311" s="293"/>
      <c r="AW311" s="293"/>
      <c r="AX311" s="293"/>
      <c r="AY311" s="293"/>
      <c r="AZ311" s="293"/>
      <c r="BA311" s="293"/>
      <c r="BB311" s="293"/>
      <c r="BC311" s="293"/>
      <c r="BD311" s="293"/>
      <c r="BE311" s="293"/>
      <c r="BF311" s="293"/>
      <c r="BG311" s="293"/>
      <c r="BH311" s="293"/>
      <c r="BI311" s="293"/>
      <c r="BJ311" s="293"/>
      <c r="BK311" s="293"/>
      <c r="BL311" s="293"/>
      <c r="BM311" s="293"/>
      <c r="BN311" s="293"/>
      <c r="BO311" s="293"/>
      <c r="BP311" s="293"/>
      <c r="BQ311" s="293"/>
      <c r="BR311" s="293"/>
      <c r="BS311" s="293"/>
      <c r="BT311" s="293"/>
      <c r="BU311" s="293"/>
      <c r="BV311" s="293"/>
      <c r="BW311" s="293"/>
      <c r="BX311" s="293"/>
      <c r="BY311" s="293"/>
      <c r="BZ311" s="293"/>
      <c r="CA311" s="285"/>
      <c r="CB311" s="286"/>
      <c r="CC311" s="286"/>
      <c r="CD311" s="286"/>
      <c r="CE311" s="286"/>
      <c r="CF311" s="286"/>
      <c r="CG311" s="286"/>
      <c r="CH311" s="286"/>
      <c r="CI311" s="286"/>
      <c r="CJ311" s="286"/>
      <c r="CK311" s="286"/>
      <c r="CL311" s="286"/>
      <c r="CM311" s="286"/>
      <c r="CN311" s="286"/>
      <c r="CO311" s="286"/>
      <c r="CP311" s="286"/>
      <c r="CQ311" s="286"/>
      <c r="CR311" s="286"/>
      <c r="CS311" s="286"/>
      <c r="CT311" s="286"/>
      <c r="CU311" s="286"/>
      <c r="CV311" s="286"/>
      <c r="CW311" s="286"/>
      <c r="CX311" s="286"/>
      <c r="CY311" s="286"/>
      <c r="CZ311" s="286"/>
      <c r="DA311" s="286"/>
      <c r="DB311" s="286"/>
      <c r="DC311" s="286"/>
      <c r="DD311" s="286"/>
      <c r="DE311" s="286"/>
      <c r="DF311" s="286"/>
      <c r="DG311" s="286"/>
      <c r="DH311" s="286"/>
      <c r="DI311" s="286"/>
      <c r="DJ311" s="286"/>
      <c r="DK311" s="286"/>
      <c r="DL311" s="286"/>
      <c r="DM311" s="286"/>
      <c r="DN311" s="286"/>
      <c r="DO311" s="286"/>
      <c r="DP311" s="286"/>
      <c r="DR311" s="58" t="str">
        <f>IF(ISNUMBER(MATCH(#REF!,'Audit Characteristic Mapping'!$B$3:$B$500,0)),"Y","")</f>
        <v/>
      </c>
      <c r="DS311" s="58" t="str">
        <f>IF(ISNUMBER(MATCH(#REF!,'Audit Characteristic Mapping'!$C$3:$C$500,0)),"Y","")</f>
        <v/>
      </c>
      <c r="DT311" s="58" t="str">
        <f>IF(ISNUMBER(MATCH(#REF!,'Audit Characteristic Mapping'!$D$3:$D$500,0)),"Y","")</f>
        <v/>
      </c>
      <c r="DU311" s="58" t="str">
        <f>IF(ISNUMBER(MATCH(#REF!,'Audit Characteristic Mapping'!$E$3:$E$500,0)),"Y","")</f>
        <v/>
      </c>
      <c r="DV311" s="58" t="str">
        <f>IF(ISNUMBER(MATCH(#REF!,'Audit Characteristic Mapping'!$F$3:$F$500,0)),"Y","")</f>
        <v/>
      </c>
      <c r="DW311" s="58" t="str">
        <f>IF(ISNUMBER(MATCH(#REF!,'Audit Characteristic Mapping'!$G$3:$G$500,0)),"Y","")</f>
        <v/>
      </c>
      <c r="DX311" s="58" t="str">
        <f>IF(ISNUMBER(MATCH(#REF!,'Audit Characteristic Mapping'!$H$3:$H$500,0)),"Y","")</f>
        <v/>
      </c>
      <c r="DY311" s="58" t="str">
        <f>IF(ISNUMBER(MATCH(#REF!,'Audit Characteristic Mapping'!$I$3:$I$500,0)),"Y","")</f>
        <v/>
      </c>
      <c r="DZ311" s="58" t="str">
        <f>IF(ISNUMBER(MATCH(#REF!,'Audit Characteristic Mapping'!$J$3:$J$500,0)),"Y","")</f>
        <v/>
      </c>
      <c r="EA311" s="58" t="str">
        <f>IF(ISNUMBER(MATCH(#REF!,'Audit Characteristic Mapping'!$K$3:$K$500,0)),"Y","")</f>
        <v/>
      </c>
    </row>
    <row r="312" spans="1:131" ht="16" hidden="1" x14ac:dyDescent="0.2">
      <c r="A312" s="288">
        <v>303</v>
      </c>
      <c r="B312" s="287" t="s">
        <v>450</v>
      </c>
      <c r="C312" s="226" t="s">
        <v>451</v>
      </c>
      <c r="D312" s="170">
        <v>9</v>
      </c>
      <c r="E312" s="288">
        <v>62</v>
      </c>
      <c r="F312" s="291" t="str">
        <f>VLOOKUP(Calculation!A312,'Descriptor maps'!$A$2:$F$1658,2,0)</f>
        <v>Management</v>
      </c>
      <c r="G312" s="296"/>
      <c r="H312" s="290"/>
      <c r="I312" s="291"/>
      <c r="J312" s="292" t="e" cm="1">
        <f t="array" ref="J312">INDEX('Descriptor maps'!$I$2:$I$1658,MATCH(1,('Descriptor maps'!$A$2:$A$1658=Calculation!$A312)*('Descriptor maps'!$G$2:$G$1658=Calculation!$G312),0))</f>
        <v>#N/A</v>
      </c>
      <c r="K312" s="226"/>
      <c r="L312" s="293"/>
      <c r="M312" s="293"/>
      <c r="N312" s="293"/>
      <c r="O312" s="293"/>
      <c r="P312" s="293"/>
      <c r="Q312" s="293"/>
      <c r="R312" s="293"/>
      <c r="S312" s="293"/>
      <c r="T312" s="293"/>
      <c r="U312" s="293"/>
      <c r="V312" s="293"/>
      <c r="W312" s="293"/>
      <c r="X312" s="293"/>
      <c r="Y312" s="293"/>
      <c r="Z312" s="293"/>
      <c r="AA312" s="293"/>
      <c r="AB312" s="293"/>
      <c r="AC312" s="293"/>
      <c r="AD312" s="293"/>
      <c r="AE312" s="293"/>
      <c r="AF312" s="293"/>
      <c r="AG312" s="293"/>
      <c r="AH312" s="293"/>
      <c r="AI312" s="293"/>
      <c r="AJ312" s="293"/>
      <c r="AK312" s="293"/>
      <c r="AL312" s="293"/>
      <c r="AM312" s="293"/>
      <c r="AN312" s="293"/>
      <c r="AO312" s="293"/>
      <c r="AP312" s="293"/>
      <c r="AQ312" s="293"/>
      <c r="AR312" s="293"/>
      <c r="AS312" s="293"/>
      <c r="AT312" s="293"/>
      <c r="AU312" s="293"/>
      <c r="AV312" s="293"/>
      <c r="AW312" s="293"/>
      <c r="AX312" s="293"/>
      <c r="AY312" s="293"/>
      <c r="AZ312" s="293"/>
      <c r="BA312" s="293"/>
      <c r="BB312" s="293"/>
      <c r="BC312" s="293"/>
      <c r="BD312" s="293"/>
      <c r="BE312" s="293"/>
      <c r="BF312" s="293"/>
      <c r="BG312" s="293"/>
      <c r="BH312" s="293"/>
      <c r="BI312" s="293"/>
      <c r="BJ312" s="293"/>
      <c r="BK312" s="293"/>
      <c r="BL312" s="293"/>
      <c r="BM312" s="293"/>
      <c r="BN312" s="293"/>
      <c r="BO312" s="293"/>
      <c r="BP312" s="293"/>
      <c r="BQ312" s="293"/>
      <c r="BR312" s="293"/>
      <c r="BS312" s="293"/>
      <c r="BT312" s="293"/>
      <c r="BU312" s="293"/>
      <c r="BV312" s="293"/>
      <c r="BW312" s="293"/>
      <c r="BX312" s="293"/>
      <c r="BY312" s="293"/>
      <c r="BZ312" s="293"/>
      <c r="CA312" s="285"/>
      <c r="CB312" s="286"/>
      <c r="CC312" s="286"/>
      <c r="CD312" s="286"/>
      <c r="CE312" s="286"/>
      <c r="CF312" s="286"/>
      <c r="CG312" s="286"/>
      <c r="CH312" s="286"/>
      <c r="CI312" s="286"/>
      <c r="CJ312" s="286"/>
      <c r="CK312" s="286"/>
      <c r="CL312" s="286"/>
      <c r="CM312" s="286"/>
      <c r="CN312" s="286"/>
      <c r="CO312" s="286"/>
      <c r="CP312" s="286"/>
      <c r="CQ312" s="286"/>
      <c r="CR312" s="286"/>
      <c r="CS312" s="286"/>
      <c r="CT312" s="286"/>
      <c r="CU312" s="286"/>
      <c r="CV312" s="286"/>
      <c r="CW312" s="286"/>
      <c r="CX312" s="286"/>
      <c r="CY312" s="286"/>
      <c r="CZ312" s="286"/>
      <c r="DA312" s="286"/>
      <c r="DB312" s="286"/>
      <c r="DC312" s="286"/>
      <c r="DD312" s="286"/>
      <c r="DE312" s="286"/>
      <c r="DF312" s="286"/>
      <c r="DG312" s="286"/>
      <c r="DH312" s="286"/>
      <c r="DI312" s="286"/>
      <c r="DJ312" s="286"/>
      <c r="DK312" s="286"/>
      <c r="DL312" s="286"/>
      <c r="DM312" s="286"/>
      <c r="DN312" s="286"/>
      <c r="DO312" s="286"/>
      <c r="DP312" s="286"/>
      <c r="DR312" s="58" t="str">
        <f>IF(ISNUMBER(MATCH(#REF!,'Audit Characteristic Mapping'!$B$3:$B$500,0)),"Y","")</f>
        <v/>
      </c>
      <c r="DS312" s="58" t="str">
        <f>IF(ISNUMBER(MATCH(#REF!,'Audit Characteristic Mapping'!$C$3:$C$500,0)),"Y","")</f>
        <v/>
      </c>
      <c r="DT312" s="58" t="str">
        <f>IF(ISNUMBER(MATCH(#REF!,'Audit Characteristic Mapping'!$D$3:$D$500,0)),"Y","")</f>
        <v/>
      </c>
      <c r="DU312" s="58" t="str">
        <f>IF(ISNUMBER(MATCH(#REF!,'Audit Characteristic Mapping'!$E$3:$E$500,0)),"Y","")</f>
        <v/>
      </c>
      <c r="DV312" s="58" t="str">
        <f>IF(ISNUMBER(MATCH(#REF!,'Audit Characteristic Mapping'!$F$3:$F$500,0)),"Y","")</f>
        <v/>
      </c>
      <c r="DW312" s="58" t="str">
        <f>IF(ISNUMBER(MATCH(#REF!,'Audit Characteristic Mapping'!$G$3:$G$500,0)),"Y","")</f>
        <v/>
      </c>
      <c r="DX312" s="58" t="str">
        <f>IF(ISNUMBER(MATCH(#REF!,'Audit Characteristic Mapping'!$H$3:$H$500,0)),"Y","")</f>
        <v/>
      </c>
      <c r="DY312" s="58" t="str">
        <f>IF(ISNUMBER(MATCH(#REF!,'Audit Characteristic Mapping'!$I$3:$I$500,0)),"Y","")</f>
        <v/>
      </c>
      <c r="DZ312" s="58" t="str">
        <f>IF(ISNUMBER(MATCH(#REF!,'Audit Characteristic Mapping'!$J$3:$J$500,0)),"Y","")</f>
        <v/>
      </c>
      <c r="EA312" s="58" t="str">
        <f>IF(ISNUMBER(MATCH(#REF!,'Audit Characteristic Mapping'!$K$3:$K$500,0)),"Y","")</f>
        <v/>
      </c>
    </row>
    <row r="313" spans="1:131" ht="16" hidden="1" x14ac:dyDescent="0.2">
      <c r="A313" s="288">
        <v>304</v>
      </c>
      <c r="B313" s="287" t="s">
        <v>450</v>
      </c>
      <c r="C313" s="226" t="s">
        <v>451</v>
      </c>
      <c r="D313" s="170">
        <v>9</v>
      </c>
      <c r="E313" s="288">
        <v>62</v>
      </c>
      <c r="F313" s="291" t="str">
        <f>VLOOKUP(Calculation!A313,'Descriptor maps'!$A$2:$F$1658,2,0)</f>
        <v>Management</v>
      </c>
      <c r="G313" s="296"/>
      <c r="H313" s="290"/>
      <c r="I313" s="291"/>
      <c r="J313" s="292" t="e" cm="1">
        <f t="array" ref="J313">INDEX('Descriptor maps'!$I$2:$I$1658,MATCH(1,('Descriptor maps'!$A$2:$A$1658=Calculation!$A313)*('Descriptor maps'!$G$2:$G$1658=Calculation!$G313),0))</f>
        <v>#N/A</v>
      </c>
      <c r="K313" s="226"/>
      <c r="L313" s="293"/>
      <c r="M313" s="293"/>
      <c r="N313" s="293"/>
      <c r="O313" s="293"/>
      <c r="P313" s="293"/>
      <c r="Q313" s="293"/>
      <c r="R313" s="293"/>
      <c r="S313" s="293"/>
      <c r="T313" s="293"/>
      <c r="U313" s="293"/>
      <c r="V313" s="293"/>
      <c r="W313" s="293"/>
      <c r="X313" s="293"/>
      <c r="Y313" s="293"/>
      <c r="Z313" s="293"/>
      <c r="AA313" s="293"/>
      <c r="AB313" s="293"/>
      <c r="AC313" s="293"/>
      <c r="AD313" s="293"/>
      <c r="AE313" s="293"/>
      <c r="AF313" s="293"/>
      <c r="AG313" s="293"/>
      <c r="AH313" s="293"/>
      <c r="AI313" s="293"/>
      <c r="AJ313" s="293"/>
      <c r="AK313" s="293"/>
      <c r="AL313" s="293"/>
      <c r="AM313" s="293"/>
      <c r="AN313" s="293"/>
      <c r="AO313" s="293"/>
      <c r="AP313" s="293"/>
      <c r="AQ313" s="293"/>
      <c r="AR313" s="293"/>
      <c r="AS313" s="293"/>
      <c r="AT313" s="293"/>
      <c r="AU313" s="293"/>
      <c r="AV313" s="293"/>
      <c r="AW313" s="293"/>
      <c r="AX313" s="293"/>
      <c r="AY313" s="293"/>
      <c r="AZ313" s="293"/>
      <c r="BA313" s="293"/>
      <c r="BB313" s="293"/>
      <c r="BC313" s="293"/>
      <c r="BD313" s="293"/>
      <c r="BE313" s="293"/>
      <c r="BF313" s="293"/>
      <c r="BG313" s="293"/>
      <c r="BH313" s="293"/>
      <c r="BI313" s="293"/>
      <c r="BJ313" s="293"/>
      <c r="BK313" s="293"/>
      <c r="BL313" s="293"/>
      <c r="BM313" s="293"/>
      <c r="BN313" s="293"/>
      <c r="BO313" s="293"/>
      <c r="BP313" s="293"/>
      <c r="BQ313" s="293"/>
      <c r="BR313" s="293"/>
      <c r="BS313" s="293"/>
      <c r="BT313" s="293"/>
      <c r="BU313" s="293"/>
      <c r="BV313" s="293"/>
      <c r="BW313" s="293"/>
      <c r="BX313" s="293"/>
      <c r="BY313" s="293"/>
      <c r="BZ313" s="293"/>
      <c r="CA313" s="285"/>
      <c r="CB313" s="286"/>
      <c r="CC313" s="286"/>
      <c r="CD313" s="286"/>
      <c r="CE313" s="286"/>
      <c r="CF313" s="286"/>
      <c r="CG313" s="286"/>
      <c r="CH313" s="286"/>
      <c r="CI313" s="286"/>
      <c r="CJ313" s="286"/>
      <c r="CK313" s="286"/>
      <c r="CL313" s="286"/>
      <c r="CM313" s="286"/>
      <c r="CN313" s="286"/>
      <c r="CO313" s="286"/>
      <c r="CP313" s="286"/>
      <c r="CQ313" s="286"/>
      <c r="CR313" s="286"/>
      <c r="CS313" s="286"/>
      <c r="CT313" s="286"/>
      <c r="CU313" s="286"/>
      <c r="CV313" s="286"/>
      <c r="CW313" s="286"/>
      <c r="CX313" s="286"/>
      <c r="CY313" s="286"/>
      <c r="CZ313" s="286"/>
      <c r="DA313" s="286"/>
      <c r="DB313" s="286"/>
      <c r="DC313" s="286"/>
      <c r="DD313" s="286"/>
      <c r="DE313" s="286"/>
      <c r="DF313" s="286"/>
      <c r="DG313" s="286"/>
      <c r="DH313" s="286"/>
      <c r="DI313" s="286"/>
      <c r="DJ313" s="286"/>
      <c r="DK313" s="286"/>
      <c r="DL313" s="286"/>
      <c r="DM313" s="286"/>
      <c r="DN313" s="286"/>
      <c r="DO313" s="286"/>
      <c r="DP313" s="286"/>
      <c r="DR313" s="58" t="str">
        <f>IF(ISNUMBER(MATCH(#REF!,'Audit Characteristic Mapping'!$B$3:$B$500,0)),"Y","")</f>
        <v/>
      </c>
      <c r="DS313" s="58" t="str">
        <f>IF(ISNUMBER(MATCH(#REF!,'Audit Characteristic Mapping'!$C$3:$C$500,0)),"Y","")</f>
        <v/>
      </c>
      <c r="DT313" s="58" t="str">
        <f>IF(ISNUMBER(MATCH(#REF!,'Audit Characteristic Mapping'!$D$3:$D$500,0)),"Y","")</f>
        <v/>
      </c>
      <c r="DU313" s="58" t="str">
        <f>IF(ISNUMBER(MATCH(#REF!,'Audit Characteristic Mapping'!$E$3:$E$500,0)),"Y","")</f>
        <v/>
      </c>
      <c r="DV313" s="58" t="str">
        <f>IF(ISNUMBER(MATCH(#REF!,'Audit Characteristic Mapping'!$F$3:$F$500,0)),"Y","")</f>
        <v/>
      </c>
      <c r="DW313" s="58" t="str">
        <f>IF(ISNUMBER(MATCH(#REF!,'Audit Characteristic Mapping'!$G$3:$G$500,0)),"Y","")</f>
        <v/>
      </c>
      <c r="DX313" s="58" t="str">
        <f>IF(ISNUMBER(MATCH(#REF!,'Audit Characteristic Mapping'!$H$3:$H$500,0)),"Y","")</f>
        <v/>
      </c>
      <c r="DY313" s="58" t="str">
        <f>IF(ISNUMBER(MATCH(#REF!,'Audit Characteristic Mapping'!$I$3:$I$500,0)),"Y","")</f>
        <v/>
      </c>
      <c r="DZ313" s="58" t="str">
        <f>IF(ISNUMBER(MATCH(#REF!,'Audit Characteristic Mapping'!$J$3:$J$500,0)),"Y","")</f>
        <v/>
      </c>
      <c r="EA313" s="58" t="str">
        <f>IF(ISNUMBER(MATCH(#REF!,'Audit Characteristic Mapping'!$K$3:$K$500,0)),"Y","")</f>
        <v/>
      </c>
    </row>
    <row r="314" spans="1:131" ht="16" hidden="1" x14ac:dyDescent="0.2">
      <c r="A314" s="288">
        <v>305</v>
      </c>
      <c r="B314" s="287" t="s">
        <v>450</v>
      </c>
      <c r="C314" s="226" t="s">
        <v>451</v>
      </c>
      <c r="D314" s="170">
        <v>9</v>
      </c>
      <c r="E314" s="288">
        <v>62</v>
      </c>
      <c r="F314" s="291" t="str">
        <f>VLOOKUP(Calculation!A314,'Descriptor maps'!$A$2:$F$1658,2,0)</f>
        <v>Management</v>
      </c>
      <c r="G314" s="296"/>
      <c r="H314" s="290"/>
      <c r="I314" s="291"/>
      <c r="J314" s="292" t="e" cm="1">
        <f t="array" ref="J314">INDEX('Descriptor maps'!$I$2:$I$1658,MATCH(1,('Descriptor maps'!$A$2:$A$1658=Calculation!$A314)*('Descriptor maps'!$G$2:$G$1658=Calculation!$G314),0))</f>
        <v>#N/A</v>
      </c>
      <c r="K314" s="226"/>
      <c r="L314" s="293"/>
      <c r="M314" s="293"/>
      <c r="N314" s="293"/>
      <c r="O314" s="293"/>
      <c r="P314" s="293"/>
      <c r="Q314" s="293"/>
      <c r="R314" s="293"/>
      <c r="S314" s="293"/>
      <c r="T314" s="293"/>
      <c r="U314" s="293"/>
      <c r="V314" s="293"/>
      <c r="W314" s="293"/>
      <c r="X314" s="293"/>
      <c r="Y314" s="293"/>
      <c r="Z314" s="293"/>
      <c r="AA314" s="293"/>
      <c r="AB314" s="293"/>
      <c r="AC314" s="293"/>
      <c r="AD314" s="293"/>
      <c r="AE314" s="293"/>
      <c r="AF314" s="293"/>
      <c r="AG314" s="293"/>
      <c r="AH314" s="293"/>
      <c r="AI314" s="293"/>
      <c r="AJ314" s="293"/>
      <c r="AK314" s="293"/>
      <c r="AL314" s="293"/>
      <c r="AM314" s="293"/>
      <c r="AN314" s="293"/>
      <c r="AO314" s="293"/>
      <c r="AP314" s="293"/>
      <c r="AQ314" s="293"/>
      <c r="AR314" s="293"/>
      <c r="AS314" s="293"/>
      <c r="AT314" s="293"/>
      <c r="AU314" s="293"/>
      <c r="AV314" s="293"/>
      <c r="AW314" s="293"/>
      <c r="AX314" s="293"/>
      <c r="AY314" s="293"/>
      <c r="AZ314" s="293"/>
      <c r="BA314" s="293"/>
      <c r="BB314" s="293"/>
      <c r="BC314" s="293"/>
      <c r="BD314" s="293"/>
      <c r="BE314" s="293"/>
      <c r="BF314" s="293"/>
      <c r="BG314" s="293"/>
      <c r="BH314" s="293"/>
      <c r="BI314" s="293"/>
      <c r="BJ314" s="293"/>
      <c r="BK314" s="293"/>
      <c r="BL314" s="293"/>
      <c r="BM314" s="293"/>
      <c r="BN314" s="293"/>
      <c r="BO314" s="293"/>
      <c r="BP314" s="293"/>
      <c r="BQ314" s="293"/>
      <c r="BR314" s="293"/>
      <c r="BS314" s="293"/>
      <c r="BT314" s="293"/>
      <c r="BU314" s="293"/>
      <c r="BV314" s="293"/>
      <c r="BW314" s="293"/>
      <c r="BX314" s="293"/>
      <c r="BY314" s="293"/>
      <c r="BZ314" s="293"/>
      <c r="CA314" s="285"/>
      <c r="CB314" s="286"/>
      <c r="CC314" s="286"/>
      <c r="CD314" s="286"/>
      <c r="CE314" s="286"/>
      <c r="CF314" s="286"/>
      <c r="CG314" s="286"/>
      <c r="CH314" s="286"/>
      <c r="CI314" s="286"/>
      <c r="CJ314" s="286"/>
      <c r="CK314" s="286"/>
      <c r="CL314" s="286"/>
      <c r="CM314" s="286"/>
      <c r="CN314" s="286"/>
      <c r="CO314" s="286"/>
      <c r="CP314" s="286"/>
      <c r="CQ314" s="286"/>
      <c r="CR314" s="286"/>
      <c r="CS314" s="286"/>
      <c r="CT314" s="286"/>
      <c r="CU314" s="286"/>
      <c r="CV314" s="286"/>
      <c r="CW314" s="286"/>
      <c r="CX314" s="286"/>
      <c r="CY314" s="286"/>
      <c r="CZ314" s="286"/>
      <c r="DA314" s="286"/>
      <c r="DB314" s="286"/>
      <c r="DC314" s="286"/>
      <c r="DD314" s="286"/>
      <c r="DE314" s="286"/>
      <c r="DF314" s="286"/>
      <c r="DG314" s="286"/>
      <c r="DH314" s="286"/>
      <c r="DI314" s="286"/>
      <c r="DJ314" s="286"/>
      <c r="DK314" s="286"/>
      <c r="DL314" s="286"/>
      <c r="DM314" s="286"/>
      <c r="DN314" s="286"/>
      <c r="DO314" s="286"/>
      <c r="DP314" s="286"/>
      <c r="DR314" s="58" t="str">
        <f>IF(ISNUMBER(MATCH(#REF!,'Audit Characteristic Mapping'!$B$3:$B$500,0)),"Y","")</f>
        <v/>
      </c>
      <c r="DS314" s="58" t="str">
        <f>IF(ISNUMBER(MATCH(#REF!,'Audit Characteristic Mapping'!$C$3:$C$500,0)),"Y","")</f>
        <v/>
      </c>
      <c r="DT314" s="58" t="str">
        <f>IF(ISNUMBER(MATCH(#REF!,'Audit Characteristic Mapping'!$D$3:$D$500,0)),"Y","")</f>
        <v/>
      </c>
      <c r="DU314" s="58" t="str">
        <f>IF(ISNUMBER(MATCH(#REF!,'Audit Characteristic Mapping'!$E$3:$E$500,0)),"Y","")</f>
        <v/>
      </c>
      <c r="DV314" s="58" t="str">
        <f>IF(ISNUMBER(MATCH(#REF!,'Audit Characteristic Mapping'!$F$3:$F$500,0)),"Y","")</f>
        <v/>
      </c>
      <c r="DW314" s="58" t="str">
        <f>IF(ISNUMBER(MATCH(#REF!,'Audit Characteristic Mapping'!$G$3:$G$500,0)),"Y","")</f>
        <v/>
      </c>
      <c r="DX314" s="58" t="str">
        <f>IF(ISNUMBER(MATCH(#REF!,'Audit Characteristic Mapping'!$H$3:$H$500,0)),"Y","")</f>
        <v/>
      </c>
      <c r="DY314" s="58" t="str">
        <f>IF(ISNUMBER(MATCH(#REF!,'Audit Characteristic Mapping'!$I$3:$I$500,0)),"Y","")</f>
        <v/>
      </c>
      <c r="DZ314" s="58" t="str">
        <f>IF(ISNUMBER(MATCH(#REF!,'Audit Characteristic Mapping'!$J$3:$J$500,0)),"Y","")</f>
        <v/>
      </c>
      <c r="EA314" s="58" t="str">
        <f>IF(ISNUMBER(MATCH(#REF!,'Audit Characteristic Mapping'!$K$3:$K$500,0)),"Y","")</f>
        <v/>
      </c>
    </row>
    <row r="315" spans="1:131" ht="16" hidden="1" x14ac:dyDescent="0.2">
      <c r="A315" s="288">
        <v>306</v>
      </c>
      <c r="B315" s="287" t="s">
        <v>450</v>
      </c>
      <c r="C315" s="226" t="s">
        <v>451</v>
      </c>
      <c r="D315" s="170">
        <v>9</v>
      </c>
      <c r="E315" s="288">
        <v>62</v>
      </c>
      <c r="F315" s="291" t="str">
        <f>VLOOKUP(Calculation!A315,'Descriptor maps'!$A$2:$F$1658,2,0)</f>
        <v>Management</v>
      </c>
      <c r="G315" s="296"/>
      <c r="H315" s="290"/>
      <c r="I315" s="291"/>
      <c r="J315" s="292" t="e" cm="1">
        <f t="array" ref="J315">INDEX('Descriptor maps'!$I$2:$I$1658,MATCH(1,('Descriptor maps'!$A$2:$A$1658=Calculation!$A315)*('Descriptor maps'!$G$2:$G$1658=Calculation!$G315),0))</f>
        <v>#N/A</v>
      </c>
      <c r="K315" s="226"/>
      <c r="L315" s="293"/>
      <c r="M315" s="293"/>
      <c r="N315" s="293"/>
      <c r="O315" s="293"/>
      <c r="P315" s="293"/>
      <c r="Q315" s="293"/>
      <c r="R315" s="293"/>
      <c r="S315" s="293"/>
      <c r="T315" s="293"/>
      <c r="U315" s="293"/>
      <c r="V315" s="293"/>
      <c r="W315" s="293"/>
      <c r="X315" s="293"/>
      <c r="Y315" s="293"/>
      <c r="Z315" s="293"/>
      <c r="AA315" s="293"/>
      <c r="AB315" s="293"/>
      <c r="AC315" s="293"/>
      <c r="AD315" s="293"/>
      <c r="AE315" s="293"/>
      <c r="AF315" s="293"/>
      <c r="AG315" s="293"/>
      <c r="AH315" s="293"/>
      <c r="AI315" s="293"/>
      <c r="AJ315" s="293"/>
      <c r="AK315" s="293"/>
      <c r="AL315" s="293"/>
      <c r="AM315" s="293"/>
      <c r="AN315" s="293"/>
      <c r="AO315" s="293"/>
      <c r="AP315" s="293"/>
      <c r="AQ315" s="293"/>
      <c r="AR315" s="293"/>
      <c r="AS315" s="293"/>
      <c r="AT315" s="293"/>
      <c r="AU315" s="293"/>
      <c r="AV315" s="293"/>
      <c r="AW315" s="293"/>
      <c r="AX315" s="293"/>
      <c r="AY315" s="293"/>
      <c r="AZ315" s="293"/>
      <c r="BA315" s="293"/>
      <c r="BB315" s="293"/>
      <c r="BC315" s="293"/>
      <c r="BD315" s="293"/>
      <c r="BE315" s="293"/>
      <c r="BF315" s="293"/>
      <c r="BG315" s="293"/>
      <c r="BH315" s="293"/>
      <c r="BI315" s="293"/>
      <c r="BJ315" s="293"/>
      <c r="BK315" s="293"/>
      <c r="BL315" s="293"/>
      <c r="BM315" s="293"/>
      <c r="BN315" s="293"/>
      <c r="BO315" s="293"/>
      <c r="BP315" s="293"/>
      <c r="BQ315" s="293"/>
      <c r="BR315" s="293"/>
      <c r="BS315" s="293"/>
      <c r="BT315" s="293"/>
      <c r="BU315" s="293"/>
      <c r="BV315" s="293"/>
      <c r="BW315" s="293"/>
      <c r="BX315" s="293"/>
      <c r="BY315" s="293"/>
      <c r="BZ315" s="293"/>
      <c r="CA315" s="285"/>
      <c r="CB315" s="286"/>
      <c r="CC315" s="286"/>
      <c r="CD315" s="286"/>
      <c r="CE315" s="286"/>
      <c r="CF315" s="286"/>
      <c r="CG315" s="286"/>
      <c r="CH315" s="286"/>
      <c r="CI315" s="286"/>
      <c r="CJ315" s="286"/>
      <c r="CK315" s="286"/>
      <c r="CL315" s="286"/>
      <c r="CM315" s="286"/>
      <c r="CN315" s="286"/>
      <c r="CO315" s="286"/>
      <c r="CP315" s="286"/>
      <c r="CQ315" s="286"/>
      <c r="CR315" s="286"/>
      <c r="CS315" s="286"/>
      <c r="CT315" s="286"/>
      <c r="CU315" s="286"/>
      <c r="CV315" s="286"/>
      <c r="CW315" s="286"/>
      <c r="CX315" s="286"/>
      <c r="CY315" s="286"/>
      <c r="CZ315" s="286"/>
      <c r="DA315" s="286"/>
      <c r="DB315" s="286"/>
      <c r="DC315" s="286"/>
      <c r="DD315" s="286"/>
      <c r="DE315" s="286"/>
      <c r="DF315" s="286"/>
      <c r="DG315" s="286"/>
      <c r="DH315" s="286"/>
      <c r="DI315" s="286"/>
      <c r="DJ315" s="286"/>
      <c r="DK315" s="286"/>
      <c r="DL315" s="286"/>
      <c r="DM315" s="286"/>
      <c r="DN315" s="286"/>
      <c r="DO315" s="286"/>
      <c r="DP315" s="286"/>
      <c r="DR315" s="58" t="str">
        <f>IF(ISNUMBER(MATCH(#REF!,'Audit Characteristic Mapping'!$B$3:$B$500,0)),"Y","")</f>
        <v/>
      </c>
      <c r="DS315" s="58" t="str">
        <f>IF(ISNUMBER(MATCH(#REF!,'Audit Characteristic Mapping'!$C$3:$C$500,0)),"Y","")</f>
        <v/>
      </c>
      <c r="DT315" s="58" t="str">
        <f>IF(ISNUMBER(MATCH(#REF!,'Audit Characteristic Mapping'!$D$3:$D$500,0)),"Y","")</f>
        <v/>
      </c>
      <c r="DU315" s="58" t="str">
        <f>IF(ISNUMBER(MATCH(#REF!,'Audit Characteristic Mapping'!$E$3:$E$500,0)),"Y","")</f>
        <v/>
      </c>
      <c r="DV315" s="58" t="str">
        <f>IF(ISNUMBER(MATCH(#REF!,'Audit Characteristic Mapping'!$F$3:$F$500,0)),"Y","")</f>
        <v/>
      </c>
      <c r="DW315" s="58" t="str">
        <f>IF(ISNUMBER(MATCH(#REF!,'Audit Characteristic Mapping'!$G$3:$G$500,0)),"Y","")</f>
        <v/>
      </c>
      <c r="DX315" s="58" t="str">
        <f>IF(ISNUMBER(MATCH(#REF!,'Audit Characteristic Mapping'!$H$3:$H$500,0)),"Y","")</f>
        <v/>
      </c>
      <c r="DY315" s="58" t="str">
        <f>IF(ISNUMBER(MATCH(#REF!,'Audit Characteristic Mapping'!$I$3:$I$500,0)),"Y","")</f>
        <v/>
      </c>
      <c r="DZ315" s="58" t="str">
        <f>IF(ISNUMBER(MATCH(#REF!,'Audit Characteristic Mapping'!$J$3:$J$500,0)),"Y","")</f>
        <v/>
      </c>
      <c r="EA315" s="58" t="str">
        <f>IF(ISNUMBER(MATCH(#REF!,'Audit Characteristic Mapping'!$K$3:$K$500,0)),"Y","")</f>
        <v/>
      </c>
    </row>
    <row r="316" spans="1:131" ht="16" hidden="1" x14ac:dyDescent="0.2">
      <c r="A316" s="288">
        <v>307</v>
      </c>
      <c r="B316" s="287" t="s">
        <v>450</v>
      </c>
      <c r="C316" s="226" t="s">
        <v>456</v>
      </c>
      <c r="D316" s="170">
        <v>9</v>
      </c>
      <c r="E316" s="288">
        <v>63</v>
      </c>
      <c r="F316" s="291" t="str">
        <f>VLOOKUP(Calculation!A316,'Descriptor maps'!$A$2:$F$1658,2,0)</f>
        <v>Management</v>
      </c>
      <c r="G316" s="296"/>
      <c r="H316" s="290"/>
      <c r="I316" s="291"/>
      <c r="J316" s="292" t="e" cm="1">
        <f t="array" ref="J316">INDEX('Descriptor maps'!$I$2:$I$1658,MATCH(1,('Descriptor maps'!$A$2:$A$1658=Calculation!$A316)*('Descriptor maps'!$G$2:$G$1658=Calculation!$G316),0))</f>
        <v>#N/A</v>
      </c>
      <c r="K316" s="226"/>
      <c r="L316" s="293"/>
      <c r="M316" s="293"/>
      <c r="N316" s="293"/>
      <c r="O316" s="293"/>
      <c r="P316" s="293"/>
      <c r="Q316" s="293"/>
      <c r="R316" s="293"/>
      <c r="S316" s="293"/>
      <c r="T316" s="293"/>
      <c r="U316" s="293"/>
      <c r="V316" s="293"/>
      <c r="W316" s="293"/>
      <c r="X316" s="293"/>
      <c r="Y316" s="293"/>
      <c r="Z316" s="293"/>
      <c r="AA316" s="293"/>
      <c r="AB316" s="293"/>
      <c r="AC316" s="293"/>
      <c r="AD316" s="293"/>
      <c r="AE316" s="293"/>
      <c r="AF316" s="293"/>
      <c r="AG316" s="293"/>
      <c r="AH316" s="293"/>
      <c r="AI316" s="293"/>
      <c r="AJ316" s="293"/>
      <c r="AK316" s="293"/>
      <c r="AL316" s="293"/>
      <c r="AM316" s="293"/>
      <c r="AN316" s="293"/>
      <c r="AO316" s="293"/>
      <c r="AP316" s="293"/>
      <c r="AQ316" s="293"/>
      <c r="AR316" s="293"/>
      <c r="AS316" s="293"/>
      <c r="AT316" s="293"/>
      <c r="AU316" s="293"/>
      <c r="AV316" s="293"/>
      <c r="AW316" s="293"/>
      <c r="AX316" s="293"/>
      <c r="AY316" s="293"/>
      <c r="AZ316" s="293"/>
      <c r="BA316" s="293"/>
      <c r="BB316" s="293"/>
      <c r="BC316" s="293"/>
      <c r="BD316" s="293"/>
      <c r="BE316" s="293"/>
      <c r="BF316" s="293"/>
      <c r="BG316" s="293"/>
      <c r="BH316" s="293"/>
      <c r="BI316" s="293"/>
      <c r="BJ316" s="293"/>
      <c r="BK316" s="293"/>
      <c r="BL316" s="293"/>
      <c r="BM316" s="293"/>
      <c r="BN316" s="293"/>
      <c r="BO316" s="293"/>
      <c r="BP316" s="293"/>
      <c r="BQ316" s="293"/>
      <c r="BR316" s="293"/>
      <c r="BS316" s="293"/>
      <c r="BT316" s="293"/>
      <c r="BU316" s="293"/>
      <c r="BV316" s="293"/>
      <c r="BW316" s="293"/>
      <c r="BX316" s="293"/>
      <c r="BY316" s="293"/>
      <c r="BZ316" s="293"/>
      <c r="CA316" s="285"/>
      <c r="CB316" s="286"/>
      <c r="CC316" s="286"/>
      <c r="CD316" s="286"/>
      <c r="CE316" s="286"/>
      <c r="CF316" s="286"/>
      <c r="CG316" s="286"/>
      <c r="CH316" s="286"/>
      <c r="CI316" s="286"/>
      <c r="CJ316" s="286"/>
      <c r="CK316" s="286"/>
      <c r="CL316" s="286"/>
      <c r="CM316" s="286"/>
      <c r="CN316" s="286"/>
      <c r="CO316" s="286"/>
      <c r="CP316" s="286"/>
      <c r="CQ316" s="286"/>
      <c r="CR316" s="286"/>
      <c r="CS316" s="286"/>
      <c r="CT316" s="286"/>
      <c r="CU316" s="286"/>
      <c r="CV316" s="286"/>
      <c r="CW316" s="286"/>
      <c r="CX316" s="286"/>
      <c r="CY316" s="286"/>
      <c r="CZ316" s="286"/>
      <c r="DA316" s="286"/>
      <c r="DB316" s="286"/>
      <c r="DC316" s="286"/>
      <c r="DD316" s="286"/>
      <c r="DE316" s="286"/>
      <c r="DF316" s="286"/>
      <c r="DG316" s="286"/>
      <c r="DH316" s="286"/>
      <c r="DI316" s="286"/>
      <c r="DJ316" s="286"/>
      <c r="DK316" s="286"/>
      <c r="DL316" s="286"/>
      <c r="DM316" s="286"/>
      <c r="DN316" s="286"/>
      <c r="DO316" s="286"/>
      <c r="DP316" s="286"/>
      <c r="DR316" s="58" t="str">
        <f>IF(ISNUMBER(MATCH(#REF!,'Audit Characteristic Mapping'!$B$3:$B$500,0)),"Y","")</f>
        <v/>
      </c>
      <c r="DS316" s="58" t="str">
        <f>IF(ISNUMBER(MATCH(#REF!,'Audit Characteristic Mapping'!$C$3:$C$500,0)),"Y","")</f>
        <v/>
      </c>
      <c r="DT316" s="58" t="str">
        <f>IF(ISNUMBER(MATCH(#REF!,'Audit Characteristic Mapping'!$D$3:$D$500,0)),"Y","")</f>
        <v/>
      </c>
      <c r="DU316" s="58" t="str">
        <f>IF(ISNUMBER(MATCH(#REF!,'Audit Characteristic Mapping'!$E$3:$E$500,0)),"Y","")</f>
        <v/>
      </c>
      <c r="DV316" s="58" t="str">
        <f>IF(ISNUMBER(MATCH(#REF!,'Audit Characteristic Mapping'!$F$3:$F$500,0)),"Y","")</f>
        <v/>
      </c>
      <c r="DW316" s="58" t="str">
        <f>IF(ISNUMBER(MATCH(#REF!,'Audit Characteristic Mapping'!$G$3:$G$500,0)),"Y","")</f>
        <v/>
      </c>
      <c r="DX316" s="58" t="str">
        <f>IF(ISNUMBER(MATCH(#REF!,'Audit Characteristic Mapping'!$H$3:$H$500,0)),"Y","")</f>
        <v/>
      </c>
      <c r="DY316" s="58" t="str">
        <f>IF(ISNUMBER(MATCH(#REF!,'Audit Characteristic Mapping'!$I$3:$I$500,0)),"Y","")</f>
        <v/>
      </c>
      <c r="DZ316" s="58" t="str">
        <f>IF(ISNUMBER(MATCH(#REF!,'Audit Characteristic Mapping'!$J$3:$J$500,0)),"Y","")</f>
        <v/>
      </c>
      <c r="EA316" s="58" t="str">
        <f>IF(ISNUMBER(MATCH(#REF!,'Audit Characteristic Mapping'!$K$3:$K$500,0)),"Y","")</f>
        <v/>
      </c>
    </row>
    <row r="317" spans="1:131" ht="16" hidden="1" x14ac:dyDescent="0.2">
      <c r="A317" s="288">
        <v>308</v>
      </c>
      <c r="B317" s="287" t="s">
        <v>450</v>
      </c>
      <c r="C317" s="226" t="s">
        <v>456</v>
      </c>
      <c r="D317" s="170">
        <v>9</v>
      </c>
      <c r="E317" s="288">
        <v>63</v>
      </c>
      <c r="F317" s="291" t="e">
        <f>VLOOKUP(Calculation!A317,'Descriptor maps'!$A$2:$F$1658,2,0)</f>
        <v>#N/A</v>
      </c>
      <c r="G317" s="296"/>
      <c r="H317" s="290"/>
      <c r="I317" s="291"/>
      <c r="J317" s="292" t="e" cm="1">
        <f t="array" ref="J317">INDEX('Descriptor maps'!$I$2:$I$1658,MATCH(1,('Descriptor maps'!$A$2:$A$1658=Calculation!$A317)*('Descriptor maps'!$G$2:$G$1658=Calculation!$G317),0))</f>
        <v>#N/A</v>
      </c>
      <c r="K317" s="226"/>
      <c r="L317" s="293"/>
      <c r="M317" s="293"/>
      <c r="N317" s="293"/>
      <c r="O317" s="293"/>
      <c r="P317" s="293"/>
      <c r="Q317" s="293"/>
      <c r="R317" s="293"/>
      <c r="S317" s="293"/>
      <c r="T317" s="293"/>
      <c r="U317" s="293"/>
      <c r="V317" s="293"/>
      <c r="W317" s="293"/>
      <c r="X317" s="293"/>
      <c r="Y317" s="293"/>
      <c r="Z317" s="293"/>
      <c r="AA317" s="293"/>
      <c r="AB317" s="293"/>
      <c r="AC317" s="293"/>
      <c r="AD317" s="293"/>
      <c r="AE317" s="293"/>
      <c r="AF317" s="293"/>
      <c r="AG317" s="293"/>
      <c r="AH317" s="293"/>
      <c r="AI317" s="293"/>
      <c r="AJ317" s="293"/>
      <c r="AK317" s="293"/>
      <c r="AL317" s="293"/>
      <c r="AM317" s="293"/>
      <c r="AN317" s="293"/>
      <c r="AO317" s="293"/>
      <c r="AP317" s="293"/>
      <c r="AQ317" s="293"/>
      <c r="AR317" s="293"/>
      <c r="AS317" s="293"/>
      <c r="AT317" s="293"/>
      <c r="AU317" s="293"/>
      <c r="AV317" s="293"/>
      <c r="AW317" s="293"/>
      <c r="AX317" s="293"/>
      <c r="AY317" s="293"/>
      <c r="AZ317" s="293"/>
      <c r="BA317" s="293"/>
      <c r="BB317" s="293"/>
      <c r="BC317" s="293"/>
      <c r="BD317" s="293"/>
      <c r="BE317" s="293"/>
      <c r="BF317" s="293"/>
      <c r="BG317" s="293"/>
      <c r="BH317" s="293"/>
      <c r="BI317" s="293"/>
      <c r="BJ317" s="293"/>
      <c r="BK317" s="293"/>
      <c r="BL317" s="293"/>
      <c r="BM317" s="293"/>
      <c r="BN317" s="293"/>
      <c r="BO317" s="293"/>
      <c r="BP317" s="293"/>
      <c r="BQ317" s="293"/>
      <c r="BR317" s="293"/>
      <c r="BS317" s="293"/>
      <c r="BT317" s="293"/>
      <c r="BU317" s="293"/>
      <c r="BV317" s="293"/>
      <c r="BW317" s="293"/>
      <c r="BX317" s="293"/>
      <c r="BY317" s="293"/>
      <c r="BZ317" s="293"/>
      <c r="CA317" s="285"/>
      <c r="CB317" s="286"/>
      <c r="CC317" s="286"/>
      <c r="CD317" s="286"/>
      <c r="CE317" s="286"/>
      <c r="CF317" s="286"/>
      <c r="CG317" s="286"/>
      <c r="CH317" s="286"/>
      <c r="CI317" s="286"/>
      <c r="CJ317" s="286"/>
      <c r="CK317" s="286"/>
      <c r="CL317" s="286"/>
      <c r="CM317" s="286"/>
      <c r="CN317" s="286"/>
      <c r="CO317" s="286"/>
      <c r="CP317" s="286"/>
      <c r="CQ317" s="286"/>
      <c r="CR317" s="286"/>
      <c r="CS317" s="286"/>
      <c r="CT317" s="286"/>
      <c r="CU317" s="286"/>
      <c r="CV317" s="286"/>
      <c r="CW317" s="286"/>
      <c r="CX317" s="286"/>
      <c r="CY317" s="286"/>
      <c r="CZ317" s="286"/>
      <c r="DA317" s="286"/>
      <c r="DB317" s="286"/>
      <c r="DC317" s="286"/>
      <c r="DD317" s="286"/>
      <c r="DE317" s="286"/>
      <c r="DF317" s="286"/>
      <c r="DG317" s="286"/>
      <c r="DH317" s="286"/>
      <c r="DI317" s="286"/>
      <c r="DJ317" s="286"/>
      <c r="DK317" s="286"/>
      <c r="DL317" s="286"/>
      <c r="DM317" s="286"/>
      <c r="DN317" s="286"/>
      <c r="DO317" s="286"/>
      <c r="DP317" s="286"/>
      <c r="DR317" s="58" t="str">
        <f>IF(ISNUMBER(MATCH(#REF!,'Audit Characteristic Mapping'!$B$3:$B$500,0)),"Y","")</f>
        <v/>
      </c>
      <c r="DS317" s="58" t="str">
        <f>IF(ISNUMBER(MATCH(#REF!,'Audit Characteristic Mapping'!$C$3:$C$500,0)),"Y","")</f>
        <v/>
      </c>
      <c r="DT317" s="58" t="str">
        <f>IF(ISNUMBER(MATCH(#REF!,'Audit Characteristic Mapping'!$D$3:$D$500,0)),"Y","")</f>
        <v/>
      </c>
      <c r="DU317" s="58" t="str">
        <f>IF(ISNUMBER(MATCH(#REF!,'Audit Characteristic Mapping'!$E$3:$E$500,0)),"Y","")</f>
        <v/>
      </c>
      <c r="DV317" s="58" t="str">
        <f>IF(ISNUMBER(MATCH(#REF!,'Audit Characteristic Mapping'!$F$3:$F$500,0)),"Y","")</f>
        <v/>
      </c>
      <c r="DW317" s="58" t="str">
        <f>IF(ISNUMBER(MATCH(#REF!,'Audit Characteristic Mapping'!$G$3:$G$500,0)),"Y","")</f>
        <v/>
      </c>
      <c r="DX317" s="58" t="str">
        <f>IF(ISNUMBER(MATCH(#REF!,'Audit Characteristic Mapping'!$H$3:$H$500,0)),"Y","")</f>
        <v/>
      </c>
      <c r="DY317" s="58" t="str">
        <f>IF(ISNUMBER(MATCH(#REF!,'Audit Characteristic Mapping'!$I$3:$I$500,0)),"Y","")</f>
        <v/>
      </c>
      <c r="DZ317" s="58" t="str">
        <f>IF(ISNUMBER(MATCH(#REF!,'Audit Characteristic Mapping'!$J$3:$J$500,0)),"Y","")</f>
        <v/>
      </c>
      <c r="EA317" s="58" t="str">
        <f>IF(ISNUMBER(MATCH(#REF!,'Audit Characteristic Mapping'!$K$3:$K$500,0)),"Y","")</f>
        <v/>
      </c>
    </row>
    <row r="318" spans="1:131" ht="16" hidden="1" x14ac:dyDescent="0.2">
      <c r="A318" s="288">
        <v>309</v>
      </c>
      <c r="B318" s="287" t="s">
        <v>450</v>
      </c>
      <c r="C318" s="226" t="s">
        <v>459</v>
      </c>
      <c r="D318" s="170">
        <v>9</v>
      </c>
      <c r="E318" s="288">
        <v>64</v>
      </c>
      <c r="F318" s="291" t="str">
        <f>VLOOKUP(Calculation!A318,'Descriptor maps'!$A$2:$F$1658,2,0)</f>
        <v>Management</v>
      </c>
      <c r="G318" s="296"/>
      <c r="H318" s="290"/>
      <c r="I318" s="291"/>
      <c r="J318" s="292" t="e" cm="1">
        <f t="array" ref="J318">INDEX('Descriptor maps'!$I$2:$I$1658,MATCH(1,('Descriptor maps'!$A$2:$A$1658=Calculation!$A318)*('Descriptor maps'!$G$2:$G$1658=Calculation!$G318),0))</f>
        <v>#N/A</v>
      </c>
      <c r="K318" s="226"/>
      <c r="L318" s="293"/>
      <c r="M318" s="293"/>
      <c r="N318" s="293"/>
      <c r="O318" s="293"/>
      <c r="P318" s="293"/>
      <c r="Q318" s="293"/>
      <c r="R318" s="293"/>
      <c r="S318" s="293"/>
      <c r="T318" s="293"/>
      <c r="U318" s="293"/>
      <c r="V318" s="293"/>
      <c r="W318" s="293"/>
      <c r="X318" s="293"/>
      <c r="Y318" s="293"/>
      <c r="Z318" s="293"/>
      <c r="AA318" s="293"/>
      <c r="AB318" s="293"/>
      <c r="AC318" s="293"/>
      <c r="AD318" s="293"/>
      <c r="AE318" s="293"/>
      <c r="AF318" s="293"/>
      <c r="AG318" s="293"/>
      <c r="AH318" s="293"/>
      <c r="AI318" s="293"/>
      <c r="AJ318" s="293"/>
      <c r="AK318" s="293"/>
      <c r="AL318" s="293"/>
      <c r="AM318" s="293"/>
      <c r="AN318" s="293"/>
      <c r="AO318" s="293"/>
      <c r="AP318" s="293"/>
      <c r="AQ318" s="293"/>
      <c r="AR318" s="293"/>
      <c r="AS318" s="293"/>
      <c r="AT318" s="293"/>
      <c r="AU318" s="293"/>
      <c r="AV318" s="293"/>
      <c r="AW318" s="293"/>
      <c r="AX318" s="293"/>
      <c r="AY318" s="293"/>
      <c r="AZ318" s="293"/>
      <c r="BA318" s="293"/>
      <c r="BB318" s="293"/>
      <c r="BC318" s="293"/>
      <c r="BD318" s="293"/>
      <c r="BE318" s="293"/>
      <c r="BF318" s="293"/>
      <c r="BG318" s="293"/>
      <c r="BH318" s="293"/>
      <c r="BI318" s="293"/>
      <c r="BJ318" s="293"/>
      <c r="BK318" s="293"/>
      <c r="BL318" s="293"/>
      <c r="BM318" s="293"/>
      <c r="BN318" s="293"/>
      <c r="BO318" s="293"/>
      <c r="BP318" s="293"/>
      <c r="BQ318" s="293"/>
      <c r="BR318" s="293"/>
      <c r="BS318" s="293"/>
      <c r="BT318" s="293"/>
      <c r="BU318" s="293"/>
      <c r="BV318" s="293"/>
      <c r="BW318" s="293"/>
      <c r="BX318" s="293"/>
      <c r="BY318" s="293"/>
      <c r="BZ318" s="293"/>
      <c r="CA318" s="285"/>
      <c r="CB318" s="286"/>
      <c r="CC318" s="286"/>
      <c r="CD318" s="286"/>
      <c r="CE318" s="286"/>
      <c r="CF318" s="286"/>
      <c r="CG318" s="286"/>
      <c r="CH318" s="286"/>
      <c r="CI318" s="286"/>
      <c r="CJ318" s="286"/>
      <c r="CK318" s="286"/>
      <c r="CL318" s="286"/>
      <c r="CM318" s="286"/>
      <c r="CN318" s="286"/>
      <c r="CO318" s="286"/>
      <c r="CP318" s="286"/>
      <c r="CQ318" s="286"/>
      <c r="CR318" s="286"/>
      <c r="CS318" s="286"/>
      <c r="CT318" s="286"/>
      <c r="CU318" s="286"/>
      <c r="CV318" s="286"/>
      <c r="CW318" s="286"/>
      <c r="CX318" s="286"/>
      <c r="CY318" s="286"/>
      <c r="CZ318" s="286"/>
      <c r="DA318" s="286"/>
      <c r="DB318" s="286"/>
      <c r="DC318" s="286"/>
      <c r="DD318" s="286"/>
      <c r="DE318" s="286"/>
      <c r="DF318" s="286"/>
      <c r="DG318" s="286"/>
      <c r="DH318" s="286"/>
      <c r="DI318" s="286"/>
      <c r="DJ318" s="286"/>
      <c r="DK318" s="286"/>
      <c r="DL318" s="286"/>
      <c r="DM318" s="286"/>
      <c r="DN318" s="286"/>
      <c r="DO318" s="286"/>
      <c r="DP318" s="286"/>
      <c r="DR318" s="58" t="str">
        <f>IF(ISNUMBER(MATCH(#REF!,'Audit Characteristic Mapping'!$B$3:$B$500,0)),"Y","")</f>
        <v/>
      </c>
      <c r="DS318" s="58" t="str">
        <f>IF(ISNUMBER(MATCH(#REF!,'Audit Characteristic Mapping'!$C$3:$C$500,0)),"Y","")</f>
        <v/>
      </c>
      <c r="DT318" s="58" t="str">
        <f>IF(ISNUMBER(MATCH(#REF!,'Audit Characteristic Mapping'!$D$3:$D$500,0)),"Y","")</f>
        <v/>
      </c>
      <c r="DU318" s="58" t="str">
        <f>IF(ISNUMBER(MATCH(#REF!,'Audit Characteristic Mapping'!$E$3:$E$500,0)),"Y","")</f>
        <v/>
      </c>
      <c r="DV318" s="58" t="str">
        <f>IF(ISNUMBER(MATCH(#REF!,'Audit Characteristic Mapping'!$F$3:$F$500,0)),"Y","")</f>
        <v/>
      </c>
      <c r="DW318" s="58" t="str">
        <f>IF(ISNUMBER(MATCH(#REF!,'Audit Characteristic Mapping'!$G$3:$G$500,0)),"Y","")</f>
        <v/>
      </c>
      <c r="DX318" s="58" t="str">
        <f>IF(ISNUMBER(MATCH(#REF!,'Audit Characteristic Mapping'!$H$3:$H$500,0)),"Y","")</f>
        <v/>
      </c>
      <c r="DY318" s="58" t="str">
        <f>IF(ISNUMBER(MATCH(#REF!,'Audit Characteristic Mapping'!$I$3:$I$500,0)),"Y","")</f>
        <v/>
      </c>
      <c r="DZ318" s="58" t="str">
        <f>IF(ISNUMBER(MATCH(#REF!,'Audit Characteristic Mapping'!$J$3:$J$500,0)),"Y","")</f>
        <v/>
      </c>
      <c r="EA318" s="58" t="str">
        <f>IF(ISNUMBER(MATCH(#REF!,'Audit Characteristic Mapping'!$K$3:$K$500,0)),"Y","")</f>
        <v/>
      </c>
    </row>
    <row r="319" spans="1:131" ht="16" hidden="1" x14ac:dyDescent="0.2">
      <c r="A319" s="288">
        <v>310</v>
      </c>
      <c r="B319" s="287" t="s">
        <v>450</v>
      </c>
      <c r="C319" s="226" t="s">
        <v>459</v>
      </c>
      <c r="D319" s="170">
        <v>9</v>
      </c>
      <c r="E319" s="288">
        <v>64</v>
      </c>
      <c r="F319" s="291" t="str">
        <f>VLOOKUP(Calculation!A319,'Descriptor maps'!$A$2:$F$1658,2,0)</f>
        <v>Management</v>
      </c>
      <c r="G319" s="296"/>
      <c r="H319" s="290"/>
      <c r="I319" s="291"/>
      <c r="J319" s="292" t="e" cm="1">
        <f t="array" ref="J319">INDEX('Descriptor maps'!$I$2:$I$1658,MATCH(1,('Descriptor maps'!$A$2:$A$1658=Calculation!$A319)*('Descriptor maps'!$G$2:$G$1658=Calculation!$G319),0))</f>
        <v>#N/A</v>
      </c>
      <c r="K319" s="226"/>
      <c r="L319" s="293"/>
      <c r="M319" s="293"/>
      <c r="N319" s="293"/>
      <c r="O319" s="293"/>
      <c r="P319" s="293"/>
      <c r="Q319" s="293"/>
      <c r="R319" s="293"/>
      <c r="S319" s="293"/>
      <c r="T319" s="293"/>
      <c r="U319" s="293"/>
      <c r="V319" s="293"/>
      <c r="W319" s="293"/>
      <c r="X319" s="293"/>
      <c r="Y319" s="293"/>
      <c r="Z319" s="293"/>
      <c r="AA319" s="293"/>
      <c r="AB319" s="293"/>
      <c r="AC319" s="293"/>
      <c r="AD319" s="293"/>
      <c r="AE319" s="293"/>
      <c r="AF319" s="293"/>
      <c r="AG319" s="293"/>
      <c r="AH319" s="293"/>
      <c r="AI319" s="293"/>
      <c r="AJ319" s="293"/>
      <c r="AK319" s="293"/>
      <c r="AL319" s="293"/>
      <c r="AM319" s="293"/>
      <c r="AN319" s="293"/>
      <c r="AO319" s="293"/>
      <c r="AP319" s="293"/>
      <c r="AQ319" s="293"/>
      <c r="AR319" s="293"/>
      <c r="AS319" s="293"/>
      <c r="AT319" s="293"/>
      <c r="AU319" s="293"/>
      <c r="AV319" s="293"/>
      <c r="AW319" s="293"/>
      <c r="AX319" s="293"/>
      <c r="AY319" s="293"/>
      <c r="AZ319" s="293"/>
      <c r="BA319" s="293"/>
      <c r="BB319" s="293"/>
      <c r="BC319" s="293"/>
      <c r="BD319" s="293"/>
      <c r="BE319" s="293"/>
      <c r="BF319" s="293"/>
      <c r="BG319" s="293"/>
      <c r="BH319" s="293"/>
      <c r="BI319" s="293"/>
      <c r="BJ319" s="293"/>
      <c r="BK319" s="293"/>
      <c r="BL319" s="293"/>
      <c r="BM319" s="293"/>
      <c r="BN319" s="293"/>
      <c r="BO319" s="293"/>
      <c r="BP319" s="293"/>
      <c r="BQ319" s="293"/>
      <c r="BR319" s="293"/>
      <c r="BS319" s="293"/>
      <c r="BT319" s="293"/>
      <c r="BU319" s="293"/>
      <c r="BV319" s="293"/>
      <c r="BW319" s="293"/>
      <c r="BX319" s="293"/>
      <c r="BY319" s="293"/>
      <c r="BZ319" s="293"/>
      <c r="CA319" s="285"/>
      <c r="CB319" s="286"/>
      <c r="CC319" s="286"/>
      <c r="CD319" s="286"/>
      <c r="CE319" s="286"/>
      <c r="CF319" s="286"/>
      <c r="CG319" s="286"/>
      <c r="CH319" s="286"/>
      <c r="CI319" s="286"/>
      <c r="CJ319" s="286"/>
      <c r="CK319" s="286"/>
      <c r="CL319" s="286"/>
      <c r="CM319" s="286"/>
      <c r="CN319" s="286"/>
      <c r="CO319" s="286"/>
      <c r="CP319" s="286"/>
      <c r="CQ319" s="286"/>
      <c r="CR319" s="286"/>
      <c r="CS319" s="286"/>
      <c r="CT319" s="286"/>
      <c r="CU319" s="286"/>
      <c r="CV319" s="286"/>
      <c r="CW319" s="286"/>
      <c r="CX319" s="286"/>
      <c r="CY319" s="286"/>
      <c r="CZ319" s="286"/>
      <c r="DA319" s="286"/>
      <c r="DB319" s="286"/>
      <c r="DC319" s="286"/>
      <c r="DD319" s="286"/>
      <c r="DE319" s="286"/>
      <c r="DF319" s="286"/>
      <c r="DG319" s="286"/>
      <c r="DH319" s="286"/>
      <c r="DI319" s="286"/>
      <c r="DJ319" s="286"/>
      <c r="DK319" s="286"/>
      <c r="DL319" s="286"/>
      <c r="DM319" s="286"/>
      <c r="DN319" s="286"/>
      <c r="DO319" s="286"/>
      <c r="DP319" s="286"/>
      <c r="DR319" s="58" t="str">
        <f>IF(ISNUMBER(MATCH(#REF!,'Audit Characteristic Mapping'!$B$3:$B$500,0)),"Y","")</f>
        <v/>
      </c>
      <c r="DS319" s="58" t="str">
        <f>IF(ISNUMBER(MATCH(#REF!,'Audit Characteristic Mapping'!$C$3:$C$500,0)),"Y","")</f>
        <v/>
      </c>
      <c r="DT319" s="58" t="str">
        <f>IF(ISNUMBER(MATCH(#REF!,'Audit Characteristic Mapping'!$D$3:$D$500,0)),"Y","")</f>
        <v/>
      </c>
      <c r="DU319" s="58" t="str">
        <f>IF(ISNUMBER(MATCH(#REF!,'Audit Characteristic Mapping'!$E$3:$E$500,0)),"Y","")</f>
        <v/>
      </c>
      <c r="DV319" s="58" t="str">
        <f>IF(ISNUMBER(MATCH(#REF!,'Audit Characteristic Mapping'!$F$3:$F$500,0)),"Y","")</f>
        <v/>
      </c>
      <c r="DW319" s="58" t="str">
        <f>IF(ISNUMBER(MATCH(#REF!,'Audit Characteristic Mapping'!$G$3:$G$500,0)),"Y","")</f>
        <v/>
      </c>
      <c r="DX319" s="58" t="str">
        <f>IF(ISNUMBER(MATCH(#REF!,'Audit Characteristic Mapping'!$H$3:$H$500,0)),"Y","")</f>
        <v/>
      </c>
      <c r="DY319" s="58" t="str">
        <f>IF(ISNUMBER(MATCH(#REF!,'Audit Characteristic Mapping'!$I$3:$I$500,0)),"Y","")</f>
        <v/>
      </c>
      <c r="DZ319" s="58" t="str">
        <f>IF(ISNUMBER(MATCH(#REF!,'Audit Characteristic Mapping'!$J$3:$J$500,0)),"Y","")</f>
        <v/>
      </c>
      <c r="EA319" s="58" t="str">
        <f>IF(ISNUMBER(MATCH(#REF!,'Audit Characteristic Mapping'!$K$3:$K$500,0)),"Y","")</f>
        <v/>
      </c>
    </row>
    <row r="320" spans="1:131" ht="16" hidden="1" x14ac:dyDescent="0.2">
      <c r="A320" s="288">
        <v>311</v>
      </c>
      <c r="B320" s="287" t="s">
        <v>450</v>
      </c>
      <c r="C320" s="226" t="s">
        <v>459</v>
      </c>
      <c r="D320" s="170">
        <v>9</v>
      </c>
      <c r="E320" s="288">
        <v>64</v>
      </c>
      <c r="F320" s="291" t="str">
        <f>VLOOKUP(Calculation!A320,'Descriptor maps'!$A$2:$F$1658,2,0)</f>
        <v>Management</v>
      </c>
      <c r="G320" s="296"/>
      <c r="H320" s="290"/>
      <c r="I320" s="291"/>
      <c r="J320" s="292" t="e" cm="1">
        <f t="array" ref="J320">INDEX('Descriptor maps'!$I$2:$I$1658,MATCH(1,('Descriptor maps'!$A$2:$A$1658=Calculation!$A320)*('Descriptor maps'!$G$2:$G$1658=Calculation!$G320),0))</f>
        <v>#N/A</v>
      </c>
      <c r="K320" s="226"/>
      <c r="L320" s="293"/>
      <c r="M320" s="293"/>
      <c r="N320" s="293"/>
      <c r="O320" s="293"/>
      <c r="P320" s="293"/>
      <c r="Q320" s="293"/>
      <c r="R320" s="293"/>
      <c r="S320" s="293"/>
      <c r="T320" s="293"/>
      <c r="U320" s="293"/>
      <c r="V320" s="293"/>
      <c r="W320" s="293"/>
      <c r="X320" s="293"/>
      <c r="Y320" s="293"/>
      <c r="Z320" s="293"/>
      <c r="AA320" s="293"/>
      <c r="AB320" s="293"/>
      <c r="AC320" s="293"/>
      <c r="AD320" s="293"/>
      <c r="AE320" s="293"/>
      <c r="AF320" s="293"/>
      <c r="AG320" s="293"/>
      <c r="AH320" s="293"/>
      <c r="AI320" s="293"/>
      <c r="AJ320" s="293"/>
      <c r="AK320" s="293"/>
      <c r="AL320" s="293"/>
      <c r="AM320" s="293"/>
      <c r="AN320" s="293"/>
      <c r="AO320" s="293"/>
      <c r="AP320" s="293"/>
      <c r="AQ320" s="293"/>
      <c r="AR320" s="293"/>
      <c r="AS320" s="293"/>
      <c r="AT320" s="293"/>
      <c r="AU320" s="293"/>
      <c r="AV320" s="293"/>
      <c r="AW320" s="293"/>
      <c r="AX320" s="293"/>
      <c r="AY320" s="293"/>
      <c r="AZ320" s="293"/>
      <c r="BA320" s="293"/>
      <c r="BB320" s="293"/>
      <c r="BC320" s="293"/>
      <c r="BD320" s="293"/>
      <c r="BE320" s="293"/>
      <c r="BF320" s="293"/>
      <c r="BG320" s="293"/>
      <c r="BH320" s="293"/>
      <c r="BI320" s="293"/>
      <c r="BJ320" s="293"/>
      <c r="BK320" s="293"/>
      <c r="BL320" s="293"/>
      <c r="BM320" s="293"/>
      <c r="BN320" s="293"/>
      <c r="BO320" s="293"/>
      <c r="BP320" s="293"/>
      <c r="BQ320" s="293"/>
      <c r="BR320" s="293"/>
      <c r="BS320" s="293"/>
      <c r="BT320" s="293"/>
      <c r="BU320" s="293"/>
      <c r="BV320" s="293"/>
      <c r="BW320" s="293"/>
      <c r="BX320" s="293"/>
      <c r="BY320" s="293"/>
      <c r="BZ320" s="293"/>
      <c r="CA320" s="285"/>
      <c r="CB320" s="286"/>
      <c r="CC320" s="286"/>
      <c r="CD320" s="286"/>
      <c r="CE320" s="286"/>
      <c r="CF320" s="286"/>
      <c r="CG320" s="286"/>
      <c r="CH320" s="286"/>
      <c r="CI320" s="286"/>
      <c r="CJ320" s="286"/>
      <c r="CK320" s="286"/>
      <c r="CL320" s="286"/>
      <c r="CM320" s="286"/>
      <c r="CN320" s="286"/>
      <c r="CO320" s="286"/>
      <c r="CP320" s="286"/>
      <c r="CQ320" s="286"/>
      <c r="CR320" s="286"/>
      <c r="CS320" s="286"/>
      <c r="CT320" s="286"/>
      <c r="CU320" s="286"/>
      <c r="CV320" s="286"/>
      <c r="CW320" s="286"/>
      <c r="CX320" s="286"/>
      <c r="CY320" s="286"/>
      <c r="CZ320" s="286"/>
      <c r="DA320" s="286"/>
      <c r="DB320" s="286"/>
      <c r="DC320" s="286"/>
      <c r="DD320" s="286"/>
      <c r="DE320" s="286"/>
      <c r="DF320" s="286"/>
      <c r="DG320" s="286"/>
      <c r="DH320" s="286"/>
      <c r="DI320" s="286"/>
      <c r="DJ320" s="286"/>
      <c r="DK320" s="286"/>
      <c r="DL320" s="286"/>
      <c r="DM320" s="286"/>
      <c r="DN320" s="286"/>
      <c r="DO320" s="286"/>
      <c r="DP320" s="286"/>
      <c r="DR320" s="58" t="str">
        <f>IF(ISNUMBER(MATCH(#REF!,'Audit Characteristic Mapping'!$B$3:$B$500,0)),"Y","")</f>
        <v/>
      </c>
      <c r="DS320" s="58" t="str">
        <f>IF(ISNUMBER(MATCH(#REF!,'Audit Characteristic Mapping'!$C$3:$C$500,0)),"Y","")</f>
        <v/>
      </c>
      <c r="DT320" s="58" t="str">
        <f>IF(ISNUMBER(MATCH(#REF!,'Audit Characteristic Mapping'!$D$3:$D$500,0)),"Y","")</f>
        <v/>
      </c>
      <c r="DU320" s="58" t="str">
        <f>IF(ISNUMBER(MATCH(#REF!,'Audit Characteristic Mapping'!$E$3:$E$500,0)),"Y","")</f>
        <v/>
      </c>
      <c r="DV320" s="58" t="str">
        <f>IF(ISNUMBER(MATCH(#REF!,'Audit Characteristic Mapping'!$F$3:$F$500,0)),"Y","")</f>
        <v/>
      </c>
      <c r="DW320" s="58" t="str">
        <f>IF(ISNUMBER(MATCH(#REF!,'Audit Characteristic Mapping'!$G$3:$G$500,0)),"Y","")</f>
        <v/>
      </c>
      <c r="DX320" s="58" t="str">
        <f>IF(ISNUMBER(MATCH(#REF!,'Audit Characteristic Mapping'!$H$3:$H$500,0)),"Y","")</f>
        <v/>
      </c>
      <c r="DY320" s="58" t="str">
        <f>IF(ISNUMBER(MATCH(#REF!,'Audit Characteristic Mapping'!$I$3:$I$500,0)),"Y","")</f>
        <v/>
      </c>
      <c r="DZ320" s="58" t="str">
        <f>IF(ISNUMBER(MATCH(#REF!,'Audit Characteristic Mapping'!$J$3:$J$500,0)),"Y","")</f>
        <v/>
      </c>
      <c r="EA320" s="58" t="str">
        <f>IF(ISNUMBER(MATCH(#REF!,'Audit Characteristic Mapping'!$K$3:$K$500,0)),"Y","")</f>
        <v/>
      </c>
    </row>
    <row r="321" spans="1:131" ht="16" hidden="1" x14ac:dyDescent="0.2">
      <c r="A321" s="288">
        <v>312</v>
      </c>
      <c r="B321" s="287" t="s">
        <v>450</v>
      </c>
      <c r="C321" s="226" t="s">
        <v>459</v>
      </c>
      <c r="D321" s="170">
        <v>9</v>
      </c>
      <c r="E321" s="288">
        <v>64</v>
      </c>
      <c r="F321" s="291" t="str">
        <f>VLOOKUP(Calculation!A321,'Descriptor maps'!$A$2:$F$1658,2,0)</f>
        <v>Management</v>
      </c>
      <c r="G321" s="296"/>
      <c r="H321" s="290"/>
      <c r="I321" s="291"/>
      <c r="J321" s="292" t="e" cm="1">
        <f t="array" ref="J321">INDEX('Descriptor maps'!$I$2:$I$1658,MATCH(1,('Descriptor maps'!$A$2:$A$1658=Calculation!$A321)*('Descriptor maps'!$G$2:$G$1658=Calculation!$G321),0))</f>
        <v>#N/A</v>
      </c>
      <c r="K321" s="226"/>
      <c r="L321" s="293"/>
      <c r="M321" s="293"/>
      <c r="N321" s="293"/>
      <c r="O321" s="293"/>
      <c r="P321" s="293"/>
      <c r="Q321" s="293"/>
      <c r="R321" s="293"/>
      <c r="S321" s="293"/>
      <c r="T321" s="293"/>
      <c r="U321" s="293"/>
      <c r="V321" s="293"/>
      <c r="W321" s="293"/>
      <c r="X321" s="293"/>
      <c r="Y321" s="293"/>
      <c r="Z321" s="293"/>
      <c r="AA321" s="293"/>
      <c r="AB321" s="293"/>
      <c r="AC321" s="293"/>
      <c r="AD321" s="293"/>
      <c r="AE321" s="293"/>
      <c r="AF321" s="293"/>
      <c r="AG321" s="293"/>
      <c r="AH321" s="293"/>
      <c r="AI321" s="293"/>
      <c r="AJ321" s="293"/>
      <c r="AK321" s="293"/>
      <c r="AL321" s="293"/>
      <c r="AM321" s="293"/>
      <c r="AN321" s="293"/>
      <c r="AO321" s="293"/>
      <c r="AP321" s="293"/>
      <c r="AQ321" s="293"/>
      <c r="AR321" s="293"/>
      <c r="AS321" s="293"/>
      <c r="AT321" s="293"/>
      <c r="AU321" s="293"/>
      <c r="AV321" s="293"/>
      <c r="AW321" s="293"/>
      <c r="AX321" s="293"/>
      <c r="AY321" s="293"/>
      <c r="AZ321" s="293"/>
      <c r="BA321" s="293"/>
      <c r="BB321" s="293"/>
      <c r="BC321" s="293"/>
      <c r="BD321" s="293"/>
      <c r="BE321" s="293"/>
      <c r="BF321" s="293"/>
      <c r="BG321" s="293"/>
      <c r="BH321" s="293"/>
      <c r="BI321" s="293"/>
      <c r="BJ321" s="293"/>
      <c r="BK321" s="293"/>
      <c r="BL321" s="293"/>
      <c r="BM321" s="293"/>
      <c r="BN321" s="293"/>
      <c r="BO321" s="293"/>
      <c r="BP321" s="293"/>
      <c r="BQ321" s="293"/>
      <c r="BR321" s="293"/>
      <c r="BS321" s="293"/>
      <c r="BT321" s="293"/>
      <c r="BU321" s="293"/>
      <c r="BV321" s="293"/>
      <c r="BW321" s="293"/>
      <c r="BX321" s="293"/>
      <c r="BY321" s="293"/>
      <c r="BZ321" s="293"/>
      <c r="CA321" s="285"/>
      <c r="CB321" s="286"/>
      <c r="CC321" s="286"/>
      <c r="CD321" s="286"/>
      <c r="CE321" s="286"/>
      <c r="CF321" s="286"/>
      <c r="CG321" s="286"/>
      <c r="CH321" s="286"/>
      <c r="CI321" s="286"/>
      <c r="CJ321" s="286"/>
      <c r="CK321" s="286"/>
      <c r="CL321" s="286"/>
      <c r="CM321" s="286"/>
      <c r="CN321" s="286"/>
      <c r="CO321" s="286"/>
      <c r="CP321" s="286"/>
      <c r="CQ321" s="286"/>
      <c r="CR321" s="286"/>
      <c r="CS321" s="286"/>
      <c r="CT321" s="286"/>
      <c r="CU321" s="286"/>
      <c r="CV321" s="286"/>
      <c r="CW321" s="286"/>
      <c r="CX321" s="286"/>
      <c r="CY321" s="286"/>
      <c r="CZ321" s="286"/>
      <c r="DA321" s="286"/>
      <c r="DB321" s="286"/>
      <c r="DC321" s="286"/>
      <c r="DD321" s="286"/>
      <c r="DE321" s="286"/>
      <c r="DF321" s="286"/>
      <c r="DG321" s="286"/>
      <c r="DH321" s="286"/>
      <c r="DI321" s="286"/>
      <c r="DJ321" s="286"/>
      <c r="DK321" s="286"/>
      <c r="DL321" s="286"/>
      <c r="DM321" s="286"/>
      <c r="DN321" s="286"/>
      <c r="DO321" s="286"/>
      <c r="DP321" s="286"/>
      <c r="DR321" s="58" t="str">
        <f>IF(ISNUMBER(MATCH(#REF!,'Audit Characteristic Mapping'!$B$3:$B$500,0)),"Y","")</f>
        <v/>
      </c>
      <c r="DS321" s="58" t="str">
        <f>IF(ISNUMBER(MATCH(#REF!,'Audit Characteristic Mapping'!$C$3:$C$500,0)),"Y","")</f>
        <v/>
      </c>
      <c r="DT321" s="58" t="str">
        <f>IF(ISNUMBER(MATCH(#REF!,'Audit Characteristic Mapping'!$D$3:$D$500,0)),"Y","")</f>
        <v/>
      </c>
      <c r="DU321" s="58" t="str">
        <f>IF(ISNUMBER(MATCH(#REF!,'Audit Characteristic Mapping'!$E$3:$E$500,0)),"Y","")</f>
        <v/>
      </c>
      <c r="DV321" s="58" t="str">
        <f>IF(ISNUMBER(MATCH(#REF!,'Audit Characteristic Mapping'!$F$3:$F$500,0)),"Y","")</f>
        <v/>
      </c>
      <c r="DW321" s="58" t="str">
        <f>IF(ISNUMBER(MATCH(#REF!,'Audit Characteristic Mapping'!$G$3:$G$500,0)),"Y","")</f>
        <v/>
      </c>
      <c r="DX321" s="58" t="str">
        <f>IF(ISNUMBER(MATCH(#REF!,'Audit Characteristic Mapping'!$H$3:$H$500,0)),"Y","")</f>
        <v/>
      </c>
      <c r="DY321" s="58" t="str">
        <f>IF(ISNUMBER(MATCH(#REF!,'Audit Characteristic Mapping'!$I$3:$I$500,0)),"Y","")</f>
        <v/>
      </c>
      <c r="DZ321" s="58" t="str">
        <f>IF(ISNUMBER(MATCH(#REF!,'Audit Characteristic Mapping'!$J$3:$J$500,0)),"Y","")</f>
        <v/>
      </c>
      <c r="EA321" s="58" t="str">
        <f>IF(ISNUMBER(MATCH(#REF!,'Audit Characteristic Mapping'!$K$3:$K$500,0)),"Y","")</f>
        <v/>
      </c>
    </row>
    <row r="322" spans="1:131" ht="16" hidden="1" x14ac:dyDescent="0.2">
      <c r="A322" s="288">
        <v>313</v>
      </c>
      <c r="B322" s="287" t="s">
        <v>450</v>
      </c>
      <c r="C322" s="226" t="s">
        <v>462</v>
      </c>
      <c r="D322" s="170">
        <v>9</v>
      </c>
      <c r="E322" s="288">
        <v>65</v>
      </c>
      <c r="F322" s="291" t="str">
        <f>VLOOKUP(Calculation!A322,'Descriptor maps'!$A$2:$F$1658,2,0)</f>
        <v>Management</v>
      </c>
      <c r="G322" s="296"/>
      <c r="H322" s="290"/>
      <c r="I322" s="291"/>
      <c r="J322" s="292" t="e" cm="1">
        <f t="array" ref="J322">INDEX('Descriptor maps'!$I$2:$I$1658,MATCH(1,('Descriptor maps'!$A$2:$A$1658=Calculation!$A322)*('Descriptor maps'!$G$2:$G$1658=Calculation!$G322),0))</f>
        <v>#N/A</v>
      </c>
      <c r="K322" s="226"/>
      <c r="L322" s="293"/>
      <c r="M322" s="293"/>
      <c r="N322" s="293"/>
      <c r="O322" s="293"/>
      <c r="P322" s="293"/>
      <c r="Q322" s="293"/>
      <c r="R322" s="293"/>
      <c r="S322" s="293"/>
      <c r="T322" s="293"/>
      <c r="U322" s="293"/>
      <c r="V322" s="293"/>
      <c r="W322" s="293"/>
      <c r="X322" s="293"/>
      <c r="Y322" s="293"/>
      <c r="Z322" s="293"/>
      <c r="AA322" s="293"/>
      <c r="AB322" s="293"/>
      <c r="AC322" s="293"/>
      <c r="AD322" s="293"/>
      <c r="AE322" s="293"/>
      <c r="AF322" s="293"/>
      <c r="AG322" s="293"/>
      <c r="AH322" s="293"/>
      <c r="AI322" s="293"/>
      <c r="AJ322" s="293"/>
      <c r="AK322" s="293"/>
      <c r="AL322" s="293"/>
      <c r="AM322" s="293"/>
      <c r="AN322" s="293"/>
      <c r="AO322" s="293"/>
      <c r="AP322" s="293"/>
      <c r="AQ322" s="293"/>
      <c r="AR322" s="293"/>
      <c r="AS322" s="293"/>
      <c r="AT322" s="293"/>
      <c r="AU322" s="293"/>
      <c r="AV322" s="293"/>
      <c r="AW322" s="293"/>
      <c r="AX322" s="293"/>
      <c r="AY322" s="293"/>
      <c r="AZ322" s="293"/>
      <c r="BA322" s="293"/>
      <c r="BB322" s="293"/>
      <c r="BC322" s="293"/>
      <c r="BD322" s="293"/>
      <c r="BE322" s="293"/>
      <c r="BF322" s="293"/>
      <c r="BG322" s="293"/>
      <c r="BH322" s="293"/>
      <c r="BI322" s="293"/>
      <c r="BJ322" s="293"/>
      <c r="BK322" s="293"/>
      <c r="BL322" s="293"/>
      <c r="BM322" s="293"/>
      <c r="BN322" s="293"/>
      <c r="BO322" s="293"/>
      <c r="BP322" s="293"/>
      <c r="BQ322" s="293"/>
      <c r="BR322" s="293"/>
      <c r="BS322" s="293"/>
      <c r="BT322" s="293"/>
      <c r="BU322" s="293"/>
      <c r="BV322" s="293"/>
      <c r="BW322" s="293"/>
      <c r="BX322" s="293"/>
      <c r="BY322" s="293"/>
      <c r="BZ322" s="293"/>
      <c r="CA322" s="285"/>
      <c r="CB322" s="286"/>
      <c r="CC322" s="286"/>
      <c r="CD322" s="286"/>
      <c r="CE322" s="286"/>
      <c r="CF322" s="286"/>
      <c r="CG322" s="286"/>
      <c r="CH322" s="286"/>
      <c r="CI322" s="286"/>
      <c r="CJ322" s="286"/>
      <c r="CK322" s="286"/>
      <c r="CL322" s="286"/>
      <c r="CM322" s="286"/>
      <c r="CN322" s="286"/>
      <c r="CO322" s="286"/>
      <c r="CP322" s="286"/>
      <c r="CQ322" s="286"/>
      <c r="CR322" s="286"/>
      <c r="CS322" s="286"/>
      <c r="CT322" s="286"/>
      <c r="CU322" s="286"/>
      <c r="CV322" s="286"/>
      <c r="CW322" s="286"/>
      <c r="CX322" s="286"/>
      <c r="CY322" s="286"/>
      <c r="CZ322" s="286"/>
      <c r="DA322" s="286"/>
      <c r="DB322" s="286"/>
      <c r="DC322" s="286"/>
      <c r="DD322" s="286"/>
      <c r="DE322" s="286"/>
      <c r="DF322" s="286"/>
      <c r="DG322" s="286"/>
      <c r="DH322" s="286"/>
      <c r="DI322" s="286"/>
      <c r="DJ322" s="286"/>
      <c r="DK322" s="286"/>
      <c r="DL322" s="286"/>
      <c r="DM322" s="286"/>
      <c r="DN322" s="286"/>
      <c r="DO322" s="286"/>
      <c r="DP322" s="286"/>
      <c r="DR322" s="58" t="str">
        <f>IF(ISNUMBER(MATCH(#REF!,'Audit Characteristic Mapping'!$B$3:$B$500,0)),"Y","")</f>
        <v/>
      </c>
      <c r="DS322" s="58" t="str">
        <f>IF(ISNUMBER(MATCH(#REF!,'Audit Characteristic Mapping'!$C$3:$C$500,0)),"Y","")</f>
        <v/>
      </c>
      <c r="DT322" s="58" t="str">
        <f>IF(ISNUMBER(MATCH(#REF!,'Audit Characteristic Mapping'!$D$3:$D$500,0)),"Y","")</f>
        <v/>
      </c>
      <c r="DU322" s="58" t="str">
        <f>IF(ISNUMBER(MATCH(#REF!,'Audit Characteristic Mapping'!$E$3:$E$500,0)),"Y","")</f>
        <v/>
      </c>
      <c r="DV322" s="58" t="str">
        <f>IF(ISNUMBER(MATCH(#REF!,'Audit Characteristic Mapping'!$F$3:$F$500,0)),"Y","")</f>
        <v/>
      </c>
      <c r="DW322" s="58" t="str">
        <f>IF(ISNUMBER(MATCH(#REF!,'Audit Characteristic Mapping'!$G$3:$G$500,0)),"Y","")</f>
        <v/>
      </c>
      <c r="DX322" s="58" t="str">
        <f>IF(ISNUMBER(MATCH(#REF!,'Audit Characteristic Mapping'!$H$3:$H$500,0)),"Y","")</f>
        <v/>
      </c>
      <c r="DY322" s="58" t="str">
        <f>IF(ISNUMBER(MATCH(#REF!,'Audit Characteristic Mapping'!$I$3:$I$500,0)),"Y","")</f>
        <v/>
      </c>
      <c r="DZ322" s="58" t="str">
        <f>IF(ISNUMBER(MATCH(#REF!,'Audit Characteristic Mapping'!$J$3:$J$500,0)),"Y","")</f>
        <v/>
      </c>
      <c r="EA322" s="58" t="str">
        <f>IF(ISNUMBER(MATCH(#REF!,'Audit Characteristic Mapping'!$K$3:$K$500,0)),"Y","")</f>
        <v/>
      </c>
    </row>
    <row r="323" spans="1:131" ht="16" hidden="1" x14ac:dyDescent="0.2">
      <c r="A323" s="288">
        <v>314</v>
      </c>
      <c r="B323" s="287" t="s">
        <v>450</v>
      </c>
      <c r="C323" s="226" t="s">
        <v>462</v>
      </c>
      <c r="D323" s="170">
        <v>9</v>
      </c>
      <c r="E323" s="288">
        <v>65</v>
      </c>
      <c r="F323" s="291" t="str">
        <f>VLOOKUP(Calculation!A323,'Descriptor maps'!$A$2:$F$1658,2,0)</f>
        <v>Management</v>
      </c>
      <c r="G323" s="296"/>
      <c r="H323" s="290"/>
      <c r="I323" s="291"/>
      <c r="J323" s="292" t="e" cm="1">
        <f t="array" ref="J323">INDEX('Descriptor maps'!$I$2:$I$1658,MATCH(1,('Descriptor maps'!$A$2:$A$1658=Calculation!$A323)*('Descriptor maps'!$G$2:$G$1658=Calculation!$G323),0))</f>
        <v>#N/A</v>
      </c>
      <c r="K323" s="226"/>
      <c r="L323" s="293"/>
      <c r="M323" s="293"/>
      <c r="N323" s="293"/>
      <c r="O323" s="293"/>
      <c r="P323" s="293"/>
      <c r="Q323" s="293"/>
      <c r="R323" s="293"/>
      <c r="S323" s="293"/>
      <c r="T323" s="293"/>
      <c r="U323" s="293"/>
      <c r="V323" s="293"/>
      <c r="W323" s="293"/>
      <c r="X323" s="293"/>
      <c r="Y323" s="293"/>
      <c r="Z323" s="293"/>
      <c r="AA323" s="293"/>
      <c r="AB323" s="293"/>
      <c r="AC323" s="293"/>
      <c r="AD323" s="293"/>
      <c r="AE323" s="293"/>
      <c r="AF323" s="293"/>
      <c r="AG323" s="293"/>
      <c r="AH323" s="293"/>
      <c r="AI323" s="293"/>
      <c r="AJ323" s="293"/>
      <c r="AK323" s="293"/>
      <c r="AL323" s="293"/>
      <c r="AM323" s="293"/>
      <c r="AN323" s="293"/>
      <c r="AO323" s="293"/>
      <c r="AP323" s="293"/>
      <c r="AQ323" s="293"/>
      <c r="AR323" s="293"/>
      <c r="AS323" s="293"/>
      <c r="AT323" s="293"/>
      <c r="AU323" s="293"/>
      <c r="AV323" s="293"/>
      <c r="AW323" s="293"/>
      <c r="AX323" s="293"/>
      <c r="AY323" s="293"/>
      <c r="AZ323" s="293"/>
      <c r="BA323" s="293"/>
      <c r="BB323" s="293"/>
      <c r="BC323" s="293"/>
      <c r="BD323" s="293"/>
      <c r="BE323" s="293"/>
      <c r="BF323" s="293"/>
      <c r="BG323" s="293"/>
      <c r="BH323" s="293"/>
      <c r="BI323" s="293"/>
      <c r="BJ323" s="293"/>
      <c r="BK323" s="293"/>
      <c r="BL323" s="293"/>
      <c r="BM323" s="293"/>
      <c r="BN323" s="293"/>
      <c r="BO323" s="293"/>
      <c r="BP323" s="293"/>
      <c r="BQ323" s="293"/>
      <c r="BR323" s="293"/>
      <c r="BS323" s="293"/>
      <c r="BT323" s="293"/>
      <c r="BU323" s="293"/>
      <c r="BV323" s="293"/>
      <c r="BW323" s="293"/>
      <c r="BX323" s="293"/>
      <c r="BY323" s="293"/>
      <c r="BZ323" s="293"/>
      <c r="CA323" s="285"/>
      <c r="CB323" s="286"/>
      <c r="CC323" s="286"/>
      <c r="CD323" s="286"/>
      <c r="CE323" s="286"/>
      <c r="CF323" s="286"/>
      <c r="CG323" s="286"/>
      <c r="CH323" s="286"/>
      <c r="CI323" s="286"/>
      <c r="CJ323" s="286"/>
      <c r="CK323" s="286"/>
      <c r="CL323" s="286"/>
      <c r="CM323" s="286"/>
      <c r="CN323" s="286"/>
      <c r="CO323" s="286"/>
      <c r="CP323" s="286"/>
      <c r="CQ323" s="286"/>
      <c r="CR323" s="286"/>
      <c r="CS323" s="286"/>
      <c r="CT323" s="286"/>
      <c r="CU323" s="286"/>
      <c r="CV323" s="286"/>
      <c r="CW323" s="286"/>
      <c r="CX323" s="286"/>
      <c r="CY323" s="286"/>
      <c r="CZ323" s="286"/>
      <c r="DA323" s="286"/>
      <c r="DB323" s="286"/>
      <c r="DC323" s="286"/>
      <c r="DD323" s="286"/>
      <c r="DE323" s="286"/>
      <c r="DF323" s="286"/>
      <c r="DG323" s="286"/>
      <c r="DH323" s="286"/>
      <c r="DI323" s="286"/>
      <c r="DJ323" s="286"/>
      <c r="DK323" s="286"/>
      <c r="DL323" s="286"/>
      <c r="DM323" s="286"/>
      <c r="DN323" s="286"/>
      <c r="DO323" s="286"/>
      <c r="DP323" s="286"/>
      <c r="DR323" s="58" t="str">
        <f>IF(ISNUMBER(MATCH(#REF!,'Audit Characteristic Mapping'!$B$3:$B$500,0)),"Y","")</f>
        <v/>
      </c>
      <c r="DS323" s="58" t="str">
        <f>IF(ISNUMBER(MATCH(#REF!,'Audit Characteristic Mapping'!$C$3:$C$500,0)),"Y","")</f>
        <v/>
      </c>
      <c r="DT323" s="58" t="str">
        <f>IF(ISNUMBER(MATCH(#REF!,'Audit Characteristic Mapping'!$D$3:$D$500,0)),"Y","")</f>
        <v/>
      </c>
      <c r="DU323" s="58" t="str">
        <f>IF(ISNUMBER(MATCH(#REF!,'Audit Characteristic Mapping'!$E$3:$E$500,0)),"Y","")</f>
        <v/>
      </c>
      <c r="DV323" s="58" t="str">
        <f>IF(ISNUMBER(MATCH(#REF!,'Audit Characteristic Mapping'!$F$3:$F$500,0)),"Y","")</f>
        <v/>
      </c>
      <c r="DW323" s="58" t="str">
        <f>IF(ISNUMBER(MATCH(#REF!,'Audit Characteristic Mapping'!$G$3:$G$500,0)),"Y","")</f>
        <v/>
      </c>
      <c r="DX323" s="58" t="str">
        <f>IF(ISNUMBER(MATCH(#REF!,'Audit Characteristic Mapping'!$H$3:$H$500,0)),"Y","")</f>
        <v/>
      </c>
      <c r="DY323" s="58" t="str">
        <f>IF(ISNUMBER(MATCH(#REF!,'Audit Characteristic Mapping'!$I$3:$I$500,0)),"Y","")</f>
        <v/>
      </c>
      <c r="DZ323" s="58" t="str">
        <f>IF(ISNUMBER(MATCH(#REF!,'Audit Characteristic Mapping'!$J$3:$J$500,0)),"Y","")</f>
        <v/>
      </c>
      <c r="EA323" s="58" t="str">
        <f>IF(ISNUMBER(MATCH(#REF!,'Audit Characteristic Mapping'!$K$3:$K$500,0)),"Y","")</f>
        <v/>
      </c>
    </row>
    <row r="324" spans="1:131" ht="16" hidden="1" x14ac:dyDescent="0.2">
      <c r="A324" s="288">
        <v>315</v>
      </c>
      <c r="B324" s="287" t="s">
        <v>450</v>
      </c>
      <c r="C324" s="226" t="s">
        <v>462</v>
      </c>
      <c r="D324" s="170">
        <v>9</v>
      </c>
      <c r="E324" s="288">
        <v>65</v>
      </c>
      <c r="F324" s="291" t="str">
        <f>VLOOKUP(Calculation!A324,'Descriptor maps'!$A$2:$F$1658,2,0)</f>
        <v>Management</v>
      </c>
      <c r="G324" s="296"/>
      <c r="H324" s="290"/>
      <c r="I324" s="291"/>
      <c r="J324" s="292" t="e" cm="1">
        <f t="array" ref="J324">INDEX('Descriptor maps'!$I$2:$I$1658,MATCH(1,('Descriptor maps'!$A$2:$A$1658=Calculation!$A324)*('Descriptor maps'!$G$2:$G$1658=Calculation!$G324),0))</f>
        <v>#N/A</v>
      </c>
      <c r="K324" s="226"/>
      <c r="L324" s="293"/>
      <c r="M324" s="293"/>
      <c r="N324" s="293"/>
      <c r="O324" s="293"/>
      <c r="P324" s="293"/>
      <c r="Q324" s="293"/>
      <c r="R324" s="293"/>
      <c r="S324" s="293"/>
      <c r="T324" s="293"/>
      <c r="U324" s="293"/>
      <c r="V324" s="293"/>
      <c r="W324" s="293"/>
      <c r="X324" s="293"/>
      <c r="Y324" s="293"/>
      <c r="Z324" s="293"/>
      <c r="AA324" s="293"/>
      <c r="AB324" s="293"/>
      <c r="AC324" s="293"/>
      <c r="AD324" s="293"/>
      <c r="AE324" s="293"/>
      <c r="AF324" s="293"/>
      <c r="AG324" s="293"/>
      <c r="AH324" s="293"/>
      <c r="AI324" s="293"/>
      <c r="AJ324" s="293"/>
      <c r="AK324" s="293"/>
      <c r="AL324" s="293"/>
      <c r="AM324" s="293"/>
      <c r="AN324" s="293"/>
      <c r="AO324" s="293"/>
      <c r="AP324" s="293"/>
      <c r="AQ324" s="293"/>
      <c r="AR324" s="293"/>
      <c r="AS324" s="293"/>
      <c r="AT324" s="293"/>
      <c r="AU324" s="293"/>
      <c r="AV324" s="293"/>
      <c r="AW324" s="293"/>
      <c r="AX324" s="293"/>
      <c r="AY324" s="293"/>
      <c r="AZ324" s="293"/>
      <c r="BA324" s="293"/>
      <c r="BB324" s="293"/>
      <c r="BC324" s="293"/>
      <c r="BD324" s="293"/>
      <c r="BE324" s="293"/>
      <c r="BF324" s="293"/>
      <c r="BG324" s="293"/>
      <c r="BH324" s="293"/>
      <c r="BI324" s="293"/>
      <c r="BJ324" s="293"/>
      <c r="BK324" s="293"/>
      <c r="BL324" s="293"/>
      <c r="BM324" s="293"/>
      <c r="BN324" s="293"/>
      <c r="BO324" s="293"/>
      <c r="BP324" s="293"/>
      <c r="BQ324" s="293"/>
      <c r="BR324" s="293"/>
      <c r="BS324" s="293"/>
      <c r="BT324" s="293"/>
      <c r="BU324" s="293"/>
      <c r="BV324" s="293"/>
      <c r="BW324" s="293"/>
      <c r="BX324" s="293"/>
      <c r="BY324" s="293"/>
      <c r="BZ324" s="293"/>
      <c r="CA324" s="285"/>
      <c r="CB324" s="286"/>
      <c r="CC324" s="286"/>
      <c r="CD324" s="286"/>
      <c r="CE324" s="286"/>
      <c r="CF324" s="286"/>
      <c r="CG324" s="286"/>
      <c r="CH324" s="286"/>
      <c r="CI324" s="286"/>
      <c r="CJ324" s="286"/>
      <c r="CK324" s="286"/>
      <c r="CL324" s="286"/>
      <c r="CM324" s="286"/>
      <c r="CN324" s="286"/>
      <c r="CO324" s="286"/>
      <c r="CP324" s="286"/>
      <c r="CQ324" s="286"/>
      <c r="CR324" s="286"/>
      <c r="CS324" s="286"/>
      <c r="CT324" s="286"/>
      <c r="CU324" s="286"/>
      <c r="CV324" s="286"/>
      <c r="CW324" s="286"/>
      <c r="CX324" s="286"/>
      <c r="CY324" s="286"/>
      <c r="CZ324" s="286"/>
      <c r="DA324" s="286"/>
      <c r="DB324" s="286"/>
      <c r="DC324" s="286"/>
      <c r="DD324" s="286"/>
      <c r="DE324" s="286"/>
      <c r="DF324" s="286"/>
      <c r="DG324" s="286"/>
      <c r="DH324" s="286"/>
      <c r="DI324" s="286"/>
      <c r="DJ324" s="286"/>
      <c r="DK324" s="286"/>
      <c r="DL324" s="286"/>
      <c r="DM324" s="286"/>
      <c r="DN324" s="286"/>
      <c r="DO324" s="286"/>
      <c r="DP324" s="286"/>
      <c r="DR324" s="58" t="str">
        <f>IF(ISNUMBER(MATCH(#REF!,'Audit Characteristic Mapping'!$B$3:$B$500,0)),"Y","")</f>
        <v/>
      </c>
      <c r="DS324" s="58" t="str">
        <f>IF(ISNUMBER(MATCH(#REF!,'Audit Characteristic Mapping'!$C$3:$C$500,0)),"Y","")</f>
        <v/>
      </c>
      <c r="DT324" s="58" t="str">
        <f>IF(ISNUMBER(MATCH(#REF!,'Audit Characteristic Mapping'!$D$3:$D$500,0)),"Y","")</f>
        <v/>
      </c>
      <c r="DU324" s="58" t="str">
        <f>IF(ISNUMBER(MATCH(#REF!,'Audit Characteristic Mapping'!$E$3:$E$500,0)),"Y","")</f>
        <v/>
      </c>
      <c r="DV324" s="58" t="str">
        <f>IF(ISNUMBER(MATCH(#REF!,'Audit Characteristic Mapping'!$F$3:$F$500,0)),"Y","")</f>
        <v/>
      </c>
      <c r="DW324" s="58" t="str">
        <f>IF(ISNUMBER(MATCH(#REF!,'Audit Characteristic Mapping'!$G$3:$G$500,0)),"Y","")</f>
        <v/>
      </c>
      <c r="DX324" s="58" t="str">
        <f>IF(ISNUMBER(MATCH(#REF!,'Audit Characteristic Mapping'!$H$3:$H$500,0)),"Y","")</f>
        <v/>
      </c>
      <c r="DY324" s="58" t="str">
        <f>IF(ISNUMBER(MATCH(#REF!,'Audit Characteristic Mapping'!$I$3:$I$500,0)),"Y","")</f>
        <v/>
      </c>
      <c r="DZ324" s="58" t="str">
        <f>IF(ISNUMBER(MATCH(#REF!,'Audit Characteristic Mapping'!$J$3:$J$500,0)),"Y","")</f>
        <v/>
      </c>
      <c r="EA324" s="58" t="str">
        <f>IF(ISNUMBER(MATCH(#REF!,'Audit Characteristic Mapping'!$K$3:$K$500,0)),"Y","")</f>
        <v/>
      </c>
    </row>
    <row r="325" spans="1:131" ht="16" hidden="1" x14ac:dyDescent="0.2">
      <c r="A325" s="288">
        <v>316</v>
      </c>
      <c r="B325" s="287" t="s">
        <v>450</v>
      </c>
      <c r="C325" s="226" t="s">
        <v>462</v>
      </c>
      <c r="D325" s="170">
        <v>9</v>
      </c>
      <c r="E325" s="288">
        <v>65</v>
      </c>
      <c r="F325" s="291" t="str">
        <f>VLOOKUP(Calculation!A325,'Descriptor maps'!$A$2:$F$1658,2,0)</f>
        <v>Management</v>
      </c>
      <c r="G325" s="296"/>
      <c r="H325" s="290"/>
      <c r="I325" s="291"/>
      <c r="J325" s="292" t="e" cm="1">
        <f t="array" ref="J325">INDEX('Descriptor maps'!$I$2:$I$1658,MATCH(1,('Descriptor maps'!$A$2:$A$1658=Calculation!$A325)*('Descriptor maps'!$G$2:$G$1658=Calculation!$G325),0))</f>
        <v>#N/A</v>
      </c>
      <c r="K325" s="226"/>
      <c r="L325" s="293"/>
      <c r="M325" s="293"/>
      <c r="N325" s="293"/>
      <c r="O325" s="293"/>
      <c r="P325" s="293"/>
      <c r="Q325" s="293"/>
      <c r="R325" s="293"/>
      <c r="S325" s="293"/>
      <c r="T325" s="293"/>
      <c r="U325" s="293"/>
      <c r="V325" s="293"/>
      <c r="W325" s="293"/>
      <c r="X325" s="293"/>
      <c r="Y325" s="293"/>
      <c r="Z325" s="293"/>
      <c r="AA325" s="293"/>
      <c r="AB325" s="293"/>
      <c r="AC325" s="293"/>
      <c r="AD325" s="293"/>
      <c r="AE325" s="293"/>
      <c r="AF325" s="293"/>
      <c r="AG325" s="293"/>
      <c r="AH325" s="293"/>
      <c r="AI325" s="293"/>
      <c r="AJ325" s="293"/>
      <c r="AK325" s="293"/>
      <c r="AL325" s="293"/>
      <c r="AM325" s="293"/>
      <c r="AN325" s="293"/>
      <c r="AO325" s="293"/>
      <c r="AP325" s="293"/>
      <c r="AQ325" s="293"/>
      <c r="AR325" s="293"/>
      <c r="AS325" s="293"/>
      <c r="AT325" s="293"/>
      <c r="AU325" s="293"/>
      <c r="AV325" s="293"/>
      <c r="AW325" s="293"/>
      <c r="AX325" s="293"/>
      <c r="AY325" s="293"/>
      <c r="AZ325" s="293"/>
      <c r="BA325" s="293"/>
      <c r="BB325" s="293"/>
      <c r="BC325" s="293"/>
      <c r="BD325" s="293"/>
      <c r="BE325" s="293"/>
      <c r="BF325" s="293"/>
      <c r="BG325" s="293"/>
      <c r="BH325" s="293"/>
      <c r="BI325" s="293"/>
      <c r="BJ325" s="293"/>
      <c r="BK325" s="293"/>
      <c r="BL325" s="293"/>
      <c r="BM325" s="293"/>
      <c r="BN325" s="293"/>
      <c r="BO325" s="293"/>
      <c r="BP325" s="293"/>
      <c r="BQ325" s="293"/>
      <c r="BR325" s="293"/>
      <c r="BS325" s="293"/>
      <c r="BT325" s="293"/>
      <c r="BU325" s="293"/>
      <c r="BV325" s="293"/>
      <c r="BW325" s="293"/>
      <c r="BX325" s="293"/>
      <c r="BY325" s="293"/>
      <c r="BZ325" s="293"/>
      <c r="CA325" s="285"/>
      <c r="CB325" s="286"/>
      <c r="CC325" s="286"/>
      <c r="CD325" s="286"/>
      <c r="CE325" s="286"/>
      <c r="CF325" s="286"/>
      <c r="CG325" s="286"/>
      <c r="CH325" s="286"/>
      <c r="CI325" s="286"/>
      <c r="CJ325" s="286"/>
      <c r="CK325" s="286"/>
      <c r="CL325" s="286"/>
      <c r="CM325" s="286"/>
      <c r="CN325" s="286"/>
      <c r="CO325" s="286"/>
      <c r="CP325" s="286"/>
      <c r="CQ325" s="286"/>
      <c r="CR325" s="286"/>
      <c r="CS325" s="286"/>
      <c r="CT325" s="286"/>
      <c r="CU325" s="286"/>
      <c r="CV325" s="286"/>
      <c r="CW325" s="286"/>
      <c r="CX325" s="286"/>
      <c r="CY325" s="286"/>
      <c r="CZ325" s="286"/>
      <c r="DA325" s="286"/>
      <c r="DB325" s="286"/>
      <c r="DC325" s="286"/>
      <c r="DD325" s="286"/>
      <c r="DE325" s="286"/>
      <c r="DF325" s="286"/>
      <c r="DG325" s="286"/>
      <c r="DH325" s="286"/>
      <c r="DI325" s="286"/>
      <c r="DJ325" s="286"/>
      <c r="DK325" s="286"/>
      <c r="DL325" s="286"/>
      <c r="DM325" s="286"/>
      <c r="DN325" s="286"/>
      <c r="DO325" s="286"/>
      <c r="DP325" s="286"/>
      <c r="DR325" s="58" t="str">
        <f>IF(ISNUMBER(MATCH(#REF!,'Audit Characteristic Mapping'!$B$3:$B$500,0)),"Y","")</f>
        <v/>
      </c>
      <c r="DS325" s="58" t="str">
        <f>IF(ISNUMBER(MATCH(#REF!,'Audit Characteristic Mapping'!$C$3:$C$500,0)),"Y","")</f>
        <v/>
      </c>
      <c r="DT325" s="58" t="str">
        <f>IF(ISNUMBER(MATCH(#REF!,'Audit Characteristic Mapping'!$D$3:$D$500,0)),"Y","")</f>
        <v/>
      </c>
      <c r="DU325" s="58" t="str">
        <f>IF(ISNUMBER(MATCH(#REF!,'Audit Characteristic Mapping'!$E$3:$E$500,0)),"Y","")</f>
        <v/>
      </c>
      <c r="DV325" s="58" t="str">
        <f>IF(ISNUMBER(MATCH(#REF!,'Audit Characteristic Mapping'!$F$3:$F$500,0)),"Y","")</f>
        <v/>
      </c>
      <c r="DW325" s="58" t="str">
        <f>IF(ISNUMBER(MATCH(#REF!,'Audit Characteristic Mapping'!$G$3:$G$500,0)),"Y","")</f>
        <v/>
      </c>
      <c r="DX325" s="58" t="str">
        <f>IF(ISNUMBER(MATCH(#REF!,'Audit Characteristic Mapping'!$H$3:$H$500,0)),"Y","")</f>
        <v/>
      </c>
      <c r="DY325" s="58" t="str">
        <f>IF(ISNUMBER(MATCH(#REF!,'Audit Characteristic Mapping'!$I$3:$I$500,0)),"Y","")</f>
        <v/>
      </c>
      <c r="DZ325" s="58" t="str">
        <f>IF(ISNUMBER(MATCH(#REF!,'Audit Characteristic Mapping'!$J$3:$J$500,0)),"Y","")</f>
        <v/>
      </c>
      <c r="EA325" s="58" t="str">
        <f>IF(ISNUMBER(MATCH(#REF!,'Audit Characteristic Mapping'!$K$3:$K$500,0)),"Y","")</f>
        <v/>
      </c>
    </row>
    <row r="326" spans="1:131" ht="16" hidden="1" x14ac:dyDescent="0.2">
      <c r="A326" s="288">
        <v>317</v>
      </c>
      <c r="B326" s="287" t="s">
        <v>450</v>
      </c>
      <c r="C326" s="226" t="s">
        <v>462</v>
      </c>
      <c r="D326" s="170">
        <v>9</v>
      </c>
      <c r="E326" s="288">
        <v>65</v>
      </c>
      <c r="F326" s="291" t="str">
        <f>VLOOKUP(Calculation!A326,'Descriptor maps'!$A$2:$F$1658,2,0)</f>
        <v>Management</v>
      </c>
      <c r="G326" s="296"/>
      <c r="H326" s="290"/>
      <c r="I326" s="291"/>
      <c r="J326" s="292" t="e" cm="1">
        <f t="array" ref="J326">INDEX('Descriptor maps'!$I$2:$I$1658,MATCH(1,('Descriptor maps'!$A$2:$A$1658=Calculation!$A326)*('Descriptor maps'!$G$2:$G$1658=Calculation!$G326),0))</f>
        <v>#N/A</v>
      </c>
      <c r="K326" s="226"/>
      <c r="L326" s="293"/>
      <c r="M326" s="293"/>
      <c r="N326" s="293"/>
      <c r="O326" s="293"/>
      <c r="P326" s="293"/>
      <c r="Q326" s="293"/>
      <c r="R326" s="293"/>
      <c r="S326" s="293"/>
      <c r="T326" s="293"/>
      <c r="U326" s="293"/>
      <c r="V326" s="293"/>
      <c r="W326" s="293"/>
      <c r="X326" s="293"/>
      <c r="Y326" s="293"/>
      <c r="Z326" s="293"/>
      <c r="AA326" s="293"/>
      <c r="AB326" s="293"/>
      <c r="AC326" s="293"/>
      <c r="AD326" s="293"/>
      <c r="AE326" s="293"/>
      <c r="AF326" s="293"/>
      <c r="AG326" s="293"/>
      <c r="AH326" s="293"/>
      <c r="AI326" s="293"/>
      <c r="AJ326" s="293"/>
      <c r="AK326" s="293"/>
      <c r="AL326" s="293"/>
      <c r="AM326" s="293"/>
      <c r="AN326" s="293"/>
      <c r="AO326" s="293"/>
      <c r="AP326" s="293"/>
      <c r="AQ326" s="293"/>
      <c r="AR326" s="293"/>
      <c r="AS326" s="293"/>
      <c r="AT326" s="293"/>
      <c r="AU326" s="293"/>
      <c r="AV326" s="293"/>
      <c r="AW326" s="293"/>
      <c r="AX326" s="293"/>
      <c r="AY326" s="293"/>
      <c r="AZ326" s="293"/>
      <c r="BA326" s="293"/>
      <c r="BB326" s="293"/>
      <c r="BC326" s="293"/>
      <c r="BD326" s="293"/>
      <c r="BE326" s="293"/>
      <c r="BF326" s="293"/>
      <c r="BG326" s="293"/>
      <c r="BH326" s="293"/>
      <c r="BI326" s="293"/>
      <c r="BJ326" s="293"/>
      <c r="BK326" s="293"/>
      <c r="BL326" s="293"/>
      <c r="BM326" s="293"/>
      <c r="BN326" s="293"/>
      <c r="BO326" s="293"/>
      <c r="BP326" s="293"/>
      <c r="BQ326" s="293"/>
      <c r="BR326" s="293"/>
      <c r="BS326" s="293"/>
      <c r="BT326" s="293"/>
      <c r="BU326" s="293"/>
      <c r="BV326" s="293"/>
      <c r="BW326" s="293"/>
      <c r="BX326" s="293"/>
      <c r="BY326" s="293"/>
      <c r="BZ326" s="293"/>
      <c r="CA326" s="285"/>
      <c r="CB326" s="286"/>
      <c r="CC326" s="286"/>
      <c r="CD326" s="286"/>
      <c r="CE326" s="286"/>
      <c r="CF326" s="286"/>
      <c r="CG326" s="286"/>
      <c r="CH326" s="286"/>
      <c r="CI326" s="286"/>
      <c r="CJ326" s="286"/>
      <c r="CK326" s="286"/>
      <c r="CL326" s="286"/>
      <c r="CM326" s="286"/>
      <c r="CN326" s="286"/>
      <c r="CO326" s="286"/>
      <c r="CP326" s="286"/>
      <c r="CQ326" s="286"/>
      <c r="CR326" s="286"/>
      <c r="CS326" s="286"/>
      <c r="CT326" s="286"/>
      <c r="CU326" s="286"/>
      <c r="CV326" s="286"/>
      <c r="CW326" s="286"/>
      <c r="CX326" s="286"/>
      <c r="CY326" s="286"/>
      <c r="CZ326" s="286"/>
      <c r="DA326" s="286"/>
      <c r="DB326" s="286"/>
      <c r="DC326" s="286"/>
      <c r="DD326" s="286"/>
      <c r="DE326" s="286"/>
      <c r="DF326" s="286"/>
      <c r="DG326" s="286"/>
      <c r="DH326" s="286"/>
      <c r="DI326" s="286"/>
      <c r="DJ326" s="286"/>
      <c r="DK326" s="286"/>
      <c r="DL326" s="286"/>
      <c r="DM326" s="286"/>
      <c r="DN326" s="286"/>
      <c r="DO326" s="286"/>
      <c r="DP326" s="286"/>
      <c r="DR326" s="58" t="str">
        <f>IF(ISNUMBER(MATCH(#REF!,'Audit Characteristic Mapping'!$B$3:$B$500,0)),"Y","")</f>
        <v/>
      </c>
      <c r="DS326" s="58" t="str">
        <f>IF(ISNUMBER(MATCH(#REF!,'Audit Characteristic Mapping'!$C$3:$C$500,0)),"Y","")</f>
        <v/>
      </c>
      <c r="DT326" s="58" t="str">
        <f>IF(ISNUMBER(MATCH(#REF!,'Audit Characteristic Mapping'!$D$3:$D$500,0)),"Y","")</f>
        <v/>
      </c>
      <c r="DU326" s="58" t="str">
        <f>IF(ISNUMBER(MATCH(#REF!,'Audit Characteristic Mapping'!$E$3:$E$500,0)),"Y","")</f>
        <v/>
      </c>
      <c r="DV326" s="58" t="str">
        <f>IF(ISNUMBER(MATCH(#REF!,'Audit Characteristic Mapping'!$F$3:$F$500,0)),"Y","")</f>
        <v/>
      </c>
      <c r="DW326" s="58" t="str">
        <f>IF(ISNUMBER(MATCH(#REF!,'Audit Characteristic Mapping'!$G$3:$G$500,0)),"Y","")</f>
        <v/>
      </c>
      <c r="DX326" s="58" t="str">
        <f>IF(ISNUMBER(MATCH(#REF!,'Audit Characteristic Mapping'!$H$3:$H$500,0)),"Y","")</f>
        <v/>
      </c>
      <c r="DY326" s="58" t="str">
        <f>IF(ISNUMBER(MATCH(#REF!,'Audit Characteristic Mapping'!$I$3:$I$500,0)),"Y","")</f>
        <v/>
      </c>
      <c r="DZ326" s="58" t="str">
        <f>IF(ISNUMBER(MATCH(#REF!,'Audit Characteristic Mapping'!$J$3:$J$500,0)),"Y","")</f>
        <v/>
      </c>
      <c r="EA326" s="58" t="str">
        <f>IF(ISNUMBER(MATCH(#REF!,'Audit Characteristic Mapping'!$K$3:$K$500,0)),"Y","")</f>
        <v/>
      </c>
    </row>
    <row r="327" spans="1:131" ht="16" hidden="1" x14ac:dyDescent="0.2">
      <c r="A327" s="288">
        <v>318</v>
      </c>
      <c r="B327" s="287" t="s">
        <v>450</v>
      </c>
      <c r="C327" s="226" t="s">
        <v>462</v>
      </c>
      <c r="D327" s="170">
        <v>9</v>
      </c>
      <c r="E327" s="288">
        <v>65</v>
      </c>
      <c r="F327" s="291" t="str">
        <f>VLOOKUP(Calculation!A327,'Descriptor maps'!$A$2:$F$1658,2,0)</f>
        <v>Management</v>
      </c>
      <c r="G327" s="296"/>
      <c r="H327" s="290"/>
      <c r="I327" s="291"/>
      <c r="J327" s="292" t="e" cm="1">
        <f t="array" ref="J327">INDEX('Descriptor maps'!$I$2:$I$1658,MATCH(1,('Descriptor maps'!$A$2:$A$1658=Calculation!$A327)*('Descriptor maps'!$G$2:$G$1658=Calculation!$G327),0))</f>
        <v>#N/A</v>
      </c>
      <c r="K327" s="226"/>
      <c r="L327" s="293"/>
      <c r="M327" s="293"/>
      <c r="N327" s="293"/>
      <c r="O327" s="293"/>
      <c r="P327" s="293"/>
      <c r="Q327" s="293"/>
      <c r="R327" s="293"/>
      <c r="S327" s="293"/>
      <c r="T327" s="293"/>
      <c r="U327" s="293"/>
      <c r="V327" s="293"/>
      <c r="W327" s="293"/>
      <c r="X327" s="293"/>
      <c r="Y327" s="293"/>
      <c r="Z327" s="293"/>
      <c r="AA327" s="293"/>
      <c r="AB327" s="293"/>
      <c r="AC327" s="293"/>
      <c r="AD327" s="293"/>
      <c r="AE327" s="293"/>
      <c r="AF327" s="293"/>
      <c r="AG327" s="293"/>
      <c r="AH327" s="293"/>
      <c r="AI327" s="293"/>
      <c r="AJ327" s="293"/>
      <c r="AK327" s="293"/>
      <c r="AL327" s="293"/>
      <c r="AM327" s="293"/>
      <c r="AN327" s="293"/>
      <c r="AO327" s="293"/>
      <c r="AP327" s="293"/>
      <c r="AQ327" s="293"/>
      <c r="AR327" s="293"/>
      <c r="AS327" s="293"/>
      <c r="AT327" s="293"/>
      <c r="AU327" s="293"/>
      <c r="AV327" s="293"/>
      <c r="AW327" s="293"/>
      <c r="AX327" s="293"/>
      <c r="AY327" s="293"/>
      <c r="AZ327" s="293"/>
      <c r="BA327" s="293"/>
      <c r="BB327" s="293"/>
      <c r="BC327" s="293"/>
      <c r="BD327" s="293"/>
      <c r="BE327" s="293"/>
      <c r="BF327" s="293"/>
      <c r="BG327" s="293"/>
      <c r="BH327" s="293"/>
      <c r="BI327" s="293"/>
      <c r="BJ327" s="293"/>
      <c r="BK327" s="293"/>
      <c r="BL327" s="293"/>
      <c r="BM327" s="293"/>
      <c r="BN327" s="293"/>
      <c r="BO327" s="293"/>
      <c r="BP327" s="293"/>
      <c r="BQ327" s="293"/>
      <c r="BR327" s="293"/>
      <c r="BS327" s="293"/>
      <c r="BT327" s="293"/>
      <c r="BU327" s="293"/>
      <c r="BV327" s="293"/>
      <c r="BW327" s="293"/>
      <c r="BX327" s="293"/>
      <c r="BY327" s="293"/>
      <c r="BZ327" s="293"/>
      <c r="CA327" s="285"/>
      <c r="CB327" s="286"/>
      <c r="CC327" s="286"/>
      <c r="CD327" s="286"/>
      <c r="CE327" s="286"/>
      <c r="CF327" s="286"/>
      <c r="CG327" s="286"/>
      <c r="CH327" s="286"/>
      <c r="CI327" s="286"/>
      <c r="CJ327" s="286"/>
      <c r="CK327" s="286"/>
      <c r="CL327" s="286"/>
      <c r="CM327" s="286"/>
      <c r="CN327" s="286"/>
      <c r="CO327" s="286"/>
      <c r="CP327" s="286"/>
      <c r="CQ327" s="286"/>
      <c r="CR327" s="286"/>
      <c r="CS327" s="286"/>
      <c r="CT327" s="286"/>
      <c r="CU327" s="286"/>
      <c r="CV327" s="286"/>
      <c r="CW327" s="286"/>
      <c r="CX327" s="286"/>
      <c r="CY327" s="286"/>
      <c r="CZ327" s="286"/>
      <c r="DA327" s="286"/>
      <c r="DB327" s="286"/>
      <c r="DC327" s="286"/>
      <c r="DD327" s="286"/>
      <c r="DE327" s="286"/>
      <c r="DF327" s="286"/>
      <c r="DG327" s="286"/>
      <c r="DH327" s="286"/>
      <c r="DI327" s="286"/>
      <c r="DJ327" s="286"/>
      <c r="DK327" s="286"/>
      <c r="DL327" s="286"/>
      <c r="DM327" s="286"/>
      <c r="DN327" s="286"/>
      <c r="DO327" s="286"/>
      <c r="DP327" s="286"/>
      <c r="DR327" s="58" t="str">
        <f>IF(ISNUMBER(MATCH(#REF!,'Audit Characteristic Mapping'!$B$3:$B$500,0)),"Y","")</f>
        <v/>
      </c>
      <c r="DS327" s="58" t="str">
        <f>IF(ISNUMBER(MATCH(#REF!,'Audit Characteristic Mapping'!$C$3:$C$500,0)),"Y","")</f>
        <v/>
      </c>
      <c r="DT327" s="58" t="str">
        <f>IF(ISNUMBER(MATCH(#REF!,'Audit Characteristic Mapping'!$D$3:$D$500,0)),"Y","")</f>
        <v/>
      </c>
      <c r="DU327" s="58" t="str">
        <f>IF(ISNUMBER(MATCH(#REF!,'Audit Characteristic Mapping'!$E$3:$E$500,0)),"Y","")</f>
        <v/>
      </c>
      <c r="DV327" s="58" t="str">
        <f>IF(ISNUMBER(MATCH(#REF!,'Audit Characteristic Mapping'!$F$3:$F$500,0)),"Y","")</f>
        <v/>
      </c>
      <c r="DW327" s="58" t="str">
        <f>IF(ISNUMBER(MATCH(#REF!,'Audit Characteristic Mapping'!$G$3:$G$500,0)),"Y","")</f>
        <v/>
      </c>
      <c r="DX327" s="58" t="str">
        <f>IF(ISNUMBER(MATCH(#REF!,'Audit Characteristic Mapping'!$H$3:$H$500,0)),"Y","")</f>
        <v/>
      </c>
      <c r="DY327" s="58" t="str">
        <f>IF(ISNUMBER(MATCH(#REF!,'Audit Characteristic Mapping'!$I$3:$I$500,0)),"Y","")</f>
        <v/>
      </c>
      <c r="DZ327" s="58" t="str">
        <f>IF(ISNUMBER(MATCH(#REF!,'Audit Characteristic Mapping'!$J$3:$J$500,0)),"Y","")</f>
        <v/>
      </c>
      <c r="EA327" s="58" t="str">
        <f>IF(ISNUMBER(MATCH(#REF!,'Audit Characteristic Mapping'!$K$3:$K$500,0)),"Y","")</f>
        <v/>
      </c>
    </row>
    <row r="328" spans="1:131" ht="16" hidden="1" x14ac:dyDescent="0.2">
      <c r="A328" s="288">
        <v>319</v>
      </c>
      <c r="B328" s="287" t="s">
        <v>450</v>
      </c>
      <c r="C328" s="226" t="s">
        <v>462</v>
      </c>
      <c r="D328" s="170">
        <v>9</v>
      </c>
      <c r="E328" s="288">
        <v>65</v>
      </c>
      <c r="F328" s="291" t="str">
        <f>VLOOKUP(Calculation!A328,'Descriptor maps'!$A$2:$F$1658,2,0)</f>
        <v>Management</v>
      </c>
      <c r="G328" s="296"/>
      <c r="H328" s="290"/>
      <c r="I328" s="291"/>
      <c r="J328" s="292" t="e" cm="1">
        <f t="array" ref="J328">INDEX('Descriptor maps'!$I$2:$I$1658,MATCH(1,('Descriptor maps'!$A$2:$A$1658=Calculation!$A328)*('Descriptor maps'!$G$2:$G$1658=Calculation!$G328),0))</f>
        <v>#N/A</v>
      </c>
      <c r="K328" s="226"/>
      <c r="L328" s="293"/>
      <c r="M328" s="293"/>
      <c r="N328" s="293"/>
      <c r="O328" s="293"/>
      <c r="P328" s="293"/>
      <c r="Q328" s="293"/>
      <c r="R328" s="293"/>
      <c r="S328" s="293"/>
      <c r="T328" s="293"/>
      <c r="U328" s="293"/>
      <c r="V328" s="293"/>
      <c r="W328" s="293"/>
      <c r="X328" s="293"/>
      <c r="Y328" s="293"/>
      <c r="Z328" s="293"/>
      <c r="AA328" s="293"/>
      <c r="AB328" s="293"/>
      <c r="AC328" s="293"/>
      <c r="AD328" s="293"/>
      <c r="AE328" s="293"/>
      <c r="AF328" s="293"/>
      <c r="AG328" s="293"/>
      <c r="AH328" s="293"/>
      <c r="AI328" s="293"/>
      <c r="AJ328" s="293"/>
      <c r="AK328" s="293"/>
      <c r="AL328" s="293"/>
      <c r="AM328" s="293"/>
      <c r="AN328" s="293"/>
      <c r="AO328" s="293"/>
      <c r="AP328" s="293"/>
      <c r="AQ328" s="293"/>
      <c r="AR328" s="293"/>
      <c r="AS328" s="293"/>
      <c r="AT328" s="293"/>
      <c r="AU328" s="293"/>
      <c r="AV328" s="293"/>
      <c r="AW328" s="293"/>
      <c r="AX328" s="293"/>
      <c r="AY328" s="293"/>
      <c r="AZ328" s="293"/>
      <c r="BA328" s="293"/>
      <c r="BB328" s="293"/>
      <c r="BC328" s="293"/>
      <c r="BD328" s="293"/>
      <c r="BE328" s="293"/>
      <c r="BF328" s="293"/>
      <c r="BG328" s="293"/>
      <c r="BH328" s="293"/>
      <c r="BI328" s="293"/>
      <c r="BJ328" s="293"/>
      <c r="BK328" s="293"/>
      <c r="BL328" s="293"/>
      <c r="BM328" s="293"/>
      <c r="BN328" s="293"/>
      <c r="BO328" s="293"/>
      <c r="BP328" s="293"/>
      <c r="BQ328" s="293"/>
      <c r="BR328" s="293"/>
      <c r="BS328" s="293"/>
      <c r="BT328" s="293"/>
      <c r="BU328" s="293"/>
      <c r="BV328" s="293"/>
      <c r="BW328" s="293"/>
      <c r="BX328" s="293"/>
      <c r="BY328" s="293"/>
      <c r="BZ328" s="293"/>
      <c r="CA328" s="285"/>
      <c r="CB328" s="286"/>
      <c r="CC328" s="286"/>
      <c r="CD328" s="286"/>
      <c r="CE328" s="286"/>
      <c r="CF328" s="286"/>
      <c r="CG328" s="286"/>
      <c r="CH328" s="286"/>
      <c r="CI328" s="286"/>
      <c r="CJ328" s="286"/>
      <c r="CK328" s="286"/>
      <c r="CL328" s="286"/>
      <c r="CM328" s="286"/>
      <c r="CN328" s="286"/>
      <c r="CO328" s="286"/>
      <c r="CP328" s="286"/>
      <c r="CQ328" s="286"/>
      <c r="CR328" s="286"/>
      <c r="CS328" s="286"/>
      <c r="CT328" s="286"/>
      <c r="CU328" s="286"/>
      <c r="CV328" s="286"/>
      <c r="CW328" s="286"/>
      <c r="CX328" s="286"/>
      <c r="CY328" s="286"/>
      <c r="CZ328" s="286"/>
      <c r="DA328" s="286"/>
      <c r="DB328" s="286"/>
      <c r="DC328" s="286"/>
      <c r="DD328" s="286"/>
      <c r="DE328" s="286"/>
      <c r="DF328" s="286"/>
      <c r="DG328" s="286"/>
      <c r="DH328" s="286"/>
      <c r="DI328" s="286"/>
      <c r="DJ328" s="286"/>
      <c r="DK328" s="286"/>
      <c r="DL328" s="286"/>
      <c r="DM328" s="286"/>
      <c r="DN328" s="286"/>
      <c r="DO328" s="286"/>
      <c r="DP328" s="286"/>
      <c r="DR328" s="58" t="str">
        <f>IF(ISNUMBER(MATCH(#REF!,'Audit Characteristic Mapping'!$B$3:$B$500,0)),"Y","")</f>
        <v/>
      </c>
      <c r="DS328" s="58" t="str">
        <f>IF(ISNUMBER(MATCH(#REF!,'Audit Characteristic Mapping'!$C$3:$C$500,0)),"Y","")</f>
        <v/>
      </c>
      <c r="DT328" s="58" t="str">
        <f>IF(ISNUMBER(MATCH(#REF!,'Audit Characteristic Mapping'!$D$3:$D$500,0)),"Y","")</f>
        <v/>
      </c>
      <c r="DU328" s="58" t="str">
        <f>IF(ISNUMBER(MATCH(#REF!,'Audit Characteristic Mapping'!$E$3:$E$500,0)),"Y","")</f>
        <v/>
      </c>
      <c r="DV328" s="58" t="str">
        <f>IF(ISNUMBER(MATCH(#REF!,'Audit Characteristic Mapping'!$F$3:$F$500,0)),"Y","")</f>
        <v/>
      </c>
      <c r="DW328" s="58" t="str">
        <f>IF(ISNUMBER(MATCH(#REF!,'Audit Characteristic Mapping'!$G$3:$G$500,0)),"Y","")</f>
        <v/>
      </c>
      <c r="DX328" s="58" t="str">
        <f>IF(ISNUMBER(MATCH(#REF!,'Audit Characteristic Mapping'!$H$3:$H$500,0)),"Y","")</f>
        <v/>
      </c>
      <c r="DY328" s="58" t="str">
        <f>IF(ISNUMBER(MATCH(#REF!,'Audit Characteristic Mapping'!$I$3:$I$500,0)),"Y","")</f>
        <v/>
      </c>
      <c r="DZ328" s="58" t="str">
        <f>IF(ISNUMBER(MATCH(#REF!,'Audit Characteristic Mapping'!$J$3:$J$500,0)),"Y","")</f>
        <v/>
      </c>
      <c r="EA328" s="58" t="str">
        <f>IF(ISNUMBER(MATCH(#REF!,'Audit Characteristic Mapping'!$K$3:$K$500,0)),"Y","")</f>
        <v/>
      </c>
    </row>
    <row r="329" spans="1:131" ht="16" hidden="1" x14ac:dyDescent="0.2">
      <c r="A329" s="288">
        <v>320</v>
      </c>
      <c r="B329" s="287" t="s">
        <v>450</v>
      </c>
      <c r="C329" s="226" t="s">
        <v>470</v>
      </c>
      <c r="D329" s="170">
        <v>9</v>
      </c>
      <c r="E329" s="288">
        <v>66</v>
      </c>
      <c r="F329" s="291" t="str">
        <f>VLOOKUP(Calculation!A329,'Descriptor maps'!$A$2:$F$1658,2,0)</f>
        <v>Management</v>
      </c>
      <c r="G329" s="296"/>
      <c r="H329" s="290"/>
      <c r="I329" s="291"/>
      <c r="J329" s="292" t="e" cm="1">
        <f t="array" ref="J329">INDEX('Descriptor maps'!$I$2:$I$1658,MATCH(1,('Descriptor maps'!$A$2:$A$1658=Calculation!$A329)*('Descriptor maps'!$G$2:$G$1658=Calculation!$G329),0))</f>
        <v>#N/A</v>
      </c>
      <c r="K329" s="226"/>
      <c r="L329" s="293"/>
      <c r="M329" s="293"/>
      <c r="N329" s="293"/>
      <c r="O329" s="293"/>
      <c r="P329" s="293"/>
      <c r="Q329" s="293"/>
      <c r="R329" s="293"/>
      <c r="S329" s="293"/>
      <c r="T329" s="293"/>
      <c r="U329" s="293"/>
      <c r="V329" s="293"/>
      <c r="W329" s="293"/>
      <c r="X329" s="293"/>
      <c r="Y329" s="293"/>
      <c r="Z329" s="293"/>
      <c r="AA329" s="293"/>
      <c r="AB329" s="293"/>
      <c r="AC329" s="293"/>
      <c r="AD329" s="293"/>
      <c r="AE329" s="293"/>
      <c r="AF329" s="293"/>
      <c r="AG329" s="293"/>
      <c r="AH329" s="293"/>
      <c r="AI329" s="293"/>
      <c r="AJ329" s="293"/>
      <c r="AK329" s="293"/>
      <c r="AL329" s="293"/>
      <c r="AM329" s="293"/>
      <c r="AN329" s="293"/>
      <c r="AO329" s="293"/>
      <c r="AP329" s="293"/>
      <c r="AQ329" s="293"/>
      <c r="AR329" s="293"/>
      <c r="AS329" s="293"/>
      <c r="AT329" s="293"/>
      <c r="AU329" s="293"/>
      <c r="AV329" s="293"/>
      <c r="AW329" s="293"/>
      <c r="AX329" s="293"/>
      <c r="AY329" s="293"/>
      <c r="AZ329" s="293"/>
      <c r="BA329" s="293"/>
      <c r="BB329" s="293"/>
      <c r="BC329" s="293"/>
      <c r="BD329" s="293"/>
      <c r="BE329" s="293"/>
      <c r="BF329" s="293"/>
      <c r="BG329" s="293"/>
      <c r="BH329" s="293"/>
      <c r="BI329" s="293"/>
      <c r="BJ329" s="293"/>
      <c r="BK329" s="293"/>
      <c r="BL329" s="293"/>
      <c r="BM329" s="293"/>
      <c r="BN329" s="293"/>
      <c r="BO329" s="293"/>
      <c r="BP329" s="293"/>
      <c r="BQ329" s="293"/>
      <c r="BR329" s="293"/>
      <c r="BS329" s="293"/>
      <c r="BT329" s="293"/>
      <c r="BU329" s="293"/>
      <c r="BV329" s="293"/>
      <c r="BW329" s="293"/>
      <c r="BX329" s="293"/>
      <c r="BY329" s="293"/>
      <c r="BZ329" s="293"/>
      <c r="CA329" s="285"/>
      <c r="CB329" s="286"/>
      <c r="CC329" s="286"/>
      <c r="CD329" s="286"/>
      <c r="CE329" s="286"/>
      <c r="CF329" s="286"/>
      <c r="CG329" s="286"/>
      <c r="CH329" s="286"/>
      <c r="CI329" s="286"/>
      <c r="CJ329" s="286"/>
      <c r="CK329" s="286"/>
      <c r="CL329" s="286"/>
      <c r="CM329" s="286"/>
      <c r="CN329" s="286"/>
      <c r="CO329" s="286"/>
      <c r="CP329" s="286"/>
      <c r="CQ329" s="286"/>
      <c r="CR329" s="286"/>
      <c r="CS329" s="286"/>
      <c r="CT329" s="286"/>
      <c r="CU329" s="286"/>
      <c r="CV329" s="286"/>
      <c r="CW329" s="286"/>
      <c r="CX329" s="286"/>
      <c r="CY329" s="286"/>
      <c r="CZ329" s="286"/>
      <c r="DA329" s="286"/>
      <c r="DB329" s="286"/>
      <c r="DC329" s="286"/>
      <c r="DD329" s="286"/>
      <c r="DE329" s="286"/>
      <c r="DF329" s="286"/>
      <c r="DG329" s="286"/>
      <c r="DH329" s="286"/>
      <c r="DI329" s="286"/>
      <c r="DJ329" s="286"/>
      <c r="DK329" s="286"/>
      <c r="DL329" s="286"/>
      <c r="DM329" s="286"/>
      <c r="DN329" s="286"/>
      <c r="DO329" s="286"/>
      <c r="DP329" s="286"/>
      <c r="DR329" s="58" t="str">
        <f>IF(ISNUMBER(MATCH(#REF!,'Audit Characteristic Mapping'!$B$3:$B$500,0)),"Y","")</f>
        <v/>
      </c>
      <c r="DS329" s="58" t="str">
        <f>IF(ISNUMBER(MATCH(#REF!,'Audit Characteristic Mapping'!$C$3:$C$500,0)),"Y","")</f>
        <v/>
      </c>
      <c r="DT329" s="58" t="str">
        <f>IF(ISNUMBER(MATCH(#REF!,'Audit Characteristic Mapping'!$D$3:$D$500,0)),"Y","")</f>
        <v/>
      </c>
      <c r="DU329" s="58" t="str">
        <f>IF(ISNUMBER(MATCH(#REF!,'Audit Characteristic Mapping'!$E$3:$E$500,0)),"Y","")</f>
        <v/>
      </c>
      <c r="DV329" s="58" t="str">
        <f>IF(ISNUMBER(MATCH(#REF!,'Audit Characteristic Mapping'!$F$3:$F$500,0)),"Y","")</f>
        <v/>
      </c>
      <c r="DW329" s="58" t="str">
        <f>IF(ISNUMBER(MATCH(#REF!,'Audit Characteristic Mapping'!$G$3:$G$500,0)),"Y","")</f>
        <v/>
      </c>
      <c r="DX329" s="58" t="str">
        <f>IF(ISNUMBER(MATCH(#REF!,'Audit Characteristic Mapping'!$H$3:$H$500,0)),"Y","")</f>
        <v/>
      </c>
      <c r="DY329" s="58" t="str">
        <f>IF(ISNUMBER(MATCH(#REF!,'Audit Characteristic Mapping'!$I$3:$I$500,0)),"Y","")</f>
        <v/>
      </c>
      <c r="DZ329" s="58" t="str">
        <f>IF(ISNUMBER(MATCH(#REF!,'Audit Characteristic Mapping'!$J$3:$J$500,0)),"Y","")</f>
        <v/>
      </c>
      <c r="EA329" s="58" t="str">
        <f>IF(ISNUMBER(MATCH(#REF!,'Audit Characteristic Mapping'!$K$3:$K$500,0)),"Y","")</f>
        <v/>
      </c>
    </row>
    <row r="330" spans="1:131" ht="16" hidden="1" x14ac:dyDescent="0.2">
      <c r="A330" s="288">
        <v>321</v>
      </c>
      <c r="B330" s="287" t="s">
        <v>450</v>
      </c>
      <c r="C330" s="226" t="s">
        <v>470</v>
      </c>
      <c r="D330" s="170">
        <v>9</v>
      </c>
      <c r="E330" s="288">
        <v>66</v>
      </c>
      <c r="F330" s="291" t="str">
        <f>VLOOKUP(Calculation!A330,'Descriptor maps'!$A$2:$F$1658,2,0)</f>
        <v>Management</v>
      </c>
      <c r="G330" s="296"/>
      <c r="H330" s="290"/>
      <c r="I330" s="291"/>
      <c r="J330" s="292" t="e" cm="1">
        <f t="array" ref="J330">INDEX('Descriptor maps'!$I$2:$I$1658,MATCH(1,('Descriptor maps'!$A$2:$A$1658=Calculation!$A330)*('Descriptor maps'!$G$2:$G$1658=Calculation!$G330),0))</f>
        <v>#N/A</v>
      </c>
      <c r="K330" s="226"/>
      <c r="L330" s="293"/>
      <c r="M330" s="293"/>
      <c r="N330" s="293"/>
      <c r="O330" s="293"/>
      <c r="P330" s="293"/>
      <c r="Q330" s="293"/>
      <c r="R330" s="293"/>
      <c r="S330" s="293"/>
      <c r="T330" s="293"/>
      <c r="U330" s="293"/>
      <c r="V330" s="293"/>
      <c r="W330" s="293"/>
      <c r="X330" s="293"/>
      <c r="Y330" s="293"/>
      <c r="Z330" s="293"/>
      <c r="AA330" s="293"/>
      <c r="AB330" s="293"/>
      <c r="AC330" s="293"/>
      <c r="AD330" s="293"/>
      <c r="AE330" s="293"/>
      <c r="AF330" s="293"/>
      <c r="AG330" s="293"/>
      <c r="AH330" s="293"/>
      <c r="AI330" s="293"/>
      <c r="AJ330" s="293"/>
      <c r="AK330" s="293"/>
      <c r="AL330" s="293"/>
      <c r="AM330" s="293"/>
      <c r="AN330" s="293"/>
      <c r="AO330" s="293"/>
      <c r="AP330" s="293"/>
      <c r="AQ330" s="293"/>
      <c r="AR330" s="293"/>
      <c r="AS330" s="293"/>
      <c r="AT330" s="293"/>
      <c r="AU330" s="293"/>
      <c r="AV330" s="293"/>
      <c r="AW330" s="293"/>
      <c r="AX330" s="293"/>
      <c r="AY330" s="293"/>
      <c r="AZ330" s="293"/>
      <c r="BA330" s="293"/>
      <c r="BB330" s="293"/>
      <c r="BC330" s="293"/>
      <c r="BD330" s="293"/>
      <c r="BE330" s="293"/>
      <c r="BF330" s="293"/>
      <c r="BG330" s="293"/>
      <c r="BH330" s="293"/>
      <c r="BI330" s="293"/>
      <c r="BJ330" s="293"/>
      <c r="BK330" s="293"/>
      <c r="BL330" s="293"/>
      <c r="BM330" s="293"/>
      <c r="BN330" s="293"/>
      <c r="BO330" s="293"/>
      <c r="BP330" s="293"/>
      <c r="BQ330" s="293"/>
      <c r="BR330" s="293"/>
      <c r="BS330" s="293"/>
      <c r="BT330" s="293"/>
      <c r="BU330" s="293"/>
      <c r="BV330" s="293"/>
      <c r="BW330" s="293"/>
      <c r="BX330" s="293"/>
      <c r="BY330" s="293"/>
      <c r="BZ330" s="293"/>
      <c r="CA330" s="285"/>
      <c r="CB330" s="286"/>
      <c r="CC330" s="286"/>
      <c r="CD330" s="286"/>
      <c r="CE330" s="286"/>
      <c r="CF330" s="286"/>
      <c r="CG330" s="286"/>
      <c r="CH330" s="286"/>
      <c r="CI330" s="286"/>
      <c r="CJ330" s="286"/>
      <c r="CK330" s="286"/>
      <c r="CL330" s="286"/>
      <c r="CM330" s="286"/>
      <c r="CN330" s="286"/>
      <c r="CO330" s="286"/>
      <c r="CP330" s="286"/>
      <c r="CQ330" s="286"/>
      <c r="CR330" s="286"/>
      <c r="CS330" s="286"/>
      <c r="CT330" s="286"/>
      <c r="CU330" s="286"/>
      <c r="CV330" s="286"/>
      <c r="CW330" s="286"/>
      <c r="CX330" s="286"/>
      <c r="CY330" s="286"/>
      <c r="CZ330" s="286"/>
      <c r="DA330" s="286"/>
      <c r="DB330" s="286"/>
      <c r="DC330" s="286"/>
      <c r="DD330" s="286"/>
      <c r="DE330" s="286"/>
      <c r="DF330" s="286"/>
      <c r="DG330" s="286"/>
      <c r="DH330" s="286"/>
      <c r="DI330" s="286"/>
      <c r="DJ330" s="286"/>
      <c r="DK330" s="286"/>
      <c r="DL330" s="286"/>
      <c r="DM330" s="286"/>
      <c r="DN330" s="286"/>
      <c r="DO330" s="286"/>
      <c r="DP330" s="286"/>
      <c r="DR330" s="58" t="str">
        <f>IF(ISNUMBER(MATCH(#REF!,'Audit Characteristic Mapping'!$B$3:$B$500,0)),"Y","")</f>
        <v/>
      </c>
      <c r="DS330" s="58" t="str">
        <f>IF(ISNUMBER(MATCH(#REF!,'Audit Characteristic Mapping'!$C$3:$C$500,0)),"Y","")</f>
        <v/>
      </c>
      <c r="DT330" s="58" t="str">
        <f>IF(ISNUMBER(MATCH(#REF!,'Audit Characteristic Mapping'!$D$3:$D$500,0)),"Y","")</f>
        <v/>
      </c>
      <c r="DU330" s="58" t="str">
        <f>IF(ISNUMBER(MATCH(#REF!,'Audit Characteristic Mapping'!$E$3:$E$500,0)),"Y","")</f>
        <v/>
      </c>
      <c r="DV330" s="58" t="str">
        <f>IF(ISNUMBER(MATCH(#REF!,'Audit Characteristic Mapping'!$F$3:$F$500,0)),"Y","")</f>
        <v/>
      </c>
      <c r="DW330" s="58" t="str">
        <f>IF(ISNUMBER(MATCH(#REF!,'Audit Characteristic Mapping'!$G$3:$G$500,0)),"Y","")</f>
        <v/>
      </c>
      <c r="DX330" s="58" t="str">
        <f>IF(ISNUMBER(MATCH(#REF!,'Audit Characteristic Mapping'!$H$3:$H$500,0)),"Y","")</f>
        <v/>
      </c>
      <c r="DY330" s="58" t="str">
        <f>IF(ISNUMBER(MATCH(#REF!,'Audit Characteristic Mapping'!$I$3:$I$500,0)),"Y","")</f>
        <v/>
      </c>
      <c r="DZ330" s="58" t="str">
        <f>IF(ISNUMBER(MATCH(#REF!,'Audit Characteristic Mapping'!$J$3:$J$500,0)),"Y","")</f>
        <v/>
      </c>
      <c r="EA330" s="58" t="str">
        <f>IF(ISNUMBER(MATCH(#REF!,'Audit Characteristic Mapping'!$K$3:$K$500,0)),"Y","")</f>
        <v/>
      </c>
    </row>
    <row r="331" spans="1:131" ht="16" hidden="1" x14ac:dyDescent="0.2">
      <c r="A331" s="288">
        <v>322</v>
      </c>
      <c r="B331" s="287" t="s">
        <v>450</v>
      </c>
      <c r="C331" s="226" t="s">
        <v>470</v>
      </c>
      <c r="D331" s="170">
        <v>9</v>
      </c>
      <c r="E331" s="288">
        <v>66</v>
      </c>
      <c r="F331" s="291" t="str">
        <f>VLOOKUP(Calculation!A331,'Descriptor maps'!$A$2:$F$1658,2,0)</f>
        <v>Management</v>
      </c>
      <c r="G331" s="296"/>
      <c r="H331" s="290"/>
      <c r="I331" s="291"/>
      <c r="J331" s="292" t="e" cm="1">
        <f t="array" ref="J331">INDEX('Descriptor maps'!$I$2:$I$1658,MATCH(1,('Descriptor maps'!$A$2:$A$1658=Calculation!$A331)*('Descriptor maps'!$G$2:$G$1658=Calculation!$G331),0))</f>
        <v>#N/A</v>
      </c>
      <c r="K331" s="226"/>
      <c r="L331" s="293"/>
      <c r="M331" s="293"/>
      <c r="N331" s="293"/>
      <c r="O331" s="293"/>
      <c r="P331" s="293"/>
      <c r="Q331" s="293"/>
      <c r="R331" s="293"/>
      <c r="S331" s="293"/>
      <c r="T331" s="293"/>
      <c r="U331" s="293"/>
      <c r="V331" s="293"/>
      <c r="W331" s="293"/>
      <c r="X331" s="293"/>
      <c r="Y331" s="293"/>
      <c r="Z331" s="293"/>
      <c r="AA331" s="293"/>
      <c r="AB331" s="293"/>
      <c r="AC331" s="293"/>
      <c r="AD331" s="293"/>
      <c r="AE331" s="293"/>
      <c r="AF331" s="293"/>
      <c r="AG331" s="293"/>
      <c r="AH331" s="293"/>
      <c r="AI331" s="293"/>
      <c r="AJ331" s="293"/>
      <c r="AK331" s="293"/>
      <c r="AL331" s="293"/>
      <c r="AM331" s="293"/>
      <c r="AN331" s="293"/>
      <c r="AO331" s="293"/>
      <c r="AP331" s="293"/>
      <c r="AQ331" s="293"/>
      <c r="AR331" s="293"/>
      <c r="AS331" s="293"/>
      <c r="AT331" s="293"/>
      <c r="AU331" s="293"/>
      <c r="AV331" s="293"/>
      <c r="AW331" s="293"/>
      <c r="AX331" s="293"/>
      <c r="AY331" s="293"/>
      <c r="AZ331" s="293"/>
      <c r="BA331" s="293"/>
      <c r="BB331" s="293"/>
      <c r="BC331" s="293"/>
      <c r="BD331" s="293"/>
      <c r="BE331" s="293"/>
      <c r="BF331" s="293"/>
      <c r="BG331" s="293"/>
      <c r="BH331" s="293"/>
      <c r="BI331" s="293"/>
      <c r="BJ331" s="293"/>
      <c r="BK331" s="293"/>
      <c r="BL331" s="293"/>
      <c r="BM331" s="293"/>
      <c r="BN331" s="293"/>
      <c r="BO331" s="293"/>
      <c r="BP331" s="293"/>
      <c r="BQ331" s="293"/>
      <c r="BR331" s="293"/>
      <c r="BS331" s="293"/>
      <c r="BT331" s="293"/>
      <c r="BU331" s="293"/>
      <c r="BV331" s="293"/>
      <c r="BW331" s="293"/>
      <c r="BX331" s="293"/>
      <c r="BY331" s="293"/>
      <c r="BZ331" s="293"/>
      <c r="CA331" s="285"/>
      <c r="CB331" s="286"/>
      <c r="CC331" s="286"/>
      <c r="CD331" s="286"/>
      <c r="CE331" s="286"/>
      <c r="CF331" s="286"/>
      <c r="CG331" s="286"/>
      <c r="CH331" s="286"/>
      <c r="CI331" s="286"/>
      <c r="CJ331" s="286"/>
      <c r="CK331" s="286"/>
      <c r="CL331" s="286"/>
      <c r="CM331" s="286"/>
      <c r="CN331" s="286"/>
      <c r="CO331" s="286"/>
      <c r="CP331" s="286"/>
      <c r="CQ331" s="286"/>
      <c r="CR331" s="286"/>
      <c r="CS331" s="286"/>
      <c r="CT331" s="286"/>
      <c r="CU331" s="286"/>
      <c r="CV331" s="286"/>
      <c r="CW331" s="286"/>
      <c r="CX331" s="286"/>
      <c r="CY331" s="286"/>
      <c r="CZ331" s="286"/>
      <c r="DA331" s="286"/>
      <c r="DB331" s="286"/>
      <c r="DC331" s="286"/>
      <c r="DD331" s="286"/>
      <c r="DE331" s="286"/>
      <c r="DF331" s="286"/>
      <c r="DG331" s="286"/>
      <c r="DH331" s="286"/>
      <c r="DI331" s="286"/>
      <c r="DJ331" s="286"/>
      <c r="DK331" s="286"/>
      <c r="DL331" s="286"/>
      <c r="DM331" s="286"/>
      <c r="DN331" s="286"/>
      <c r="DO331" s="286"/>
      <c r="DP331" s="286"/>
      <c r="DR331" s="58" t="str">
        <f>IF(ISNUMBER(MATCH(#REF!,'Audit Characteristic Mapping'!$B$3:$B$500,0)),"Y","")</f>
        <v/>
      </c>
      <c r="DS331" s="58" t="str">
        <f>IF(ISNUMBER(MATCH(#REF!,'Audit Characteristic Mapping'!$C$3:$C$500,0)),"Y","")</f>
        <v/>
      </c>
      <c r="DT331" s="58" t="str">
        <f>IF(ISNUMBER(MATCH(#REF!,'Audit Characteristic Mapping'!$D$3:$D$500,0)),"Y","")</f>
        <v/>
      </c>
      <c r="DU331" s="58" t="str">
        <f>IF(ISNUMBER(MATCH(#REF!,'Audit Characteristic Mapping'!$E$3:$E$500,0)),"Y","")</f>
        <v/>
      </c>
      <c r="DV331" s="58" t="str">
        <f>IF(ISNUMBER(MATCH(#REF!,'Audit Characteristic Mapping'!$F$3:$F$500,0)),"Y","")</f>
        <v/>
      </c>
      <c r="DW331" s="58" t="str">
        <f>IF(ISNUMBER(MATCH(#REF!,'Audit Characteristic Mapping'!$G$3:$G$500,0)),"Y","")</f>
        <v/>
      </c>
      <c r="DX331" s="58" t="str">
        <f>IF(ISNUMBER(MATCH(#REF!,'Audit Characteristic Mapping'!$H$3:$H$500,0)),"Y","")</f>
        <v/>
      </c>
      <c r="DY331" s="58" t="str">
        <f>IF(ISNUMBER(MATCH(#REF!,'Audit Characteristic Mapping'!$I$3:$I$500,0)),"Y","")</f>
        <v/>
      </c>
      <c r="DZ331" s="58" t="str">
        <f>IF(ISNUMBER(MATCH(#REF!,'Audit Characteristic Mapping'!$J$3:$J$500,0)),"Y","")</f>
        <v/>
      </c>
      <c r="EA331" s="58" t="str">
        <f>IF(ISNUMBER(MATCH(#REF!,'Audit Characteristic Mapping'!$K$3:$K$500,0)),"Y","")</f>
        <v/>
      </c>
    </row>
    <row r="332" spans="1:131" ht="16" hidden="1" x14ac:dyDescent="0.2">
      <c r="A332" s="288">
        <v>323</v>
      </c>
      <c r="B332" s="287" t="s">
        <v>450</v>
      </c>
      <c r="C332" s="226" t="s">
        <v>470</v>
      </c>
      <c r="D332" s="170">
        <v>9</v>
      </c>
      <c r="E332" s="288">
        <v>66</v>
      </c>
      <c r="F332" s="291" t="str">
        <f>VLOOKUP(Calculation!A332,'Descriptor maps'!$A$2:$F$1658,2,0)</f>
        <v>Management</v>
      </c>
      <c r="G332" s="296"/>
      <c r="H332" s="290"/>
      <c r="I332" s="291"/>
      <c r="J332" s="292" t="e" cm="1">
        <f t="array" ref="J332">INDEX('Descriptor maps'!$I$2:$I$1658,MATCH(1,('Descriptor maps'!$A$2:$A$1658=Calculation!$A332)*('Descriptor maps'!$G$2:$G$1658=Calculation!$G332),0))</f>
        <v>#N/A</v>
      </c>
      <c r="K332" s="226"/>
      <c r="L332" s="293"/>
      <c r="M332" s="293"/>
      <c r="N332" s="293"/>
      <c r="O332" s="293"/>
      <c r="P332" s="293"/>
      <c r="Q332" s="293"/>
      <c r="R332" s="293"/>
      <c r="S332" s="293"/>
      <c r="T332" s="293"/>
      <c r="U332" s="293"/>
      <c r="V332" s="293"/>
      <c r="W332" s="293"/>
      <c r="X332" s="293"/>
      <c r="Y332" s="293"/>
      <c r="Z332" s="293"/>
      <c r="AA332" s="293"/>
      <c r="AB332" s="293"/>
      <c r="AC332" s="293"/>
      <c r="AD332" s="293"/>
      <c r="AE332" s="293"/>
      <c r="AF332" s="293"/>
      <c r="AG332" s="293"/>
      <c r="AH332" s="293"/>
      <c r="AI332" s="293"/>
      <c r="AJ332" s="293"/>
      <c r="AK332" s="293"/>
      <c r="AL332" s="293"/>
      <c r="AM332" s="293"/>
      <c r="AN332" s="293"/>
      <c r="AO332" s="293"/>
      <c r="AP332" s="293"/>
      <c r="AQ332" s="293"/>
      <c r="AR332" s="293"/>
      <c r="AS332" s="293"/>
      <c r="AT332" s="293"/>
      <c r="AU332" s="293"/>
      <c r="AV332" s="293"/>
      <c r="AW332" s="293"/>
      <c r="AX332" s="293"/>
      <c r="AY332" s="293"/>
      <c r="AZ332" s="293"/>
      <c r="BA332" s="293"/>
      <c r="BB332" s="293"/>
      <c r="BC332" s="293"/>
      <c r="BD332" s="293"/>
      <c r="BE332" s="293"/>
      <c r="BF332" s="293"/>
      <c r="BG332" s="293"/>
      <c r="BH332" s="293"/>
      <c r="BI332" s="293"/>
      <c r="BJ332" s="293"/>
      <c r="BK332" s="293"/>
      <c r="BL332" s="293"/>
      <c r="BM332" s="293"/>
      <c r="BN332" s="293"/>
      <c r="BO332" s="293"/>
      <c r="BP332" s="293"/>
      <c r="BQ332" s="293"/>
      <c r="BR332" s="293"/>
      <c r="BS332" s="293"/>
      <c r="BT332" s="293"/>
      <c r="BU332" s="293"/>
      <c r="BV332" s="293"/>
      <c r="BW332" s="293"/>
      <c r="BX332" s="293"/>
      <c r="BY332" s="293"/>
      <c r="BZ332" s="293"/>
      <c r="CA332" s="285"/>
      <c r="CB332" s="286"/>
      <c r="CC332" s="286"/>
      <c r="CD332" s="286"/>
      <c r="CE332" s="286"/>
      <c r="CF332" s="286"/>
      <c r="CG332" s="286"/>
      <c r="CH332" s="286"/>
      <c r="CI332" s="286"/>
      <c r="CJ332" s="286"/>
      <c r="CK332" s="286"/>
      <c r="CL332" s="286"/>
      <c r="CM332" s="286"/>
      <c r="CN332" s="286"/>
      <c r="CO332" s="286"/>
      <c r="CP332" s="286"/>
      <c r="CQ332" s="286"/>
      <c r="CR332" s="286"/>
      <c r="CS332" s="286"/>
      <c r="CT332" s="286"/>
      <c r="CU332" s="286"/>
      <c r="CV332" s="286"/>
      <c r="CW332" s="286"/>
      <c r="CX332" s="286"/>
      <c r="CY332" s="286"/>
      <c r="CZ332" s="286"/>
      <c r="DA332" s="286"/>
      <c r="DB332" s="286"/>
      <c r="DC332" s="286"/>
      <c r="DD332" s="286"/>
      <c r="DE332" s="286"/>
      <c r="DF332" s="286"/>
      <c r="DG332" s="286"/>
      <c r="DH332" s="286"/>
      <c r="DI332" s="286"/>
      <c r="DJ332" s="286"/>
      <c r="DK332" s="286"/>
      <c r="DL332" s="286"/>
      <c r="DM332" s="286"/>
      <c r="DN332" s="286"/>
      <c r="DO332" s="286"/>
      <c r="DP332" s="286"/>
      <c r="DR332" s="58" t="str">
        <f>IF(ISNUMBER(MATCH(#REF!,'Audit Characteristic Mapping'!$B$3:$B$500,0)),"Y","")</f>
        <v/>
      </c>
      <c r="DS332" s="58" t="str">
        <f>IF(ISNUMBER(MATCH(#REF!,'Audit Characteristic Mapping'!$C$3:$C$500,0)),"Y","")</f>
        <v/>
      </c>
      <c r="DT332" s="58" t="str">
        <f>IF(ISNUMBER(MATCH(#REF!,'Audit Characteristic Mapping'!$D$3:$D$500,0)),"Y","")</f>
        <v/>
      </c>
      <c r="DU332" s="58" t="str">
        <f>IF(ISNUMBER(MATCH(#REF!,'Audit Characteristic Mapping'!$E$3:$E$500,0)),"Y","")</f>
        <v/>
      </c>
      <c r="DV332" s="58" t="str">
        <f>IF(ISNUMBER(MATCH(#REF!,'Audit Characteristic Mapping'!$F$3:$F$500,0)),"Y","")</f>
        <v/>
      </c>
      <c r="DW332" s="58" t="str">
        <f>IF(ISNUMBER(MATCH(#REF!,'Audit Characteristic Mapping'!$G$3:$G$500,0)),"Y","")</f>
        <v/>
      </c>
      <c r="DX332" s="58" t="str">
        <f>IF(ISNUMBER(MATCH(#REF!,'Audit Characteristic Mapping'!$H$3:$H$500,0)),"Y","")</f>
        <v/>
      </c>
      <c r="DY332" s="58" t="str">
        <f>IF(ISNUMBER(MATCH(#REF!,'Audit Characteristic Mapping'!$I$3:$I$500,0)),"Y","")</f>
        <v/>
      </c>
      <c r="DZ332" s="58" t="str">
        <f>IF(ISNUMBER(MATCH(#REF!,'Audit Characteristic Mapping'!$J$3:$J$500,0)),"Y","")</f>
        <v/>
      </c>
      <c r="EA332" s="58" t="str">
        <f>IF(ISNUMBER(MATCH(#REF!,'Audit Characteristic Mapping'!$K$3:$K$500,0)),"Y","")</f>
        <v/>
      </c>
    </row>
    <row r="333" spans="1:131" ht="16" hidden="1" x14ac:dyDescent="0.2">
      <c r="A333" s="288">
        <v>324</v>
      </c>
      <c r="B333" s="287" t="s">
        <v>450</v>
      </c>
      <c r="C333" s="226" t="s">
        <v>470</v>
      </c>
      <c r="D333" s="170">
        <v>9</v>
      </c>
      <c r="E333" s="288">
        <v>66</v>
      </c>
      <c r="F333" s="291" t="str">
        <f>VLOOKUP(Calculation!A333,'Descriptor maps'!$A$2:$F$1658,2,0)</f>
        <v>Management</v>
      </c>
      <c r="G333" s="296"/>
      <c r="H333" s="290"/>
      <c r="I333" s="291"/>
      <c r="J333" s="292" t="e" cm="1">
        <f t="array" ref="J333">INDEX('Descriptor maps'!$I$2:$I$1658,MATCH(1,('Descriptor maps'!$A$2:$A$1658=Calculation!$A333)*('Descriptor maps'!$G$2:$G$1658=Calculation!$G333),0))</f>
        <v>#N/A</v>
      </c>
      <c r="K333" s="226"/>
      <c r="L333" s="293"/>
      <c r="M333" s="293"/>
      <c r="N333" s="293"/>
      <c r="O333" s="293"/>
      <c r="P333" s="293"/>
      <c r="Q333" s="293"/>
      <c r="R333" s="293"/>
      <c r="S333" s="293"/>
      <c r="T333" s="293"/>
      <c r="U333" s="293"/>
      <c r="V333" s="293"/>
      <c r="W333" s="293"/>
      <c r="X333" s="293"/>
      <c r="Y333" s="293"/>
      <c r="Z333" s="293"/>
      <c r="AA333" s="293"/>
      <c r="AB333" s="293"/>
      <c r="AC333" s="293"/>
      <c r="AD333" s="293"/>
      <c r="AE333" s="293"/>
      <c r="AF333" s="293"/>
      <c r="AG333" s="293"/>
      <c r="AH333" s="293"/>
      <c r="AI333" s="293"/>
      <c r="AJ333" s="293"/>
      <c r="AK333" s="293"/>
      <c r="AL333" s="293"/>
      <c r="AM333" s="293"/>
      <c r="AN333" s="293"/>
      <c r="AO333" s="293"/>
      <c r="AP333" s="293"/>
      <c r="AQ333" s="293"/>
      <c r="AR333" s="293"/>
      <c r="AS333" s="293"/>
      <c r="AT333" s="293"/>
      <c r="AU333" s="293"/>
      <c r="AV333" s="293"/>
      <c r="AW333" s="293"/>
      <c r="AX333" s="293"/>
      <c r="AY333" s="293"/>
      <c r="AZ333" s="293"/>
      <c r="BA333" s="293"/>
      <c r="BB333" s="293"/>
      <c r="BC333" s="293"/>
      <c r="BD333" s="293"/>
      <c r="BE333" s="293"/>
      <c r="BF333" s="293"/>
      <c r="BG333" s="293"/>
      <c r="BH333" s="293"/>
      <c r="BI333" s="293"/>
      <c r="BJ333" s="293"/>
      <c r="BK333" s="293"/>
      <c r="BL333" s="293"/>
      <c r="BM333" s="293"/>
      <c r="BN333" s="293"/>
      <c r="BO333" s="293"/>
      <c r="BP333" s="293"/>
      <c r="BQ333" s="293"/>
      <c r="BR333" s="293"/>
      <c r="BS333" s="293"/>
      <c r="BT333" s="293"/>
      <c r="BU333" s="293"/>
      <c r="BV333" s="293"/>
      <c r="BW333" s="293"/>
      <c r="BX333" s="293"/>
      <c r="BY333" s="293"/>
      <c r="BZ333" s="293"/>
      <c r="CA333" s="285"/>
      <c r="CB333" s="286"/>
      <c r="CC333" s="286"/>
      <c r="CD333" s="286"/>
      <c r="CE333" s="286"/>
      <c r="CF333" s="286"/>
      <c r="CG333" s="286"/>
      <c r="CH333" s="286"/>
      <c r="CI333" s="286"/>
      <c r="CJ333" s="286"/>
      <c r="CK333" s="286"/>
      <c r="CL333" s="286"/>
      <c r="CM333" s="286"/>
      <c r="CN333" s="286"/>
      <c r="CO333" s="286"/>
      <c r="CP333" s="286"/>
      <c r="CQ333" s="286"/>
      <c r="CR333" s="286"/>
      <c r="CS333" s="286"/>
      <c r="CT333" s="286"/>
      <c r="CU333" s="286"/>
      <c r="CV333" s="286"/>
      <c r="CW333" s="286"/>
      <c r="CX333" s="286"/>
      <c r="CY333" s="286"/>
      <c r="CZ333" s="286"/>
      <c r="DA333" s="286"/>
      <c r="DB333" s="286"/>
      <c r="DC333" s="286"/>
      <c r="DD333" s="286"/>
      <c r="DE333" s="286"/>
      <c r="DF333" s="286"/>
      <c r="DG333" s="286"/>
      <c r="DH333" s="286"/>
      <c r="DI333" s="286"/>
      <c r="DJ333" s="286"/>
      <c r="DK333" s="286"/>
      <c r="DL333" s="286"/>
      <c r="DM333" s="286"/>
      <c r="DN333" s="286"/>
      <c r="DO333" s="286"/>
      <c r="DP333" s="286"/>
      <c r="DR333" s="58" t="str">
        <f>IF(ISNUMBER(MATCH(#REF!,'Audit Characteristic Mapping'!$B$3:$B$500,0)),"Y","")</f>
        <v/>
      </c>
      <c r="DS333" s="58" t="str">
        <f>IF(ISNUMBER(MATCH(#REF!,'Audit Characteristic Mapping'!$C$3:$C$500,0)),"Y","")</f>
        <v/>
      </c>
      <c r="DT333" s="58" t="str">
        <f>IF(ISNUMBER(MATCH(#REF!,'Audit Characteristic Mapping'!$D$3:$D$500,0)),"Y","")</f>
        <v/>
      </c>
      <c r="DU333" s="58" t="str">
        <f>IF(ISNUMBER(MATCH(#REF!,'Audit Characteristic Mapping'!$E$3:$E$500,0)),"Y","")</f>
        <v/>
      </c>
      <c r="DV333" s="58" t="str">
        <f>IF(ISNUMBER(MATCH(#REF!,'Audit Characteristic Mapping'!$F$3:$F$500,0)),"Y","")</f>
        <v/>
      </c>
      <c r="DW333" s="58" t="str">
        <f>IF(ISNUMBER(MATCH(#REF!,'Audit Characteristic Mapping'!$G$3:$G$500,0)),"Y","")</f>
        <v/>
      </c>
      <c r="DX333" s="58" t="str">
        <f>IF(ISNUMBER(MATCH(#REF!,'Audit Characteristic Mapping'!$H$3:$H$500,0)),"Y","")</f>
        <v/>
      </c>
      <c r="DY333" s="58" t="str">
        <f>IF(ISNUMBER(MATCH(#REF!,'Audit Characteristic Mapping'!$I$3:$I$500,0)),"Y","")</f>
        <v/>
      </c>
      <c r="DZ333" s="58" t="str">
        <f>IF(ISNUMBER(MATCH(#REF!,'Audit Characteristic Mapping'!$J$3:$J$500,0)),"Y","")</f>
        <v/>
      </c>
      <c r="EA333" s="58" t="str">
        <f>IF(ISNUMBER(MATCH(#REF!,'Audit Characteristic Mapping'!$K$3:$K$500,0)),"Y","")</f>
        <v/>
      </c>
    </row>
    <row r="334" spans="1:131" ht="16" hidden="1" x14ac:dyDescent="0.2">
      <c r="A334" s="288">
        <v>325</v>
      </c>
      <c r="B334" s="287" t="s">
        <v>450</v>
      </c>
      <c r="C334" s="226" t="s">
        <v>470</v>
      </c>
      <c r="D334" s="170">
        <v>9</v>
      </c>
      <c r="E334" s="288">
        <v>66</v>
      </c>
      <c r="F334" s="291" t="str">
        <f>VLOOKUP(Calculation!A334,'Descriptor maps'!$A$2:$F$1658,2,0)</f>
        <v>Management</v>
      </c>
      <c r="G334" s="296"/>
      <c r="H334" s="290"/>
      <c r="I334" s="291"/>
      <c r="J334" s="292" t="e" cm="1">
        <f t="array" ref="J334">INDEX('Descriptor maps'!$I$2:$I$1658,MATCH(1,('Descriptor maps'!$A$2:$A$1658=Calculation!$A334)*('Descriptor maps'!$G$2:$G$1658=Calculation!$G334),0))</f>
        <v>#N/A</v>
      </c>
      <c r="K334" s="226"/>
      <c r="L334" s="293"/>
      <c r="M334" s="293"/>
      <c r="N334" s="293"/>
      <c r="O334" s="293"/>
      <c r="P334" s="293"/>
      <c r="Q334" s="293"/>
      <c r="R334" s="293"/>
      <c r="S334" s="293"/>
      <c r="T334" s="293"/>
      <c r="U334" s="293"/>
      <c r="V334" s="293"/>
      <c r="W334" s="293"/>
      <c r="X334" s="293"/>
      <c r="Y334" s="293"/>
      <c r="Z334" s="293"/>
      <c r="AA334" s="293"/>
      <c r="AB334" s="293"/>
      <c r="AC334" s="293"/>
      <c r="AD334" s="293"/>
      <c r="AE334" s="293"/>
      <c r="AF334" s="293"/>
      <c r="AG334" s="293"/>
      <c r="AH334" s="293"/>
      <c r="AI334" s="293"/>
      <c r="AJ334" s="293"/>
      <c r="AK334" s="293"/>
      <c r="AL334" s="293"/>
      <c r="AM334" s="293"/>
      <c r="AN334" s="293"/>
      <c r="AO334" s="293"/>
      <c r="AP334" s="293"/>
      <c r="AQ334" s="293"/>
      <c r="AR334" s="293"/>
      <c r="AS334" s="293"/>
      <c r="AT334" s="293"/>
      <c r="AU334" s="293"/>
      <c r="AV334" s="293"/>
      <c r="AW334" s="293"/>
      <c r="AX334" s="293"/>
      <c r="AY334" s="293"/>
      <c r="AZ334" s="293"/>
      <c r="BA334" s="293"/>
      <c r="BB334" s="293"/>
      <c r="BC334" s="293"/>
      <c r="BD334" s="293"/>
      <c r="BE334" s="293"/>
      <c r="BF334" s="293"/>
      <c r="BG334" s="293"/>
      <c r="BH334" s="293"/>
      <c r="BI334" s="293"/>
      <c r="BJ334" s="293"/>
      <c r="BK334" s="293"/>
      <c r="BL334" s="293"/>
      <c r="BM334" s="293"/>
      <c r="BN334" s="293"/>
      <c r="BO334" s="293"/>
      <c r="BP334" s="293"/>
      <c r="BQ334" s="293"/>
      <c r="BR334" s="293"/>
      <c r="BS334" s="293"/>
      <c r="BT334" s="293"/>
      <c r="BU334" s="293"/>
      <c r="BV334" s="293"/>
      <c r="BW334" s="293"/>
      <c r="BX334" s="293"/>
      <c r="BY334" s="293"/>
      <c r="BZ334" s="293"/>
      <c r="CA334" s="285"/>
      <c r="CB334" s="286"/>
      <c r="CC334" s="286"/>
      <c r="CD334" s="286"/>
      <c r="CE334" s="286"/>
      <c r="CF334" s="286"/>
      <c r="CG334" s="286"/>
      <c r="CH334" s="286"/>
      <c r="CI334" s="286"/>
      <c r="CJ334" s="286"/>
      <c r="CK334" s="286"/>
      <c r="CL334" s="286"/>
      <c r="CM334" s="286"/>
      <c r="CN334" s="286"/>
      <c r="CO334" s="286"/>
      <c r="CP334" s="286"/>
      <c r="CQ334" s="286"/>
      <c r="CR334" s="286"/>
      <c r="CS334" s="286"/>
      <c r="CT334" s="286"/>
      <c r="CU334" s="286"/>
      <c r="CV334" s="286"/>
      <c r="CW334" s="286"/>
      <c r="CX334" s="286"/>
      <c r="CY334" s="286"/>
      <c r="CZ334" s="286"/>
      <c r="DA334" s="286"/>
      <c r="DB334" s="286"/>
      <c r="DC334" s="286"/>
      <c r="DD334" s="286"/>
      <c r="DE334" s="286"/>
      <c r="DF334" s="286"/>
      <c r="DG334" s="286"/>
      <c r="DH334" s="286"/>
      <c r="DI334" s="286"/>
      <c r="DJ334" s="286"/>
      <c r="DK334" s="286"/>
      <c r="DL334" s="286"/>
      <c r="DM334" s="286"/>
      <c r="DN334" s="286"/>
      <c r="DO334" s="286"/>
      <c r="DP334" s="286"/>
      <c r="DR334" s="58" t="str">
        <f>IF(ISNUMBER(MATCH(#REF!,'Audit Characteristic Mapping'!$B$3:$B$500,0)),"Y","")</f>
        <v/>
      </c>
      <c r="DS334" s="58" t="str">
        <f>IF(ISNUMBER(MATCH(#REF!,'Audit Characteristic Mapping'!$C$3:$C$500,0)),"Y","")</f>
        <v/>
      </c>
      <c r="DT334" s="58" t="str">
        <f>IF(ISNUMBER(MATCH(#REF!,'Audit Characteristic Mapping'!$D$3:$D$500,0)),"Y","")</f>
        <v/>
      </c>
      <c r="DU334" s="58" t="str">
        <f>IF(ISNUMBER(MATCH(#REF!,'Audit Characteristic Mapping'!$E$3:$E$500,0)),"Y","")</f>
        <v/>
      </c>
      <c r="DV334" s="58" t="str">
        <f>IF(ISNUMBER(MATCH(#REF!,'Audit Characteristic Mapping'!$F$3:$F$500,0)),"Y","")</f>
        <v/>
      </c>
      <c r="DW334" s="58" t="str">
        <f>IF(ISNUMBER(MATCH(#REF!,'Audit Characteristic Mapping'!$G$3:$G$500,0)),"Y","")</f>
        <v/>
      </c>
      <c r="DX334" s="58" t="str">
        <f>IF(ISNUMBER(MATCH(#REF!,'Audit Characteristic Mapping'!$H$3:$H$500,0)),"Y","")</f>
        <v/>
      </c>
      <c r="DY334" s="58" t="str">
        <f>IF(ISNUMBER(MATCH(#REF!,'Audit Characteristic Mapping'!$I$3:$I$500,0)),"Y","")</f>
        <v/>
      </c>
      <c r="DZ334" s="58" t="str">
        <f>IF(ISNUMBER(MATCH(#REF!,'Audit Characteristic Mapping'!$J$3:$J$500,0)),"Y","")</f>
        <v/>
      </c>
      <c r="EA334" s="58" t="str">
        <f>IF(ISNUMBER(MATCH(#REF!,'Audit Characteristic Mapping'!$K$3:$K$500,0)),"Y","")</f>
        <v/>
      </c>
    </row>
    <row r="335" spans="1:131" ht="16" hidden="1" x14ac:dyDescent="0.2">
      <c r="A335" s="288">
        <v>326</v>
      </c>
      <c r="B335" s="287" t="s">
        <v>450</v>
      </c>
      <c r="C335" s="226" t="s">
        <v>470</v>
      </c>
      <c r="D335" s="170">
        <v>9</v>
      </c>
      <c r="E335" s="288">
        <v>66</v>
      </c>
      <c r="F335" s="291" t="str">
        <f>VLOOKUP(Calculation!A335,'Descriptor maps'!$A$2:$F$1658,2,0)</f>
        <v>Management</v>
      </c>
      <c r="G335" s="296"/>
      <c r="H335" s="290"/>
      <c r="I335" s="291"/>
      <c r="J335" s="292" t="e" cm="1">
        <f t="array" ref="J335">INDEX('Descriptor maps'!$I$2:$I$1658,MATCH(1,('Descriptor maps'!$A$2:$A$1658=Calculation!$A335)*('Descriptor maps'!$G$2:$G$1658=Calculation!$G335),0))</f>
        <v>#N/A</v>
      </c>
      <c r="K335" s="226"/>
      <c r="L335" s="293"/>
      <c r="M335" s="293"/>
      <c r="N335" s="293"/>
      <c r="O335" s="293"/>
      <c r="P335" s="293"/>
      <c r="Q335" s="293"/>
      <c r="R335" s="293"/>
      <c r="S335" s="293"/>
      <c r="T335" s="293"/>
      <c r="U335" s="293"/>
      <c r="V335" s="293"/>
      <c r="W335" s="293"/>
      <c r="X335" s="293"/>
      <c r="Y335" s="293"/>
      <c r="Z335" s="293"/>
      <c r="AA335" s="293"/>
      <c r="AB335" s="293"/>
      <c r="AC335" s="293"/>
      <c r="AD335" s="293"/>
      <c r="AE335" s="293"/>
      <c r="AF335" s="293"/>
      <c r="AG335" s="293"/>
      <c r="AH335" s="293"/>
      <c r="AI335" s="293"/>
      <c r="AJ335" s="293"/>
      <c r="AK335" s="293"/>
      <c r="AL335" s="293"/>
      <c r="AM335" s="293"/>
      <c r="AN335" s="293"/>
      <c r="AO335" s="293"/>
      <c r="AP335" s="293"/>
      <c r="AQ335" s="293"/>
      <c r="AR335" s="293"/>
      <c r="AS335" s="293"/>
      <c r="AT335" s="293"/>
      <c r="AU335" s="293"/>
      <c r="AV335" s="293"/>
      <c r="AW335" s="293"/>
      <c r="AX335" s="293"/>
      <c r="AY335" s="293"/>
      <c r="AZ335" s="293"/>
      <c r="BA335" s="293"/>
      <c r="BB335" s="293"/>
      <c r="BC335" s="293"/>
      <c r="BD335" s="293"/>
      <c r="BE335" s="293"/>
      <c r="BF335" s="293"/>
      <c r="BG335" s="293"/>
      <c r="BH335" s="293"/>
      <c r="BI335" s="293"/>
      <c r="BJ335" s="293"/>
      <c r="BK335" s="293"/>
      <c r="BL335" s="293"/>
      <c r="BM335" s="293"/>
      <c r="BN335" s="293"/>
      <c r="BO335" s="293"/>
      <c r="BP335" s="293"/>
      <c r="BQ335" s="293"/>
      <c r="BR335" s="293"/>
      <c r="BS335" s="293"/>
      <c r="BT335" s="293"/>
      <c r="BU335" s="293"/>
      <c r="BV335" s="293"/>
      <c r="BW335" s="293"/>
      <c r="BX335" s="293"/>
      <c r="BY335" s="293"/>
      <c r="BZ335" s="293"/>
      <c r="CA335" s="285"/>
      <c r="CB335" s="286"/>
      <c r="CC335" s="286"/>
      <c r="CD335" s="286"/>
      <c r="CE335" s="286"/>
      <c r="CF335" s="286"/>
      <c r="CG335" s="286"/>
      <c r="CH335" s="286"/>
      <c r="CI335" s="286"/>
      <c r="CJ335" s="286"/>
      <c r="CK335" s="286"/>
      <c r="CL335" s="286"/>
      <c r="CM335" s="286"/>
      <c r="CN335" s="286"/>
      <c r="CO335" s="286"/>
      <c r="CP335" s="286"/>
      <c r="CQ335" s="286"/>
      <c r="CR335" s="286"/>
      <c r="CS335" s="286"/>
      <c r="CT335" s="286"/>
      <c r="CU335" s="286"/>
      <c r="CV335" s="286"/>
      <c r="CW335" s="286"/>
      <c r="CX335" s="286"/>
      <c r="CY335" s="286"/>
      <c r="CZ335" s="286"/>
      <c r="DA335" s="286"/>
      <c r="DB335" s="286"/>
      <c r="DC335" s="286"/>
      <c r="DD335" s="286"/>
      <c r="DE335" s="286"/>
      <c r="DF335" s="286"/>
      <c r="DG335" s="286"/>
      <c r="DH335" s="286"/>
      <c r="DI335" s="286"/>
      <c r="DJ335" s="286"/>
      <c r="DK335" s="286"/>
      <c r="DL335" s="286"/>
      <c r="DM335" s="286"/>
      <c r="DN335" s="286"/>
      <c r="DO335" s="286"/>
      <c r="DP335" s="286"/>
      <c r="DR335" s="58" t="str">
        <f>IF(ISNUMBER(MATCH(#REF!,'Audit Characteristic Mapping'!$B$3:$B$500,0)),"Y","")</f>
        <v/>
      </c>
      <c r="DS335" s="58" t="str">
        <f>IF(ISNUMBER(MATCH(#REF!,'Audit Characteristic Mapping'!$C$3:$C$500,0)),"Y","")</f>
        <v/>
      </c>
      <c r="DT335" s="58" t="str">
        <f>IF(ISNUMBER(MATCH(#REF!,'Audit Characteristic Mapping'!$D$3:$D$500,0)),"Y","")</f>
        <v/>
      </c>
      <c r="DU335" s="58" t="str">
        <f>IF(ISNUMBER(MATCH(#REF!,'Audit Characteristic Mapping'!$E$3:$E$500,0)),"Y","")</f>
        <v/>
      </c>
      <c r="DV335" s="58" t="str">
        <f>IF(ISNUMBER(MATCH(#REF!,'Audit Characteristic Mapping'!$F$3:$F$500,0)),"Y","")</f>
        <v/>
      </c>
      <c r="DW335" s="58" t="str">
        <f>IF(ISNUMBER(MATCH(#REF!,'Audit Characteristic Mapping'!$G$3:$G$500,0)),"Y","")</f>
        <v/>
      </c>
      <c r="DX335" s="58" t="str">
        <f>IF(ISNUMBER(MATCH(#REF!,'Audit Characteristic Mapping'!$H$3:$H$500,0)),"Y","")</f>
        <v/>
      </c>
      <c r="DY335" s="58" t="str">
        <f>IF(ISNUMBER(MATCH(#REF!,'Audit Characteristic Mapping'!$I$3:$I$500,0)),"Y","")</f>
        <v/>
      </c>
      <c r="DZ335" s="58" t="str">
        <f>IF(ISNUMBER(MATCH(#REF!,'Audit Characteristic Mapping'!$J$3:$J$500,0)),"Y","")</f>
        <v/>
      </c>
      <c r="EA335" s="58" t="str">
        <f>IF(ISNUMBER(MATCH(#REF!,'Audit Characteristic Mapping'!$K$3:$K$500,0)),"Y","")</f>
        <v/>
      </c>
    </row>
    <row r="336" spans="1:131" ht="16" hidden="1" x14ac:dyDescent="0.2">
      <c r="A336" s="288">
        <v>458</v>
      </c>
      <c r="B336" s="287" t="s">
        <v>450</v>
      </c>
      <c r="C336" s="226" t="s">
        <v>470</v>
      </c>
      <c r="D336" s="170">
        <v>9</v>
      </c>
      <c r="E336" s="288">
        <v>66</v>
      </c>
      <c r="F336" s="291" t="str">
        <f>VLOOKUP(Calculation!A336,'Descriptor maps'!$A$2:$F$1658,2,0)</f>
        <v>Management</v>
      </c>
      <c r="G336" s="296"/>
      <c r="H336" s="290"/>
      <c r="I336" s="291"/>
      <c r="J336" s="292" t="e" cm="1">
        <f t="array" ref="J336">INDEX('Descriptor maps'!$I$2:$I$1658,MATCH(1,('Descriptor maps'!$A$2:$A$1658=Calculation!$A336)*('Descriptor maps'!$G$2:$G$1658=Calculation!$G336),0))</f>
        <v>#N/A</v>
      </c>
      <c r="K336" s="226"/>
      <c r="L336" s="293"/>
      <c r="M336" s="293"/>
      <c r="N336" s="293"/>
      <c r="O336" s="293"/>
      <c r="P336" s="293"/>
      <c r="Q336" s="293"/>
      <c r="R336" s="293"/>
      <c r="S336" s="293"/>
      <c r="T336" s="293"/>
      <c r="U336" s="293"/>
      <c r="V336" s="293"/>
      <c r="W336" s="293"/>
      <c r="X336" s="293"/>
      <c r="Y336" s="293"/>
      <c r="Z336" s="293"/>
      <c r="AA336" s="293"/>
      <c r="AB336" s="293"/>
      <c r="AC336" s="293"/>
      <c r="AD336" s="293"/>
      <c r="AE336" s="293"/>
      <c r="AF336" s="293"/>
      <c r="AG336" s="293"/>
      <c r="AH336" s="293"/>
      <c r="AI336" s="293"/>
      <c r="AJ336" s="293"/>
      <c r="AK336" s="293"/>
      <c r="AL336" s="293"/>
      <c r="AM336" s="293"/>
      <c r="AN336" s="293"/>
      <c r="AO336" s="293"/>
      <c r="AP336" s="293"/>
      <c r="AQ336" s="293"/>
      <c r="AR336" s="293"/>
      <c r="AS336" s="293"/>
      <c r="AT336" s="293"/>
      <c r="AU336" s="293"/>
      <c r="AV336" s="293"/>
      <c r="AW336" s="293"/>
      <c r="AX336" s="293"/>
      <c r="AY336" s="293"/>
      <c r="AZ336" s="293"/>
      <c r="BA336" s="293"/>
      <c r="BB336" s="293"/>
      <c r="BC336" s="293"/>
      <c r="BD336" s="293"/>
      <c r="BE336" s="293"/>
      <c r="BF336" s="293"/>
      <c r="BG336" s="293"/>
      <c r="BH336" s="293"/>
      <c r="BI336" s="293"/>
      <c r="BJ336" s="293"/>
      <c r="BK336" s="293"/>
      <c r="BL336" s="293"/>
      <c r="BM336" s="293"/>
      <c r="BN336" s="293"/>
      <c r="BO336" s="293"/>
      <c r="BP336" s="293"/>
      <c r="BQ336" s="293"/>
      <c r="BR336" s="293"/>
      <c r="BS336" s="293"/>
      <c r="BT336" s="293"/>
      <c r="BU336" s="293"/>
      <c r="BV336" s="293"/>
      <c r="BW336" s="293"/>
      <c r="BX336" s="293"/>
      <c r="BY336" s="293"/>
      <c r="BZ336" s="293"/>
      <c r="CA336" s="285"/>
      <c r="CB336" s="286"/>
      <c r="CC336" s="286"/>
      <c r="CD336" s="286"/>
      <c r="CE336" s="286"/>
      <c r="CF336" s="286"/>
      <c r="CG336" s="286"/>
      <c r="CH336" s="286"/>
      <c r="CI336" s="286"/>
      <c r="CJ336" s="286"/>
      <c r="CK336" s="286"/>
      <c r="CL336" s="286"/>
      <c r="CM336" s="286"/>
      <c r="CN336" s="286"/>
      <c r="CO336" s="286"/>
      <c r="CP336" s="286"/>
      <c r="CQ336" s="286"/>
      <c r="CR336" s="286"/>
      <c r="CS336" s="286"/>
      <c r="CT336" s="286"/>
      <c r="CU336" s="286"/>
      <c r="CV336" s="286"/>
      <c r="CW336" s="286"/>
      <c r="CX336" s="286"/>
      <c r="CY336" s="286"/>
      <c r="CZ336" s="286"/>
      <c r="DA336" s="286"/>
      <c r="DB336" s="286"/>
      <c r="DC336" s="286"/>
      <c r="DD336" s="286"/>
      <c r="DE336" s="286"/>
      <c r="DF336" s="286"/>
      <c r="DG336" s="286"/>
      <c r="DH336" s="286"/>
      <c r="DI336" s="286"/>
      <c r="DJ336" s="286"/>
      <c r="DK336" s="286"/>
      <c r="DL336" s="286"/>
      <c r="DM336" s="286"/>
      <c r="DN336" s="286"/>
      <c r="DO336" s="286"/>
      <c r="DP336" s="286"/>
      <c r="DR336" s="58" t="str">
        <f>IF(ISNUMBER(MATCH(#REF!,'Audit Characteristic Mapping'!$B$3:$B$500,0)),"Y","")</f>
        <v/>
      </c>
      <c r="DS336" s="58" t="str">
        <f>IF(ISNUMBER(MATCH(#REF!,'Audit Characteristic Mapping'!$C$3:$C$500,0)),"Y","")</f>
        <v/>
      </c>
      <c r="DT336" s="58" t="str">
        <f>IF(ISNUMBER(MATCH(#REF!,'Audit Characteristic Mapping'!$D$3:$D$500,0)),"Y","")</f>
        <v/>
      </c>
      <c r="DU336" s="58" t="str">
        <f>IF(ISNUMBER(MATCH(#REF!,'Audit Characteristic Mapping'!$E$3:$E$500,0)),"Y","")</f>
        <v/>
      </c>
      <c r="DV336" s="58" t="str">
        <f>IF(ISNUMBER(MATCH(#REF!,'Audit Characteristic Mapping'!$F$3:$F$500,0)),"Y","")</f>
        <v/>
      </c>
      <c r="DW336" s="58" t="str">
        <f>IF(ISNUMBER(MATCH(#REF!,'Audit Characteristic Mapping'!$G$3:$G$500,0)),"Y","")</f>
        <v/>
      </c>
      <c r="DX336" s="58" t="str">
        <f>IF(ISNUMBER(MATCH(#REF!,'Audit Characteristic Mapping'!$H$3:$H$500,0)),"Y","")</f>
        <v/>
      </c>
      <c r="DY336" s="58" t="str">
        <f>IF(ISNUMBER(MATCH(#REF!,'Audit Characteristic Mapping'!$I$3:$I$500,0)),"Y","")</f>
        <v/>
      </c>
      <c r="DZ336" s="58" t="str">
        <f>IF(ISNUMBER(MATCH(#REF!,'Audit Characteristic Mapping'!$J$3:$J$500,0)),"Y","")</f>
        <v/>
      </c>
      <c r="EA336" s="58" t="str">
        <f>IF(ISNUMBER(MATCH(#REF!,'Audit Characteristic Mapping'!$K$3:$K$500,0)),"Y","")</f>
        <v/>
      </c>
    </row>
    <row r="337" spans="1:131" ht="16" hidden="1" x14ac:dyDescent="0.2">
      <c r="A337" s="288">
        <v>328</v>
      </c>
      <c r="B337" s="287" t="s">
        <v>450</v>
      </c>
      <c r="C337" s="226" t="s">
        <v>470</v>
      </c>
      <c r="D337" s="170">
        <v>9</v>
      </c>
      <c r="E337" s="288">
        <v>66</v>
      </c>
      <c r="F337" s="291" t="str">
        <f>VLOOKUP(Calculation!A337,'Descriptor maps'!$A$2:$F$1658,2,0)</f>
        <v>Management</v>
      </c>
      <c r="G337" s="296"/>
      <c r="H337" s="290"/>
      <c r="I337" s="291"/>
      <c r="J337" s="292" t="e" cm="1">
        <f t="array" ref="J337">INDEX('Descriptor maps'!$I$2:$I$1658,MATCH(1,('Descriptor maps'!$A$2:$A$1658=Calculation!$A337)*('Descriptor maps'!$G$2:$G$1658=Calculation!$G337),0))</f>
        <v>#N/A</v>
      </c>
      <c r="K337" s="226"/>
      <c r="L337" s="293"/>
      <c r="M337" s="293"/>
      <c r="N337" s="293"/>
      <c r="O337" s="293"/>
      <c r="P337" s="293"/>
      <c r="Q337" s="293"/>
      <c r="R337" s="293"/>
      <c r="S337" s="293"/>
      <c r="T337" s="293"/>
      <c r="U337" s="293"/>
      <c r="V337" s="293"/>
      <c r="W337" s="293"/>
      <c r="X337" s="293"/>
      <c r="Y337" s="293"/>
      <c r="Z337" s="293"/>
      <c r="AA337" s="293"/>
      <c r="AB337" s="293"/>
      <c r="AC337" s="293"/>
      <c r="AD337" s="293"/>
      <c r="AE337" s="293"/>
      <c r="AF337" s="293"/>
      <c r="AG337" s="293"/>
      <c r="AH337" s="293"/>
      <c r="AI337" s="293"/>
      <c r="AJ337" s="293"/>
      <c r="AK337" s="293"/>
      <c r="AL337" s="293"/>
      <c r="AM337" s="293"/>
      <c r="AN337" s="293"/>
      <c r="AO337" s="293"/>
      <c r="AP337" s="293"/>
      <c r="AQ337" s="293"/>
      <c r="AR337" s="293"/>
      <c r="AS337" s="293"/>
      <c r="AT337" s="293"/>
      <c r="AU337" s="293"/>
      <c r="AV337" s="293"/>
      <c r="AW337" s="293"/>
      <c r="AX337" s="293"/>
      <c r="AY337" s="293"/>
      <c r="AZ337" s="293"/>
      <c r="BA337" s="293"/>
      <c r="BB337" s="293"/>
      <c r="BC337" s="293"/>
      <c r="BD337" s="293"/>
      <c r="BE337" s="293"/>
      <c r="BF337" s="293"/>
      <c r="BG337" s="293"/>
      <c r="BH337" s="293"/>
      <c r="BI337" s="293"/>
      <c r="BJ337" s="293"/>
      <c r="BK337" s="293"/>
      <c r="BL337" s="293"/>
      <c r="BM337" s="293"/>
      <c r="BN337" s="293"/>
      <c r="BO337" s="293"/>
      <c r="BP337" s="293"/>
      <c r="BQ337" s="293"/>
      <c r="BR337" s="293"/>
      <c r="BS337" s="293"/>
      <c r="BT337" s="293"/>
      <c r="BU337" s="293"/>
      <c r="BV337" s="293"/>
      <c r="BW337" s="293"/>
      <c r="BX337" s="293"/>
      <c r="BY337" s="293"/>
      <c r="BZ337" s="293"/>
      <c r="CA337" s="285"/>
      <c r="CB337" s="286"/>
      <c r="CC337" s="286"/>
      <c r="CD337" s="286"/>
      <c r="CE337" s="286"/>
      <c r="CF337" s="286"/>
      <c r="CG337" s="286"/>
      <c r="CH337" s="286"/>
      <c r="CI337" s="286"/>
      <c r="CJ337" s="286"/>
      <c r="CK337" s="286"/>
      <c r="CL337" s="286"/>
      <c r="CM337" s="286"/>
      <c r="CN337" s="286"/>
      <c r="CO337" s="286"/>
      <c r="CP337" s="286"/>
      <c r="CQ337" s="286"/>
      <c r="CR337" s="286"/>
      <c r="CS337" s="286"/>
      <c r="CT337" s="286"/>
      <c r="CU337" s="286"/>
      <c r="CV337" s="286"/>
      <c r="CW337" s="286"/>
      <c r="CX337" s="286"/>
      <c r="CY337" s="286"/>
      <c r="CZ337" s="286"/>
      <c r="DA337" s="286"/>
      <c r="DB337" s="286"/>
      <c r="DC337" s="286"/>
      <c r="DD337" s="286"/>
      <c r="DE337" s="286"/>
      <c r="DF337" s="286"/>
      <c r="DG337" s="286"/>
      <c r="DH337" s="286"/>
      <c r="DI337" s="286"/>
      <c r="DJ337" s="286"/>
      <c r="DK337" s="286"/>
      <c r="DL337" s="286"/>
      <c r="DM337" s="286"/>
      <c r="DN337" s="286"/>
      <c r="DO337" s="286"/>
      <c r="DP337" s="286"/>
      <c r="DR337" s="58" t="str">
        <f>IF(ISNUMBER(MATCH(#REF!,'Audit Characteristic Mapping'!$B$3:$B$500,0)),"Y","")</f>
        <v/>
      </c>
      <c r="DS337" s="58" t="str">
        <f>IF(ISNUMBER(MATCH(#REF!,'Audit Characteristic Mapping'!$C$3:$C$500,0)),"Y","")</f>
        <v/>
      </c>
      <c r="DT337" s="58" t="str">
        <f>IF(ISNUMBER(MATCH(#REF!,'Audit Characteristic Mapping'!$D$3:$D$500,0)),"Y","")</f>
        <v/>
      </c>
      <c r="DU337" s="58" t="str">
        <f>IF(ISNUMBER(MATCH(#REF!,'Audit Characteristic Mapping'!$E$3:$E$500,0)),"Y","")</f>
        <v/>
      </c>
      <c r="DV337" s="58" t="str">
        <f>IF(ISNUMBER(MATCH(#REF!,'Audit Characteristic Mapping'!$F$3:$F$500,0)),"Y","")</f>
        <v/>
      </c>
      <c r="DW337" s="58" t="str">
        <f>IF(ISNUMBER(MATCH(#REF!,'Audit Characteristic Mapping'!$G$3:$G$500,0)),"Y","")</f>
        <v/>
      </c>
      <c r="DX337" s="58" t="str">
        <f>IF(ISNUMBER(MATCH(#REF!,'Audit Characteristic Mapping'!$H$3:$H$500,0)),"Y","")</f>
        <v/>
      </c>
      <c r="DY337" s="58" t="str">
        <f>IF(ISNUMBER(MATCH(#REF!,'Audit Characteristic Mapping'!$I$3:$I$500,0)),"Y","")</f>
        <v/>
      </c>
      <c r="DZ337" s="58" t="str">
        <f>IF(ISNUMBER(MATCH(#REF!,'Audit Characteristic Mapping'!$J$3:$J$500,0)),"Y","")</f>
        <v/>
      </c>
      <c r="EA337" s="58" t="str">
        <f>IF(ISNUMBER(MATCH(#REF!,'Audit Characteristic Mapping'!$K$3:$K$500,0)),"Y","")</f>
        <v/>
      </c>
    </row>
    <row r="338" spans="1:131" ht="16" hidden="1" x14ac:dyDescent="0.2">
      <c r="A338" s="288">
        <v>329</v>
      </c>
      <c r="B338" s="287" t="s">
        <v>450</v>
      </c>
      <c r="C338" s="226" t="s">
        <v>470</v>
      </c>
      <c r="D338" s="170">
        <v>9</v>
      </c>
      <c r="E338" s="288">
        <v>66</v>
      </c>
      <c r="F338" s="291" t="str">
        <f>VLOOKUP(Calculation!A338,'Descriptor maps'!$A$2:$F$1658,2,0)</f>
        <v>Management</v>
      </c>
      <c r="G338" s="296"/>
      <c r="H338" s="290"/>
      <c r="I338" s="291"/>
      <c r="J338" s="292" t="e" cm="1">
        <f t="array" ref="J338">INDEX('Descriptor maps'!$I$2:$I$1658,MATCH(1,('Descriptor maps'!$A$2:$A$1658=Calculation!$A338)*('Descriptor maps'!$G$2:$G$1658=Calculation!$G338),0))</f>
        <v>#N/A</v>
      </c>
      <c r="K338" s="226"/>
      <c r="L338" s="293"/>
      <c r="M338" s="293"/>
      <c r="N338" s="293"/>
      <c r="O338" s="293"/>
      <c r="P338" s="293"/>
      <c r="Q338" s="293"/>
      <c r="R338" s="293"/>
      <c r="S338" s="293"/>
      <c r="T338" s="293"/>
      <c r="U338" s="293"/>
      <c r="V338" s="293"/>
      <c r="W338" s="293"/>
      <c r="X338" s="293"/>
      <c r="Y338" s="293"/>
      <c r="Z338" s="293"/>
      <c r="AA338" s="293"/>
      <c r="AB338" s="293"/>
      <c r="AC338" s="293"/>
      <c r="AD338" s="293"/>
      <c r="AE338" s="293"/>
      <c r="AF338" s="293"/>
      <c r="AG338" s="293"/>
      <c r="AH338" s="293"/>
      <c r="AI338" s="293"/>
      <c r="AJ338" s="293"/>
      <c r="AK338" s="293"/>
      <c r="AL338" s="293"/>
      <c r="AM338" s="293"/>
      <c r="AN338" s="293"/>
      <c r="AO338" s="293"/>
      <c r="AP338" s="293"/>
      <c r="AQ338" s="293"/>
      <c r="AR338" s="293"/>
      <c r="AS338" s="293"/>
      <c r="AT338" s="293"/>
      <c r="AU338" s="293"/>
      <c r="AV338" s="293"/>
      <c r="AW338" s="293"/>
      <c r="AX338" s="293"/>
      <c r="AY338" s="293"/>
      <c r="AZ338" s="293"/>
      <c r="BA338" s="293"/>
      <c r="BB338" s="293"/>
      <c r="BC338" s="293"/>
      <c r="BD338" s="293"/>
      <c r="BE338" s="293"/>
      <c r="BF338" s="293"/>
      <c r="BG338" s="293"/>
      <c r="BH338" s="293"/>
      <c r="BI338" s="293"/>
      <c r="BJ338" s="293"/>
      <c r="BK338" s="293"/>
      <c r="BL338" s="293"/>
      <c r="BM338" s="293"/>
      <c r="BN338" s="293"/>
      <c r="BO338" s="293"/>
      <c r="BP338" s="293"/>
      <c r="BQ338" s="293"/>
      <c r="BR338" s="293"/>
      <c r="BS338" s="293"/>
      <c r="BT338" s="293"/>
      <c r="BU338" s="293"/>
      <c r="BV338" s="293"/>
      <c r="BW338" s="293"/>
      <c r="BX338" s="293"/>
      <c r="BY338" s="293"/>
      <c r="BZ338" s="293"/>
      <c r="CA338" s="285"/>
      <c r="CB338" s="286"/>
      <c r="CC338" s="286"/>
      <c r="CD338" s="286"/>
      <c r="CE338" s="286"/>
      <c r="CF338" s="286"/>
      <c r="CG338" s="286"/>
      <c r="CH338" s="286"/>
      <c r="CI338" s="286"/>
      <c r="CJ338" s="286"/>
      <c r="CK338" s="286"/>
      <c r="CL338" s="286"/>
      <c r="CM338" s="286"/>
      <c r="CN338" s="286"/>
      <c r="CO338" s="286"/>
      <c r="CP338" s="286"/>
      <c r="CQ338" s="286"/>
      <c r="CR338" s="286"/>
      <c r="CS338" s="286"/>
      <c r="CT338" s="286"/>
      <c r="CU338" s="286"/>
      <c r="CV338" s="286"/>
      <c r="CW338" s="286"/>
      <c r="CX338" s="286"/>
      <c r="CY338" s="286"/>
      <c r="CZ338" s="286"/>
      <c r="DA338" s="286"/>
      <c r="DB338" s="286"/>
      <c r="DC338" s="286"/>
      <c r="DD338" s="286"/>
      <c r="DE338" s="286"/>
      <c r="DF338" s="286"/>
      <c r="DG338" s="286"/>
      <c r="DH338" s="286"/>
      <c r="DI338" s="286"/>
      <c r="DJ338" s="286"/>
      <c r="DK338" s="286"/>
      <c r="DL338" s="286"/>
      <c r="DM338" s="286"/>
      <c r="DN338" s="286"/>
      <c r="DO338" s="286"/>
      <c r="DP338" s="286"/>
      <c r="DR338" s="58" t="str">
        <f>IF(ISNUMBER(MATCH(#REF!,'Audit Characteristic Mapping'!$B$3:$B$500,0)),"Y","")</f>
        <v/>
      </c>
      <c r="DS338" s="58" t="str">
        <f>IF(ISNUMBER(MATCH(#REF!,'Audit Characteristic Mapping'!$C$3:$C$500,0)),"Y","")</f>
        <v/>
      </c>
      <c r="DT338" s="58" t="str">
        <f>IF(ISNUMBER(MATCH(#REF!,'Audit Characteristic Mapping'!$D$3:$D$500,0)),"Y","")</f>
        <v/>
      </c>
      <c r="DU338" s="58" t="str">
        <f>IF(ISNUMBER(MATCH(#REF!,'Audit Characteristic Mapping'!$E$3:$E$500,0)),"Y","")</f>
        <v/>
      </c>
      <c r="DV338" s="58" t="str">
        <f>IF(ISNUMBER(MATCH(#REF!,'Audit Characteristic Mapping'!$F$3:$F$500,0)),"Y","")</f>
        <v/>
      </c>
      <c r="DW338" s="58" t="str">
        <f>IF(ISNUMBER(MATCH(#REF!,'Audit Characteristic Mapping'!$G$3:$G$500,0)),"Y","")</f>
        <v/>
      </c>
      <c r="DX338" s="58" t="str">
        <f>IF(ISNUMBER(MATCH(#REF!,'Audit Characteristic Mapping'!$H$3:$H$500,0)),"Y","")</f>
        <v/>
      </c>
      <c r="DY338" s="58" t="str">
        <f>IF(ISNUMBER(MATCH(#REF!,'Audit Characteristic Mapping'!$I$3:$I$500,0)),"Y","")</f>
        <v/>
      </c>
      <c r="DZ338" s="58" t="str">
        <f>IF(ISNUMBER(MATCH(#REF!,'Audit Characteristic Mapping'!$J$3:$J$500,0)),"Y","")</f>
        <v/>
      </c>
      <c r="EA338" s="58" t="str">
        <f>IF(ISNUMBER(MATCH(#REF!,'Audit Characteristic Mapping'!$K$3:$K$500,0)),"Y","")</f>
        <v/>
      </c>
    </row>
    <row r="339" spans="1:131" ht="16" hidden="1" x14ac:dyDescent="0.2">
      <c r="A339" s="288">
        <v>330</v>
      </c>
      <c r="B339" s="287" t="s">
        <v>450</v>
      </c>
      <c r="C339" s="226" t="s">
        <v>470</v>
      </c>
      <c r="D339" s="170">
        <v>9</v>
      </c>
      <c r="E339" s="288">
        <v>66</v>
      </c>
      <c r="F339" s="291" t="str">
        <f>VLOOKUP(Calculation!A339,'Descriptor maps'!$A$2:$F$1658,2,0)</f>
        <v>Management</v>
      </c>
      <c r="G339" s="296"/>
      <c r="H339" s="290"/>
      <c r="I339" s="291"/>
      <c r="J339" s="292" t="e" cm="1">
        <f t="array" ref="J339">INDEX('Descriptor maps'!$I$2:$I$1658,MATCH(1,('Descriptor maps'!$A$2:$A$1658=Calculation!$A339)*('Descriptor maps'!$G$2:$G$1658=Calculation!$G339),0))</f>
        <v>#N/A</v>
      </c>
      <c r="K339" s="226"/>
      <c r="L339" s="293"/>
      <c r="M339" s="293"/>
      <c r="N339" s="293"/>
      <c r="O339" s="293"/>
      <c r="P339" s="293"/>
      <c r="Q339" s="293"/>
      <c r="R339" s="293"/>
      <c r="S339" s="293"/>
      <c r="T339" s="293"/>
      <c r="U339" s="293"/>
      <c r="V339" s="293"/>
      <c r="W339" s="293"/>
      <c r="X339" s="293"/>
      <c r="Y339" s="293"/>
      <c r="Z339" s="293"/>
      <c r="AA339" s="293"/>
      <c r="AB339" s="293"/>
      <c r="AC339" s="293"/>
      <c r="AD339" s="293"/>
      <c r="AE339" s="293"/>
      <c r="AF339" s="293"/>
      <c r="AG339" s="293"/>
      <c r="AH339" s="293"/>
      <c r="AI339" s="293"/>
      <c r="AJ339" s="293"/>
      <c r="AK339" s="293"/>
      <c r="AL339" s="293"/>
      <c r="AM339" s="293"/>
      <c r="AN339" s="293"/>
      <c r="AO339" s="293"/>
      <c r="AP339" s="293"/>
      <c r="AQ339" s="293"/>
      <c r="AR339" s="293"/>
      <c r="AS339" s="293"/>
      <c r="AT339" s="293"/>
      <c r="AU339" s="293"/>
      <c r="AV339" s="293"/>
      <c r="AW339" s="293"/>
      <c r="AX339" s="293"/>
      <c r="AY339" s="293"/>
      <c r="AZ339" s="293"/>
      <c r="BA339" s="293"/>
      <c r="BB339" s="293"/>
      <c r="BC339" s="293"/>
      <c r="BD339" s="293"/>
      <c r="BE339" s="293"/>
      <c r="BF339" s="293"/>
      <c r="BG339" s="293"/>
      <c r="BH339" s="293"/>
      <c r="BI339" s="293"/>
      <c r="BJ339" s="293"/>
      <c r="BK339" s="293"/>
      <c r="BL339" s="293"/>
      <c r="BM339" s="293"/>
      <c r="BN339" s="293"/>
      <c r="BO339" s="293"/>
      <c r="BP339" s="293"/>
      <c r="BQ339" s="293"/>
      <c r="BR339" s="293"/>
      <c r="BS339" s="293"/>
      <c r="BT339" s="293"/>
      <c r="BU339" s="293"/>
      <c r="BV339" s="293"/>
      <c r="BW339" s="293"/>
      <c r="BX339" s="293"/>
      <c r="BY339" s="293"/>
      <c r="BZ339" s="293"/>
      <c r="CA339" s="285"/>
      <c r="CB339" s="286"/>
      <c r="CC339" s="286"/>
      <c r="CD339" s="286"/>
      <c r="CE339" s="286"/>
      <c r="CF339" s="286"/>
      <c r="CG339" s="286"/>
      <c r="CH339" s="286"/>
      <c r="CI339" s="286"/>
      <c r="CJ339" s="286"/>
      <c r="CK339" s="286"/>
      <c r="CL339" s="286"/>
      <c r="CM339" s="286"/>
      <c r="CN339" s="286"/>
      <c r="CO339" s="286"/>
      <c r="CP339" s="286"/>
      <c r="CQ339" s="286"/>
      <c r="CR339" s="286"/>
      <c r="CS339" s="286"/>
      <c r="CT339" s="286"/>
      <c r="CU339" s="286"/>
      <c r="CV339" s="286"/>
      <c r="CW339" s="286"/>
      <c r="CX339" s="286"/>
      <c r="CY339" s="286"/>
      <c r="CZ339" s="286"/>
      <c r="DA339" s="286"/>
      <c r="DB339" s="286"/>
      <c r="DC339" s="286"/>
      <c r="DD339" s="286"/>
      <c r="DE339" s="286"/>
      <c r="DF339" s="286"/>
      <c r="DG339" s="286"/>
      <c r="DH339" s="286"/>
      <c r="DI339" s="286"/>
      <c r="DJ339" s="286"/>
      <c r="DK339" s="286"/>
      <c r="DL339" s="286"/>
      <c r="DM339" s="286"/>
      <c r="DN339" s="286"/>
      <c r="DO339" s="286"/>
      <c r="DP339" s="286"/>
      <c r="DR339" s="58" t="str">
        <f>IF(ISNUMBER(MATCH(#REF!,'Audit Characteristic Mapping'!$B$3:$B$500,0)),"Y","")</f>
        <v/>
      </c>
      <c r="DS339" s="58" t="str">
        <f>IF(ISNUMBER(MATCH(#REF!,'Audit Characteristic Mapping'!$C$3:$C$500,0)),"Y","")</f>
        <v/>
      </c>
      <c r="DT339" s="58" t="str">
        <f>IF(ISNUMBER(MATCH(#REF!,'Audit Characteristic Mapping'!$D$3:$D$500,0)),"Y","")</f>
        <v/>
      </c>
      <c r="DU339" s="58" t="str">
        <f>IF(ISNUMBER(MATCH(#REF!,'Audit Characteristic Mapping'!$E$3:$E$500,0)),"Y","")</f>
        <v/>
      </c>
      <c r="DV339" s="58" t="str">
        <f>IF(ISNUMBER(MATCH(#REF!,'Audit Characteristic Mapping'!$F$3:$F$500,0)),"Y","")</f>
        <v/>
      </c>
      <c r="DW339" s="58" t="str">
        <f>IF(ISNUMBER(MATCH(#REF!,'Audit Characteristic Mapping'!$G$3:$G$500,0)),"Y","")</f>
        <v/>
      </c>
      <c r="DX339" s="58" t="str">
        <f>IF(ISNUMBER(MATCH(#REF!,'Audit Characteristic Mapping'!$H$3:$H$500,0)),"Y","")</f>
        <v/>
      </c>
      <c r="DY339" s="58" t="str">
        <f>IF(ISNUMBER(MATCH(#REF!,'Audit Characteristic Mapping'!$I$3:$I$500,0)),"Y","")</f>
        <v/>
      </c>
      <c r="DZ339" s="58" t="str">
        <f>IF(ISNUMBER(MATCH(#REF!,'Audit Characteristic Mapping'!$J$3:$J$500,0)),"Y","")</f>
        <v/>
      </c>
      <c r="EA339" s="58" t="str">
        <f>IF(ISNUMBER(MATCH(#REF!,'Audit Characteristic Mapping'!$K$3:$K$500,0)),"Y","")</f>
        <v/>
      </c>
    </row>
    <row r="340" spans="1:131" ht="16" hidden="1" x14ac:dyDescent="0.2">
      <c r="A340" s="288">
        <v>331</v>
      </c>
      <c r="B340" s="287" t="s">
        <v>450</v>
      </c>
      <c r="C340" s="226" t="s">
        <v>470</v>
      </c>
      <c r="D340" s="170">
        <v>9</v>
      </c>
      <c r="E340" s="288">
        <v>66</v>
      </c>
      <c r="F340" s="291" t="str">
        <f>VLOOKUP(Calculation!A340,'Descriptor maps'!$A$2:$F$1658,2,0)</f>
        <v>Management</v>
      </c>
      <c r="G340" s="296"/>
      <c r="H340" s="290"/>
      <c r="I340" s="291"/>
      <c r="J340" s="292" t="e" cm="1">
        <f t="array" ref="J340">INDEX('Descriptor maps'!$I$2:$I$1658,MATCH(1,('Descriptor maps'!$A$2:$A$1658=Calculation!$A340)*('Descriptor maps'!$G$2:$G$1658=Calculation!$G340),0))</f>
        <v>#N/A</v>
      </c>
      <c r="K340" s="226"/>
      <c r="L340" s="293"/>
      <c r="M340" s="293"/>
      <c r="N340" s="293"/>
      <c r="O340" s="293"/>
      <c r="P340" s="293"/>
      <c r="Q340" s="293"/>
      <c r="R340" s="293"/>
      <c r="S340" s="293"/>
      <c r="T340" s="293"/>
      <c r="U340" s="293"/>
      <c r="V340" s="293"/>
      <c r="W340" s="293"/>
      <c r="X340" s="293"/>
      <c r="Y340" s="293"/>
      <c r="Z340" s="293"/>
      <c r="AA340" s="293"/>
      <c r="AB340" s="293"/>
      <c r="AC340" s="293"/>
      <c r="AD340" s="293"/>
      <c r="AE340" s="293"/>
      <c r="AF340" s="293"/>
      <c r="AG340" s="293"/>
      <c r="AH340" s="293"/>
      <c r="AI340" s="293"/>
      <c r="AJ340" s="293"/>
      <c r="AK340" s="293"/>
      <c r="AL340" s="293"/>
      <c r="AM340" s="293"/>
      <c r="AN340" s="293"/>
      <c r="AO340" s="293"/>
      <c r="AP340" s="293"/>
      <c r="AQ340" s="293"/>
      <c r="AR340" s="293"/>
      <c r="AS340" s="293"/>
      <c r="AT340" s="293"/>
      <c r="AU340" s="293"/>
      <c r="AV340" s="293"/>
      <c r="AW340" s="293"/>
      <c r="AX340" s="293"/>
      <c r="AY340" s="293"/>
      <c r="AZ340" s="293"/>
      <c r="BA340" s="293"/>
      <c r="BB340" s="293"/>
      <c r="BC340" s="293"/>
      <c r="BD340" s="293"/>
      <c r="BE340" s="293"/>
      <c r="BF340" s="293"/>
      <c r="BG340" s="293"/>
      <c r="BH340" s="293"/>
      <c r="BI340" s="293"/>
      <c r="BJ340" s="293"/>
      <c r="BK340" s="293"/>
      <c r="BL340" s="293"/>
      <c r="BM340" s="293"/>
      <c r="BN340" s="293"/>
      <c r="BO340" s="293"/>
      <c r="BP340" s="293"/>
      <c r="BQ340" s="293"/>
      <c r="BR340" s="293"/>
      <c r="BS340" s="293"/>
      <c r="BT340" s="293"/>
      <c r="BU340" s="293"/>
      <c r="BV340" s="293"/>
      <c r="BW340" s="293"/>
      <c r="BX340" s="293"/>
      <c r="BY340" s="293"/>
      <c r="BZ340" s="293"/>
      <c r="CA340" s="285"/>
      <c r="CB340" s="286"/>
      <c r="CC340" s="286"/>
      <c r="CD340" s="286"/>
      <c r="CE340" s="286"/>
      <c r="CF340" s="286"/>
      <c r="CG340" s="286"/>
      <c r="CH340" s="286"/>
      <c r="CI340" s="286"/>
      <c r="CJ340" s="286"/>
      <c r="CK340" s="286"/>
      <c r="CL340" s="286"/>
      <c r="CM340" s="286"/>
      <c r="CN340" s="286"/>
      <c r="CO340" s="286"/>
      <c r="CP340" s="286"/>
      <c r="CQ340" s="286"/>
      <c r="CR340" s="286"/>
      <c r="CS340" s="286"/>
      <c r="CT340" s="286"/>
      <c r="CU340" s="286"/>
      <c r="CV340" s="286"/>
      <c r="CW340" s="286"/>
      <c r="CX340" s="286"/>
      <c r="CY340" s="286"/>
      <c r="CZ340" s="286"/>
      <c r="DA340" s="286"/>
      <c r="DB340" s="286"/>
      <c r="DC340" s="286"/>
      <c r="DD340" s="286"/>
      <c r="DE340" s="286"/>
      <c r="DF340" s="286"/>
      <c r="DG340" s="286"/>
      <c r="DH340" s="286"/>
      <c r="DI340" s="286"/>
      <c r="DJ340" s="286"/>
      <c r="DK340" s="286"/>
      <c r="DL340" s="286"/>
      <c r="DM340" s="286"/>
      <c r="DN340" s="286"/>
      <c r="DO340" s="286"/>
      <c r="DP340" s="286"/>
      <c r="DR340" s="58" t="str">
        <f>IF(ISNUMBER(MATCH(#REF!,'Audit Characteristic Mapping'!$B$3:$B$500,0)),"Y","")</f>
        <v/>
      </c>
      <c r="DS340" s="58" t="str">
        <f>IF(ISNUMBER(MATCH(#REF!,'Audit Characteristic Mapping'!$C$3:$C$500,0)),"Y","")</f>
        <v/>
      </c>
      <c r="DT340" s="58" t="str">
        <f>IF(ISNUMBER(MATCH(#REF!,'Audit Characteristic Mapping'!$D$3:$D$500,0)),"Y","")</f>
        <v/>
      </c>
      <c r="DU340" s="58" t="str">
        <f>IF(ISNUMBER(MATCH(#REF!,'Audit Characteristic Mapping'!$E$3:$E$500,0)),"Y","")</f>
        <v/>
      </c>
      <c r="DV340" s="58" t="str">
        <f>IF(ISNUMBER(MATCH(#REF!,'Audit Characteristic Mapping'!$F$3:$F$500,0)),"Y","")</f>
        <v/>
      </c>
      <c r="DW340" s="58" t="str">
        <f>IF(ISNUMBER(MATCH(#REF!,'Audit Characteristic Mapping'!$G$3:$G$500,0)),"Y","")</f>
        <v/>
      </c>
      <c r="DX340" s="58" t="str">
        <f>IF(ISNUMBER(MATCH(#REF!,'Audit Characteristic Mapping'!$H$3:$H$500,0)),"Y","")</f>
        <v/>
      </c>
      <c r="DY340" s="58" t="str">
        <f>IF(ISNUMBER(MATCH(#REF!,'Audit Characteristic Mapping'!$I$3:$I$500,0)),"Y","")</f>
        <v/>
      </c>
      <c r="DZ340" s="58" t="str">
        <f>IF(ISNUMBER(MATCH(#REF!,'Audit Characteristic Mapping'!$J$3:$J$500,0)),"Y","")</f>
        <v/>
      </c>
      <c r="EA340" s="58" t="str">
        <f>IF(ISNUMBER(MATCH(#REF!,'Audit Characteristic Mapping'!$K$3:$K$500,0)),"Y","")</f>
        <v/>
      </c>
    </row>
    <row r="341" spans="1:131" ht="16" hidden="1" x14ac:dyDescent="0.2">
      <c r="A341" s="288">
        <v>332</v>
      </c>
      <c r="B341" s="287" t="s">
        <v>450</v>
      </c>
      <c r="C341" s="226" t="s">
        <v>470</v>
      </c>
      <c r="D341" s="170">
        <v>9</v>
      </c>
      <c r="E341" s="288">
        <v>66</v>
      </c>
      <c r="F341" s="291" t="str">
        <f>VLOOKUP(Calculation!A341,'Descriptor maps'!$A$2:$F$1658,2,0)</f>
        <v>Management</v>
      </c>
      <c r="G341" s="296"/>
      <c r="H341" s="290"/>
      <c r="I341" s="291"/>
      <c r="J341" s="292" t="e" cm="1">
        <f t="array" ref="J341">INDEX('Descriptor maps'!$I$2:$I$1658,MATCH(1,('Descriptor maps'!$A$2:$A$1658=Calculation!$A341)*('Descriptor maps'!$G$2:$G$1658=Calculation!$G341),0))</f>
        <v>#N/A</v>
      </c>
      <c r="K341" s="226"/>
      <c r="L341" s="293"/>
      <c r="M341" s="293"/>
      <c r="N341" s="293"/>
      <c r="O341" s="293"/>
      <c r="P341" s="293"/>
      <c r="Q341" s="293"/>
      <c r="R341" s="293"/>
      <c r="S341" s="293"/>
      <c r="T341" s="293"/>
      <c r="U341" s="293"/>
      <c r="V341" s="293"/>
      <c r="W341" s="293"/>
      <c r="X341" s="293"/>
      <c r="Y341" s="293"/>
      <c r="Z341" s="293"/>
      <c r="AA341" s="293"/>
      <c r="AB341" s="293"/>
      <c r="AC341" s="293"/>
      <c r="AD341" s="293"/>
      <c r="AE341" s="293"/>
      <c r="AF341" s="293"/>
      <c r="AG341" s="293"/>
      <c r="AH341" s="293"/>
      <c r="AI341" s="293"/>
      <c r="AJ341" s="293"/>
      <c r="AK341" s="293"/>
      <c r="AL341" s="293"/>
      <c r="AM341" s="293"/>
      <c r="AN341" s="293"/>
      <c r="AO341" s="293"/>
      <c r="AP341" s="293"/>
      <c r="AQ341" s="293"/>
      <c r="AR341" s="293"/>
      <c r="AS341" s="293"/>
      <c r="AT341" s="293"/>
      <c r="AU341" s="293"/>
      <c r="AV341" s="293"/>
      <c r="AW341" s="293"/>
      <c r="AX341" s="293"/>
      <c r="AY341" s="293"/>
      <c r="AZ341" s="293"/>
      <c r="BA341" s="293"/>
      <c r="BB341" s="293"/>
      <c r="BC341" s="293"/>
      <c r="BD341" s="293"/>
      <c r="BE341" s="293"/>
      <c r="BF341" s="293"/>
      <c r="BG341" s="293"/>
      <c r="BH341" s="293"/>
      <c r="BI341" s="293"/>
      <c r="BJ341" s="293"/>
      <c r="BK341" s="293"/>
      <c r="BL341" s="293"/>
      <c r="BM341" s="293"/>
      <c r="BN341" s="293"/>
      <c r="BO341" s="293"/>
      <c r="BP341" s="293"/>
      <c r="BQ341" s="293"/>
      <c r="BR341" s="293"/>
      <c r="BS341" s="293"/>
      <c r="BT341" s="293"/>
      <c r="BU341" s="293"/>
      <c r="BV341" s="293"/>
      <c r="BW341" s="293"/>
      <c r="BX341" s="293"/>
      <c r="BY341" s="293"/>
      <c r="BZ341" s="293"/>
      <c r="CA341" s="285"/>
      <c r="CB341" s="286"/>
      <c r="CC341" s="286"/>
      <c r="CD341" s="286"/>
      <c r="CE341" s="286"/>
      <c r="CF341" s="286"/>
      <c r="CG341" s="286"/>
      <c r="CH341" s="286"/>
      <c r="CI341" s="286"/>
      <c r="CJ341" s="286"/>
      <c r="CK341" s="286"/>
      <c r="CL341" s="286"/>
      <c r="CM341" s="286"/>
      <c r="CN341" s="286"/>
      <c r="CO341" s="286"/>
      <c r="CP341" s="286"/>
      <c r="CQ341" s="286"/>
      <c r="CR341" s="286"/>
      <c r="CS341" s="286"/>
      <c r="CT341" s="286"/>
      <c r="CU341" s="286"/>
      <c r="CV341" s="286"/>
      <c r="CW341" s="286"/>
      <c r="CX341" s="286"/>
      <c r="CY341" s="286"/>
      <c r="CZ341" s="286"/>
      <c r="DA341" s="286"/>
      <c r="DB341" s="286"/>
      <c r="DC341" s="286"/>
      <c r="DD341" s="286"/>
      <c r="DE341" s="286"/>
      <c r="DF341" s="286"/>
      <c r="DG341" s="286"/>
      <c r="DH341" s="286"/>
      <c r="DI341" s="286"/>
      <c r="DJ341" s="286"/>
      <c r="DK341" s="286"/>
      <c r="DL341" s="286"/>
      <c r="DM341" s="286"/>
      <c r="DN341" s="286"/>
      <c r="DO341" s="286"/>
      <c r="DP341" s="286"/>
      <c r="DR341" s="58" t="str">
        <f>IF(ISNUMBER(MATCH(#REF!,'Audit Characteristic Mapping'!$B$3:$B$500,0)),"Y","")</f>
        <v/>
      </c>
      <c r="DS341" s="58" t="str">
        <f>IF(ISNUMBER(MATCH(#REF!,'Audit Characteristic Mapping'!$C$3:$C$500,0)),"Y","")</f>
        <v/>
      </c>
      <c r="DT341" s="58" t="str">
        <f>IF(ISNUMBER(MATCH(#REF!,'Audit Characteristic Mapping'!$D$3:$D$500,0)),"Y","")</f>
        <v/>
      </c>
      <c r="DU341" s="58" t="str">
        <f>IF(ISNUMBER(MATCH(#REF!,'Audit Characteristic Mapping'!$E$3:$E$500,0)),"Y","")</f>
        <v/>
      </c>
      <c r="DV341" s="58" t="str">
        <f>IF(ISNUMBER(MATCH(#REF!,'Audit Characteristic Mapping'!$F$3:$F$500,0)),"Y","")</f>
        <v/>
      </c>
      <c r="DW341" s="58" t="str">
        <f>IF(ISNUMBER(MATCH(#REF!,'Audit Characteristic Mapping'!$G$3:$G$500,0)),"Y","")</f>
        <v/>
      </c>
      <c r="DX341" s="58" t="str">
        <f>IF(ISNUMBER(MATCH(#REF!,'Audit Characteristic Mapping'!$H$3:$H$500,0)),"Y","")</f>
        <v/>
      </c>
      <c r="DY341" s="58" t="str">
        <f>IF(ISNUMBER(MATCH(#REF!,'Audit Characteristic Mapping'!$I$3:$I$500,0)),"Y","")</f>
        <v/>
      </c>
      <c r="DZ341" s="58" t="str">
        <f>IF(ISNUMBER(MATCH(#REF!,'Audit Characteristic Mapping'!$J$3:$J$500,0)),"Y","")</f>
        <v/>
      </c>
      <c r="EA341" s="58" t="str">
        <f>IF(ISNUMBER(MATCH(#REF!,'Audit Characteristic Mapping'!$K$3:$K$500,0)),"Y","")</f>
        <v/>
      </c>
    </row>
    <row r="342" spans="1:131" ht="16" hidden="1" x14ac:dyDescent="0.2">
      <c r="A342" s="288">
        <v>327</v>
      </c>
      <c r="B342" s="287" t="s">
        <v>450</v>
      </c>
      <c r="C342" s="226" t="s">
        <v>483</v>
      </c>
      <c r="D342" s="170">
        <v>9</v>
      </c>
      <c r="E342" s="288">
        <v>67</v>
      </c>
      <c r="F342" s="291" t="str">
        <f>VLOOKUP(Calculation!A342,'Descriptor maps'!$A$2:$F$1658,2,0)</f>
        <v>Management</v>
      </c>
      <c r="G342" s="296"/>
      <c r="H342" s="290"/>
      <c r="I342" s="291"/>
      <c r="J342" s="292" t="e" cm="1">
        <f t="array" ref="J342">INDEX('Descriptor maps'!$I$2:$I$1658,MATCH(1,('Descriptor maps'!$A$2:$A$1658=Calculation!$A342)*('Descriptor maps'!$G$2:$G$1658=Calculation!$G342),0))</f>
        <v>#N/A</v>
      </c>
      <c r="K342" s="226"/>
      <c r="L342" s="293"/>
      <c r="M342" s="293"/>
      <c r="N342" s="293"/>
      <c r="O342" s="293"/>
      <c r="P342" s="293"/>
      <c r="Q342" s="293"/>
      <c r="R342" s="293"/>
      <c r="S342" s="293"/>
      <c r="T342" s="293"/>
      <c r="U342" s="293"/>
      <c r="V342" s="293"/>
      <c r="W342" s="293"/>
      <c r="X342" s="293"/>
      <c r="Y342" s="293"/>
      <c r="Z342" s="293"/>
      <c r="AA342" s="293"/>
      <c r="AB342" s="293"/>
      <c r="AC342" s="293"/>
      <c r="AD342" s="293"/>
      <c r="AE342" s="293"/>
      <c r="AF342" s="293"/>
      <c r="AG342" s="293"/>
      <c r="AH342" s="293"/>
      <c r="AI342" s="293"/>
      <c r="AJ342" s="293"/>
      <c r="AK342" s="293"/>
      <c r="AL342" s="293"/>
      <c r="AM342" s="293"/>
      <c r="AN342" s="293"/>
      <c r="AO342" s="293"/>
      <c r="AP342" s="293"/>
      <c r="AQ342" s="293"/>
      <c r="AR342" s="293"/>
      <c r="AS342" s="293"/>
      <c r="AT342" s="293"/>
      <c r="AU342" s="293"/>
      <c r="AV342" s="293"/>
      <c r="AW342" s="293"/>
      <c r="AX342" s="293"/>
      <c r="AY342" s="293"/>
      <c r="AZ342" s="293"/>
      <c r="BA342" s="293"/>
      <c r="BB342" s="293"/>
      <c r="BC342" s="293"/>
      <c r="BD342" s="293"/>
      <c r="BE342" s="293"/>
      <c r="BF342" s="293"/>
      <c r="BG342" s="293"/>
      <c r="BH342" s="293"/>
      <c r="BI342" s="293"/>
      <c r="BJ342" s="293"/>
      <c r="BK342" s="293"/>
      <c r="BL342" s="293"/>
      <c r="BM342" s="293"/>
      <c r="BN342" s="293"/>
      <c r="BO342" s="293"/>
      <c r="BP342" s="293"/>
      <c r="BQ342" s="293"/>
      <c r="BR342" s="293"/>
      <c r="BS342" s="293"/>
      <c r="BT342" s="293"/>
      <c r="BU342" s="293"/>
      <c r="BV342" s="293"/>
      <c r="BW342" s="293"/>
      <c r="BX342" s="293"/>
      <c r="BY342" s="293"/>
      <c r="BZ342" s="293"/>
      <c r="CA342" s="285"/>
      <c r="CB342" s="286"/>
      <c r="CC342" s="286"/>
      <c r="CD342" s="286"/>
      <c r="CE342" s="286"/>
      <c r="CF342" s="286"/>
      <c r="CG342" s="286"/>
      <c r="CH342" s="286"/>
      <c r="CI342" s="286"/>
      <c r="CJ342" s="286"/>
      <c r="CK342" s="286"/>
      <c r="CL342" s="286"/>
      <c r="CM342" s="286"/>
      <c r="CN342" s="286"/>
      <c r="CO342" s="286"/>
      <c r="CP342" s="286"/>
      <c r="CQ342" s="286"/>
      <c r="CR342" s="286"/>
      <c r="CS342" s="286"/>
      <c r="CT342" s="286"/>
      <c r="CU342" s="286"/>
      <c r="CV342" s="286"/>
      <c r="CW342" s="286"/>
      <c r="CX342" s="286"/>
      <c r="CY342" s="286"/>
      <c r="CZ342" s="286"/>
      <c r="DA342" s="286"/>
      <c r="DB342" s="286"/>
      <c r="DC342" s="286"/>
      <c r="DD342" s="286"/>
      <c r="DE342" s="286"/>
      <c r="DF342" s="286"/>
      <c r="DG342" s="286"/>
      <c r="DH342" s="286"/>
      <c r="DI342" s="286"/>
      <c r="DJ342" s="286"/>
      <c r="DK342" s="286"/>
      <c r="DL342" s="286"/>
      <c r="DM342" s="286"/>
      <c r="DN342" s="286"/>
      <c r="DO342" s="286"/>
      <c r="DP342" s="286"/>
      <c r="DR342" s="58" t="str">
        <f>IF(ISNUMBER(MATCH(#REF!,'Audit Characteristic Mapping'!$B$3:$B$500,0)),"Y","")</f>
        <v/>
      </c>
      <c r="DS342" s="58" t="str">
        <f>IF(ISNUMBER(MATCH(#REF!,'Audit Characteristic Mapping'!$C$3:$C$500,0)),"Y","")</f>
        <v/>
      </c>
      <c r="DT342" s="58" t="str">
        <f>IF(ISNUMBER(MATCH(#REF!,'Audit Characteristic Mapping'!$D$3:$D$500,0)),"Y","")</f>
        <v/>
      </c>
      <c r="DU342" s="58" t="str">
        <f>IF(ISNUMBER(MATCH(#REF!,'Audit Characteristic Mapping'!$E$3:$E$500,0)),"Y","")</f>
        <v/>
      </c>
      <c r="DV342" s="58" t="str">
        <f>IF(ISNUMBER(MATCH(#REF!,'Audit Characteristic Mapping'!$F$3:$F$500,0)),"Y","")</f>
        <v/>
      </c>
      <c r="DW342" s="58" t="str">
        <f>IF(ISNUMBER(MATCH(#REF!,'Audit Characteristic Mapping'!$G$3:$G$500,0)),"Y","")</f>
        <v/>
      </c>
      <c r="DX342" s="58" t="str">
        <f>IF(ISNUMBER(MATCH(#REF!,'Audit Characteristic Mapping'!$H$3:$H$500,0)),"Y","")</f>
        <v/>
      </c>
      <c r="DY342" s="58" t="str">
        <f>IF(ISNUMBER(MATCH(#REF!,'Audit Characteristic Mapping'!$I$3:$I$500,0)),"Y","")</f>
        <v/>
      </c>
      <c r="DZ342" s="58" t="str">
        <f>IF(ISNUMBER(MATCH(#REF!,'Audit Characteristic Mapping'!$J$3:$J$500,0)),"Y","")</f>
        <v/>
      </c>
      <c r="EA342" s="58" t="str">
        <f>IF(ISNUMBER(MATCH(#REF!,'Audit Characteristic Mapping'!$K$3:$K$500,0)),"Y","")</f>
        <v/>
      </c>
    </row>
    <row r="343" spans="1:131" ht="16" hidden="1" x14ac:dyDescent="0.2">
      <c r="A343" s="288">
        <v>333</v>
      </c>
      <c r="B343" s="287" t="s">
        <v>450</v>
      </c>
      <c r="C343" s="226" t="s">
        <v>485</v>
      </c>
      <c r="D343" s="170">
        <v>9</v>
      </c>
      <c r="E343" s="288">
        <v>68</v>
      </c>
      <c r="F343" s="291" t="str">
        <f>VLOOKUP(Calculation!A343,'Descriptor maps'!$A$2:$F$1658,2,0)</f>
        <v>Management</v>
      </c>
      <c r="G343" s="296"/>
      <c r="H343" s="290"/>
      <c r="I343" s="291"/>
      <c r="J343" s="292" t="e" cm="1">
        <f t="array" ref="J343">INDEX('Descriptor maps'!$I$2:$I$1658,MATCH(1,('Descriptor maps'!$A$2:$A$1658=Calculation!$A343)*('Descriptor maps'!$G$2:$G$1658=Calculation!$G343),0))</f>
        <v>#N/A</v>
      </c>
      <c r="K343" s="226"/>
      <c r="L343" s="293"/>
      <c r="M343" s="293"/>
      <c r="N343" s="293"/>
      <c r="O343" s="293"/>
      <c r="P343" s="293"/>
      <c r="Q343" s="293"/>
      <c r="R343" s="293"/>
      <c r="S343" s="293"/>
      <c r="T343" s="293"/>
      <c r="U343" s="293"/>
      <c r="V343" s="293"/>
      <c r="W343" s="293"/>
      <c r="X343" s="293"/>
      <c r="Y343" s="293"/>
      <c r="Z343" s="293"/>
      <c r="AA343" s="293"/>
      <c r="AB343" s="293"/>
      <c r="AC343" s="293"/>
      <c r="AD343" s="293"/>
      <c r="AE343" s="293"/>
      <c r="AF343" s="293"/>
      <c r="AG343" s="293"/>
      <c r="AH343" s="293"/>
      <c r="AI343" s="293"/>
      <c r="AJ343" s="293"/>
      <c r="AK343" s="293"/>
      <c r="AL343" s="293"/>
      <c r="AM343" s="293"/>
      <c r="AN343" s="293"/>
      <c r="AO343" s="293"/>
      <c r="AP343" s="293"/>
      <c r="AQ343" s="293"/>
      <c r="AR343" s="293"/>
      <c r="AS343" s="293"/>
      <c r="AT343" s="293"/>
      <c r="AU343" s="293"/>
      <c r="AV343" s="293"/>
      <c r="AW343" s="293"/>
      <c r="AX343" s="293"/>
      <c r="AY343" s="293"/>
      <c r="AZ343" s="293"/>
      <c r="BA343" s="293"/>
      <c r="BB343" s="293"/>
      <c r="BC343" s="293"/>
      <c r="BD343" s="293"/>
      <c r="BE343" s="293"/>
      <c r="BF343" s="293"/>
      <c r="BG343" s="293"/>
      <c r="BH343" s="293"/>
      <c r="BI343" s="293"/>
      <c r="BJ343" s="293"/>
      <c r="BK343" s="293"/>
      <c r="BL343" s="293"/>
      <c r="BM343" s="293"/>
      <c r="BN343" s="293"/>
      <c r="BO343" s="293"/>
      <c r="BP343" s="293"/>
      <c r="BQ343" s="293"/>
      <c r="BR343" s="293"/>
      <c r="BS343" s="293"/>
      <c r="BT343" s="293"/>
      <c r="BU343" s="293"/>
      <c r="BV343" s="293"/>
      <c r="BW343" s="293"/>
      <c r="BX343" s="293"/>
      <c r="BY343" s="293"/>
      <c r="BZ343" s="293"/>
      <c r="CA343" s="285"/>
      <c r="CB343" s="286"/>
      <c r="CC343" s="286"/>
      <c r="CD343" s="286"/>
      <c r="CE343" s="286"/>
      <c r="CF343" s="286"/>
      <c r="CG343" s="286"/>
      <c r="CH343" s="286"/>
      <c r="CI343" s="286"/>
      <c r="CJ343" s="286"/>
      <c r="CK343" s="286"/>
      <c r="CL343" s="286"/>
      <c r="CM343" s="286"/>
      <c r="CN343" s="286"/>
      <c r="CO343" s="286"/>
      <c r="CP343" s="286"/>
      <c r="CQ343" s="286"/>
      <c r="CR343" s="286"/>
      <c r="CS343" s="286"/>
      <c r="CT343" s="286"/>
      <c r="CU343" s="286"/>
      <c r="CV343" s="286"/>
      <c r="CW343" s="286"/>
      <c r="CX343" s="286"/>
      <c r="CY343" s="286"/>
      <c r="CZ343" s="286"/>
      <c r="DA343" s="286"/>
      <c r="DB343" s="286"/>
      <c r="DC343" s="286"/>
      <c r="DD343" s="286"/>
      <c r="DE343" s="286"/>
      <c r="DF343" s="286"/>
      <c r="DG343" s="286"/>
      <c r="DH343" s="286"/>
      <c r="DI343" s="286"/>
      <c r="DJ343" s="286"/>
      <c r="DK343" s="286"/>
      <c r="DL343" s="286"/>
      <c r="DM343" s="286"/>
      <c r="DN343" s="286"/>
      <c r="DO343" s="286"/>
      <c r="DP343" s="286"/>
      <c r="DR343" s="58" t="str">
        <f>IF(ISNUMBER(MATCH(#REF!,'Audit Characteristic Mapping'!$B$3:$B$500,0)),"Y","")</f>
        <v/>
      </c>
      <c r="DS343" s="58" t="str">
        <f>IF(ISNUMBER(MATCH(#REF!,'Audit Characteristic Mapping'!$C$3:$C$500,0)),"Y","")</f>
        <v/>
      </c>
      <c r="DT343" s="58" t="str">
        <f>IF(ISNUMBER(MATCH(#REF!,'Audit Characteristic Mapping'!$D$3:$D$500,0)),"Y","")</f>
        <v/>
      </c>
      <c r="DU343" s="58" t="str">
        <f>IF(ISNUMBER(MATCH(#REF!,'Audit Characteristic Mapping'!$E$3:$E$500,0)),"Y","")</f>
        <v/>
      </c>
      <c r="DV343" s="58" t="str">
        <f>IF(ISNUMBER(MATCH(#REF!,'Audit Characteristic Mapping'!$F$3:$F$500,0)),"Y","")</f>
        <v/>
      </c>
      <c r="DW343" s="58" t="str">
        <f>IF(ISNUMBER(MATCH(#REF!,'Audit Characteristic Mapping'!$G$3:$G$500,0)),"Y","")</f>
        <v/>
      </c>
      <c r="DX343" s="58" t="str">
        <f>IF(ISNUMBER(MATCH(#REF!,'Audit Characteristic Mapping'!$H$3:$H$500,0)),"Y","")</f>
        <v/>
      </c>
      <c r="DY343" s="58" t="str">
        <f>IF(ISNUMBER(MATCH(#REF!,'Audit Characteristic Mapping'!$I$3:$I$500,0)),"Y","")</f>
        <v/>
      </c>
      <c r="DZ343" s="58" t="str">
        <f>IF(ISNUMBER(MATCH(#REF!,'Audit Characteristic Mapping'!$J$3:$J$500,0)),"Y","")</f>
        <v/>
      </c>
      <c r="EA343" s="58" t="str">
        <f>IF(ISNUMBER(MATCH(#REF!,'Audit Characteristic Mapping'!$K$3:$K$500,0)),"Y","")</f>
        <v/>
      </c>
    </row>
    <row r="344" spans="1:131" ht="16" hidden="1" x14ac:dyDescent="0.2">
      <c r="A344" s="288">
        <v>334</v>
      </c>
      <c r="B344" s="287" t="s">
        <v>450</v>
      </c>
      <c r="C344" s="226" t="s">
        <v>485</v>
      </c>
      <c r="D344" s="170">
        <v>9</v>
      </c>
      <c r="E344" s="288">
        <v>68</v>
      </c>
      <c r="F344" s="291" t="str">
        <f>VLOOKUP(Calculation!A344,'Descriptor maps'!$A$2:$F$1658,2,0)</f>
        <v>Management</v>
      </c>
      <c r="G344" s="296"/>
      <c r="H344" s="290"/>
      <c r="I344" s="291"/>
      <c r="J344" s="292" t="e" cm="1">
        <f t="array" ref="J344">INDEX('Descriptor maps'!$I$2:$I$1658,MATCH(1,('Descriptor maps'!$A$2:$A$1658=Calculation!$A344)*('Descriptor maps'!$G$2:$G$1658=Calculation!$G344),0))</f>
        <v>#N/A</v>
      </c>
      <c r="K344" s="226"/>
      <c r="L344" s="293"/>
      <c r="M344" s="293"/>
      <c r="N344" s="293"/>
      <c r="O344" s="293"/>
      <c r="P344" s="293"/>
      <c r="Q344" s="293"/>
      <c r="R344" s="293"/>
      <c r="S344" s="293"/>
      <c r="T344" s="293"/>
      <c r="U344" s="293"/>
      <c r="V344" s="293"/>
      <c r="W344" s="293"/>
      <c r="X344" s="293"/>
      <c r="Y344" s="293"/>
      <c r="Z344" s="293"/>
      <c r="AA344" s="293"/>
      <c r="AB344" s="293"/>
      <c r="AC344" s="293"/>
      <c r="AD344" s="293"/>
      <c r="AE344" s="293"/>
      <c r="AF344" s="293"/>
      <c r="AG344" s="293"/>
      <c r="AH344" s="293"/>
      <c r="AI344" s="293"/>
      <c r="AJ344" s="293"/>
      <c r="AK344" s="293"/>
      <c r="AL344" s="293"/>
      <c r="AM344" s="293"/>
      <c r="AN344" s="293"/>
      <c r="AO344" s="293"/>
      <c r="AP344" s="293"/>
      <c r="AQ344" s="293"/>
      <c r="AR344" s="293"/>
      <c r="AS344" s="293"/>
      <c r="AT344" s="293"/>
      <c r="AU344" s="293"/>
      <c r="AV344" s="293"/>
      <c r="AW344" s="293"/>
      <c r="AX344" s="293"/>
      <c r="AY344" s="293"/>
      <c r="AZ344" s="293"/>
      <c r="BA344" s="293"/>
      <c r="BB344" s="293"/>
      <c r="BC344" s="293"/>
      <c r="BD344" s="293"/>
      <c r="BE344" s="293"/>
      <c r="BF344" s="293"/>
      <c r="BG344" s="293"/>
      <c r="BH344" s="293"/>
      <c r="BI344" s="293"/>
      <c r="BJ344" s="293"/>
      <c r="BK344" s="293"/>
      <c r="BL344" s="293"/>
      <c r="BM344" s="293"/>
      <c r="BN344" s="293"/>
      <c r="BO344" s="293"/>
      <c r="BP344" s="293"/>
      <c r="BQ344" s="293"/>
      <c r="BR344" s="293"/>
      <c r="BS344" s="293"/>
      <c r="BT344" s="293"/>
      <c r="BU344" s="293"/>
      <c r="BV344" s="293"/>
      <c r="BW344" s="293"/>
      <c r="BX344" s="293"/>
      <c r="BY344" s="293"/>
      <c r="BZ344" s="293"/>
      <c r="CA344" s="285"/>
      <c r="CB344" s="286"/>
      <c r="CC344" s="286"/>
      <c r="CD344" s="286"/>
      <c r="CE344" s="286"/>
      <c r="CF344" s="286"/>
      <c r="CG344" s="286"/>
      <c r="CH344" s="286"/>
      <c r="CI344" s="286"/>
      <c r="CJ344" s="286"/>
      <c r="CK344" s="286"/>
      <c r="CL344" s="286"/>
      <c r="CM344" s="286"/>
      <c r="CN344" s="286"/>
      <c r="CO344" s="286"/>
      <c r="CP344" s="286"/>
      <c r="CQ344" s="286"/>
      <c r="CR344" s="286"/>
      <c r="CS344" s="286"/>
      <c r="CT344" s="286"/>
      <c r="CU344" s="286"/>
      <c r="CV344" s="286"/>
      <c r="CW344" s="286"/>
      <c r="CX344" s="286"/>
      <c r="CY344" s="286"/>
      <c r="CZ344" s="286"/>
      <c r="DA344" s="286"/>
      <c r="DB344" s="286"/>
      <c r="DC344" s="286"/>
      <c r="DD344" s="286"/>
      <c r="DE344" s="286"/>
      <c r="DF344" s="286"/>
      <c r="DG344" s="286"/>
      <c r="DH344" s="286"/>
      <c r="DI344" s="286"/>
      <c r="DJ344" s="286"/>
      <c r="DK344" s="286"/>
      <c r="DL344" s="286"/>
      <c r="DM344" s="286"/>
      <c r="DN344" s="286"/>
      <c r="DO344" s="286"/>
      <c r="DP344" s="286"/>
      <c r="DR344" s="58" t="str">
        <f>IF(ISNUMBER(MATCH(#REF!,'Audit Characteristic Mapping'!$B$3:$B$500,0)),"Y","")</f>
        <v/>
      </c>
      <c r="DS344" s="58" t="str">
        <f>IF(ISNUMBER(MATCH(#REF!,'Audit Characteristic Mapping'!$C$3:$C$500,0)),"Y","")</f>
        <v/>
      </c>
      <c r="DT344" s="58" t="str">
        <f>IF(ISNUMBER(MATCH(#REF!,'Audit Characteristic Mapping'!$D$3:$D$500,0)),"Y","")</f>
        <v/>
      </c>
      <c r="DU344" s="58" t="str">
        <f>IF(ISNUMBER(MATCH(#REF!,'Audit Characteristic Mapping'!$E$3:$E$500,0)),"Y","")</f>
        <v/>
      </c>
      <c r="DV344" s="58" t="str">
        <f>IF(ISNUMBER(MATCH(#REF!,'Audit Characteristic Mapping'!$F$3:$F$500,0)),"Y","")</f>
        <v/>
      </c>
      <c r="DW344" s="58" t="str">
        <f>IF(ISNUMBER(MATCH(#REF!,'Audit Characteristic Mapping'!$G$3:$G$500,0)),"Y","")</f>
        <v/>
      </c>
      <c r="DX344" s="58" t="str">
        <f>IF(ISNUMBER(MATCH(#REF!,'Audit Characteristic Mapping'!$H$3:$H$500,0)),"Y","")</f>
        <v/>
      </c>
      <c r="DY344" s="58" t="str">
        <f>IF(ISNUMBER(MATCH(#REF!,'Audit Characteristic Mapping'!$I$3:$I$500,0)),"Y","")</f>
        <v/>
      </c>
      <c r="DZ344" s="58" t="str">
        <f>IF(ISNUMBER(MATCH(#REF!,'Audit Characteristic Mapping'!$J$3:$J$500,0)),"Y","")</f>
        <v/>
      </c>
      <c r="EA344" s="58" t="str">
        <f>IF(ISNUMBER(MATCH(#REF!,'Audit Characteristic Mapping'!$K$3:$K$500,0)),"Y","")</f>
        <v/>
      </c>
    </row>
    <row r="345" spans="1:131" ht="16" hidden="1" x14ac:dyDescent="0.2">
      <c r="A345" s="288">
        <v>335</v>
      </c>
      <c r="B345" s="287" t="s">
        <v>450</v>
      </c>
      <c r="C345" s="226" t="s">
        <v>485</v>
      </c>
      <c r="D345" s="170">
        <v>9</v>
      </c>
      <c r="E345" s="288">
        <v>68</v>
      </c>
      <c r="F345" s="291" t="str">
        <f>VLOOKUP(Calculation!A345,'Descriptor maps'!$A$2:$F$1658,2,0)</f>
        <v>Management</v>
      </c>
      <c r="G345" s="296"/>
      <c r="H345" s="290"/>
      <c r="I345" s="291"/>
      <c r="J345" s="292" t="e" cm="1">
        <f t="array" ref="J345">INDEX('Descriptor maps'!$I$2:$I$1658,MATCH(1,('Descriptor maps'!$A$2:$A$1658=Calculation!$A345)*('Descriptor maps'!$G$2:$G$1658=Calculation!$G345),0))</f>
        <v>#N/A</v>
      </c>
      <c r="K345" s="226"/>
      <c r="L345" s="293"/>
      <c r="M345" s="293"/>
      <c r="N345" s="293"/>
      <c r="O345" s="293"/>
      <c r="P345" s="293"/>
      <c r="Q345" s="293"/>
      <c r="R345" s="293"/>
      <c r="S345" s="293"/>
      <c r="T345" s="293"/>
      <c r="U345" s="293"/>
      <c r="V345" s="293"/>
      <c r="W345" s="293"/>
      <c r="X345" s="293"/>
      <c r="Y345" s="293"/>
      <c r="Z345" s="293"/>
      <c r="AA345" s="293"/>
      <c r="AB345" s="293"/>
      <c r="AC345" s="293"/>
      <c r="AD345" s="293"/>
      <c r="AE345" s="293"/>
      <c r="AF345" s="293"/>
      <c r="AG345" s="293"/>
      <c r="AH345" s="293"/>
      <c r="AI345" s="293"/>
      <c r="AJ345" s="293"/>
      <c r="AK345" s="293"/>
      <c r="AL345" s="293"/>
      <c r="AM345" s="293"/>
      <c r="AN345" s="293"/>
      <c r="AO345" s="293"/>
      <c r="AP345" s="293"/>
      <c r="AQ345" s="293"/>
      <c r="AR345" s="293"/>
      <c r="AS345" s="293"/>
      <c r="AT345" s="293"/>
      <c r="AU345" s="293"/>
      <c r="AV345" s="293"/>
      <c r="AW345" s="293"/>
      <c r="AX345" s="293"/>
      <c r="AY345" s="293"/>
      <c r="AZ345" s="293"/>
      <c r="BA345" s="293"/>
      <c r="BB345" s="293"/>
      <c r="BC345" s="293"/>
      <c r="BD345" s="293"/>
      <c r="BE345" s="293"/>
      <c r="BF345" s="293"/>
      <c r="BG345" s="293"/>
      <c r="BH345" s="293"/>
      <c r="BI345" s="293"/>
      <c r="BJ345" s="293"/>
      <c r="BK345" s="293"/>
      <c r="BL345" s="293"/>
      <c r="BM345" s="293"/>
      <c r="BN345" s="293"/>
      <c r="BO345" s="293"/>
      <c r="BP345" s="293"/>
      <c r="BQ345" s="293"/>
      <c r="BR345" s="293"/>
      <c r="BS345" s="293"/>
      <c r="BT345" s="293"/>
      <c r="BU345" s="293"/>
      <c r="BV345" s="293"/>
      <c r="BW345" s="293"/>
      <c r="BX345" s="293"/>
      <c r="BY345" s="293"/>
      <c r="BZ345" s="293"/>
      <c r="CA345" s="285"/>
      <c r="CB345" s="286"/>
      <c r="CC345" s="286"/>
      <c r="CD345" s="286"/>
      <c r="CE345" s="286"/>
      <c r="CF345" s="286"/>
      <c r="CG345" s="286"/>
      <c r="CH345" s="286"/>
      <c r="CI345" s="286"/>
      <c r="CJ345" s="286"/>
      <c r="CK345" s="286"/>
      <c r="CL345" s="286"/>
      <c r="CM345" s="286"/>
      <c r="CN345" s="286"/>
      <c r="CO345" s="286"/>
      <c r="CP345" s="286"/>
      <c r="CQ345" s="286"/>
      <c r="CR345" s="286"/>
      <c r="CS345" s="286"/>
      <c r="CT345" s="286"/>
      <c r="CU345" s="286"/>
      <c r="CV345" s="286"/>
      <c r="CW345" s="286"/>
      <c r="CX345" s="286"/>
      <c r="CY345" s="286"/>
      <c r="CZ345" s="286"/>
      <c r="DA345" s="286"/>
      <c r="DB345" s="286"/>
      <c r="DC345" s="286"/>
      <c r="DD345" s="286"/>
      <c r="DE345" s="286"/>
      <c r="DF345" s="286"/>
      <c r="DG345" s="286"/>
      <c r="DH345" s="286"/>
      <c r="DI345" s="286"/>
      <c r="DJ345" s="286"/>
      <c r="DK345" s="286"/>
      <c r="DL345" s="286"/>
      <c r="DM345" s="286"/>
      <c r="DN345" s="286"/>
      <c r="DO345" s="286"/>
      <c r="DP345" s="286"/>
      <c r="DR345" s="58" t="str">
        <f>IF(ISNUMBER(MATCH(#REF!,'Audit Characteristic Mapping'!$B$3:$B$500,0)),"Y","")</f>
        <v/>
      </c>
      <c r="DS345" s="58" t="str">
        <f>IF(ISNUMBER(MATCH(#REF!,'Audit Characteristic Mapping'!$C$3:$C$500,0)),"Y","")</f>
        <v/>
      </c>
      <c r="DT345" s="58" t="str">
        <f>IF(ISNUMBER(MATCH(#REF!,'Audit Characteristic Mapping'!$D$3:$D$500,0)),"Y","")</f>
        <v/>
      </c>
      <c r="DU345" s="58" t="str">
        <f>IF(ISNUMBER(MATCH(#REF!,'Audit Characteristic Mapping'!$E$3:$E$500,0)),"Y","")</f>
        <v/>
      </c>
      <c r="DV345" s="58" t="str">
        <f>IF(ISNUMBER(MATCH(#REF!,'Audit Characteristic Mapping'!$F$3:$F$500,0)),"Y","")</f>
        <v/>
      </c>
      <c r="DW345" s="58" t="str">
        <f>IF(ISNUMBER(MATCH(#REF!,'Audit Characteristic Mapping'!$G$3:$G$500,0)),"Y","")</f>
        <v/>
      </c>
      <c r="DX345" s="58" t="str">
        <f>IF(ISNUMBER(MATCH(#REF!,'Audit Characteristic Mapping'!$H$3:$H$500,0)),"Y","")</f>
        <v/>
      </c>
      <c r="DY345" s="58" t="str">
        <f>IF(ISNUMBER(MATCH(#REF!,'Audit Characteristic Mapping'!$I$3:$I$500,0)),"Y","")</f>
        <v/>
      </c>
      <c r="DZ345" s="58" t="str">
        <f>IF(ISNUMBER(MATCH(#REF!,'Audit Characteristic Mapping'!$J$3:$J$500,0)),"Y","")</f>
        <v/>
      </c>
      <c r="EA345" s="58" t="str">
        <f>IF(ISNUMBER(MATCH(#REF!,'Audit Characteristic Mapping'!$K$3:$K$500,0)),"Y","")</f>
        <v/>
      </c>
    </row>
    <row r="346" spans="1:131" ht="16" hidden="1" x14ac:dyDescent="0.2">
      <c r="A346" s="288">
        <v>336</v>
      </c>
      <c r="B346" s="287" t="s">
        <v>450</v>
      </c>
      <c r="C346" s="226" t="s">
        <v>485</v>
      </c>
      <c r="D346" s="170">
        <v>9</v>
      </c>
      <c r="E346" s="288">
        <v>68</v>
      </c>
      <c r="F346" s="291" t="str">
        <f>VLOOKUP(Calculation!A346,'Descriptor maps'!$A$2:$F$1658,2,0)</f>
        <v>Management</v>
      </c>
      <c r="G346" s="296"/>
      <c r="H346" s="290"/>
      <c r="I346" s="291"/>
      <c r="J346" s="292" t="e" cm="1">
        <f t="array" ref="J346">INDEX('Descriptor maps'!$I$2:$I$1658,MATCH(1,('Descriptor maps'!$A$2:$A$1658=Calculation!$A346)*('Descriptor maps'!$G$2:$G$1658=Calculation!$G346),0))</f>
        <v>#N/A</v>
      </c>
      <c r="K346" s="226"/>
      <c r="L346" s="293"/>
      <c r="M346" s="293"/>
      <c r="N346" s="293"/>
      <c r="O346" s="293"/>
      <c r="P346" s="293"/>
      <c r="Q346" s="293"/>
      <c r="R346" s="293"/>
      <c r="S346" s="293"/>
      <c r="T346" s="293"/>
      <c r="U346" s="293"/>
      <c r="V346" s="293"/>
      <c r="W346" s="293"/>
      <c r="X346" s="293"/>
      <c r="Y346" s="293"/>
      <c r="Z346" s="293"/>
      <c r="AA346" s="293"/>
      <c r="AB346" s="293"/>
      <c r="AC346" s="293"/>
      <c r="AD346" s="293"/>
      <c r="AE346" s="293"/>
      <c r="AF346" s="293"/>
      <c r="AG346" s="293"/>
      <c r="AH346" s="293"/>
      <c r="AI346" s="293"/>
      <c r="AJ346" s="293"/>
      <c r="AK346" s="293"/>
      <c r="AL346" s="293"/>
      <c r="AM346" s="293"/>
      <c r="AN346" s="293"/>
      <c r="AO346" s="293"/>
      <c r="AP346" s="293"/>
      <c r="AQ346" s="293"/>
      <c r="AR346" s="293"/>
      <c r="AS346" s="293"/>
      <c r="AT346" s="293"/>
      <c r="AU346" s="293"/>
      <c r="AV346" s="293"/>
      <c r="AW346" s="293"/>
      <c r="AX346" s="293"/>
      <c r="AY346" s="293"/>
      <c r="AZ346" s="293"/>
      <c r="BA346" s="293"/>
      <c r="BB346" s="293"/>
      <c r="BC346" s="293"/>
      <c r="BD346" s="293"/>
      <c r="BE346" s="293"/>
      <c r="BF346" s="293"/>
      <c r="BG346" s="293"/>
      <c r="BH346" s="293"/>
      <c r="BI346" s="293"/>
      <c r="BJ346" s="293"/>
      <c r="BK346" s="293"/>
      <c r="BL346" s="293"/>
      <c r="BM346" s="293"/>
      <c r="BN346" s="293"/>
      <c r="BO346" s="293"/>
      <c r="BP346" s="293"/>
      <c r="BQ346" s="293"/>
      <c r="BR346" s="293"/>
      <c r="BS346" s="293"/>
      <c r="BT346" s="293"/>
      <c r="BU346" s="293"/>
      <c r="BV346" s="293"/>
      <c r="BW346" s="293"/>
      <c r="BX346" s="293"/>
      <c r="BY346" s="293"/>
      <c r="BZ346" s="293"/>
      <c r="CA346" s="285"/>
      <c r="CB346" s="286"/>
      <c r="CC346" s="286"/>
      <c r="CD346" s="286"/>
      <c r="CE346" s="286"/>
      <c r="CF346" s="286"/>
      <c r="CG346" s="286"/>
      <c r="CH346" s="286"/>
      <c r="CI346" s="286"/>
      <c r="CJ346" s="286"/>
      <c r="CK346" s="286"/>
      <c r="CL346" s="286"/>
      <c r="CM346" s="286"/>
      <c r="CN346" s="286"/>
      <c r="CO346" s="286"/>
      <c r="CP346" s="286"/>
      <c r="CQ346" s="286"/>
      <c r="CR346" s="286"/>
      <c r="CS346" s="286"/>
      <c r="CT346" s="286"/>
      <c r="CU346" s="286"/>
      <c r="CV346" s="286"/>
      <c r="CW346" s="286"/>
      <c r="CX346" s="286"/>
      <c r="CY346" s="286"/>
      <c r="CZ346" s="286"/>
      <c r="DA346" s="286"/>
      <c r="DB346" s="286"/>
      <c r="DC346" s="286"/>
      <c r="DD346" s="286"/>
      <c r="DE346" s="286"/>
      <c r="DF346" s="286"/>
      <c r="DG346" s="286"/>
      <c r="DH346" s="286"/>
      <c r="DI346" s="286"/>
      <c r="DJ346" s="286"/>
      <c r="DK346" s="286"/>
      <c r="DL346" s="286"/>
      <c r="DM346" s="286"/>
      <c r="DN346" s="286"/>
      <c r="DO346" s="286"/>
      <c r="DP346" s="286"/>
      <c r="DR346" s="58" t="str">
        <f>IF(ISNUMBER(MATCH(#REF!,'Audit Characteristic Mapping'!$B$3:$B$500,0)),"Y","")</f>
        <v/>
      </c>
      <c r="DS346" s="58" t="str">
        <f>IF(ISNUMBER(MATCH(#REF!,'Audit Characteristic Mapping'!$C$3:$C$500,0)),"Y","")</f>
        <v/>
      </c>
      <c r="DT346" s="58" t="str">
        <f>IF(ISNUMBER(MATCH(#REF!,'Audit Characteristic Mapping'!$D$3:$D$500,0)),"Y","")</f>
        <v/>
      </c>
      <c r="DU346" s="58" t="str">
        <f>IF(ISNUMBER(MATCH(#REF!,'Audit Characteristic Mapping'!$E$3:$E$500,0)),"Y","")</f>
        <v/>
      </c>
      <c r="DV346" s="58" t="str">
        <f>IF(ISNUMBER(MATCH(#REF!,'Audit Characteristic Mapping'!$F$3:$F$500,0)),"Y","")</f>
        <v/>
      </c>
      <c r="DW346" s="58" t="str">
        <f>IF(ISNUMBER(MATCH(#REF!,'Audit Characteristic Mapping'!$G$3:$G$500,0)),"Y","")</f>
        <v/>
      </c>
      <c r="DX346" s="58" t="str">
        <f>IF(ISNUMBER(MATCH(#REF!,'Audit Characteristic Mapping'!$H$3:$H$500,0)),"Y","")</f>
        <v/>
      </c>
      <c r="DY346" s="58" t="str">
        <f>IF(ISNUMBER(MATCH(#REF!,'Audit Characteristic Mapping'!$I$3:$I$500,0)),"Y","")</f>
        <v/>
      </c>
      <c r="DZ346" s="58" t="str">
        <f>IF(ISNUMBER(MATCH(#REF!,'Audit Characteristic Mapping'!$J$3:$J$500,0)),"Y","")</f>
        <v/>
      </c>
      <c r="EA346" s="58" t="str">
        <f>IF(ISNUMBER(MATCH(#REF!,'Audit Characteristic Mapping'!$K$3:$K$500,0)),"Y","")</f>
        <v/>
      </c>
    </row>
    <row r="347" spans="1:131" ht="16" hidden="1" x14ac:dyDescent="0.2">
      <c r="A347" s="288">
        <v>337</v>
      </c>
      <c r="B347" s="287" t="s">
        <v>450</v>
      </c>
      <c r="C347" s="226" t="s">
        <v>485</v>
      </c>
      <c r="D347" s="170">
        <v>9</v>
      </c>
      <c r="E347" s="288">
        <v>68</v>
      </c>
      <c r="F347" s="291" t="str">
        <f>VLOOKUP(Calculation!A347,'Descriptor maps'!$A$2:$F$1658,2,0)</f>
        <v>Management</v>
      </c>
      <c r="G347" s="296"/>
      <c r="H347" s="290"/>
      <c r="I347" s="291"/>
      <c r="J347" s="292" t="e" cm="1">
        <f t="array" ref="J347">INDEX('Descriptor maps'!$I$2:$I$1658,MATCH(1,('Descriptor maps'!$A$2:$A$1658=Calculation!$A347)*('Descriptor maps'!$G$2:$G$1658=Calculation!$G347),0))</f>
        <v>#N/A</v>
      </c>
      <c r="K347" s="226"/>
      <c r="L347" s="293"/>
      <c r="M347" s="293"/>
      <c r="N347" s="293"/>
      <c r="O347" s="293"/>
      <c r="P347" s="293"/>
      <c r="Q347" s="293"/>
      <c r="R347" s="293"/>
      <c r="S347" s="293"/>
      <c r="T347" s="293"/>
      <c r="U347" s="293"/>
      <c r="V347" s="293"/>
      <c r="W347" s="293"/>
      <c r="X347" s="293"/>
      <c r="Y347" s="293"/>
      <c r="Z347" s="293"/>
      <c r="AA347" s="293"/>
      <c r="AB347" s="293"/>
      <c r="AC347" s="293"/>
      <c r="AD347" s="293"/>
      <c r="AE347" s="293"/>
      <c r="AF347" s="293"/>
      <c r="AG347" s="293"/>
      <c r="AH347" s="293"/>
      <c r="AI347" s="293"/>
      <c r="AJ347" s="293"/>
      <c r="AK347" s="293"/>
      <c r="AL347" s="293"/>
      <c r="AM347" s="293"/>
      <c r="AN347" s="293"/>
      <c r="AO347" s="293"/>
      <c r="AP347" s="293"/>
      <c r="AQ347" s="293"/>
      <c r="AR347" s="293"/>
      <c r="AS347" s="293"/>
      <c r="AT347" s="293"/>
      <c r="AU347" s="293"/>
      <c r="AV347" s="293"/>
      <c r="AW347" s="293"/>
      <c r="AX347" s="293"/>
      <c r="AY347" s="293"/>
      <c r="AZ347" s="293"/>
      <c r="BA347" s="293"/>
      <c r="BB347" s="293"/>
      <c r="BC347" s="293"/>
      <c r="BD347" s="293"/>
      <c r="BE347" s="293"/>
      <c r="BF347" s="293"/>
      <c r="BG347" s="293"/>
      <c r="BH347" s="293"/>
      <c r="BI347" s="293"/>
      <c r="BJ347" s="293"/>
      <c r="BK347" s="293"/>
      <c r="BL347" s="293"/>
      <c r="BM347" s="293"/>
      <c r="BN347" s="293"/>
      <c r="BO347" s="293"/>
      <c r="BP347" s="293"/>
      <c r="BQ347" s="293"/>
      <c r="BR347" s="293"/>
      <c r="BS347" s="293"/>
      <c r="BT347" s="293"/>
      <c r="BU347" s="293"/>
      <c r="BV347" s="293"/>
      <c r="BW347" s="293"/>
      <c r="BX347" s="293"/>
      <c r="BY347" s="293"/>
      <c r="BZ347" s="293"/>
      <c r="CA347" s="285"/>
      <c r="CB347" s="286"/>
      <c r="CC347" s="286"/>
      <c r="CD347" s="286"/>
      <c r="CE347" s="286"/>
      <c r="CF347" s="286"/>
      <c r="CG347" s="286"/>
      <c r="CH347" s="286"/>
      <c r="CI347" s="286"/>
      <c r="CJ347" s="286"/>
      <c r="CK347" s="286"/>
      <c r="CL347" s="286"/>
      <c r="CM347" s="286"/>
      <c r="CN347" s="286"/>
      <c r="CO347" s="286"/>
      <c r="CP347" s="286"/>
      <c r="CQ347" s="286"/>
      <c r="CR347" s="286"/>
      <c r="CS347" s="286"/>
      <c r="CT347" s="286"/>
      <c r="CU347" s="286"/>
      <c r="CV347" s="286"/>
      <c r="CW347" s="286"/>
      <c r="CX347" s="286"/>
      <c r="CY347" s="286"/>
      <c r="CZ347" s="286"/>
      <c r="DA347" s="286"/>
      <c r="DB347" s="286"/>
      <c r="DC347" s="286"/>
      <c r="DD347" s="286"/>
      <c r="DE347" s="286"/>
      <c r="DF347" s="286"/>
      <c r="DG347" s="286"/>
      <c r="DH347" s="286"/>
      <c r="DI347" s="286"/>
      <c r="DJ347" s="286"/>
      <c r="DK347" s="286"/>
      <c r="DL347" s="286"/>
      <c r="DM347" s="286"/>
      <c r="DN347" s="286"/>
      <c r="DO347" s="286"/>
      <c r="DP347" s="286"/>
      <c r="DR347" s="58" t="str">
        <f>IF(ISNUMBER(MATCH(#REF!,'Audit Characteristic Mapping'!$B$3:$B$500,0)),"Y","")</f>
        <v/>
      </c>
      <c r="DS347" s="58" t="str">
        <f>IF(ISNUMBER(MATCH(#REF!,'Audit Characteristic Mapping'!$C$3:$C$500,0)),"Y","")</f>
        <v/>
      </c>
      <c r="DT347" s="58" t="str">
        <f>IF(ISNUMBER(MATCH(#REF!,'Audit Characteristic Mapping'!$D$3:$D$500,0)),"Y","")</f>
        <v/>
      </c>
      <c r="DU347" s="58" t="str">
        <f>IF(ISNUMBER(MATCH(#REF!,'Audit Characteristic Mapping'!$E$3:$E$500,0)),"Y","")</f>
        <v/>
      </c>
      <c r="DV347" s="58" t="str">
        <f>IF(ISNUMBER(MATCH(#REF!,'Audit Characteristic Mapping'!$F$3:$F$500,0)),"Y","")</f>
        <v/>
      </c>
      <c r="DW347" s="58" t="str">
        <f>IF(ISNUMBER(MATCH(#REF!,'Audit Characteristic Mapping'!$G$3:$G$500,0)),"Y","")</f>
        <v/>
      </c>
      <c r="DX347" s="58" t="str">
        <f>IF(ISNUMBER(MATCH(#REF!,'Audit Characteristic Mapping'!$H$3:$H$500,0)),"Y","")</f>
        <v/>
      </c>
      <c r="DY347" s="58" t="str">
        <f>IF(ISNUMBER(MATCH(#REF!,'Audit Characteristic Mapping'!$I$3:$I$500,0)),"Y","")</f>
        <v/>
      </c>
      <c r="DZ347" s="58" t="str">
        <f>IF(ISNUMBER(MATCH(#REF!,'Audit Characteristic Mapping'!$J$3:$J$500,0)),"Y","")</f>
        <v/>
      </c>
      <c r="EA347" s="58" t="str">
        <f>IF(ISNUMBER(MATCH(#REF!,'Audit Characteristic Mapping'!$K$3:$K$500,0)),"Y","")</f>
        <v/>
      </c>
    </row>
    <row r="348" spans="1:131" ht="16" hidden="1" x14ac:dyDescent="0.2">
      <c r="A348" s="288">
        <v>338</v>
      </c>
      <c r="B348" s="287" t="s">
        <v>450</v>
      </c>
      <c r="C348" s="226" t="s">
        <v>485</v>
      </c>
      <c r="D348" s="170">
        <v>9</v>
      </c>
      <c r="E348" s="288">
        <v>68</v>
      </c>
      <c r="F348" s="291" t="str">
        <f>VLOOKUP(Calculation!A348,'Descriptor maps'!$A$2:$F$1658,2,0)</f>
        <v>Management</v>
      </c>
      <c r="G348" s="296"/>
      <c r="H348" s="290"/>
      <c r="I348" s="291"/>
      <c r="J348" s="292" t="e" cm="1">
        <f t="array" ref="J348">INDEX('Descriptor maps'!$I$2:$I$1658,MATCH(1,('Descriptor maps'!$A$2:$A$1658=Calculation!$A348)*('Descriptor maps'!$G$2:$G$1658=Calculation!$G348),0))</f>
        <v>#N/A</v>
      </c>
      <c r="K348" s="226"/>
      <c r="L348" s="293"/>
      <c r="M348" s="293"/>
      <c r="N348" s="293"/>
      <c r="O348" s="293"/>
      <c r="P348" s="293"/>
      <c r="Q348" s="293"/>
      <c r="R348" s="293"/>
      <c r="S348" s="293"/>
      <c r="T348" s="293"/>
      <c r="U348" s="293"/>
      <c r="V348" s="293"/>
      <c r="W348" s="293"/>
      <c r="X348" s="293"/>
      <c r="Y348" s="293"/>
      <c r="Z348" s="293"/>
      <c r="AA348" s="293"/>
      <c r="AB348" s="293"/>
      <c r="AC348" s="293"/>
      <c r="AD348" s="293"/>
      <c r="AE348" s="293"/>
      <c r="AF348" s="293"/>
      <c r="AG348" s="293"/>
      <c r="AH348" s="293"/>
      <c r="AI348" s="293"/>
      <c r="AJ348" s="293"/>
      <c r="AK348" s="293"/>
      <c r="AL348" s="293"/>
      <c r="AM348" s="293"/>
      <c r="AN348" s="293"/>
      <c r="AO348" s="293"/>
      <c r="AP348" s="293"/>
      <c r="AQ348" s="293"/>
      <c r="AR348" s="293"/>
      <c r="AS348" s="293"/>
      <c r="AT348" s="293"/>
      <c r="AU348" s="293"/>
      <c r="AV348" s="293"/>
      <c r="AW348" s="293"/>
      <c r="AX348" s="293"/>
      <c r="AY348" s="293"/>
      <c r="AZ348" s="293"/>
      <c r="BA348" s="293"/>
      <c r="BB348" s="293"/>
      <c r="BC348" s="293"/>
      <c r="BD348" s="293"/>
      <c r="BE348" s="293"/>
      <c r="BF348" s="293"/>
      <c r="BG348" s="293"/>
      <c r="BH348" s="293"/>
      <c r="BI348" s="293"/>
      <c r="BJ348" s="293"/>
      <c r="BK348" s="293"/>
      <c r="BL348" s="293"/>
      <c r="BM348" s="293"/>
      <c r="BN348" s="293"/>
      <c r="BO348" s="293"/>
      <c r="BP348" s="293"/>
      <c r="BQ348" s="293"/>
      <c r="BR348" s="293"/>
      <c r="BS348" s="293"/>
      <c r="BT348" s="293"/>
      <c r="BU348" s="293"/>
      <c r="BV348" s="293"/>
      <c r="BW348" s="293"/>
      <c r="BX348" s="293"/>
      <c r="BY348" s="293"/>
      <c r="BZ348" s="293"/>
      <c r="CA348" s="285"/>
      <c r="CB348" s="286"/>
      <c r="CC348" s="286"/>
      <c r="CD348" s="286"/>
      <c r="CE348" s="286"/>
      <c r="CF348" s="286"/>
      <c r="CG348" s="286"/>
      <c r="CH348" s="286"/>
      <c r="CI348" s="286"/>
      <c r="CJ348" s="286"/>
      <c r="CK348" s="286"/>
      <c r="CL348" s="286"/>
      <c r="CM348" s="286"/>
      <c r="CN348" s="286"/>
      <c r="CO348" s="286"/>
      <c r="CP348" s="286"/>
      <c r="CQ348" s="286"/>
      <c r="CR348" s="286"/>
      <c r="CS348" s="286"/>
      <c r="CT348" s="286"/>
      <c r="CU348" s="286"/>
      <c r="CV348" s="286"/>
      <c r="CW348" s="286"/>
      <c r="CX348" s="286"/>
      <c r="CY348" s="286"/>
      <c r="CZ348" s="286"/>
      <c r="DA348" s="286"/>
      <c r="DB348" s="286"/>
      <c r="DC348" s="286"/>
      <c r="DD348" s="286"/>
      <c r="DE348" s="286"/>
      <c r="DF348" s="286"/>
      <c r="DG348" s="286"/>
      <c r="DH348" s="286"/>
      <c r="DI348" s="286"/>
      <c r="DJ348" s="286"/>
      <c r="DK348" s="286"/>
      <c r="DL348" s="286"/>
      <c r="DM348" s="286"/>
      <c r="DN348" s="286"/>
      <c r="DO348" s="286"/>
      <c r="DP348" s="286"/>
      <c r="DR348" s="58" t="str">
        <f>IF(ISNUMBER(MATCH(#REF!,'Audit Characteristic Mapping'!$B$3:$B$500,0)),"Y","")</f>
        <v/>
      </c>
      <c r="DS348" s="58" t="str">
        <f>IF(ISNUMBER(MATCH(#REF!,'Audit Characteristic Mapping'!$C$3:$C$500,0)),"Y","")</f>
        <v/>
      </c>
      <c r="DT348" s="58" t="str">
        <f>IF(ISNUMBER(MATCH(#REF!,'Audit Characteristic Mapping'!$D$3:$D$500,0)),"Y","")</f>
        <v/>
      </c>
      <c r="DU348" s="58" t="str">
        <f>IF(ISNUMBER(MATCH(#REF!,'Audit Characteristic Mapping'!$E$3:$E$500,0)),"Y","")</f>
        <v/>
      </c>
      <c r="DV348" s="58" t="str">
        <f>IF(ISNUMBER(MATCH(#REF!,'Audit Characteristic Mapping'!$F$3:$F$500,0)),"Y","")</f>
        <v/>
      </c>
      <c r="DW348" s="58" t="str">
        <f>IF(ISNUMBER(MATCH(#REF!,'Audit Characteristic Mapping'!$G$3:$G$500,0)),"Y","")</f>
        <v/>
      </c>
      <c r="DX348" s="58" t="str">
        <f>IF(ISNUMBER(MATCH(#REF!,'Audit Characteristic Mapping'!$H$3:$H$500,0)),"Y","")</f>
        <v/>
      </c>
      <c r="DY348" s="58" t="str">
        <f>IF(ISNUMBER(MATCH(#REF!,'Audit Characteristic Mapping'!$I$3:$I$500,0)),"Y","")</f>
        <v/>
      </c>
      <c r="DZ348" s="58" t="str">
        <f>IF(ISNUMBER(MATCH(#REF!,'Audit Characteristic Mapping'!$J$3:$J$500,0)),"Y","")</f>
        <v/>
      </c>
      <c r="EA348" s="58" t="str">
        <f>IF(ISNUMBER(MATCH(#REF!,'Audit Characteristic Mapping'!$K$3:$K$500,0)),"Y","")</f>
        <v/>
      </c>
    </row>
    <row r="349" spans="1:131" ht="16" hidden="1" x14ac:dyDescent="0.2">
      <c r="A349" s="288">
        <v>339</v>
      </c>
      <c r="B349" s="287" t="s">
        <v>492</v>
      </c>
      <c r="C349" s="226" t="s">
        <v>493</v>
      </c>
      <c r="D349" s="170">
        <v>10</v>
      </c>
      <c r="E349" s="288">
        <v>69</v>
      </c>
      <c r="F349" s="291" t="str">
        <f>VLOOKUP(Calculation!A349,'Descriptor maps'!$A$2:$F$1658,2,0)</f>
        <v>Operation</v>
      </c>
      <c r="G349" s="296"/>
      <c r="H349" s="290"/>
      <c r="I349" s="291"/>
      <c r="J349" s="292" t="e" cm="1">
        <f t="array" ref="J349">INDEX('Descriptor maps'!$I$2:$I$1658,MATCH(1,('Descriptor maps'!$A$2:$A$1658=Calculation!$A349)*('Descriptor maps'!$G$2:$G$1658=Calculation!$G349),0))</f>
        <v>#N/A</v>
      </c>
      <c r="K349" s="226"/>
      <c r="L349" s="293"/>
      <c r="M349" s="293"/>
      <c r="N349" s="293"/>
      <c r="O349" s="293"/>
      <c r="P349" s="293"/>
      <c r="Q349" s="293"/>
      <c r="R349" s="293"/>
      <c r="S349" s="293"/>
      <c r="T349" s="293"/>
      <c r="U349" s="293"/>
      <c r="V349" s="293"/>
      <c r="W349" s="293"/>
      <c r="X349" s="293"/>
      <c r="Y349" s="293"/>
      <c r="Z349" s="293"/>
      <c r="AA349" s="293"/>
      <c r="AB349" s="293"/>
      <c r="AC349" s="293"/>
      <c r="AD349" s="293"/>
      <c r="AE349" s="293"/>
      <c r="AF349" s="293"/>
      <c r="AG349" s="293"/>
      <c r="AH349" s="293"/>
      <c r="AI349" s="293"/>
      <c r="AJ349" s="293"/>
      <c r="AK349" s="293"/>
      <c r="AL349" s="293"/>
      <c r="AM349" s="293"/>
      <c r="AN349" s="293"/>
      <c r="AO349" s="293"/>
      <c r="AP349" s="293"/>
      <c r="AQ349" s="293"/>
      <c r="AR349" s="293"/>
      <c r="AS349" s="293"/>
      <c r="AT349" s="293"/>
      <c r="AU349" s="293"/>
      <c r="AV349" s="293"/>
      <c r="AW349" s="293"/>
      <c r="AX349" s="293"/>
      <c r="AY349" s="293"/>
      <c r="AZ349" s="293"/>
      <c r="BA349" s="293"/>
      <c r="BB349" s="293"/>
      <c r="BC349" s="293"/>
      <c r="BD349" s="293"/>
      <c r="BE349" s="293"/>
      <c r="BF349" s="293"/>
      <c r="BG349" s="293"/>
      <c r="BH349" s="293"/>
      <c r="BI349" s="293"/>
      <c r="BJ349" s="293"/>
      <c r="BK349" s="293"/>
      <c r="BL349" s="293"/>
      <c r="BM349" s="293"/>
      <c r="BN349" s="293"/>
      <c r="BO349" s="293"/>
      <c r="BP349" s="293"/>
      <c r="BQ349" s="293"/>
      <c r="BR349" s="293"/>
      <c r="BS349" s="293"/>
      <c r="BT349" s="293"/>
      <c r="BU349" s="293"/>
      <c r="BV349" s="293"/>
      <c r="BW349" s="293"/>
      <c r="BX349" s="293"/>
      <c r="BY349" s="293"/>
      <c r="BZ349" s="293"/>
      <c r="CA349" s="285"/>
      <c r="CB349" s="286"/>
      <c r="CC349" s="286"/>
      <c r="CD349" s="286"/>
      <c r="CE349" s="286"/>
      <c r="CF349" s="286"/>
      <c r="CG349" s="286"/>
      <c r="CH349" s="286"/>
      <c r="CI349" s="286"/>
      <c r="CJ349" s="286"/>
      <c r="CK349" s="286"/>
      <c r="CL349" s="286"/>
      <c r="CM349" s="286"/>
      <c r="CN349" s="286"/>
      <c r="CO349" s="286"/>
      <c r="CP349" s="286"/>
      <c r="CQ349" s="286"/>
      <c r="CR349" s="286"/>
      <c r="CS349" s="286"/>
      <c r="CT349" s="286"/>
      <c r="CU349" s="286"/>
      <c r="CV349" s="286"/>
      <c r="CW349" s="286"/>
      <c r="CX349" s="286"/>
      <c r="CY349" s="286"/>
      <c r="CZ349" s="286"/>
      <c r="DA349" s="286"/>
      <c r="DB349" s="286"/>
      <c r="DC349" s="286"/>
      <c r="DD349" s="286"/>
      <c r="DE349" s="286"/>
      <c r="DF349" s="286"/>
      <c r="DG349" s="286"/>
      <c r="DH349" s="286"/>
      <c r="DI349" s="286"/>
      <c r="DJ349" s="286"/>
      <c r="DK349" s="286"/>
      <c r="DL349" s="286"/>
      <c r="DM349" s="286"/>
      <c r="DN349" s="286"/>
      <c r="DO349" s="286"/>
      <c r="DP349" s="286"/>
      <c r="DR349" s="58" t="str">
        <f>IF(ISNUMBER(MATCH(#REF!,'Audit Characteristic Mapping'!$B$3:$B$500,0)),"Y","")</f>
        <v/>
      </c>
      <c r="DS349" s="58" t="str">
        <f>IF(ISNUMBER(MATCH(#REF!,'Audit Characteristic Mapping'!$C$3:$C$500,0)),"Y","")</f>
        <v/>
      </c>
      <c r="DT349" s="58" t="str">
        <f>IF(ISNUMBER(MATCH(#REF!,'Audit Characteristic Mapping'!$D$3:$D$500,0)),"Y","")</f>
        <v/>
      </c>
      <c r="DU349" s="58" t="str">
        <f>IF(ISNUMBER(MATCH(#REF!,'Audit Characteristic Mapping'!$E$3:$E$500,0)),"Y","")</f>
        <v/>
      </c>
      <c r="DV349" s="58" t="str">
        <f>IF(ISNUMBER(MATCH(#REF!,'Audit Characteristic Mapping'!$F$3:$F$500,0)),"Y","")</f>
        <v/>
      </c>
      <c r="DW349" s="58" t="str">
        <f>IF(ISNUMBER(MATCH(#REF!,'Audit Characteristic Mapping'!$G$3:$G$500,0)),"Y","")</f>
        <v/>
      </c>
      <c r="DX349" s="58" t="str">
        <f>IF(ISNUMBER(MATCH(#REF!,'Audit Characteristic Mapping'!$H$3:$H$500,0)),"Y","")</f>
        <v/>
      </c>
      <c r="DY349" s="58" t="str">
        <f>IF(ISNUMBER(MATCH(#REF!,'Audit Characteristic Mapping'!$I$3:$I$500,0)),"Y","")</f>
        <v/>
      </c>
      <c r="DZ349" s="58" t="str">
        <f>IF(ISNUMBER(MATCH(#REF!,'Audit Characteristic Mapping'!$J$3:$J$500,0)),"Y","")</f>
        <v/>
      </c>
      <c r="EA349" s="58" t="str">
        <f>IF(ISNUMBER(MATCH(#REF!,'Audit Characteristic Mapping'!$K$3:$K$500,0)),"Y","")</f>
        <v/>
      </c>
    </row>
    <row r="350" spans="1:131" ht="16" hidden="1" x14ac:dyDescent="0.2">
      <c r="A350" s="288">
        <v>340</v>
      </c>
      <c r="B350" s="287" t="s">
        <v>492</v>
      </c>
      <c r="C350" s="226" t="s">
        <v>493</v>
      </c>
      <c r="D350" s="170">
        <v>10</v>
      </c>
      <c r="E350" s="288">
        <v>69</v>
      </c>
      <c r="F350" s="291" t="str">
        <f>VLOOKUP(Calculation!A350,'Descriptor maps'!$A$2:$F$1658,2,0)</f>
        <v>Operation</v>
      </c>
      <c r="G350" s="296"/>
      <c r="H350" s="290"/>
      <c r="I350" s="291"/>
      <c r="J350" s="292" t="e" cm="1">
        <f t="array" ref="J350">INDEX('Descriptor maps'!$I$2:$I$1658,MATCH(1,('Descriptor maps'!$A$2:$A$1658=Calculation!$A350)*('Descriptor maps'!$G$2:$G$1658=Calculation!$G350),0))</f>
        <v>#N/A</v>
      </c>
      <c r="K350" s="226"/>
      <c r="L350" s="293"/>
      <c r="M350" s="293"/>
      <c r="N350" s="293"/>
      <c r="O350" s="293"/>
      <c r="P350" s="293"/>
      <c r="Q350" s="293"/>
      <c r="R350" s="293"/>
      <c r="S350" s="293"/>
      <c r="T350" s="293"/>
      <c r="U350" s="293"/>
      <c r="V350" s="293"/>
      <c r="W350" s="293"/>
      <c r="X350" s="293"/>
      <c r="Y350" s="293"/>
      <c r="Z350" s="293"/>
      <c r="AA350" s="293"/>
      <c r="AB350" s="293"/>
      <c r="AC350" s="293"/>
      <c r="AD350" s="293"/>
      <c r="AE350" s="293"/>
      <c r="AF350" s="293"/>
      <c r="AG350" s="293"/>
      <c r="AH350" s="293"/>
      <c r="AI350" s="293"/>
      <c r="AJ350" s="293"/>
      <c r="AK350" s="293"/>
      <c r="AL350" s="293"/>
      <c r="AM350" s="293"/>
      <c r="AN350" s="293"/>
      <c r="AO350" s="293"/>
      <c r="AP350" s="293"/>
      <c r="AQ350" s="293"/>
      <c r="AR350" s="293"/>
      <c r="AS350" s="293"/>
      <c r="AT350" s="293"/>
      <c r="AU350" s="293"/>
      <c r="AV350" s="293"/>
      <c r="AW350" s="293"/>
      <c r="AX350" s="293"/>
      <c r="AY350" s="293"/>
      <c r="AZ350" s="293"/>
      <c r="BA350" s="293"/>
      <c r="BB350" s="293"/>
      <c r="BC350" s="293"/>
      <c r="BD350" s="293"/>
      <c r="BE350" s="293"/>
      <c r="BF350" s="293"/>
      <c r="BG350" s="293"/>
      <c r="BH350" s="293"/>
      <c r="BI350" s="293"/>
      <c r="BJ350" s="293"/>
      <c r="BK350" s="293"/>
      <c r="BL350" s="293"/>
      <c r="BM350" s="293"/>
      <c r="BN350" s="293"/>
      <c r="BO350" s="293"/>
      <c r="BP350" s="293"/>
      <c r="BQ350" s="293"/>
      <c r="BR350" s="293"/>
      <c r="BS350" s="293"/>
      <c r="BT350" s="293"/>
      <c r="BU350" s="293"/>
      <c r="BV350" s="293"/>
      <c r="BW350" s="293"/>
      <c r="BX350" s="293"/>
      <c r="BY350" s="293"/>
      <c r="BZ350" s="293"/>
      <c r="CA350" s="285"/>
      <c r="CB350" s="286"/>
      <c r="CC350" s="286"/>
      <c r="CD350" s="286"/>
      <c r="CE350" s="286"/>
      <c r="CF350" s="286"/>
      <c r="CG350" s="286"/>
      <c r="CH350" s="286"/>
      <c r="CI350" s="286"/>
      <c r="CJ350" s="286"/>
      <c r="CK350" s="286"/>
      <c r="CL350" s="286"/>
      <c r="CM350" s="286"/>
      <c r="CN350" s="286"/>
      <c r="CO350" s="286"/>
      <c r="CP350" s="286"/>
      <c r="CQ350" s="286"/>
      <c r="CR350" s="286"/>
      <c r="CS350" s="286"/>
      <c r="CT350" s="286"/>
      <c r="CU350" s="286"/>
      <c r="CV350" s="286"/>
      <c r="CW350" s="286"/>
      <c r="CX350" s="286"/>
      <c r="CY350" s="286"/>
      <c r="CZ350" s="286"/>
      <c r="DA350" s="286"/>
      <c r="DB350" s="286"/>
      <c r="DC350" s="286"/>
      <c r="DD350" s="286"/>
      <c r="DE350" s="286"/>
      <c r="DF350" s="286"/>
      <c r="DG350" s="286"/>
      <c r="DH350" s="286"/>
      <c r="DI350" s="286"/>
      <c r="DJ350" s="286"/>
      <c r="DK350" s="286"/>
      <c r="DL350" s="286"/>
      <c r="DM350" s="286"/>
      <c r="DN350" s="286"/>
      <c r="DO350" s="286"/>
      <c r="DP350" s="286"/>
      <c r="DR350" s="58" t="str">
        <f>IF(ISNUMBER(MATCH(#REF!,'Audit Characteristic Mapping'!$B$3:$B$500,0)),"Y","")</f>
        <v/>
      </c>
      <c r="DS350" s="58" t="str">
        <f>IF(ISNUMBER(MATCH(#REF!,'Audit Characteristic Mapping'!$C$3:$C$500,0)),"Y","")</f>
        <v/>
      </c>
      <c r="DT350" s="58" t="str">
        <f>IF(ISNUMBER(MATCH(#REF!,'Audit Characteristic Mapping'!$D$3:$D$500,0)),"Y","")</f>
        <v/>
      </c>
      <c r="DU350" s="58" t="str">
        <f>IF(ISNUMBER(MATCH(#REF!,'Audit Characteristic Mapping'!$E$3:$E$500,0)),"Y","")</f>
        <v/>
      </c>
      <c r="DV350" s="58" t="str">
        <f>IF(ISNUMBER(MATCH(#REF!,'Audit Characteristic Mapping'!$F$3:$F$500,0)),"Y","")</f>
        <v/>
      </c>
      <c r="DW350" s="58" t="str">
        <f>IF(ISNUMBER(MATCH(#REF!,'Audit Characteristic Mapping'!$G$3:$G$500,0)),"Y","")</f>
        <v/>
      </c>
      <c r="DX350" s="58" t="str">
        <f>IF(ISNUMBER(MATCH(#REF!,'Audit Characteristic Mapping'!$H$3:$H$500,0)),"Y","")</f>
        <v/>
      </c>
      <c r="DY350" s="58" t="str">
        <f>IF(ISNUMBER(MATCH(#REF!,'Audit Characteristic Mapping'!$I$3:$I$500,0)),"Y","")</f>
        <v/>
      </c>
      <c r="DZ350" s="58" t="str">
        <f>IF(ISNUMBER(MATCH(#REF!,'Audit Characteristic Mapping'!$J$3:$J$500,0)),"Y","")</f>
        <v/>
      </c>
      <c r="EA350" s="58" t="str">
        <f>IF(ISNUMBER(MATCH(#REF!,'Audit Characteristic Mapping'!$K$3:$K$500,0)),"Y","")</f>
        <v/>
      </c>
    </row>
    <row r="351" spans="1:131" ht="16" hidden="1" x14ac:dyDescent="0.2">
      <c r="A351" s="288">
        <v>341</v>
      </c>
      <c r="B351" s="287" t="s">
        <v>492</v>
      </c>
      <c r="C351" s="226" t="s">
        <v>493</v>
      </c>
      <c r="D351" s="170">
        <v>10</v>
      </c>
      <c r="E351" s="288">
        <v>69</v>
      </c>
      <c r="F351" s="291" t="str">
        <f>VLOOKUP(Calculation!A351,'Descriptor maps'!$A$2:$F$1658,2,0)</f>
        <v>Operation</v>
      </c>
      <c r="G351" s="296"/>
      <c r="H351" s="290"/>
      <c r="I351" s="291"/>
      <c r="J351" s="292" t="e" cm="1">
        <f t="array" ref="J351">INDEX('Descriptor maps'!$I$2:$I$1658,MATCH(1,('Descriptor maps'!$A$2:$A$1658=Calculation!$A351)*('Descriptor maps'!$G$2:$G$1658=Calculation!$G351),0))</f>
        <v>#N/A</v>
      </c>
      <c r="K351" s="226"/>
      <c r="L351" s="293"/>
      <c r="M351" s="293"/>
      <c r="N351" s="293"/>
      <c r="O351" s="293"/>
      <c r="P351" s="293"/>
      <c r="Q351" s="293"/>
      <c r="R351" s="293"/>
      <c r="S351" s="293"/>
      <c r="T351" s="293"/>
      <c r="U351" s="293"/>
      <c r="V351" s="293"/>
      <c r="W351" s="293"/>
      <c r="X351" s="293"/>
      <c r="Y351" s="293"/>
      <c r="Z351" s="293"/>
      <c r="AA351" s="293"/>
      <c r="AB351" s="293"/>
      <c r="AC351" s="293"/>
      <c r="AD351" s="293"/>
      <c r="AE351" s="293"/>
      <c r="AF351" s="293"/>
      <c r="AG351" s="293"/>
      <c r="AH351" s="293"/>
      <c r="AI351" s="293"/>
      <c r="AJ351" s="293"/>
      <c r="AK351" s="293"/>
      <c r="AL351" s="293"/>
      <c r="AM351" s="293"/>
      <c r="AN351" s="293"/>
      <c r="AO351" s="293"/>
      <c r="AP351" s="293"/>
      <c r="AQ351" s="293"/>
      <c r="AR351" s="293"/>
      <c r="AS351" s="293"/>
      <c r="AT351" s="293"/>
      <c r="AU351" s="293"/>
      <c r="AV351" s="293"/>
      <c r="AW351" s="293"/>
      <c r="AX351" s="293"/>
      <c r="AY351" s="293"/>
      <c r="AZ351" s="293"/>
      <c r="BA351" s="293"/>
      <c r="BB351" s="293"/>
      <c r="BC351" s="293"/>
      <c r="BD351" s="293"/>
      <c r="BE351" s="293"/>
      <c r="BF351" s="293"/>
      <c r="BG351" s="293"/>
      <c r="BH351" s="293"/>
      <c r="BI351" s="293"/>
      <c r="BJ351" s="293"/>
      <c r="BK351" s="293"/>
      <c r="BL351" s="293"/>
      <c r="BM351" s="293"/>
      <c r="BN351" s="293"/>
      <c r="BO351" s="293"/>
      <c r="BP351" s="293"/>
      <c r="BQ351" s="293"/>
      <c r="BR351" s="293"/>
      <c r="BS351" s="293"/>
      <c r="BT351" s="293"/>
      <c r="BU351" s="293"/>
      <c r="BV351" s="293"/>
      <c r="BW351" s="293"/>
      <c r="BX351" s="293"/>
      <c r="BY351" s="293"/>
      <c r="BZ351" s="293"/>
      <c r="CA351" s="285"/>
      <c r="CB351" s="286"/>
      <c r="CC351" s="286"/>
      <c r="CD351" s="286"/>
      <c r="CE351" s="286"/>
      <c r="CF351" s="286"/>
      <c r="CG351" s="286"/>
      <c r="CH351" s="286"/>
      <c r="CI351" s="286"/>
      <c r="CJ351" s="286"/>
      <c r="CK351" s="286"/>
      <c r="CL351" s="286"/>
      <c r="CM351" s="286"/>
      <c r="CN351" s="286"/>
      <c r="CO351" s="286"/>
      <c r="CP351" s="286"/>
      <c r="CQ351" s="286"/>
      <c r="CR351" s="286"/>
      <c r="CS351" s="286"/>
      <c r="CT351" s="286"/>
      <c r="CU351" s="286"/>
      <c r="CV351" s="286"/>
      <c r="CW351" s="286"/>
      <c r="CX351" s="286"/>
      <c r="CY351" s="286"/>
      <c r="CZ351" s="286"/>
      <c r="DA351" s="286"/>
      <c r="DB351" s="286"/>
      <c r="DC351" s="286"/>
      <c r="DD351" s="286"/>
      <c r="DE351" s="286"/>
      <c r="DF351" s="286"/>
      <c r="DG351" s="286"/>
      <c r="DH351" s="286"/>
      <c r="DI351" s="286"/>
      <c r="DJ351" s="286"/>
      <c r="DK351" s="286"/>
      <c r="DL351" s="286"/>
      <c r="DM351" s="286"/>
      <c r="DN351" s="286"/>
      <c r="DO351" s="286"/>
      <c r="DP351" s="286"/>
      <c r="DR351" s="58" t="str">
        <f>IF(ISNUMBER(MATCH(#REF!,'Audit Characteristic Mapping'!$B$3:$B$500,0)),"Y","")</f>
        <v/>
      </c>
      <c r="DS351" s="58" t="str">
        <f>IF(ISNUMBER(MATCH(#REF!,'Audit Characteristic Mapping'!$C$3:$C$500,0)),"Y","")</f>
        <v/>
      </c>
      <c r="DT351" s="58" t="str">
        <f>IF(ISNUMBER(MATCH(#REF!,'Audit Characteristic Mapping'!$D$3:$D$500,0)),"Y","")</f>
        <v/>
      </c>
      <c r="DU351" s="58" t="str">
        <f>IF(ISNUMBER(MATCH(#REF!,'Audit Characteristic Mapping'!$E$3:$E$500,0)),"Y","")</f>
        <v/>
      </c>
      <c r="DV351" s="58" t="str">
        <f>IF(ISNUMBER(MATCH(#REF!,'Audit Characteristic Mapping'!$F$3:$F$500,0)),"Y","")</f>
        <v/>
      </c>
      <c r="DW351" s="58" t="str">
        <f>IF(ISNUMBER(MATCH(#REF!,'Audit Characteristic Mapping'!$G$3:$G$500,0)),"Y","")</f>
        <v/>
      </c>
      <c r="DX351" s="58" t="str">
        <f>IF(ISNUMBER(MATCH(#REF!,'Audit Characteristic Mapping'!$H$3:$H$500,0)),"Y","")</f>
        <v/>
      </c>
      <c r="DY351" s="58" t="str">
        <f>IF(ISNUMBER(MATCH(#REF!,'Audit Characteristic Mapping'!$I$3:$I$500,0)),"Y","")</f>
        <v/>
      </c>
      <c r="DZ351" s="58" t="str">
        <f>IF(ISNUMBER(MATCH(#REF!,'Audit Characteristic Mapping'!$J$3:$J$500,0)),"Y","")</f>
        <v/>
      </c>
      <c r="EA351" s="58" t="str">
        <f>IF(ISNUMBER(MATCH(#REF!,'Audit Characteristic Mapping'!$K$3:$K$500,0)),"Y","")</f>
        <v/>
      </c>
    </row>
    <row r="352" spans="1:131" ht="16" hidden="1" x14ac:dyDescent="0.2">
      <c r="A352" s="288">
        <v>342</v>
      </c>
      <c r="B352" s="287" t="s">
        <v>492</v>
      </c>
      <c r="C352" s="226" t="s">
        <v>493</v>
      </c>
      <c r="D352" s="170">
        <v>10</v>
      </c>
      <c r="E352" s="288">
        <v>69</v>
      </c>
      <c r="F352" s="291" t="str">
        <f>VLOOKUP(Calculation!A352,'Descriptor maps'!$A$2:$F$1658,2,0)</f>
        <v>Operation</v>
      </c>
      <c r="G352" s="296"/>
      <c r="H352" s="290"/>
      <c r="I352" s="291"/>
      <c r="J352" s="292" t="e" cm="1">
        <f t="array" ref="J352">INDEX('Descriptor maps'!$I$2:$I$1658,MATCH(1,('Descriptor maps'!$A$2:$A$1658=Calculation!$A352)*('Descriptor maps'!$G$2:$G$1658=Calculation!$G352),0))</f>
        <v>#N/A</v>
      </c>
      <c r="K352" s="226"/>
      <c r="L352" s="293"/>
      <c r="M352" s="293"/>
      <c r="N352" s="293"/>
      <c r="O352" s="293"/>
      <c r="P352" s="293"/>
      <c r="Q352" s="293"/>
      <c r="R352" s="293"/>
      <c r="S352" s="293"/>
      <c r="T352" s="293"/>
      <c r="U352" s="293"/>
      <c r="V352" s="293"/>
      <c r="W352" s="293"/>
      <c r="X352" s="293"/>
      <c r="Y352" s="293"/>
      <c r="Z352" s="293"/>
      <c r="AA352" s="293"/>
      <c r="AB352" s="293"/>
      <c r="AC352" s="293"/>
      <c r="AD352" s="293"/>
      <c r="AE352" s="293"/>
      <c r="AF352" s="293"/>
      <c r="AG352" s="293"/>
      <c r="AH352" s="293"/>
      <c r="AI352" s="293"/>
      <c r="AJ352" s="293"/>
      <c r="AK352" s="293"/>
      <c r="AL352" s="293"/>
      <c r="AM352" s="293"/>
      <c r="AN352" s="293"/>
      <c r="AO352" s="293"/>
      <c r="AP352" s="293"/>
      <c r="AQ352" s="293"/>
      <c r="AR352" s="293"/>
      <c r="AS352" s="293"/>
      <c r="AT352" s="293"/>
      <c r="AU352" s="293"/>
      <c r="AV352" s="293"/>
      <c r="AW352" s="293"/>
      <c r="AX352" s="293"/>
      <c r="AY352" s="293"/>
      <c r="AZ352" s="293"/>
      <c r="BA352" s="293"/>
      <c r="BB352" s="293"/>
      <c r="BC352" s="293"/>
      <c r="BD352" s="293"/>
      <c r="BE352" s="293"/>
      <c r="BF352" s="293"/>
      <c r="BG352" s="293"/>
      <c r="BH352" s="293"/>
      <c r="BI352" s="293"/>
      <c r="BJ352" s="293"/>
      <c r="BK352" s="293"/>
      <c r="BL352" s="293"/>
      <c r="BM352" s="293"/>
      <c r="BN352" s="293"/>
      <c r="BO352" s="293"/>
      <c r="BP352" s="293"/>
      <c r="BQ352" s="293"/>
      <c r="BR352" s="293"/>
      <c r="BS352" s="293"/>
      <c r="BT352" s="293"/>
      <c r="BU352" s="293"/>
      <c r="BV352" s="293"/>
      <c r="BW352" s="293"/>
      <c r="BX352" s="293"/>
      <c r="BY352" s="293"/>
      <c r="BZ352" s="293"/>
      <c r="CA352" s="285"/>
      <c r="CB352" s="286"/>
      <c r="CC352" s="286"/>
      <c r="CD352" s="286"/>
      <c r="CE352" s="286"/>
      <c r="CF352" s="286"/>
      <c r="CG352" s="286"/>
      <c r="CH352" s="286"/>
      <c r="CI352" s="286"/>
      <c r="CJ352" s="286"/>
      <c r="CK352" s="286"/>
      <c r="CL352" s="286"/>
      <c r="CM352" s="286"/>
      <c r="CN352" s="286"/>
      <c r="CO352" s="286"/>
      <c r="CP352" s="286"/>
      <c r="CQ352" s="286"/>
      <c r="CR352" s="286"/>
      <c r="CS352" s="286"/>
      <c r="CT352" s="286"/>
      <c r="CU352" s="286"/>
      <c r="CV352" s="286"/>
      <c r="CW352" s="286"/>
      <c r="CX352" s="286"/>
      <c r="CY352" s="286"/>
      <c r="CZ352" s="286"/>
      <c r="DA352" s="286"/>
      <c r="DB352" s="286"/>
      <c r="DC352" s="286"/>
      <c r="DD352" s="286"/>
      <c r="DE352" s="286"/>
      <c r="DF352" s="286"/>
      <c r="DG352" s="286"/>
      <c r="DH352" s="286"/>
      <c r="DI352" s="286"/>
      <c r="DJ352" s="286"/>
      <c r="DK352" s="286"/>
      <c r="DL352" s="286"/>
      <c r="DM352" s="286"/>
      <c r="DN352" s="286"/>
      <c r="DO352" s="286"/>
      <c r="DP352" s="286"/>
      <c r="DR352" s="58" t="str">
        <f>IF(ISNUMBER(MATCH(#REF!,'Audit Characteristic Mapping'!$B$3:$B$500,0)),"Y","")</f>
        <v/>
      </c>
      <c r="DS352" s="58" t="str">
        <f>IF(ISNUMBER(MATCH(#REF!,'Audit Characteristic Mapping'!$C$3:$C$500,0)),"Y","")</f>
        <v/>
      </c>
      <c r="DT352" s="58" t="str">
        <f>IF(ISNUMBER(MATCH(#REF!,'Audit Characteristic Mapping'!$D$3:$D$500,0)),"Y","")</f>
        <v/>
      </c>
      <c r="DU352" s="58" t="str">
        <f>IF(ISNUMBER(MATCH(#REF!,'Audit Characteristic Mapping'!$E$3:$E$500,0)),"Y","")</f>
        <v/>
      </c>
      <c r="DV352" s="58" t="str">
        <f>IF(ISNUMBER(MATCH(#REF!,'Audit Characteristic Mapping'!$F$3:$F$500,0)),"Y","")</f>
        <v/>
      </c>
      <c r="DW352" s="58" t="str">
        <f>IF(ISNUMBER(MATCH(#REF!,'Audit Characteristic Mapping'!$G$3:$G$500,0)),"Y","")</f>
        <v/>
      </c>
      <c r="DX352" s="58" t="str">
        <f>IF(ISNUMBER(MATCH(#REF!,'Audit Characteristic Mapping'!$H$3:$H$500,0)),"Y","")</f>
        <v/>
      </c>
      <c r="DY352" s="58" t="str">
        <f>IF(ISNUMBER(MATCH(#REF!,'Audit Characteristic Mapping'!$I$3:$I$500,0)),"Y","")</f>
        <v/>
      </c>
      <c r="DZ352" s="58" t="str">
        <f>IF(ISNUMBER(MATCH(#REF!,'Audit Characteristic Mapping'!$J$3:$J$500,0)),"Y","")</f>
        <v/>
      </c>
      <c r="EA352" s="58" t="str">
        <f>IF(ISNUMBER(MATCH(#REF!,'Audit Characteristic Mapping'!$K$3:$K$500,0)),"Y","")</f>
        <v/>
      </c>
    </row>
    <row r="353" spans="1:131" ht="16" hidden="1" x14ac:dyDescent="0.2">
      <c r="A353" s="288">
        <v>347</v>
      </c>
      <c r="B353" s="287" t="s">
        <v>492</v>
      </c>
      <c r="C353" s="226" t="s">
        <v>493</v>
      </c>
      <c r="D353" s="170">
        <v>10</v>
      </c>
      <c r="E353" s="288">
        <v>69</v>
      </c>
      <c r="F353" s="291" t="str">
        <f>VLOOKUP(Calculation!A353,'Descriptor maps'!$A$2:$F$1658,2,0)</f>
        <v>Operation</v>
      </c>
      <c r="G353" s="296"/>
      <c r="H353" s="290"/>
      <c r="I353" s="291"/>
      <c r="J353" s="292" t="e" cm="1">
        <f t="array" ref="J353">INDEX('Descriptor maps'!$I$2:$I$1658,MATCH(1,('Descriptor maps'!$A$2:$A$1658=Calculation!$A353)*('Descriptor maps'!$G$2:$G$1658=Calculation!$G353),0))</f>
        <v>#N/A</v>
      </c>
      <c r="K353" s="226"/>
      <c r="L353" s="293"/>
      <c r="M353" s="293"/>
      <c r="N353" s="293"/>
      <c r="O353" s="293"/>
      <c r="P353" s="293"/>
      <c r="Q353" s="293"/>
      <c r="R353" s="293"/>
      <c r="S353" s="293"/>
      <c r="T353" s="293"/>
      <c r="U353" s="293"/>
      <c r="V353" s="293"/>
      <c r="W353" s="293"/>
      <c r="X353" s="293"/>
      <c r="Y353" s="293"/>
      <c r="Z353" s="293"/>
      <c r="AA353" s="293"/>
      <c r="AB353" s="293"/>
      <c r="AC353" s="293"/>
      <c r="AD353" s="293"/>
      <c r="AE353" s="293"/>
      <c r="AF353" s="293"/>
      <c r="AG353" s="293"/>
      <c r="AH353" s="293"/>
      <c r="AI353" s="293"/>
      <c r="AJ353" s="293"/>
      <c r="AK353" s="293"/>
      <c r="AL353" s="293"/>
      <c r="AM353" s="293"/>
      <c r="AN353" s="293"/>
      <c r="AO353" s="293"/>
      <c r="AP353" s="293"/>
      <c r="AQ353" s="293"/>
      <c r="AR353" s="293"/>
      <c r="AS353" s="293"/>
      <c r="AT353" s="293"/>
      <c r="AU353" s="293"/>
      <c r="AV353" s="293"/>
      <c r="AW353" s="293"/>
      <c r="AX353" s="293"/>
      <c r="AY353" s="293"/>
      <c r="AZ353" s="293"/>
      <c r="BA353" s="293"/>
      <c r="BB353" s="293"/>
      <c r="BC353" s="293"/>
      <c r="BD353" s="293"/>
      <c r="BE353" s="293"/>
      <c r="BF353" s="293"/>
      <c r="BG353" s="293"/>
      <c r="BH353" s="293"/>
      <c r="BI353" s="293"/>
      <c r="BJ353" s="293"/>
      <c r="BK353" s="293"/>
      <c r="BL353" s="293"/>
      <c r="BM353" s="293"/>
      <c r="BN353" s="293"/>
      <c r="BO353" s="293"/>
      <c r="BP353" s="293"/>
      <c r="BQ353" s="293"/>
      <c r="BR353" s="293"/>
      <c r="BS353" s="293"/>
      <c r="BT353" s="293"/>
      <c r="BU353" s="293"/>
      <c r="BV353" s="293"/>
      <c r="BW353" s="293"/>
      <c r="BX353" s="293"/>
      <c r="BY353" s="293"/>
      <c r="BZ353" s="293"/>
      <c r="CA353" s="285"/>
      <c r="CB353" s="286"/>
      <c r="CC353" s="286"/>
      <c r="CD353" s="286"/>
      <c r="CE353" s="286"/>
      <c r="CF353" s="286"/>
      <c r="CG353" s="286"/>
      <c r="CH353" s="286"/>
      <c r="CI353" s="286"/>
      <c r="CJ353" s="286"/>
      <c r="CK353" s="286"/>
      <c r="CL353" s="286"/>
      <c r="CM353" s="286"/>
      <c r="CN353" s="286"/>
      <c r="CO353" s="286"/>
      <c r="CP353" s="286"/>
      <c r="CQ353" s="286"/>
      <c r="CR353" s="286"/>
      <c r="CS353" s="286"/>
      <c r="CT353" s="286"/>
      <c r="CU353" s="286"/>
      <c r="CV353" s="286"/>
      <c r="CW353" s="286"/>
      <c r="CX353" s="286"/>
      <c r="CY353" s="286"/>
      <c r="CZ353" s="286"/>
      <c r="DA353" s="286"/>
      <c r="DB353" s="286"/>
      <c r="DC353" s="286"/>
      <c r="DD353" s="286"/>
      <c r="DE353" s="286"/>
      <c r="DF353" s="286"/>
      <c r="DG353" s="286"/>
      <c r="DH353" s="286"/>
      <c r="DI353" s="286"/>
      <c r="DJ353" s="286"/>
      <c r="DK353" s="286"/>
      <c r="DL353" s="286"/>
      <c r="DM353" s="286"/>
      <c r="DN353" s="286"/>
      <c r="DO353" s="286"/>
      <c r="DP353" s="286"/>
      <c r="DR353" s="58" t="str">
        <f>IF(ISNUMBER(MATCH(#REF!,'Audit Characteristic Mapping'!$B$3:$B$500,0)),"Y","")</f>
        <v/>
      </c>
      <c r="DS353" s="58" t="str">
        <f>IF(ISNUMBER(MATCH(#REF!,'Audit Characteristic Mapping'!$C$3:$C$500,0)),"Y","")</f>
        <v/>
      </c>
      <c r="DT353" s="58" t="str">
        <f>IF(ISNUMBER(MATCH(#REF!,'Audit Characteristic Mapping'!$D$3:$D$500,0)),"Y","")</f>
        <v/>
      </c>
      <c r="DU353" s="58" t="str">
        <f>IF(ISNUMBER(MATCH(#REF!,'Audit Characteristic Mapping'!$E$3:$E$500,0)),"Y","")</f>
        <v/>
      </c>
      <c r="DV353" s="58" t="str">
        <f>IF(ISNUMBER(MATCH(#REF!,'Audit Characteristic Mapping'!$F$3:$F$500,0)),"Y","")</f>
        <v/>
      </c>
      <c r="DW353" s="58" t="str">
        <f>IF(ISNUMBER(MATCH(#REF!,'Audit Characteristic Mapping'!$G$3:$G$500,0)),"Y","")</f>
        <v/>
      </c>
      <c r="DX353" s="58" t="str">
        <f>IF(ISNUMBER(MATCH(#REF!,'Audit Characteristic Mapping'!$H$3:$H$500,0)),"Y","")</f>
        <v/>
      </c>
      <c r="DY353" s="58" t="str">
        <f>IF(ISNUMBER(MATCH(#REF!,'Audit Characteristic Mapping'!$I$3:$I$500,0)),"Y","")</f>
        <v/>
      </c>
      <c r="DZ353" s="58" t="str">
        <f>IF(ISNUMBER(MATCH(#REF!,'Audit Characteristic Mapping'!$J$3:$J$500,0)),"Y","")</f>
        <v/>
      </c>
      <c r="EA353" s="58" t="str">
        <f>IF(ISNUMBER(MATCH(#REF!,'Audit Characteristic Mapping'!$K$3:$K$500,0)),"Y","")</f>
        <v/>
      </c>
    </row>
    <row r="354" spans="1:131" ht="16" hidden="1" x14ac:dyDescent="0.2">
      <c r="A354" s="288">
        <v>348</v>
      </c>
      <c r="B354" s="287" t="s">
        <v>492</v>
      </c>
      <c r="C354" s="226" t="s">
        <v>493</v>
      </c>
      <c r="D354" s="170">
        <v>10</v>
      </c>
      <c r="E354" s="288">
        <v>69</v>
      </c>
      <c r="F354" s="291" t="str">
        <f>VLOOKUP(Calculation!A354,'Descriptor maps'!$A$2:$F$1658,2,0)</f>
        <v>Operation</v>
      </c>
      <c r="G354" s="296"/>
      <c r="H354" s="290"/>
      <c r="I354" s="291"/>
      <c r="J354" s="292" t="e" cm="1">
        <f t="array" ref="J354">INDEX('Descriptor maps'!$I$2:$I$1658,MATCH(1,('Descriptor maps'!$A$2:$A$1658=Calculation!$A354)*('Descriptor maps'!$G$2:$G$1658=Calculation!$G354),0))</f>
        <v>#N/A</v>
      </c>
      <c r="K354" s="226"/>
      <c r="L354" s="293"/>
      <c r="M354" s="293"/>
      <c r="N354" s="293"/>
      <c r="O354" s="293"/>
      <c r="P354" s="293"/>
      <c r="Q354" s="293"/>
      <c r="R354" s="293"/>
      <c r="S354" s="293"/>
      <c r="T354" s="293"/>
      <c r="U354" s="293"/>
      <c r="V354" s="293"/>
      <c r="W354" s="293"/>
      <c r="X354" s="293"/>
      <c r="Y354" s="293"/>
      <c r="Z354" s="293"/>
      <c r="AA354" s="293"/>
      <c r="AB354" s="293"/>
      <c r="AC354" s="293"/>
      <c r="AD354" s="293"/>
      <c r="AE354" s="293"/>
      <c r="AF354" s="293"/>
      <c r="AG354" s="293"/>
      <c r="AH354" s="293"/>
      <c r="AI354" s="293"/>
      <c r="AJ354" s="293"/>
      <c r="AK354" s="293"/>
      <c r="AL354" s="293"/>
      <c r="AM354" s="293"/>
      <c r="AN354" s="293"/>
      <c r="AO354" s="293"/>
      <c r="AP354" s="293"/>
      <c r="AQ354" s="293"/>
      <c r="AR354" s="293"/>
      <c r="AS354" s="293"/>
      <c r="AT354" s="293"/>
      <c r="AU354" s="293"/>
      <c r="AV354" s="293"/>
      <c r="AW354" s="293"/>
      <c r="AX354" s="293"/>
      <c r="AY354" s="293"/>
      <c r="AZ354" s="293"/>
      <c r="BA354" s="293"/>
      <c r="BB354" s="293"/>
      <c r="BC354" s="293"/>
      <c r="BD354" s="293"/>
      <c r="BE354" s="293"/>
      <c r="BF354" s="293"/>
      <c r="BG354" s="293"/>
      <c r="BH354" s="293"/>
      <c r="BI354" s="293"/>
      <c r="BJ354" s="293"/>
      <c r="BK354" s="293"/>
      <c r="BL354" s="293"/>
      <c r="BM354" s="293"/>
      <c r="BN354" s="293"/>
      <c r="BO354" s="293"/>
      <c r="BP354" s="293"/>
      <c r="BQ354" s="293"/>
      <c r="BR354" s="293"/>
      <c r="BS354" s="293"/>
      <c r="BT354" s="293"/>
      <c r="BU354" s="293"/>
      <c r="BV354" s="293"/>
      <c r="BW354" s="293"/>
      <c r="BX354" s="293"/>
      <c r="BY354" s="293"/>
      <c r="BZ354" s="293"/>
      <c r="CA354" s="285"/>
      <c r="CB354" s="286"/>
      <c r="CC354" s="286"/>
      <c r="CD354" s="286"/>
      <c r="CE354" s="286"/>
      <c r="CF354" s="286"/>
      <c r="CG354" s="286"/>
      <c r="CH354" s="286"/>
      <c r="CI354" s="286"/>
      <c r="CJ354" s="286"/>
      <c r="CK354" s="286"/>
      <c r="CL354" s="286"/>
      <c r="CM354" s="286"/>
      <c r="CN354" s="286"/>
      <c r="CO354" s="286"/>
      <c r="CP354" s="286"/>
      <c r="CQ354" s="286"/>
      <c r="CR354" s="286"/>
      <c r="CS354" s="286"/>
      <c r="CT354" s="286"/>
      <c r="CU354" s="286"/>
      <c r="CV354" s="286"/>
      <c r="CW354" s="286"/>
      <c r="CX354" s="286"/>
      <c r="CY354" s="286"/>
      <c r="CZ354" s="286"/>
      <c r="DA354" s="286"/>
      <c r="DB354" s="286"/>
      <c r="DC354" s="286"/>
      <c r="DD354" s="286"/>
      <c r="DE354" s="286"/>
      <c r="DF354" s="286"/>
      <c r="DG354" s="286"/>
      <c r="DH354" s="286"/>
      <c r="DI354" s="286"/>
      <c r="DJ354" s="286"/>
      <c r="DK354" s="286"/>
      <c r="DL354" s="286"/>
      <c r="DM354" s="286"/>
      <c r="DN354" s="286"/>
      <c r="DO354" s="286"/>
      <c r="DP354" s="286"/>
      <c r="DR354" s="58" t="str">
        <f>IF(ISNUMBER(MATCH(#REF!,'Audit Characteristic Mapping'!$B$3:$B$500,0)),"Y","")</f>
        <v/>
      </c>
      <c r="DS354" s="58" t="str">
        <f>IF(ISNUMBER(MATCH(#REF!,'Audit Characteristic Mapping'!$C$3:$C$500,0)),"Y","")</f>
        <v/>
      </c>
      <c r="DT354" s="58" t="str">
        <f>IF(ISNUMBER(MATCH(#REF!,'Audit Characteristic Mapping'!$D$3:$D$500,0)),"Y","")</f>
        <v/>
      </c>
      <c r="DU354" s="58" t="str">
        <f>IF(ISNUMBER(MATCH(#REF!,'Audit Characteristic Mapping'!$E$3:$E$500,0)),"Y","")</f>
        <v/>
      </c>
      <c r="DV354" s="58" t="str">
        <f>IF(ISNUMBER(MATCH(#REF!,'Audit Characteristic Mapping'!$F$3:$F$500,0)),"Y","")</f>
        <v/>
      </c>
      <c r="DW354" s="58" t="str">
        <f>IF(ISNUMBER(MATCH(#REF!,'Audit Characteristic Mapping'!$G$3:$G$500,0)),"Y","")</f>
        <v/>
      </c>
      <c r="DX354" s="58" t="str">
        <f>IF(ISNUMBER(MATCH(#REF!,'Audit Characteristic Mapping'!$H$3:$H$500,0)),"Y","")</f>
        <v/>
      </c>
      <c r="DY354" s="58" t="str">
        <f>IF(ISNUMBER(MATCH(#REF!,'Audit Characteristic Mapping'!$I$3:$I$500,0)),"Y","")</f>
        <v/>
      </c>
      <c r="DZ354" s="58" t="str">
        <f>IF(ISNUMBER(MATCH(#REF!,'Audit Characteristic Mapping'!$J$3:$J$500,0)),"Y","")</f>
        <v/>
      </c>
      <c r="EA354" s="58" t="str">
        <f>IF(ISNUMBER(MATCH(#REF!,'Audit Characteristic Mapping'!$K$3:$K$500,0)),"Y","")</f>
        <v/>
      </c>
    </row>
    <row r="355" spans="1:131" ht="16" hidden="1" x14ac:dyDescent="0.2">
      <c r="A355" s="288">
        <v>349</v>
      </c>
      <c r="B355" s="287" t="s">
        <v>492</v>
      </c>
      <c r="C355" s="226" t="s">
        <v>493</v>
      </c>
      <c r="D355" s="170">
        <v>10</v>
      </c>
      <c r="E355" s="288">
        <v>69</v>
      </c>
      <c r="F355" s="291" t="str">
        <f>VLOOKUP(Calculation!A355,'Descriptor maps'!$A$2:$F$1658,2,0)</f>
        <v>Operation</v>
      </c>
      <c r="G355" s="296"/>
      <c r="H355" s="290"/>
      <c r="I355" s="291"/>
      <c r="J355" s="292" t="e" cm="1">
        <f t="array" ref="J355">INDEX('Descriptor maps'!$I$2:$I$1658,MATCH(1,('Descriptor maps'!$A$2:$A$1658=Calculation!$A355)*('Descriptor maps'!$G$2:$G$1658=Calculation!$G355),0))</f>
        <v>#N/A</v>
      </c>
      <c r="K355" s="226"/>
      <c r="L355" s="293"/>
      <c r="M355" s="293"/>
      <c r="N355" s="293"/>
      <c r="O355" s="293"/>
      <c r="P355" s="293"/>
      <c r="Q355" s="293"/>
      <c r="R355" s="293"/>
      <c r="S355" s="293"/>
      <c r="T355" s="293"/>
      <c r="U355" s="293"/>
      <c r="V355" s="293"/>
      <c r="W355" s="293"/>
      <c r="X355" s="293"/>
      <c r="Y355" s="293"/>
      <c r="Z355" s="293"/>
      <c r="AA355" s="293"/>
      <c r="AB355" s="293"/>
      <c r="AC355" s="293"/>
      <c r="AD355" s="293"/>
      <c r="AE355" s="293"/>
      <c r="AF355" s="293"/>
      <c r="AG355" s="293"/>
      <c r="AH355" s="293"/>
      <c r="AI355" s="293"/>
      <c r="AJ355" s="293"/>
      <c r="AK355" s="293"/>
      <c r="AL355" s="293"/>
      <c r="AM355" s="293"/>
      <c r="AN355" s="293"/>
      <c r="AO355" s="293"/>
      <c r="AP355" s="293"/>
      <c r="AQ355" s="293"/>
      <c r="AR355" s="293"/>
      <c r="AS355" s="293"/>
      <c r="AT355" s="293"/>
      <c r="AU355" s="293"/>
      <c r="AV355" s="293"/>
      <c r="AW355" s="293"/>
      <c r="AX355" s="293"/>
      <c r="AY355" s="293"/>
      <c r="AZ355" s="293"/>
      <c r="BA355" s="293"/>
      <c r="BB355" s="293"/>
      <c r="BC355" s="293"/>
      <c r="BD355" s="293"/>
      <c r="BE355" s="293"/>
      <c r="BF355" s="293"/>
      <c r="BG355" s="293"/>
      <c r="BH355" s="293"/>
      <c r="BI355" s="293"/>
      <c r="BJ355" s="293"/>
      <c r="BK355" s="293"/>
      <c r="BL355" s="293"/>
      <c r="BM355" s="293"/>
      <c r="BN355" s="293"/>
      <c r="BO355" s="293"/>
      <c r="BP355" s="293"/>
      <c r="BQ355" s="293"/>
      <c r="BR355" s="293"/>
      <c r="BS355" s="293"/>
      <c r="BT355" s="293"/>
      <c r="BU355" s="293"/>
      <c r="BV355" s="293"/>
      <c r="BW355" s="293"/>
      <c r="BX355" s="293"/>
      <c r="BY355" s="293"/>
      <c r="BZ355" s="293"/>
      <c r="CA355" s="285"/>
      <c r="CB355" s="286"/>
      <c r="CC355" s="286"/>
      <c r="CD355" s="286"/>
      <c r="CE355" s="286"/>
      <c r="CF355" s="286"/>
      <c r="CG355" s="286"/>
      <c r="CH355" s="286"/>
      <c r="CI355" s="286"/>
      <c r="CJ355" s="286"/>
      <c r="CK355" s="286"/>
      <c r="CL355" s="286"/>
      <c r="CM355" s="286"/>
      <c r="CN355" s="286"/>
      <c r="CO355" s="286"/>
      <c r="CP355" s="286"/>
      <c r="CQ355" s="286"/>
      <c r="CR355" s="286"/>
      <c r="CS355" s="286"/>
      <c r="CT355" s="286"/>
      <c r="CU355" s="286"/>
      <c r="CV355" s="286"/>
      <c r="CW355" s="286"/>
      <c r="CX355" s="286"/>
      <c r="CY355" s="286"/>
      <c r="CZ355" s="286"/>
      <c r="DA355" s="286"/>
      <c r="DB355" s="286"/>
      <c r="DC355" s="286"/>
      <c r="DD355" s="286"/>
      <c r="DE355" s="286"/>
      <c r="DF355" s="286"/>
      <c r="DG355" s="286"/>
      <c r="DH355" s="286"/>
      <c r="DI355" s="286"/>
      <c r="DJ355" s="286"/>
      <c r="DK355" s="286"/>
      <c r="DL355" s="286"/>
      <c r="DM355" s="286"/>
      <c r="DN355" s="286"/>
      <c r="DO355" s="286"/>
      <c r="DP355" s="286"/>
      <c r="DR355" s="58" t="str">
        <f>IF(ISNUMBER(MATCH(#REF!,'Audit Characteristic Mapping'!$B$3:$B$500,0)),"Y","")</f>
        <v/>
      </c>
      <c r="DS355" s="58" t="str">
        <f>IF(ISNUMBER(MATCH(#REF!,'Audit Characteristic Mapping'!$C$3:$C$500,0)),"Y","")</f>
        <v/>
      </c>
      <c r="DT355" s="58" t="str">
        <f>IF(ISNUMBER(MATCH(#REF!,'Audit Characteristic Mapping'!$D$3:$D$500,0)),"Y","")</f>
        <v/>
      </c>
      <c r="DU355" s="58" t="str">
        <f>IF(ISNUMBER(MATCH(#REF!,'Audit Characteristic Mapping'!$E$3:$E$500,0)),"Y","")</f>
        <v/>
      </c>
      <c r="DV355" s="58" t="str">
        <f>IF(ISNUMBER(MATCH(#REF!,'Audit Characteristic Mapping'!$F$3:$F$500,0)),"Y","")</f>
        <v/>
      </c>
      <c r="DW355" s="58" t="str">
        <f>IF(ISNUMBER(MATCH(#REF!,'Audit Characteristic Mapping'!$G$3:$G$500,0)),"Y","")</f>
        <v/>
      </c>
      <c r="DX355" s="58" t="str">
        <f>IF(ISNUMBER(MATCH(#REF!,'Audit Characteristic Mapping'!$H$3:$H$500,0)),"Y","")</f>
        <v/>
      </c>
      <c r="DY355" s="58" t="str">
        <f>IF(ISNUMBER(MATCH(#REF!,'Audit Characteristic Mapping'!$I$3:$I$500,0)),"Y","")</f>
        <v/>
      </c>
      <c r="DZ355" s="58" t="str">
        <f>IF(ISNUMBER(MATCH(#REF!,'Audit Characteristic Mapping'!$J$3:$J$500,0)),"Y","")</f>
        <v/>
      </c>
      <c r="EA355" s="58" t="str">
        <f>IF(ISNUMBER(MATCH(#REF!,'Audit Characteristic Mapping'!$K$3:$K$500,0)),"Y","")</f>
        <v/>
      </c>
    </row>
    <row r="356" spans="1:131" ht="16" hidden="1" x14ac:dyDescent="0.2">
      <c r="A356" s="288">
        <v>350</v>
      </c>
      <c r="B356" s="287" t="s">
        <v>492</v>
      </c>
      <c r="C356" s="226" t="s">
        <v>493</v>
      </c>
      <c r="D356" s="170">
        <v>10</v>
      </c>
      <c r="E356" s="288">
        <v>69</v>
      </c>
      <c r="F356" s="291" t="str">
        <f>VLOOKUP(Calculation!A356,'Descriptor maps'!$A$2:$F$1658,2,0)</f>
        <v>Operation</v>
      </c>
      <c r="G356" s="296"/>
      <c r="H356" s="290"/>
      <c r="I356" s="291"/>
      <c r="J356" s="292" t="e" cm="1">
        <f t="array" ref="J356">INDEX('Descriptor maps'!$I$2:$I$1658,MATCH(1,('Descriptor maps'!$A$2:$A$1658=Calculation!$A356)*('Descriptor maps'!$G$2:$G$1658=Calculation!$G356),0))</f>
        <v>#N/A</v>
      </c>
      <c r="K356" s="226"/>
      <c r="L356" s="293"/>
      <c r="M356" s="293"/>
      <c r="N356" s="293"/>
      <c r="O356" s="293"/>
      <c r="P356" s="293"/>
      <c r="Q356" s="293"/>
      <c r="R356" s="293"/>
      <c r="S356" s="293"/>
      <c r="T356" s="293"/>
      <c r="U356" s="293"/>
      <c r="V356" s="293"/>
      <c r="W356" s="293"/>
      <c r="X356" s="293"/>
      <c r="Y356" s="293"/>
      <c r="Z356" s="293"/>
      <c r="AA356" s="293"/>
      <c r="AB356" s="293"/>
      <c r="AC356" s="293"/>
      <c r="AD356" s="293"/>
      <c r="AE356" s="293"/>
      <c r="AF356" s="293"/>
      <c r="AG356" s="293"/>
      <c r="AH356" s="293"/>
      <c r="AI356" s="293"/>
      <c r="AJ356" s="293"/>
      <c r="AK356" s="293"/>
      <c r="AL356" s="293"/>
      <c r="AM356" s="293"/>
      <c r="AN356" s="293"/>
      <c r="AO356" s="293"/>
      <c r="AP356" s="293"/>
      <c r="AQ356" s="293"/>
      <c r="AR356" s="293"/>
      <c r="AS356" s="293"/>
      <c r="AT356" s="293"/>
      <c r="AU356" s="293"/>
      <c r="AV356" s="293"/>
      <c r="AW356" s="293"/>
      <c r="AX356" s="293"/>
      <c r="AY356" s="293"/>
      <c r="AZ356" s="293"/>
      <c r="BA356" s="293"/>
      <c r="BB356" s="293"/>
      <c r="BC356" s="293"/>
      <c r="BD356" s="293"/>
      <c r="BE356" s="293"/>
      <c r="BF356" s="293"/>
      <c r="BG356" s="293"/>
      <c r="BH356" s="293"/>
      <c r="BI356" s="293"/>
      <c r="BJ356" s="293"/>
      <c r="BK356" s="293"/>
      <c r="BL356" s="293"/>
      <c r="BM356" s="293"/>
      <c r="BN356" s="293"/>
      <c r="BO356" s="293"/>
      <c r="BP356" s="293"/>
      <c r="BQ356" s="293"/>
      <c r="BR356" s="293"/>
      <c r="BS356" s="293"/>
      <c r="BT356" s="293"/>
      <c r="BU356" s="293"/>
      <c r="BV356" s="293"/>
      <c r="BW356" s="293"/>
      <c r="BX356" s="293"/>
      <c r="BY356" s="293"/>
      <c r="BZ356" s="293"/>
      <c r="CA356" s="285"/>
      <c r="CB356" s="286"/>
      <c r="CC356" s="286"/>
      <c r="CD356" s="286"/>
      <c r="CE356" s="286"/>
      <c r="CF356" s="286"/>
      <c r="CG356" s="286"/>
      <c r="CH356" s="286"/>
      <c r="CI356" s="286"/>
      <c r="CJ356" s="286"/>
      <c r="CK356" s="286"/>
      <c r="CL356" s="286"/>
      <c r="CM356" s="286"/>
      <c r="CN356" s="286"/>
      <c r="CO356" s="286"/>
      <c r="CP356" s="286"/>
      <c r="CQ356" s="286"/>
      <c r="CR356" s="286"/>
      <c r="CS356" s="286"/>
      <c r="CT356" s="286"/>
      <c r="CU356" s="286"/>
      <c r="CV356" s="286"/>
      <c r="CW356" s="286"/>
      <c r="CX356" s="286"/>
      <c r="CY356" s="286"/>
      <c r="CZ356" s="286"/>
      <c r="DA356" s="286"/>
      <c r="DB356" s="286"/>
      <c r="DC356" s="286"/>
      <c r="DD356" s="286"/>
      <c r="DE356" s="286"/>
      <c r="DF356" s="286"/>
      <c r="DG356" s="286"/>
      <c r="DH356" s="286"/>
      <c r="DI356" s="286"/>
      <c r="DJ356" s="286"/>
      <c r="DK356" s="286"/>
      <c r="DL356" s="286"/>
      <c r="DM356" s="286"/>
      <c r="DN356" s="286"/>
      <c r="DO356" s="286"/>
      <c r="DP356" s="286"/>
      <c r="DR356" s="58" t="str">
        <f>IF(ISNUMBER(MATCH(#REF!,'Audit Characteristic Mapping'!$B$3:$B$500,0)),"Y","")</f>
        <v/>
      </c>
      <c r="DS356" s="58" t="str">
        <f>IF(ISNUMBER(MATCH(#REF!,'Audit Characteristic Mapping'!$C$3:$C$500,0)),"Y","")</f>
        <v/>
      </c>
      <c r="DT356" s="58" t="str">
        <f>IF(ISNUMBER(MATCH(#REF!,'Audit Characteristic Mapping'!$D$3:$D$500,0)),"Y","")</f>
        <v/>
      </c>
      <c r="DU356" s="58" t="str">
        <f>IF(ISNUMBER(MATCH(#REF!,'Audit Characteristic Mapping'!$E$3:$E$500,0)),"Y","")</f>
        <v/>
      </c>
      <c r="DV356" s="58" t="str">
        <f>IF(ISNUMBER(MATCH(#REF!,'Audit Characteristic Mapping'!$F$3:$F$500,0)),"Y","")</f>
        <v/>
      </c>
      <c r="DW356" s="58" t="str">
        <f>IF(ISNUMBER(MATCH(#REF!,'Audit Characteristic Mapping'!$G$3:$G$500,0)),"Y","")</f>
        <v/>
      </c>
      <c r="DX356" s="58" t="str">
        <f>IF(ISNUMBER(MATCH(#REF!,'Audit Characteristic Mapping'!$H$3:$H$500,0)),"Y","")</f>
        <v/>
      </c>
      <c r="DY356" s="58" t="str">
        <f>IF(ISNUMBER(MATCH(#REF!,'Audit Characteristic Mapping'!$I$3:$I$500,0)),"Y","")</f>
        <v/>
      </c>
      <c r="DZ356" s="58" t="str">
        <f>IF(ISNUMBER(MATCH(#REF!,'Audit Characteristic Mapping'!$J$3:$J$500,0)),"Y","")</f>
        <v/>
      </c>
      <c r="EA356" s="58" t="str">
        <f>IF(ISNUMBER(MATCH(#REF!,'Audit Characteristic Mapping'!$K$3:$K$500,0)),"Y","")</f>
        <v/>
      </c>
    </row>
    <row r="357" spans="1:131" ht="16" hidden="1" x14ac:dyDescent="0.2">
      <c r="A357" s="288">
        <v>351</v>
      </c>
      <c r="B357" s="287" t="s">
        <v>492</v>
      </c>
      <c r="C357" s="226" t="s">
        <v>493</v>
      </c>
      <c r="D357" s="170">
        <v>10</v>
      </c>
      <c r="E357" s="288">
        <v>69</v>
      </c>
      <c r="F357" s="291" t="str">
        <f>VLOOKUP(Calculation!A357,'Descriptor maps'!$A$2:$F$1658,2,0)</f>
        <v>Operation</v>
      </c>
      <c r="G357" s="296"/>
      <c r="H357" s="290"/>
      <c r="I357" s="291"/>
      <c r="J357" s="292" t="e" cm="1">
        <f t="array" ref="J357">INDEX('Descriptor maps'!$I$2:$I$1658,MATCH(1,('Descriptor maps'!$A$2:$A$1658=Calculation!$A357)*('Descriptor maps'!$G$2:$G$1658=Calculation!$G357),0))</f>
        <v>#N/A</v>
      </c>
      <c r="K357" s="226"/>
      <c r="L357" s="293"/>
      <c r="M357" s="293"/>
      <c r="N357" s="293"/>
      <c r="O357" s="293"/>
      <c r="P357" s="293"/>
      <c r="Q357" s="293"/>
      <c r="R357" s="293"/>
      <c r="S357" s="293"/>
      <c r="T357" s="293"/>
      <c r="U357" s="293"/>
      <c r="V357" s="293"/>
      <c r="W357" s="293"/>
      <c r="X357" s="293"/>
      <c r="Y357" s="293"/>
      <c r="Z357" s="293"/>
      <c r="AA357" s="293"/>
      <c r="AB357" s="293"/>
      <c r="AC357" s="293"/>
      <c r="AD357" s="293"/>
      <c r="AE357" s="293"/>
      <c r="AF357" s="293"/>
      <c r="AG357" s="293"/>
      <c r="AH357" s="293"/>
      <c r="AI357" s="293"/>
      <c r="AJ357" s="293"/>
      <c r="AK357" s="293"/>
      <c r="AL357" s="293"/>
      <c r="AM357" s="293"/>
      <c r="AN357" s="293"/>
      <c r="AO357" s="293"/>
      <c r="AP357" s="293"/>
      <c r="AQ357" s="293"/>
      <c r="AR357" s="293"/>
      <c r="AS357" s="293"/>
      <c r="AT357" s="293"/>
      <c r="AU357" s="293"/>
      <c r="AV357" s="293"/>
      <c r="AW357" s="293"/>
      <c r="AX357" s="293"/>
      <c r="AY357" s="293"/>
      <c r="AZ357" s="293"/>
      <c r="BA357" s="293"/>
      <c r="BB357" s="293"/>
      <c r="BC357" s="293"/>
      <c r="BD357" s="293"/>
      <c r="BE357" s="293"/>
      <c r="BF357" s="293"/>
      <c r="BG357" s="293"/>
      <c r="BH357" s="293"/>
      <c r="BI357" s="293"/>
      <c r="BJ357" s="293"/>
      <c r="BK357" s="293"/>
      <c r="BL357" s="293"/>
      <c r="BM357" s="293"/>
      <c r="BN357" s="293"/>
      <c r="BO357" s="293"/>
      <c r="BP357" s="293"/>
      <c r="BQ357" s="293"/>
      <c r="BR357" s="293"/>
      <c r="BS357" s="293"/>
      <c r="BT357" s="293"/>
      <c r="BU357" s="293"/>
      <c r="BV357" s="293"/>
      <c r="BW357" s="293"/>
      <c r="BX357" s="293"/>
      <c r="BY357" s="293"/>
      <c r="BZ357" s="293"/>
      <c r="CA357" s="285"/>
      <c r="CB357" s="286"/>
      <c r="CC357" s="286"/>
      <c r="CD357" s="286"/>
      <c r="CE357" s="286"/>
      <c r="CF357" s="286"/>
      <c r="CG357" s="286"/>
      <c r="CH357" s="286"/>
      <c r="CI357" s="286"/>
      <c r="CJ357" s="286"/>
      <c r="CK357" s="286"/>
      <c r="CL357" s="286"/>
      <c r="CM357" s="286"/>
      <c r="CN357" s="286"/>
      <c r="CO357" s="286"/>
      <c r="CP357" s="286"/>
      <c r="CQ357" s="286"/>
      <c r="CR357" s="286"/>
      <c r="CS357" s="286"/>
      <c r="CT357" s="286"/>
      <c r="CU357" s="286"/>
      <c r="CV357" s="286"/>
      <c r="CW357" s="286"/>
      <c r="CX357" s="286"/>
      <c r="CY357" s="286"/>
      <c r="CZ357" s="286"/>
      <c r="DA357" s="286"/>
      <c r="DB357" s="286"/>
      <c r="DC357" s="286"/>
      <c r="DD357" s="286"/>
      <c r="DE357" s="286"/>
      <c r="DF357" s="286"/>
      <c r="DG357" s="286"/>
      <c r="DH357" s="286"/>
      <c r="DI357" s="286"/>
      <c r="DJ357" s="286"/>
      <c r="DK357" s="286"/>
      <c r="DL357" s="286"/>
      <c r="DM357" s="286"/>
      <c r="DN357" s="286"/>
      <c r="DO357" s="286"/>
      <c r="DP357" s="286"/>
      <c r="DR357" s="58" t="str">
        <f>IF(ISNUMBER(MATCH(#REF!,'Audit Characteristic Mapping'!$B$3:$B$500,0)),"Y","")</f>
        <v/>
      </c>
      <c r="DS357" s="58" t="str">
        <f>IF(ISNUMBER(MATCH(#REF!,'Audit Characteristic Mapping'!$C$3:$C$500,0)),"Y","")</f>
        <v/>
      </c>
      <c r="DT357" s="58" t="str">
        <f>IF(ISNUMBER(MATCH(#REF!,'Audit Characteristic Mapping'!$D$3:$D$500,0)),"Y","")</f>
        <v/>
      </c>
      <c r="DU357" s="58" t="str">
        <f>IF(ISNUMBER(MATCH(#REF!,'Audit Characteristic Mapping'!$E$3:$E$500,0)),"Y","")</f>
        <v/>
      </c>
      <c r="DV357" s="58" t="str">
        <f>IF(ISNUMBER(MATCH(#REF!,'Audit Characteristic Mapping'!$F$3:$F$500,0)),"Y","")</f>
        <v/>
      </c>
      <c r="DW357" s="58" t="str">
        <f>IF(ISNUMBER(MATCH(#REF!,'Audit Characteristic Mapping'!$G$3:$G$500,0)),"Y","")</f>
        <v/>
      </c>
      <c r="DX357" s="58" t="str">
        <f>IF(ISNUMBER(MATCH(#REF!,'Audit Characteristic Mapping'!$H$3:$H$500,0)),"Y","")</f>
        <v/>
      </c>
      <c r="DY357" s="58" t="str">
        <f>IF(ISNUMBER(MATCH(#REF!,'Audit Characteristic Mapping'!$I$3:$I$500,0)),"Y","")</f>
        <v/>
      </c>
      <c r="DZ357" s="58" t="str">
        <f>IF(ISNUMBER(MATCH(#REF!,'Audit Characteristic Mapping'!$J$3:$J$500,0)),"Y","")</f>
        <v/>
      </c>
      <c r="EA357" s="58" t="str">
        <f>IF(ISNUMBER(MATCH(#REF!,'Audit Characteristic Mapping'!$K$3:$K$500,0)),"Y","")</f>
        <v/>
      </c>
    </row>
    <row r="358" spans="1:131" ht="16" hidden="1" x14ac:dyDescent="0.2">
      <c r="A358" s="288">
        <v>352</v>
      </c>
      <c r="B358" s="287" t="s">
        <v>492</v>
      </c>
      <c r="C358" s="226" t="s">
        <v>493</v>
      </c>
      <c r="D358" s="170">
        <v>10</v>
      </c>
      <c r="E358" s="288">
        <v>69</v>
      </c>
      <c r="F358" s="291" t="str">
        <f>VLOOKUP(Calculation!A358,'Descriptor maps'!$A$2:$F$1658,2,0)</f>
        <v>Operation</v>
      </c>
      <c r="G358" s="296"/>
      <c r="H358" s="290"/>
      <c r="I358" s="291"/>
      <c r="J358" s="292" t="e" cm="1">
        <f t="array" ref="J358">INDEX('Descriptor maps'!$I$2:$I$1658,MATCH(1,('Descriptor maps'!$A$2:$A$1658=Calculation!$A358)*('Descriptor maps'!$G$2:$G$1658=Calculation!$G358),0))</f>
        <v>#N/A</v>
      </c>
      <c r="K358" s="226"/>
      <c r="L358" s="293"/>
      <c r="M358" s="293"/>
      <c r="N358" s="293"/>
      <c r="O358" s="293"/>
      <c r="P358" s="293"/>
      <c r="Q358" s="293"/>
      <c r="R358" s="293"/>
      <c r="S358" s="293"/>
      <c r="T358" s="293"/>
      <c r="U358" s="293"/>
      <c r="V358" s="293"/>
      <c r="W358" s="293"/>
      <c r="X358" s="293"/>
      <c r="Y358" s="293"/>
      <c r="Z358" s="293"/>
      <c r="AA358" s="293"/>
      <c r="AB358" s="293"/>
      <c r="AC358" s="293"/>
      <c r="AD358" s="293"/>
      <c r="AE358" s="293"/>
      <c r="AF358" s="293"/>
      <c r="AG358" s="293"/>
      <c r="AH358" s="293"/>
      <c r="AI358" s="293"/>
      <c r="AJ358" s="293"/>
      <c r="AK358" s="293"/>
      <c r="AL358" s="293"/>
      <c r="AM358" s="293"/>
      <c r="AN358" s="293"/>
      <c r="AO358" s="293"/>
      <c r="AP358" s="293"/>
      <c r="AQ358" s="293"/>
      <c r="AR358" s="293"/>
      <c r="AS358" s="293"/>
      <c r="AT358" s="293"/>
      <c r="AU358" s="293"/>
      <c r="AV358" s="293"/>
      <c r="AW358" s="293"/>
      <c r="AX358" s="293"/>
      <c r="AY358" s="293"/>
      <c r="AZ358" s="293"/>
      <c r="BA358" s="293"/>
      <c r="BB358" s="293"/>
      <c r="BC358" s="293"/>
      <c r="BD358" s="293"/>
      <c r="BE358" s="293"/>
      <c r="BF358" s="293"/>
      <c r="BG358" s="293"/>
      <c r="BH358" s="293"/>
      <c r="BI358" s="293"/>
      <c r="BJ358" s="293"/>
      <c r="BK358" s="293"/>
      <c r="BL358" s="293"/>
      <c r="BM358" s="293"/>
      <c r="BN358" s="293"/>
      <c r="BO358" s="293"/>
      <c r="BP358" s="293"/>
      <c r="BQ358" s="293"/>
      <c r="BR358" s="293"/>
      <c r="BS358" s="293"/>
      <c r="BT358" s="293"/>
      <c r="BU358" s="293"/>
      <c r="BV358" s="293"/>
      <c r="BW358" s="293"/>
      <c r="BX358" s="293"/>
      <c r="BY358" s="293"/>
      <c r="BZ358" s="293"/>
      <c r="CA358" s="285"/>
      <c r="CB358" s="286"/>
      <c r="CC358" s="286"/>
      <c r="CD358" s="286"/>
      <c r="CE358" s="286"/>
      <c r="CF358" s="286"/>
      <c r="CG358" s="286"/>
      <c r="CH358" s="286"/>
      <c r="CI358" s="286"/>
      <c r="CJ358" s="286"/>
      <c r="CK358" s="286"/>
      <c r="CL358" s="286"/>
      <c r="CM358" s="286"/>
      <c r="CN358" s="286"/>
      <c r="CO358" s="286"/>
      <c r="CP358" s="286"/>
      <c r="CQ358" s="286"/>
      <c r="CR358" s="286"/>
      <c r="CS358" s="286"/>
      <c r="CT358" s="286"/>
      <c r="CU358" s="286"/>
      <c r="CV358" s="286"/>
      <c r="CW358" s="286"/>
      <c r="CX358" s="286"/>
      <c r="CY358" s="286"/>
      <c r="CZ358" s="286"/>
      <c r="DA358" s="286"/>
      <c r="DB358" s="286"/>
      <c r="DC358" s="286"/>
      <c r="DD358" s="286"/>
      <c r="DE358" s="286"/>
      <c r="DF358" s="286"/>
      <c r="DG358" s="286"/>
      <c r="DH358" s="286"/>
      <c r="DI358" s="286"/>
      <c r="DJ358" s="286"/>
      <c r="DK358" s="286"/>
      <c r="DL358" s="286"/>
      <c r="DM358" s="286"/>
      <c r="DN358" s="286"/>
      <c r="DO358" s="286"/>
      <c r="DP358" s="286"/>
      <c r="DR358" s="58" t="str">
        <f>IF(ISNUMBER(MATCH(#REF!,'Audit Characteristic Mapping'!$B$3:$B$500,0)),"Y","")</f>
        <v/>
      </c>
      <c r="DS358" s="58" t="str">
        <f>IF(ISNUMBER(MATCH(#REF!,'Audit Characteristic Mapping'!$C$3:$C$500,0)),"Y","")</f>
        <v/>
      </c>
      <c r="DT358" s="58" t="str">
        <f>IF(ISNUMBER(MATCH(#REF!,'Audit Characteristic Mapping'!$D$3:$D$500,0)),"Y","")</f>
        <v/>
      </c>
      <c r="DU358" s="58" t="str">
        <f>IF(ISNUMBER(MATCH(#REF!,'Audit Characteristic Mapping'!$E$3:$E$500,0)),"Y","")</f>
        <v/>
      </c>
      <c r="DV358" s="58" t="str">
        <f>IF(ISNUMBER(MATCH(#REF!,'Audit Characteristic Mapping'!$F$3:$F$500,0)),"Y","")</f>
        <v/>
      </c>
      <c r="DW358" s="58" t="str">
        <f>IF(ISNUMBER(MATCH(#REF!,'Audit Characteristic Mapping'!$G$3:$G$500,0)),"Y","")</f>
        <v/>
      </c>
      <c r="DX358" s="58" t="str">
        <f>IF(ISNUMBER(MATCH(#REF!,'Audit Characteristic Mapping'!$H$3:$H$500,0)),"Y","")</f>
        <v/>
      </c>
      <c r="DY358" s="58" t="str">
        <f>IF(ISNUMBER(MATCH(#REF!,'Audit Characteristic Mapping'!$I$3:$I$500,0)),"Y","")</f>
        <v/>
      </c>
      <c r="DZ358" s="58" t="str">
        <f>IF(ISNUMBER(MATCH(#REF!,'Audit Characteristic Mapping'!$J$3:$J$500,0)),"Y","")</f>
        <v/>
      </c>
      <c r="EA358" s="58" t="str">
        <f>IF(ISNUMBER(MATCH(#REF!,'Audit Characteristic Mapping'!$K$3:$K$500,0)),"Y","")</f>
        <v/>
      </c>
    </row>
    <row r="359" spans="1:131" ht="16" hidden="1" x14ac:dyDescent="0.2">
      <c r="A359" s="288">
        <v>353</v>
      </c>
      <c r="B359" s="287" t="s">
        <v>492</v>
      </c>
      <c r="C359" s="226" t="s">
        <v>493</v>
      </c>
      <c r="D359" s="170">
        <v>10</v>
      </c>
      <c r="E359" s="288">
        <v>69</v>
      </c>
      <c r="F359" s="291" t="str">
        <f>VLOOKUP(Calculation!A359,'Descriptor maps'!$A$2:$F$1658,2,0)</f>
        <v>Operation</v>
      </c>
      <c r="G359" s="296"/>
      <c r="H359" s="290"/>
      <c r="I359" s="291"/>
      <c r="J359" s="292" t="e" cm="1">
        <f t="array" ref="J359">INDEX('Descriptor maps'!$I$2:$I$1658,MATCH(1,('Descriptor maps'!$A$2:$A$1658=Calculation!$A359)*('Descriptor maps'!$G$2:$G$1658=Calculation!$G359),0))</f>
        <v>#N/A</v>
      </c>
      <c r="K359" s="226"/>
      <c r="L359" s="293"/>
      <c r="M359" s="293"/>
      <c r="N359" s="293"/>
      <c r="O359" s="293"/>
      <c r="P359" s="293"/>
      <c r="Q359" s="293"/>
      <c r="R359" s="293"/>
      <c r="S359" s="293"/>
      <c r="T359" s="293"/>
      <c r="U359" s="293"/>
      <c r="V359" s="293"/>
      <c r="W359" s="293"/>
      <c r="X359" s="293"/>
      <c r="Y359" s="293"/>
      <c r="Z359" s="293"/>
      <c r="AA359" s="293"/>
      <c r="AB359" s="293"/>
      <c r="AC359" s="293"/>
      <c r="AD359" s="293"/>
      <c r="AE359" s="293"/>
      <c r="AF359" s="293"/>
      <c r="AG359" s="293"/>
      <c r="AH359" s="293"/>
      <c r="AI359" s="293"/>
      <c r="AJ359" s="293"/>
      <c r="AK359" s="293"/>
      <c r="AL359" s="293"/>
      <c r="AM359" s="293"/>
      <c r="AN359" s="293"/>
      <c r="AO359" s="293"/>
      <c r="AP359" s="293"/>
      <c r="AQ359" s="293"/>
      <c r="AR359" s="293"/>
      <c r="AS359" s="293"/>
      <c r="AT359" s="293"/>
      <c r="AU359" s="293"/>
      <c r="AV359" s="293"/>
      <c r="AW359" s="293"/>
      <c r="AX359" s="293"/>
      <c r="AY359" s="293"/>
      <c r="AZ359" s="293"/>
      <c r="BA359" s="293"/>
      <c r="BB359" s="293"/>
      <c r="BC359" s="293"/>
      <c r="BD359" s="293"/>
      <c r="BE359" s="293"/>
      <c r="BF359" s="293"/>
      <c r="BG359" s="293"/>
      <c r="BH359" s="293"/>
      <c r="BI359" s="293"/>
      <c r="BJ359" s="293"/>
      <c r="BK359" s="293"/>
      <c r="BL359" s="293"/>
      <c r="BM359" s="293"/>
      <c r="BN359" s="293"/>
      <c r="BO359" s="293"/>
      <c r="BP359" s="293"/>
      <c r="BQ359" s="293"/>
      <c r="BR359" s="293"/>
      <c r="BS359" s="293"/>
      <c r="BT359" s="293"/>
      <c r="BU359" s="293"/>
      <c r="BV359" s="293"/>
      <c r="BW359" s="293"/>
      <c r="BX359" s="293"/>
      <c r="BY359" s="293"/>
      <c r="BZ359" s="293"/>
      <c r="CA359" s="285"/>
      <c r="CB359" s="286"/>
      <c r="CC359" s="286"/>
      <c r="CD359" s="286"/>
      <c r="CE359" s="286"/>
      <c r="CF359" s="286"/>
      <c r="CG359" s="286"/>
      <c r="CH359" s="286"/>
      <c r="CI359" s="286"/>
      <c r="CJ359" s="286"/>
      <c r="CK359" s="286"/>
      <c r="CL359" s="286"/>
      <c r="CM359" s="286"/>
      <c r="CN359" s="286"/>
      <c r="CO359" s="286"/>
      <c r="CP359" s="286"/>
      <c r="CQ359" s="286"/>
      <c r="CR359" s="286"/>
      <c r="CS359" s="286"/>
      <c r="CT359" s="286"/>
      <c r="CU359" s="286"/>
      <c r="CV359" s="286"/>
      <c r="CW359" s="286"/>
      <c r="CX359" s="286"/>
      <c r="CY359" s="286"/>
      <c r="CZ359" s="286"/>
      <c r="DA359" s="286"/>
      <c r="DB359" s="286"/>
      <c r="DC359" s="286"/>
      <c r="DD359" s="286"/>
      <c r="DE359" s="286"/>
      <c r="DF359" s="286"/>
      <c r="DG359" s="286"/>
      <c r="DH359" s="286"/>
      <c r="DI359" s="286"/>
      <c r="DJ359" s="286"/>
      <c r="DK359" s="286"/>
      <c r="DL359" s="286"/>
      <c r="DM359" s="286"/>
      <c r="DN359" s="286"/>
      <c r="DO359" s="286"/>
      <c r="DP359" s="286"/>
      <c r="DR359" s="58" t="str">
        <f>IF(ISNUMBER(MATCH(#REF!,'Audit Characteristic Mapping'!$B$3:$B$500,0)),"Y","")</f>
        <v/>
      </c>
      <c r="DS359" s="58" t="str">
        <f>IF(ISNUMBER(MATCH(#REF!,'Audit Characteristic Mapping'!$C$3:$C$500,0)),"Y","")</f>
        <v/>
      </c>
      <c r="DT359" s="58" t="str">
        <f>IF(ISNUMBER(MATCH(#REF!,'Audit Characteristic Mapping'!$D$3:$D$500,0)),"Y","")</f>
        <v/>
      </c>
      <c r="DU359" s="58" t="str">
        <f>IF(ISNUMBER(MATCH(#REF!,'Audit Characteristic Mapping'!$E$3:$E$500,0)),"Y","")</f>
        <v/>
      </c>
      <c r="DV359" s="58" t="str">
        <f>IF(ISNUMBER(MATCH(#REF!,'Audit Characteristic Mapping'!$F$3:$F$500,0)),"Y","")</f>
        <v/>
      </c>
      <c r="DW359" s="58" t="str">
        <f>IF(ISNUMBER(MATCH(#REF!,'Audit Characteristic Mapping'!$G$3:$G$500,0)),"Y","")</f>
        <v/>
      </c>
      <c r="DX359" s="58" t="str">
        <f>IF(ISNUMBER(MATCH(#REF!,'Audit Characteristic Mapping'!$H$3:$H$500,0)),"Y","")</f>
        <v/>
      </c>
      <c r="DY359" s="58" t="str">
        <f>IF(ISNUMBER(MATCH(#REF!,'Audit Characteristic Mapping'!$I$3:$I$500,0)),"Y","")</f>
        <v/>
      </c>
      <c r="DZ359" s="58" t="str">
        <f>IF(ISNUMBER(MATCH(#REF!,'Audit Characteristic Mapping'!$J$3:$J$500,0)),"Y","")</f>
        <v/>
      </c>
      <c r="EA359" s="58" t="str">
        <f>IF(ISNUMBER(MATCH(#REF!,'Audit Characteristic Mapping'!$K$3:$K$500,0)),"Y","")</f>
        <v/>
      </c>
    </row>
    <row r="360" spans="1:131" ht="16" hidden="1" x14ac:dyDescent="0.2">
      <c r="A360" s="288">
        <v>354</v>
      </c>
      <c r="B360" s="287" t="s">
        <v>492</v>
      </c>
      <c r="C360" s="226" t="s">
        <v>493</v>
      </c>
      <c r="D360" s="170">
        <v>10</v>
      </c>
      <c r="E360" s="288">
        <v>69</v>
      </c>
      <c r="F360" s="291" t="str">
        <f>VLOOKUP(Calculation!A360,'Descriptor maps'!$A$2:$F$1658,2,0)</f>
        <v>Operation</v>
      </c>
      <c r="G360" s="296"/>
      <c r="H360" s="290"/>
      <c r="I360" s="291"/>
      <c r="J360" s="292" t="e" cm="1">
        <f t="array" ref="J360">INDEX('Descriptor maps'!$I$2:$I$1658,MATCH(1,('Descriptor maps'!$A$2:$A$1658=Calculation!$A360)*('Descriptor maps'!$G$2:$G$1658=Calculation!$G360),0))</f>
        <v>#N/A</v>
      </c>
      <c r="K360" s="226"/>
      <c r="L360" s="293"/>
      <c r="M360" s="293"/>
      <c r="N360" s="293"/>
      <c r="O360" s="293"/>
      <c r="P360" s="293"/>
      <c r="Q360" s="293"/>
      <c r="R360" s="293"/>
      <c r="S360" s="293"/>
      <c r="T360" s="293"/>
      <c r="U360" s="293"/>
      <c r="V360" s="293"/>
      <c r="W360" s="293"/>
      <c r="X360" s="293"/>
      <c r="Y360" s="293"/>
      <c r="Z360" s="293"/>
      <c r="AA360" s="293"/>
      <c r="AB360" s="293"/>
      <c r="AC360" s="293"/>
      <c r="AD360" s="293"/>
      <c r="AE360" s="293"/>
      <c r="AF360" s="293"/>
      <c r="AG360" s="293"/>
      <c r="AH360" s="293"/>
      <c r="AI360" s="293"/>
      <c r="AJ360" s="293"/>
      <c r="AK360" s="293"/>
      <c r="AL360" s="293"/>
      <c r="AM360" s="293"/>
      <c r="AN360" s="293"/>
      <c r="AO360" s="293"/>
      <c r="AP360" s="293"/>
      <c r="AQ360" s="293"/>
      <c r="AR360" s="293"/>
      <c r="AS360" s="293"/>
      <c r="AT360" s="293"/>
      <c r="AU360" s="293"/>
      <c r="AV360" s="293"/>
      <c r="AW360" s="293"/>
      <c r="AX360" s="293"/>
      <c r="AY360" s="293"/>
      <c r="AZ360" s="293"/>
      <c r="BA360" s="293"/>
      <c r="BB360" s="293"/>
      <c r="BC360" s="293"/>
      <c r="BD360" s="293"/>
      <c r="BE360" s="293"/>
      <c r="BF360" s="293"/>
      <c r="BG360" s="293"/>
      <c r="BH360" s="293"/>
      <c r="BI360" s="293"/>
      <c r="BJ360" s="293"/>
      <c r="BK360" s="293"/>
      <c r="BL360" s="293"/>
      <c r="BM360" s="293"/>
      <c r="BN360" s="293"/>
      <c r="BO360" s="293"/>
      <c r="BP360" s="293"/>
      <c r="BQ360" s="293"/>
      <c r="BR360" s="293"/>
      <c r="BS360" s="293"/>
      <c r="BT360" s="293"/>
      <c r="BU360" s="293"/>
      <c r="BV360" s="293"/>
      <c r="BW360" s="293"/>
      <c r="BX360" s="293"/>
      <c r="BY360" s="293"/>
      <c r="BZ360" s="293"/>
      <c r="CA360" s="285"/>
      <c r="CB360" s="286"/>
      <c r="CC360" s="286"/>
      <c r="CD360" s="286"/>
      <c r="CE360" s="286"/>
      <c r="CF360" s="286"/>
      <c r="CG360" s="286"/>
      <c r="CH360" s="286"/>
      <c r="CI360" s="286"/>
      <c r="CJ360" s="286"/>
      <c r="CK360" s="286"/>
      <c r="CL360" s="286"/>
      <c r="CM360" s="286"/>
      <c r="CN360" s="286"/>
      <c r="CO360" s="286"/>
      <c r="CP360" s="286"/>
      <c r="CQ360" s="286"/>
      <c r="CR360" s="286"/>
      <c r="CS360" s="286"/>
      <c r="CT360" s="286"/>
      <c r="CU360" s="286"/>
      <c r="CV360" s="286"/>
      <c r="CW360" s="286"/>
      <c r="CX360" s="286"/>
      <c r="CY360" s="286"/>
      <c r="CZ360" s="286"/>
      <c r="DA360" s="286"/>
      <c r="DB360" s="286"/>
      <c r="DC360" s="286"/>
      <c r="DD360" s="286"/>
      <c r="DE360" s="286"/>
      <c r="DF360" s="286"/>
      <c r="DG360" s="286"/>
      <c r="DH360" s="286"/>
      <c r="DI360" s="286"/>
      <c r="DJ360" s="286"/>
      <c r="DK360" s="286"/>
      <c r="DL360" s="286"/>
      <c r="DM360" s="286"/>
      <c r="DN360" s="286"/>
      <c r="DO360" s="286"/>
      <c r="DP360" s="286"/>
      <c r="DR360" s="58" t="str">
        <f>IF(ISNUMBER(MATCH(#REF!,'Audit Characteristic Mapping'!$B$3:$B$500,0)),"Y","")</f>
        <v/>
      </c>
      <c r="DS360" s="58" t="str">
        <f>IF(ISNUMBER(MATCH(#REF!,'Audit Characteristic Mapping'!$C$3:$C$500,0)),"Y","")</f>
        <v/>
      </c>
      <c r="DT360" s="58" t="str">
        <f>IF(ISNUMBER(MATCH(#REF!,'Audit Characteristic Mapping'!$D$3:$D$500,0)),"Y","")</f>
        <v/>
      </c>
      <c r="DU360" s="58" t="str">
        <f>IF(ISNUMBER(MATCH(#REF!,'Audit Characteristic Mapping'!$E$3:$E$500,0)),"Y","")</f>
        <v/>
      </c>
      <c r="DV360" s="58" t="str">
        <f>IF(ISNUMBER(MATCH(#REF!,'Audit Characteristic Mapping'!$F$3:$F$500,0)),"Y","")</f>
        <v/>
      </c>
      <c r="DW360" s="58" t="str">
        <f>IF(ISNUMBER(MATCH(#REF!,'Audit Characteristic Mapping'!$G$3:$G$500,0)),"Y","")</f>
        <v/>
      </c>
      <c r="DX360" s="58" t="str">
        <f>IF(ISNUMBER(MATCH(#REF!,'Audit Characteristic Mapping'!$H$3:$H$500,0)),"Y","")</f>
        <v/>
      </c>
      <c r="DY360" s="58" t="str">
        <f>IF(ISNUMBER(MATCH(#REF!,'Audit Characteristic Mapping'!$I$3:$I$500,0)),"Y","")</f>
        <v/>
      </c>
      <c r="DZ360" s="58" t="str">
        <f>IF(ISNUMBER(MATCH(#REF!,'Audit Characteristic Mapping'!$J$3:$J$500,0)),"Y","")</f>
        <v/>
      </c>
      <c r="EA360" s="58" t="str">
        <f>IF(ISNUMBER(MATCH(#REF!,'Audit Characteristic Mapping'!$K$3:$K$500,0)),"Y","")</f>
        <v/>
      </c>
    </row>
    <row r="361" spans="1:131" ht="16" hidden="1" x14ac:dyDescent="0.2">
      <c r="A361" s="288">
        <v>355</v>
      </c>
      <c r="B361" s="287" t="s">
        <v>492</v>
      </c>
      <c r="C361" s="226" t="s">
        <v>493</v>
      </c>
      <c r="D361" s="170">
        <v>10</v>
      </c>
      <c r="E361" s="288">
        <v>69</v>
      </c>
      <c r="F361" s="291" t="e">
        <f>VLOOKUP(Calculation!A361,'Descriptor maps'!$A$2:$F$1658,2,0)</f>
        <v>#N/A</v>
      </c>
      <c r="G361" s="296"/>
      <c r="H361" s="290"/>
      <c r="I361" s="291"/>
      <c r="J361" s="292" t="e" cm="1">
        <f t="array" ref="J361">INDEX('Descriptor maps'!$I$2:$I$1658,MATCH(1,('Descriptor maps'!$A$2:$A$1658=Calculation!$A361)*('Descriptor maps'!$G$2:$G$1658=Calculation!$G361),0))</f>
        <v>#N/A</v>
      </c>
      <c r="K361" s="226"/>
      <c r="L361" s="293"/>
      <c r="M361" s="293"/>
      <c r="N361" s="293"/>
      <c r="O361" s="293"/>
      <c r="P361" s="293"/>
      <c r="Q361" s="293"/>
      <c r="R361" s="293"/>
      <c r="S361" s="293"/>
      <c r="T361" s="293"/>
      <c r="U361" s="293"/>
      <c r="V361" s="293"/>
      <c r="W361" s="293"/>
      <c r="X361" s="293"/>
      <c r="Y361" s="293"/>
      <c r="Z361" s="293"/>
      <c r="AA361" s="293"/>
      <c r="AB361" s="293"/>
      <c r="AC361" s="293"/>
      <c r="AD361" s="293"/>
      <c r="AE361" s="293"/>
      <c r="AF361" s="293"/>
      <c r="AG361" s="293"/>
      <c r="AH361" s="293"/>
      <c r="AI361" s="293"/>
      <c r="AJ361" s="293"/>
      <c r="AK361" s="293"/>
      <c r="AL361" s="293"/>
      <c r="AM361" s="293"/>
      <c r="AN361" s="293"/>
      <c r="AO361" s="293"/>
      <c r="AP361" s="293"/>
      <c r="AQ361" s="293"/>
      <c r="AR361" s="293"/>
      <c r="AS361" s="293"/>
      <c r="AT361" s="293"/>
      <c r="AU361" s="293"/>
      <c r="AV361" s="293"/>
      <c r="AW361" s="293"/>
      <c r="AX361" s="293"/>
      <c r="AY361" s="293"/>
      <c r="AZ361" s="293"/>
      <c r="BA361" s="293"/>
      <c r="BB361" s="293"/>
      <c r="BC361" s="293"/>
      <c r="BD361" s="293"/>
      <c r="BE361" s="293"/>
      <c r="BF361" s="293"/>
      <c r="BG361" s="293"/>
      <c r="BH361" s="293"/>
      <c r="BI361" s="293"/>
      <c r="BJ361" s="293"/>
      <c r="BK361" s="293"/>
      <c r="BL361" s="293"/>
      <c r="BM361" s="293"/>
      <c r="BN361" s="293"/>
      <c r="BO361" s="293"/>
      <c r="BP361" s="293"/>
      <c r="BQ361" s="293"/>
      <c r="BR361" s="293"/>
      <c r="BS361" s="293"/>
      <c r="BT361" s="293"/>
      <c r="BU361" s="293"/>
      <c r="BV361" s="293"/>
      <c r="BW361" s="293"/>
      <c r="BX361" s="293"/>
      <c r="BY361" s="293"/>
      <c r="BZ361" s="293"/>
      <c r="CA361" s="285"/>
      <c r="CB361" s="286"/>
      <c r="CC361" s="286"/>
      <c r="CD361" s="286"/>
      <c r="CE361" s="286"/>
      <c r="CF361" s="286"/>
      <c r="CG361" s="286"/>
      <c r="CH361" s="286"/>
      <c r="CI361" s="286"/>
      <c r="CJ361" s="286"/>
      <c r="CK361" s="286"/>
      <c r="CL361" s="286"/>
      <c r="CM361" s="286"/>
      <c r="CN361" s="286"/>
      <c r="CO361" s="286"/>
      <c r="CP361" s="286"/>
      <c r="CQ361" s="286"/>
      <c r="CR361" s="286"/>
      <c r="CS361" s="286"/>
      <c r="CT361" s="286"/>
      <c r="CU361" s="286"/>
      <c r="CV361" s="286"/>
      <c r="CW361" s="286"/>
      <c r="CX361" s="286"/>
      <c r="CY361" s="286"/>
      <c r="CZ361" s="286"/>
      <c r="DA361" s="286"/>
      <c r="DB361" s="286"/>
      <c r="DC361" s="286"/>
      <c r="DD361" s="286"/>
      <c r="DE361" s="286"/>
      <c r="DF361" s="286"/>
      <c r="DG361" s="286"/>
      <c r="DH361" s="286"/>
      <c r="DI361" s="286"/>
      <c r="DJ361" s="286"/>
      <c r="DK361" s="286"/>
      <c r="DL361" s="286"/>
      <c r="DM361" s="286"/>
      <c r="DN361" s="286"/>
      <c r="DO361" s="286"/>
      <c r="DP361" s="286"/>
      <c r="DR361" s="58" t="str">
        <f>IF(ISNUMBER(MATCH(#REF!,'Audit Characteristic Mapping'!$B$3:$B$500,0)),"Y","")</f>
        <v/>
      </c>
      <c r="DS361" s="58" t="str">
        <f>IF(ISNUMBER(MATCH(#REF!,'Audit Characteristic Mapping'!$C$3:$C$500,0)),"Y","")</f>
        <v/>
      </c>
      <c r="DT361" s="58" t="str">
        <f>IF(ISNUMBER(MATCH(#REF!,'Audit Characteristic Mapping'!$D$3:$D$500,0)),"Y","")</f>
        <v/>
      </c>
      <c r="DU361" s="58" t="str">
        <f>IF(ISNUMBER(MATCH(#REF!,'Audit Characteristic Mapping'!$E$3:$E$500,0)),"Y","")</f>
        <v/>
      </c>
      <c r="DV361" s="58" t="str">
        <f>IF(ISNUMBER(MATCH(#REF!,'Audit Characteristic Mapping'!$F$3:$F$500,0)),"Y","")</f>
        <v/>
      </c>
      <c r="DW361" s="58" t="str">
        <f>IF(ISNUMBER(MATCH(#REF!,'Audit Characteristic Mapping'!$G$3:$G$500,0)),"Y","")</f>
        <v/>
      </c>
      <c r="DX361" s="58" t="str">
        <f>IF(ISNUMBER(MATCH(#REF!,'Audit Characteristic Mapping'!$H$3:$H$500,0)),"Y","")</f>
        <v/>
      </c>
      <c r="DY361" s="58" t="str">
        <f>IF(ISNUMBER(MATCH(#REF!,'Audit Characteristic Mapping'!$I$3:$I$500,0)),"Y","")</f>
        <v/>
      </c>
      <c r="DZ361" s="58" t="str">
        <f>IF(ISNUMBER(MATCH(#REF!,'Audit Characteristic Mapping'!$J$3:$J$500,0)),"Y","")</f>
        <v/>
      </c>
      <c r="EA361" s="58" t="str">
        <f>IF(ISNUMBER(MATCH(#REF!,'Audit Characteristic Mapping'!$K$3:$K$500,0)),"Y","")</f>
        <v/>
      </c>
    </row>
    <row r="362" spans="1:131" ht="16" hidden="1" x14ac:dyDescent="0.2">
      <c r="A362" s="288">
        <v>343</v>
      </c>
      <c r="B362" s="287" t="s">
        <v>492</v>
      </c>
      <c r="C362" s="226" t="s">
        <v>506</v>
      </c>
      <c r="D362" s="170">
        <v>10</v>
      </c>
      <c r="E362" s="288">
        <v>70</v>
      </c>
      <c r="F362" s="291" t="str">
        <f>VLOOKUP(Calculation!A362,'Descriptor maps'!$A$2:$F$1658,2,0)</f>
        <v>Operation</v>
      </c>
      <c r="G362" s="296"/>
      <c r="H362" s="290"/>
      <c r="I362" s="291"/>
      <c r="J362" s="292" t="e" cm="1">
        <f t="array" ref="J362">INDEX('Descriptor maps'!$I$2:$I$1658,MATCH(1,('Descriptor maps'!$A$2:$A$1658=Calculation!$A362)*('Descriptor maps'!$G$2:$G$1658=Calculation!$G362),0))</f>
        <v>#N/A</v>
      </c>
      <c r="K362" s="226"/>
      <c r="L362" s="293"/>
      <c r="M362" s="293"/>
      <c r="N362" s="293"/>
      <c r="O362" s="293"/>
      <c r="P362" s="293"/>
      <c r="Q362" s="293"/>
      <c r="R362" s="293"/>
      <c r="S362" s="293"/>
      <c r="T362" s="293"/>
      <c r="U362" s="293"/>
      <c r="V362" s="293"/>
      <c r="W362" s="293"/>
      <c r="X362" s="293"/>
      <c r="Y362" s="293"/>
      <c r="Z362" s="293"/>
      <c r="AA362" s="293"/>
      <c r="AB362" s="293"/>
      <c r="AC362" s="293"/>
      <c r="AD362" s="293"/>
      <c r="AE362" s="293"/>
      <c r="AF362" s="293"/>
      <c r="AG362" s="293"/>
      <c r="AH362" s="293"/>
      <c r="AI362" s="293"/>
      <c r="AJ362" s="293"/>
      <c r="AK362" s="293"/>
      <c r="AL362" s="293"/>
      <c r="AM362" s="293"/>
      <c r="AN362" s="293"/>
      <c r="AO362" s="293"/>
      <c r="AP362" s="293"/>
      <c r="AQ362" s="293"/>
      <c r="AR362" s="293"/>
      <c r="AS362" s="293"/>
      <c r="AT362" s="293"/>
      <c r="AU362" s="293"/>
      <c r="AV362" s="293"/>
      <c r="AW362" s="293"/>
      <c r="AX362" s="293"/>
      <c r="AY362" s="293"/>
      <c r="AZ362" s="293"/>
      <c r="BA362" s="293"/>
      <c r="BB362" s="293"/>
      <c r="BC362" s="293"/>
      <c r="BD362" s="293"/>
      <c r="BE362" s="293"/>
      <c r="BF362" s="293"/>
      <c r="BG362" s="293"/>
      <c r="BH362" s="293"/>
      <c r="BI362" s="293"/>
      <c r="BJ362" s="293"/>
      <c r="BK362" s="293"/>
      <c r="BL362" s="293"/>
      <c r="BM362" s="293"/>
      <c r="BN362" s="293"/>
      <c r="BO362" s="293"/>
      <c r="BP362" s="293"/>
      <c r="BQ362" s="293"/>
      <c r="BR362" s="293"/>
      <c r="BS362" s="293"/>
      <c r="BT362" s="293"/>
      <c r="BU362" s="293"/>
      <c r="BV362" s="293"/>
      <c r="BW362" s="293"/>
      <c r="BX362" s="293"/>
      <c r="BY362" s="293"/>
      <c r="BZ362" s="293"/>
      <c r="CA362" s="285"/>
      <c r="CB362" s="286"/>
      <c r="CC362" s="286"/>
      <c r="CD362" s="286"/>
      <c r="CE362" s="286"/>
      <c r="CF362" s="286"/>
      <c r="CG362" s="286"/>
      <c r="CH362" s="286"/>
      <c r="CI362" s="286"/>
      <c r="CJ362" s="286"/>
      <c r="CK362" s="286"/>
      <c r="CL362" s="286"/>
      <c r="CM362" s="286"/>
      <c r="CN362" s="286"/>
      <c r="CO362" s="286"/>
      <c r="CP362" s="286"/>
      <c r="CQ362" s="286"/>
      <c r="CR362" s="286"/>
      <c r="CS362" s="286"/>
      <c r="CT362" s="286"/>
      <c r="CU362" s="286"/>
      <c r="CV362" s="286"/>
      <c r="CW362" s="286"/>
      <c r="CX362" s="286"/>
      <c r="CY362" s="286"/>
      <c r="CZ362" s="286"/>
      <c r="DA362" s="286"/>
      <c r="DB362" s="286"/>
      <c r="DC362" s="286"/>
      <c r="DD362" s="286"/>
      <c r="DE362" s="286"/>
      <c r="DF362" s="286"/>
      <c r="DG362" s="286"/>
      <c r="DH362" s="286"/>
      <c r="DI362" s="286"/>
      <c r="DJ362" s="286"/>
      <c r="DK362" s="286"/>
      <c r="DL362" s="286"/>
      <c r="DM362" s="286"/>
      <c r="DN362" s="286"/>
      <c r="DO362" s="286"/>
      <c r="DP362" s="286"/>
      <c r="DR362" s="58" t="str">
        <f>IF(ISNUMBER(MATCH(#REF!,'Audit Characteristic Mapping'!$B$3:$B$500,0)),"Y","")</f>
        <v/>
      </c>
      <c r="DS362" s="58" t="str">
        <f>IF(ISNUMBER(MATCH(#REF!,'Audit Characteristic Mapping'!$C$3:$C$500,0)),"Y","")</f>
        <v/>
      </c>
      <c r="DT362" s="58" t="str">
        <f>IF(ISNUMBER(MATCH(#REF!,'Audit Characteristic Mapping'!$D$3:$D$500,0)),"Y","")</f>
        <v/>
      </c>
      <c r="DU362" s="58" t="str">
        <f>IF(ISNUMBER(MATCH(#REF!,'Audit Characteristic Mapping'!$E$3:$E$500,0)),"Y","")</f>
        <v/>
      </c>
      <c r="DV362" s="58" t="str">
        <f>IF(ISNUMBER(MATCH(#REF!,'Audit Characteristic Mapping'!$F$3:$F$500,0)),"Y","")</f>
        <v/>
      </c>
      <c r="DW362" s="58" t="str">
        <f>IF(ISNUMBER(MATCH(#REF!,'Audit Characteristic Mapping'!$G$3:$G$500,0)),"Y","")</f>
        <v/>
      </c>
      <c r="DX362" s="58" t="str">
        <f>IF(ISNUMBER(MATCH(#REF!,'Audit Characteristic Mapping'!$H$3:$H$500,0)),"Y","")</f>
        <v/>
      </c>
      <c r="DY362" s="58" t="str">
        <f>IF(ISNUMBER(MATCH(#REF!,'Audit Characteristic Mapping'!$I$3:$I$500,0)),"Y","")</f>
        <v/>
      </c>
      <c r="DZ362" s="58" t="str">
        <f>IF(ISNUMBER(MATCH(#REF!,'Audit Characteristic Mapping'!$J$3:$J$500,0)),"Y","")</f>
        <v/>
      </c>
      <c r="EA362" s="58" t="str">
        <f>IF(ISNUMBER(MATCH(#REF!,'Audit Characteristic Mapping'!$K$3:$K$500,0)),"Y","")</f>
        <v/>
      </c>
    </row>
    <row r="363" spans="1:131" ht="16" hidden="1" x14ac:dyDescent="0.2">
      <c r="A363" s="288">
        <v>344</v>
      </c>
      <c r="B363" s="287" t="s">
        <v>492</v>
      </c>
      <c r="C363" s="226" t="s">
        <v>506</v>
      </c>
      <c r="D363" s="170">
        <v>10</v>
      </c>
      <c r="E363" s="288">
        <v>70</v>
      </c>
      <c r="F363" s="291" t="str">
        <f>VLOOKUP(Calculation!A363,'Descriptor maps'!$A$2:$F$1658,2,0)</f>
        <v>Operation</v>
      </c>
      <c r="G363" s="296"/>
      <c r="H363" s="290"/>
      <c r="I363" s="291"/>
      <c r="J363" s="292" t="e" cm="1">
        <f t="array" ref="J363">INDEX('Descriptor maps'!$I$2:$I$1658,MATCH(1,('Descriptor maps'!$A$2:$A$1658=Calculation!$A363)*('Descriptor maps'!$G$2:$G$1658=Calculation!$G363),0))</f>
        <v>#N/A</v>
      </c>
      <c r="K363" s="226"/>
      <c r="L363" s="293"/>
      <c r="M363" s="293"/>
      <c r="N363" s="293"/>
      <c r="O363" s="293"/>
      <c r="P363" s="293"/>
      <c r="Q363" s="293"/>
      <c r="R363" s="293"/>
      <c r="S363" s="293"/>
      <c r="T363" s="293"/>
      <c r="U363" s="293"/>
      <c r="V363" s="293"/>
      <c r="W363" s="293"/>
      <c r="X363" s="293"/>
      <c r="Y363" s="293"/>
      <c r="Z363" s="293"/>
      <c r="AA363" s="293"/>
      <c r="AB363" s="293"/>
      <c r="AC363" s="293"/>
      <c r="AD363" s="293"/>
      <c r="AE363" s="293"/>
      <c r="AF363" s="293"/>
      <c r="AG363" s="293"/>
      <c r="AH363" s="293"/>
      <c r="AI363" s="293"/>
      <c r="AJ363" s="293"/>
      <c r="AK363" s="293"/>
      <c r="AL363" s="293"/>
      <c r="AM363" s="293"/>
      <c r="AN363" s="293"/>
      <c r="AO363" s="293"/>
      <c r="AP363" s="293"/>
      <c r="AQ363" s="293"/>
      <c r="AR363" s="293"/>
      <c r="AS363" s="293"/>
      <c r="AT363" s="293"/>
      <c r="AU363" s="293"/>
      <c r="AV363" s="293"/>
      <c r="AW363" s="293"/>
      <c r="AX363" s="293"/>
      <c r="AY363" s="293"/>
      <c r="AZ363" s="293"/>
      <c r="BA363" s="293"/>
      <c r="BB363" s="293"/>
      <c r="BC363" s="293"/>
      <c r="BD363" s="293"/>
      <c r="BE363" s="293"/>
      <c r="BF363" s="293"/>
      <c r="BG363" s="293"/>
      <c r="BH363" s="293"/>
      <c r="BI363" s="293"/>
      <c r="BJ363" s="293"/>
      <c r="BK363" s="293"/>
      <c r="BL363" s="293"/>
      <c r="BM363" s="293"/>
      <c r="BN363" s="293"/>
      <c r="BO363" s="293"/>
      <c r="BP363" s="293"/>
      <c r="BQ363" s="293"/>
      <c r="BR363" s="293"/>
      <c r="BS363" s="293"/>
      <c r="BT363" s="293"/>
      <c r="BU363" s="293"/>
      <c r="BV363" s="293"/>
      <c r="BW363" s="293"/>
      <c r="BX363" s="293"/>
      <c r="BY363" s="293"/>
      <c r="BZ363" s="293"/>
      <c r="CA363" s="285"/>
      <c r="CB363" s="286"/>
      <c r="CC363" s="286"/>
      <c r="CD363" s="286"/>
      <c r="CE363" s="286"/>
      <c r="CF363" s="286"/>
      <c r="CG363" s="286"/>
      <c r="CH363" s="286"/>
      <c r="CI363" s="286"/>
      <c r="CJ363" s="286"/>
      <c r="CK363" s="286"/>
      <c r="CL363" s="286"/>
      <c r="CM363" s="286"/>
      <c r="CN363" s="286"/>
      <c r="CO363" s="286"/>
      <c r="CP363" s="286"/>
      <c r="CQ363" s="286"/>
      <c r="CR363" s="286"/>
      <c r="CS363" s="286"/>
      <c r="CT363" s="286"/>
      <c r="CU363" s="286"/>
      <c r="CV363" s="286"/>
      <c r="CW363" s="286"/>
      <c r="CX363" s="286"/>
      <c r="CY363" s="286"/>
      <c r="CZ363" s="286"/>
      <c r="DA363" s="286"/>
      <c r="DB363" s="286"/>
      <c r="DC363" s="286"/>
      <c r="DD363" s="286"/>
      <c r="DE363" s="286"/>
      <c r="DF363" s="286"/>
      <c r="DG363" s="286"/>
      <c r="DH363" s="286"/>
      <c r="DI363" s="286"/>
      <c r="DJ363" s="286"/>
      <c r="DK363" s="286"/>
      <c r="DL363" s="286"/>
      <c r="DM363" s="286"/>
      <c r="DN363" s="286"/>
      <c r="DO363" s="286"/>
      <c r="DP363" s="286"/>
      <c r="DR363" s="58" t="str">
        <f>IF(ISNUMBER(MATCH(#REF!,'Audit Characteristic Mapping'!$B$3:$B$500,0)),"Y","")</f>
        <v/>
      </c>
      <c r="DS363" s="58" t="str">
        <f>IF(ISNUMBER(MATCH(#REF!,'Audit Characteristic Mapping'!$C$3:$C$500,0)),"Y","")</f>
        <v/>
      </c>
      <c r="DT363" s="58" t="str">
        <f>IF(ISNUMBER(MATCH(#REF!,'Audit Characteristic Mapping'!$D$3:$D$500,0)),"Y","")</f>
        <v/>
      </c>
      <c r="DU363" s="58" t="str">
        <f>IF(ISNUMBER(MATCH(#REF!,'Audit Characteristic Mapping'!$E$3:$E$500,0)),"Y","")</f>
        <v/>
      </c>
      <c r="DV363" s="58" t="str">
        <f>IF(ISNUMBER(MATCH(#REF!,'Audit Characteristic Mapping'!$F$3:$F$500,0)),"Y","")</f>
        <v/>
      </c>
      <c r="DW363" s="58" t="str">
        <f>IF(ISNUMBER(MATCH(#REF!,'Audit Characteristic Mapping'!$G$3:$G$500,0)),"Y","")</f>
        <v/>
      </c>
      <c r="DX363" s="58" t="str">
        <f>IF(ISNUMBER(MATCH(#REF!,'Audit Characteristic Mapping'!$H$3:$H$500,0)),"Y","")</f>
        <v/>
      </c>
      <c r="DY363" s="58" t="str">
        <f>IF(ISNUMBER(MATCH(#REF!,'Audit Characteristic Mapping'!$I$3:$I$500,0)),"Y","")</f>
        <v/>
      </c>
      <c r="DZ363" s="58" t="str">
        <f>IF(ISNUMBER(MATCH(#REF!,'Audit Characteristic Mapping'!$J$3:$J$500,0)),"Y","")</f>
        <v/>
      </c>
      <c r="EA363" s="58" t="str">
        <f>IF(ISNUMBER(MATCH(#REF!,'Audit Characteristic Mapping'!$K$3:$K$500,0)),"Y","")</f>
        <v/>
      </c>
    </row>
    <row r="364" spans="1:131" ht="16" hidden="1" x14ac:dyDescent="0.2">
      <c r="A364" s="288">
        <v>345</v>
      </c>
      <c r="B364" s="287" t="s">
        <v>492</v>
      </c>
      <c r="C364" s="226" t="s">
        <v>506</v>
      </c>
      <c r="D364" s="170">
        <v>10</v>
      </c>
      <c r="E364" s="288">
        <v>70</v>
      </c>
      <c r="F364" s="291" t="str">
        <f>VLOOKUP(Calculation!A364,'Descriptor maps'!$A$2:$F$1658,2,0)</f>
        <v>Operation</v>
      </c>
      <c r="G364" s="296"/>
      <c r="H364" s="290"/>
      <c r="I364" s="291"/>
      <c r="J364" s="292" t="e" cm="1">
        <f t="array" ref="J364">INDEX('Descriptor maps'!$I$2:$I$1658,MATCH(1,('Descriptor maps'!$A$2:$A$1658=Calculation!$A364)*('Descriptor maps'!$G$2:$G$1658=Calculation!$G364),0))</f>
        <v>#N/A</v>
      </c>
      <c r="K364" s="226"/>
      <c r="L364" s="293"/>
      <c r="M364" s="293"/>
      <c r="N364" s="293"/>
      <c r="O364" s="293"/>
      <c r="P364" s="293"/>
      <c r="Q364" s="293"/>
      <c r="R364" s="293"/>
      <c r="S364" s="293"/>
      <c r="T364" s="293"/>
      <c r="U364" s="293"/>
      <c r="V364" s="293"/>
      <c r="W364" s="293"/>
      <c r="X364" s="293"/>
      <c r="Y364" s="293"/>
      <c r="Z364" s="293"/>
      <c r="AA364" s="293"/>
      <c r="AB364" s="293"/>
      <c r="AC364" s="293"/>
      <c r="AD364" s="293"/>
      <c r="AE364" s="293"/>
      <c r="AF364" s="293"/>
      <c r="AG364" s="293"/>
      <c r="AH364" s="293"/>
      <c r="AI364" s="293"/>
      <c r="AJ364" s="293"/>
      <c r="AK364" s="293"/>
      <c r="AL364" s="293"/>
      <c r="AM364" s="293"/>
      <c r="AN364" s="293"/>
      <c r="AO364" s="293"/>
      <c r="AP364" s="293"/>
      <c r="AQ364" s="293"/>
      <c r="AR364" s="293"/>
      <c r="AS364" s="293"/>
      <c r="AT364" s="293"/>
      <c r="AU364" s="293"/>
      <c r="AV364" s="293"/>
      <c r="AW364" s="293"/>
      <c r="AX364" s="293"/>
      <c r="AY364" s="293"/>
      <c r="AZ364" s="293"/>
      <c r="BA364" s="293"/>
      <c r="BB364" s="293"/>
      <c r="BC364" s="293"/>
      <c r="BD364" s="293"/>
      <c r="BE364" s="293"/>
      <c r="BF364" s="293"/>
      <c r="BG364" s="293"/>
      <c r="BH364" s="293"/>
      <c r="BI364" s="293"/>
      <c r="BJ364" s="293"/>
      <c r="BK364" s="293"/>
      <c r="BL364" s="293"/>
      <c r="BM364" s="293"/>
      <c r="BN364" s="293"/>
      <c r="BO364" s="293"/>
      <c r="BP364" s="293"/>
      <c r="BQ364" s="293"/>
      <c r="BR364" s="293"/>
      <c r="BS364" s="293"/>
      <c r="BT364" s="293"/>
      <c r="BU364" s="293"/>
      <c r="BV364" s="293"/>
      <c r="BW364" s="293"/>
      <c r="BX364" s="293"/>
      <c r="BY364" s="293"/>
      <c r="BZ364" s="293"/>
      <c r="CA364" s="285"/>
      <c r="CB364" s="286"/>
      <c r="CC364" s="286"/>
      <c r="CD364" s="286"/>
      <c r="CE364" s="286"/>
      <c r="CF364" s="286"/>
      <c r="CG364" s="286"/>
      <c r="CH364" s="286"/>
      <c r="CI364" s="286"/>
      <c r="CJ364" s="286"/>
      <c r="CK364" s="286"/>
      <c r="CL364" s="286"/>
      <c r="CM364" s="286"/>
      <c r="CN364" s="286"/>
      <c r="CO364" s="286"/>
      <c r="CP364" s="286"/>
      <c r="CQ364" s="286"/>
      <c r="CR364" s="286"/>
      <c r="CS364" s="286"/>
      <c r="CT364" s="286"/>
      <c r="CU364" s="286"/>
      <c r="CV364" s="286"/>
      <c r="CW364" s="286"/>
      <c r="CX364" s="286"/>
      <c r="CY364" s="286"/>
      <c r="CZ364" s="286"/>
      <c r="DA364" s="286"/>
      <c r="DB364" s="286"/>
      <c r="DC364" s="286"/>
      <c r="DD364" s="286"/>
      <c r="DE364" s="286"/>
      <c r="DF364" s="286"/>
      <c r="DG364" s="286"/>
      <c r="DH364" s="286"/>
      <c r="DI364" s="286"/>
      <c r="DJ364" s="286"/>
      <c r="DK364" s="286"/>
      <c r="DL364" s="286"/>
      <c r="DM364" s="286"/>
      <c r="DN364" s="286"/>
      <c r="DO364" s="286"/>
      <c r="DP364" s="286"/>
      <c r="DR364" s="58" t="str">
        <f>IF(ISNUMBER(MATCH(#REF!,'Audit Characteristic Mapping'!$B$3:$B$500,0)),"Y","")</f>
        <v/>
      </c>
      <c r="DS364" s="58" t="str">
        <f>IF(ISNUMBER(MATCH(#REF!,'Audit Characteristic Mapping'!$C$3:$C$500,0)),"Y","")</f>
        <v/>
      </c>
      <c r="DT364" s="58" t="str">
        <f>IF(ISNUMBER(MATCH(#REF!,'Audit Characteristic Mapping'!$D$3:$D$500,0)),"Y","")</f>
        <v/>
      </c>
      <c r="DU364" s="58" t="str">
        <f>IF(ISNUMBER(MATCH(#REF!,'Audit Characteristic Mapping'!$E$3:$E$500,0)),"Y","")</f>
        <v/>
      </c>
      <c r="DV364" s="58" t="str">
        <f>IF(ISNUMBER(MATCH(#REF!,'Audit Characteristic Mapping'!$F$3:$F$500,0)),"Y","")</f>
        <v/>
      </c>
      <c r="DW364" s="58" t="str">
        <f>IF(ISNUMBER(MATCH(#REF!,'Audit Characteristic Mapping'!$G$3:$G$500,0)),"Y","")</f>
        <v/>
      </c>
      <c r="DX364" s="58" t="str">
        <f>IF(ISNUMBER(MATCH(#REF!,'Audit Characteristic Mapping'!$H$3:$H$500,0)),"Y","")</f>
        <v/>
      </c>
      <c r="DY364" s="58" t="str">
        <f>IF(ISNUMBER(MATCH(#REF!,'Audit Characteristic Mapping'!$I$3:$I$500,0)),"Y","")</f>
        <v/>
      </c>
      <c r="DZ364" s="58" t="str">
        <f>IF(ISNUMBER(MATCH(#REF!,'Audit Characteristic Mapping'!$J$3:$J$500,0)),"Y","")</f>
        <v/>
      </c>
      <c r="EA364" s="58" t="str">
        <f>IF(ISNUMBER(MATCH(#REF!,'Audit Characteristic Mapping'!$K$3:$K$500,0)),"Y","")</f>
        <v/>
      </c>
    </row>
    <row r="365" spans="1:131" ht="16" hidden="1" x14ac:dyDescent="0.2">
      <c r="A365" s="288">
        <v>346</v>
      </c>
      <c r="B365" s="287" t="s">
        <v>492</v>
      </c>
      <c r="C365" s="226" t="s">
        <v>506</v>
      </c>
      <c r="D365" s="170">
        <v>10</v>
      </c>
      <c r="E365" s="288">
        <v>70</v>
      </c>
      <c r="F365" s="291" t="str">
        <f>VLOOKUP(Calculation!A365,'Descriptor maps'!$A$2:$F$1658,2,0)</f>
        <v>Operation</v>
      </c>
      <c r="G365" s="296"/>
      <c r="H365" s="290"/>
      <c r="I365" s="291"/>
      <c r="J365" s="292" t="e" cm="1">
        <f t="array" ref="J365">INDEX('Descriptor maps'!$I$2:$I$1658,MATCH(1,('Descriptor maps'!$A$2:$A$1658=Calculation!$A365)*('Descriptor maps'!$G$2:$G$1658=Calculation!$G365),0))</f>
        <v>#N/A</v>
      </c>
      <c r="K365" s="226"/>
      <c r="L365" s="293"/>
      <c r="M365" s="293"/>
      <c r="N365" s="293"/>
      <c r="O365" s="293"/>
      <c r="P365" s="293"/>
      <c r="Q365" s="293"/>
      <c r="R365" s="293"/>
      <c r="S365" s="293"/>
      <c r="T365" s="293"/>
      <c r="U365" s="293"/>
      <c r="V365" s="293"/>
      <c r="W365" s="293"/>
      <c r="X365" s="293"/>
      <c r="Y365" s="293"/>
      <c r="Z365" s="293"/>
      <c r="AA365" s="293"/>
      <c r="AB365" s="293"/>
      <c r="AC365" s="293"/>
      <c r="AD365" s="293"/>
      <c r="AE365" s="293"/>
      <c r="AF365" s="293"/>
      <c r="AG365" s="293"/>
      <c r="AH365" s="293"/>
      <c r="AI365" s="293"/>
      <c r="AJ365" s="293"/>
      <c r="AK365" s="293"/>
      <c r="AL365" s="293"/>
      <c r="AM365" s="293"/>
      <c r="AN365" s="293"/>
      <c r="AO365" s="293"/>
      <c r="AP365" s="293"/>
      <c r="AQ365" s="293"/>
      <c r="AR365" s="293"/>
      <c r="AS365" s="293"/>
      <c r="AT365" s="293"/>
      <c r="AU365" s="293"/>
      <c r="AV365" s="293"/>
      <c r="AW365" s="293"/>
      <c r="AX365" s="293"/>
      <c r="AY365" s="293"/>
      <c r="AZ365" s="293"/>
      <c r="BA365" s="293"/>
      <c r="BB365" s="293"/>
      <c r="BC365" s="293"/>
      <c r="BD365" s="293"/>
      <c r="BE365" s="293"/>
      <c r="BF365" s="293"/>
      <c r="BG365" s="293"/>
      <c r="BH365" s="293"/>
      <c r="BI365" s="293"/>
      <c r="BJ365" s="293"/>
      <c r="BK365" s="293"/>
      <c r="BL365" s="293"/>
      <c r="BM365" s="293"/>
      <c r="BN365" s="293"/>
      <c r="BO365" s="293"/>
      <c r="BP365" s="293"/>
      <c r="BQ365" s="293"/>
      <c r="BR365" s="293"/>
      <c r="BS365" s="293"/>
      <c r="BT365" s="293"/>
      <c r="BU365" s="293"/>
      <c r="BV365" s="293"/>
      <c r="BW365" s="293"/>
      <c r="BX365" s="293"/>
      <c r="BY365" s="293"/>
      <c r="BZ365" s="293"/>
      <c r="CA365" s="285"/>
      <c r="CB365" s="286"/>
      <c r="CC365" s="286"/>
      <c r="CD365" s="286"/>
      <c r="CE365" s="286"/>
      <c r="CF365" s="286"/>
      <c r="CG365" s="286"/>
      <c r="CH365" s="286"/>
      <c r="CI365" s="286"/>
      <c r="CJ365" s="286"/>
      <c r="CK365" s="286"/>
      <c r="CL365" s="286"/>
      <c r="CM365" s="286"/>
      <c r="CN365" s="286"/>
      <c r="CO365" s="286"/>
      <c r="CP365" s="286"/>
      <c r="CQ365" s="286"/>
      <c r="CR365" s="286"/>
      <c r="CS365" s="286"/>
      <c r="CT365" s="286"/>
      <c r="CU365" s="286"/>
      <c r="CV365" s="286"/>
      <c r="CW365" s="286"/>
      <c r="CX365" s="286"/>
      <c r="CY365" s="286"/>
      <c r="CZ365" s="286"/>
      <c r="DA365" s="286"/>
      <c r="DB365" s="286"/>
      <c r="DC365" s="286"/>
      <c r="DD365" s="286"/>
      <c r="DE365" s="286"/>
      <c r="DF365" s="286"/>
      <c r="DG365" s="286"/>
      <c r="DH365" s="286"/>
      <c r="DI365" s="286"/>
      <c r="DJ365" s="286"/>
      <c r="DK365" s="286"/>
      <c r="DL365" s="286"/>
      <c r="DM365" s="286"/>
      <c r="DN365" s="286"/>
      <c r="DO365" s="286"/>
      <c r="DP365" s="286"/>
      <c r="DR365" s="58" t="str">
        <f>IF(ISNUMBER(MATCH(#REF!,'Audit Characteristic Mapping'!$B$3:$B$500,0)),"Y","")</f>
        <v/>
      </c>
      <c r="DS365" s="58" t="str">
        <f>IF(ISNUMBER(MATCH(#REF!,'Audit Characteristic Mapping'!$C$3:$C$500,0)),"Y","")</f>
        <v/>
      </c>
      <c r="DT365" s="58" t="str">
        <f>IF(ISNUMBER(MATCH(#REF!,'Audit Characteristic Mapping'!$D$3:$D$500,0)),"Y","")</f>
        <v/>
      </c>
      <c r="DU365" s="58" t="str">
        <f>IF(ISNUMBER(MATCH(#REF!,'Audit Characteristic Mapping'!$E$3:$E$500,0)),"Y","")</f>
        <v/>
      </c>
      <c r="DV365" s="58" t="str">
        <f>IF(ISNUMBER(MATCH(#REF!,'Audit Characteristic Mapping'!$F$3:$F$500,0)),"Y","")</f>
        <v/>
      </c>
      <c r="DW365" s="58" t="str">
        <f>IF(ISNUMBER(MATCH(#REF!,'Audit Characteristic Mapping'!$G$3:$G$500,0)),"Y","")</f>
        <v/>
      </c>
      <c r="DX365" s="58" t="str">
        <f>IF(ISNUMBER(MATCH(#REF!,'Audit Characteristic Mapping'!$H$3:$H$500,0)),"Y","")</f>
        <v/>
      </c>
      <c r="DY365" s="58" t="str">
        <f>IF(ISNUMBER(MATCH(#REF!,'Audit Characteristic Mapping'!$I$3:$I$500,0)),"Y","")</f>
        <v/>
      </c>
      <c r="DZ365" s="58" t="str">
        <f>IF(ISNUMBER(MATCH(#REF!,'Audit Characteristic Mapping'!$J$3:$J$500,0)),"Y","")</f>
        <v/>
      </c>
      <c r="EA365" s="58" t="str">
        <f>IF(ISNUMBER(MATCH(#REF!,'Audit Characteristic Mapping'!$K$3:$K$500,0)),"Y","")</f>
        <v/>
      </c>
    </row>
    <row r="366" spans="1:131" ht="16" hidden="1" x14ac:dyDescent="0.2">
      <c r="A366" s="288">
        <v>356</v>
      </c>
      <c r="B366" s="287" t="s">
        <v>492</v>
      </c>
      <c r="C366" s="226" t="s">
        <v>510</v>
      </c>
      <c r="D366" s="170">
        <v>10</v>
      </c>
      <c r="E366" s="288">
        <v>71</v>
      </c>
      <c r="F366" s="291" t="str">
        <f>VLOOKUP(Calculation!A366,'Descriptor maps'!$A$2:$F$1658,2,0)</f>
        <v>Operation</v>
      </c>
      <c r="G366" s="296"/>
      <c r="H366" s="290"/>
      <c r="I366" s="291"/>
      <c r="J366" s="292" t="e" cm="1">
        <f t="array" ref="J366">INDEX('Descriptor maps'!$I$2:$I$1658,MATCH(1,('Descriptor maps'!$A$2:$A$1658=Calculation!$A366)*('Descriptor maps'!$G$2:$G$1658=Calculation!$G366),0))</f>
        <v>#N/A</v>
      </c>
      <c r="K366" s="226"/>
      <c r="L366" s="293"/>
      <c r="M366" s="293"/>
      <c r="N366" s="293"/>
      <c r="O366" s="293"/>
      <c r="P366" s="293"/>
      <c r="Q366" s="293"/>
      <c r="R366" s="293"/>
      <c r="S366" s="293"/>
      <c r="T366" s="293"/>
      <c r="U366" s="293"/>
      <c r="V366" s="293"/>
      <c r="W366" s="293"/>
      <c r="X366" s="293"/>
      <c r="Y366" s="293"/>
      <c r="Z366" s="293"/>
      <c r="AA366" s="293"/>
      <c r="AB366" s="293"/>
      <c r="AC366" s="293"/>
      <c r="AD366" s="293"/>
      <c r="AE366" s="293"/>
      <c r="AF366" s="293"/>
      <c r="AG366" s="293"/>
      <c r="AH366" s="293"/>
      <c r="AI366" s="293"/>
      <c r="AJ366" s="293"/>
      <c r="AK366" s="293"/>
      <c r="AL366" s="293"/>
      <c r="AM366" s="293"/>
      <c r="AN366" s="293"/>
      <c r="AO366" s="293"/>
      <c r="AP366" s="293"/>
      <c r="AQ366" s="293"/>
      <c r="AR366" s="293"/>
      <c r="AS366" s="293"/>
      <c r="AT366" s="293"/>
      <c r="AU366" s="293"/>
      <c r="AV366" s="293"/>
      <c r="AW366" s="293"/>
      <c r="AX366" s="293"/>
      <c r="AY366" s="293"/>
      <c r="AZ366" s="293"/>
      <c r="BA366" s="293"/>
      <c r="BB366" s="293"/>
      <c r="BC366" s="293"/>
      <c r="BD366" s="293"/>
      <c r="BE366" s="293"/>
      <c r="BF366" s="293"/>
      <c r="BG366" s="293"/>
      <c r="BH366" s="293"/>
      <c r="BI366" s="293"/>
      <c r="BJ366" s="293"/>
      <c r="BK366" s="293"/>
      <c r="BL366" s="293"/>
      <c r="BM366" s="293"/>
      <c r="BN366" s="293"/>
      <c r="BO366" s="293"/>
      <c r="BP366" s="293"/>
      <c r="BQ366" s="293"/>
      <c r="BR366" s="293"/>
      <c r="BS366" s="293"/>
      <c r="BT366" s="293"/>
      <c r="BU366" s="293"/>
      <c r="BV366" s="293"/>
      <c r="BW366" s="293"/>
      <c r="BX366" s="293"/>
      <c r="BY366" s="293"/>
      <c r="BZ366" s="293"/>
      <c r="CA366" s="285"/>
      <c r="CB366" s="286"/>
      <c r="CC366" s="286"/>
      <c r="CD366" s="286"/>
      <c r="CE366" s="286"/>
      <c r="CF366" s="286"/>
      <c r="CG366" s="286"/>
      <c r="CH366" s="286"/>
      <c r="CI366" s="286"/>
      <c r="CJ366" s="286"/>
      <c r="CK366" s="286"/>
      <c r="CL366" s="286"/>
      <c r="CM366" s="286"/>
      <c r="CN366" s="286"/>
      <c r="CO366" s="286"/>
      <c r="CP366" s="286"/>
      <c r="CQ366" s="286"/>
      <c r="CR366" s="286"/>
      <c r="CS366" s="286"/>
      <c r="CT366" s="286"/>
      <c r="CU366" s="286"/>
      <c r="CV366" s="286"/>
      <c r="CW366" s="286"/>
      <c r="CX366" s="286"/>
      <c r="CY366" s="286"/>
      <c r="CZ366" s="286"/>
      <c r="DA366" s="286"/>
      <c r="DB366" s="286"/>
      <c r="DC366" s="286"/>
      <c r="DD366" s="286"/>
      <c r="DE366" s="286"/>
      <c r="DF366" s="286"/>
      <c r="DG366" s="286"/>
      <c r="DH366" s="286"/>
      <c r="DI366" s="286"/>
      <c r="DJ366" s="286"/>
      <c r="DK366" s="286"/>
      <c r="DL366" s="286"/>
      <c r="DM366" s="286"/>
      <c r="DN366" s="286"/>
      <c r="DO366" s="286"/>
      <c r="DP366" s="286"/>
      <c r="DR366" s="58" t="str">
        <f>IF(ISNUMBER(MATCH(#REF!,'Audit Characteristic Mapping'!$B$3:$B$500,0)),"Y","")</f>
        <v/>
      </c>
      <c r="DS366" s="58" t="str">
        <f>IF(ISNUMBER(MATCH(#REF!,'Audit Characteristic Mapping'!$C$3:$C$500,0)),"Y","")</f>
        <v/>
      </c>
      <c r="DT366" s="58" t="str">
        <f>IF(ISNUMBER(MATCH(#REF!,'Audit Characteristic Mapping'!$D$3:$D$500,0)),"Y","")</f>
        <v/>
      </c>
      <c r="DU366" s="58" t="str">
        <f>IF(ISNUMBER(MATCH(#REF!,'Audit Characteristic Mapping'!$E$3:$E$500,0)),"Y","")</f>
        <v/>
      </c>
      <c r="DV366" s="58" t="str">
        <f>IF(ISNUMBER(MATCH(#REF!,'Audit Characteristic Mapping'!$F$3:$F$500,0)),"Y","")</f>
        <v/>
      </c>
      <c r="DW366" s="58" t="str">
        <f>IF(ISNUMBER(MATCH(#REF!,'Audit Characteristic Mapping'!$G$3:$G$500,0)),"Y","")</f>
        <v/>
      </c>
      <c r="DX366" s="58" t="str">
        <f>IF(ISNUMBER(MATCH(#REF!,'Audit Characteristic Mapping'!$H$3:$H$500,0)),"Y","")</f>
        <v/>
      </c>
      <c r="DY366" s="58" t="str">
        <f>IF(ISNUMBER(MATCH(#REF!,'Audit Characteristic Mapping'!$I$3:$I$500,0)),"Y","")</f>
        <v/>
      </c>
      <c r="DZ366" s="58" t="str">
        <f>IF(ISNUMBER(MATCH(#REF!,'Audit Characteristic Mapping'!$J$3:$J$500,0)),"Y","")</f>
        <v/>
      </c>
      <c r="EA366" s="58" t="str">
        <f>IF(ISNUMBER(MATCH(#REF!,'Audit Characteristic Mapping'!$K$3:$K$500,0)),"Y","")</f>
        <v/>
      </c>
    </row>
    <row r="367" spans="1:131" ht="16" hidden="1" x14ac:dyDescent="0.2">
      <c r="A367" s="288">
        <v>357</v>
      </c>
      <c r="B367" s="287" t="s">
        <v>492</v>
      </c>
      <c r="C367" s="226" t="s">
        <v>510</v>
      </c>
      <c r="D367" s="170">
        <v>10</v>
      </c>
      <c r="E367" s="288">
        <v>71</v>
      </c>
      <c r="F367" s="291" t="str">
        <f>VLOOKUP(Calculation!A367,'Descriptor maps'!$A$2:$F$1658,2,0)</f>
        <v>Operation</v>
      </c>
      <c r="G367" s="296"/>
      <c r="H367" s="290"/>
      <c r="I367" s="291"/>
      <c r="J367" s="292" t="e" cm="1">
        <f t="array" ref="J367">INDEX('Descriptor maps'!$I$2:$I$1658,MATCH(1,('Descriptor maps'!$A$2:$A$1658=Calculation!$A367)*('Descriptor maps'!$G$2:$G$1658=Calculation!$G367),0))</f>
        <v>#N/A</v>
      </c>
      <c r="K367" s="226"/>
      <c r="L367" s="293"/>
      <c r="M367" s="293"/>
      <c r="N367" s="293"/>
      <c r="O367" s="293"/>
      <c r="P367" s="293"/>
      <c r="Q367" s="293"/>
      <c r="R367" s="293"/>
      <c r="S367" s="293"/>
      <c r="T367" s="293"/>
      <c r="U367" s="293"/>
      <c r="V367" s="293"/>
      <c r="W367" s="293"/>
      <c r="X367" s="293"/>
      <c r="Y367" s="293"/>
      <c r="Z367" s="293"/>
      <c r="AA367" s="293"/>
      <c r="AB367" s="293"/>
      <c r="AC367" s="293"/>
      <c r="AD367" s="293"/>
      <c r="AE367" s="293"/>
      <c r="AF367" s="293"/>
      <c r="AG367" s="293"/>
      <c r="AH367" s="293"/>
      <c r="AI367" s="293"/>
      <c r="AJ367" s="293"/>
      <c r="AK367" s="293"/>
      <c r="AL367" s="293"/>
      <c r="AM367" s="293"/>
      <c r="AN367" s="293"/>
      <c r="AO367" s="293"/>
      <c r="AP367" s="293"/>
      <c r="AQ367" s="293"/>
      <c r="AR367" s="293"/>
      <c r="AS367" s="293"/>
      <c r="AT367" s="293"/>
      <c r="AU367" s="293"/>
      <c r="AV367" s="293"/>
      <c r="AW367" s="293"/>
      <c r="AX367" s="293"/>
      <c r="AY367" s="293"/>
      <c r="AZ367" s="293"/>
      <c r="BA367" s="293"/>
      <c r="BB367" s="293"/>
      <c r="BC367" s="293"/>
      <c r="BD367" s="293"/>
      <c r="BE367" s="293"/>
      <c r="BF367" s="293"/>
      <c r="BG367" s="293"/>
      <c r="BH367" s="293"/>
      <c r="BI367" s="293"/>
      <c r="BJ367" s="293"/>
      <c r="BK367" s="293"/>
      <c r="BL367" s="293"/>
      <c r="BM367" s="293"/>
      <c r="BN367" s="293"/>
      <c r="BO367" s="293"/>
      <c r="BP367" s="293"/>
      <c r="BQ367" s="293"/>
      <c r="BR367" s="293"/>
      <c r="BS367" s="293"/>
      <c r="BT367" s="293"/>
      <c r="BU367" s="293"/>
      <c r="BV367" s="293"/>
      <c r="BW367" s="293"/>
      <c r="BX367" s="293"/>
      <c r="BY367" s="293"/>
      <c r="BZ367" s="293"/>
      <c r="CA367" s="285"/>
      <c r="CB367" s="286"/>
      <c r="CC367" s="286"/>
      <c r="CD367" s="286"/>
      <c r="CE367" s="286"/>
      <c r="CF367" s="286"/>
      <c r="CG367" s="286"/>
      <c r="CH367" s="286"/>
      <c r="CI367" s="286"/>
      <c r="CJ367" s="286"/>
      <c r="CK367" s="286"/>
      <c r="CL367" s="286"/>
      <c r="CM367" s="286"/>
      <c r="CN367" s="286"/>
      <c r="CO367" s="286"/>
      <c r="CP367" s="286"/>
      <c r="CQ367" s="286"/>
      <c r="CR367" s="286"/>
      <c r="CS367" s="286"/>
      <c r="CT367" s="286"/>
      <c r="CU367" s="286"/>
      <c r="CV367" s="286"/>
      <c r="CW367" s="286"/>
      <c r="CX367" s="286"/>
      <c r="CY367" s="286"/>
      <c r="CZ367" s="286"/>
      <c r="DA367" s="286"/>
      <c r="DB367" s="286"/>
      <c r="DC367" s="286"/>
      <c r="DD367" s="286"/>
      <c r="DE367" s="286"/>
      <c r="DF367" s="286"/>
      <c r="DG367" s="286"/>
      <c r="DH367" s="286"/>
      <c r="DI367" s="286"/>
      <c r="DJ367" s="286"/>
      <c r="DK367" s="286"/>
      <c r="DL367" s="286"/>
      <c r="DM367" s="286"/>
      <c r="DN367" s="286"/>
      <c r="DO367" s="286"/>
      <c r="DP367" s="286">
        <v>1</v>
      </c>
      <c r="DR367" s="58" t="str">
        <f>IF(ISNUMBER(MATCH(#REF!,'Audit Characteristic Mapping'!$B$3:$B$500,0)),"Y","")</f>
        <v/>
      </c>
      <c r="DS367" s="58" t="str">
        <f>IF(ISNUMBER(MATCH(#REF!,'Audit Characteristic Mapping'!$C$3:$C$500,0)),"Y","")</f>
        <v/>
      </c>
      <c r="DT367" s="58" t="str">
        <f>IF(ISNUMBER(MATCH(#REF!,'Audit Characteristic Mapping'!$D$3:$D$500,0)),"Y","")</f>
        <v/>
      </c>
      <c r="DU367" s="58" t="str">
        <f>IF(ISNUMBER(MATCH(#REF!,'Audit Characteristic Mapping'!$E$3:$E$500,0)),"Y","")</f>
        <v/>
      </c>
      <c r="DV367" s="58" t="str">
        <f>IF(ISNUMBER(MATCH(#REF!,'Audit Characteristic Mapping'!$F$3:$F$500,0)),"Y","")</f>
        <v/>
      </c>
      <c r="DW367" s="58" t="str">
        <f>IF(ISNUMBER(MATCH(#REF!,'Audit Characteristic Mapping'!$G$3:$G$500,0)),"Y","")</f>
        <v/>
      </c>
      <c r="DX367" s="58" t="str">
        <f>IF(ISNUMBER(MATCH(#REF!,'Audit Characteristic Mapping'!$H$3:$H$500,0)),"Y","")</f>
        <v/>
      </c>
      <c r="DY367" s="58" t="str">
        <f>IF(ISNUMBER(MATCH(#REF!,'Audit Characteristic Mapping'!$I$3:$I$500,0)),"Y","")</f>
        <v/>
      </c>
      <c r="DZ367" s="58" t="str">
        <f>IF(ISNUMBER(MATCH(#REF!,'Audit Characteristic Mapping'!$J$3:$J$500,0)),"Y","")</f>
        <v/>
      </c>
      <c r="EA367" s="58" t="str">
        <f>IF(ISNUMBER(MATCH(#REF!,'Audit Characteristic Mapping'!$K$3:$K$500,0)),"Y","")</f>
        <v/>
      </c>
    </row>
    <row r="368" spans="1:131" ht="48" x14ac:dyDescent="0.2">
      <c r="A368" s="294">
        <v>361</v>
      </c>
      <c r="B368" s="287" t="s">
        <v>492</v>
      </c>
      <c r="C368" s="226" t="s">
        <v>513</v>
      </c>
      <c r="D368" s="170">
        <v>10</v>
      </c>
      <c r="E368" s="288">
        <v>72</v>
      </c>
      <c r="F368" s="291" t="str">
        <f>VLOOKUP(Calculation!A368,'Descriptor maps'!$A$2:$F$1658,6,0)</f>
        <v>Is there documented evidence that maintenance on the facility is being carried out when actions are identified in a timely manner to achieve the objective of addressing hazards to the integrity of the facility as soon as practicable?</v>
      </c>
      <c r="G368" s="296" t="s">
        <v>1194</v>
      </c>
      <c r="H368" s="290"/>
      <c r="I368" s="291" cm="1">
        <f t="array" ref="I368">INDEX('Descriptor maps'!$H$2:$H$1658,MATCH(1,('Descriptor maps'!$A$2:$A$1658=Calculation!$A368)*('Descriptor maps'!$G$2:$G$1658=Calculation!$G368),0))</f>
        <v>3</v>
      </c>
      <c r="J368" s="292" cm="1">
        <f t="array" ref="J368">INDEX('Descriptor maps'!$I$2:$I$1658,MATCH(1,('Descriptor maps'!$A$2:$A$1658=Calculation!$A368)*('Descriptor maps'!$G$2:$G$1658=Calculation!$G368),0))</f>
        <v>3</v>
      </c>
      <c r="K368" s="226"/>
      <c r="L368" s="293"/>
      <c r="M368" s="293"/>
      <c r="N368" s="293"/>
      <c r="O368" s="293"/>
      <c r="P368" s="293">
        <f>1*$J368</f>
        <v>3</v>
      </c>
      <c r="Q368" s="293"/>
      <c r="R368" s="293"/>
      <c r="S368" s="293"/>
      <c r="T368" s="293"/>
      <c r="U368" s="293"/>
      <c r="V368" s="293"/>
      <c r="W368" s="293">
        <f>1*$J368</f>
        <v>3</v>
      </c>
      <c r="X368" s="293"/>
      <c r="Y368" s="293"/>
      <c r="Z368" s="293"/>
      <c r="AA368" s="293"/>
      <c r="AB368" s="293"/>
      <c r="AC368" s="293"/>
      <c r="AD368" s="293">
        <f>1*$J368</f>
        <v>3</v>
      </c>
      <c r="AE368" s="293"/>
      <c r="AF368" s="293"/>
      <c r="AG368" s="293"/>
      <c r="AH368" s="293"/>
      <c r="AI368" s="293"/>
      <c r="AJ368" s="293"/>
      <c r="AK368" s="293"/>
      <c r="AL368" s="293"/>
      <c r="AM368" s="293"/>
      <c r="AN368" s="293"/>
      <c r="AO368" s="293"/>
      <c r="AP368" s="293"/>
      <c r="AQ368" s="293"/>
      <c r="AR368" s="293"/>
      <c r="AS368" s="293"/>
      <c r="AT368" s="293"/>
      <c r="AU368" s="293"/>
      <c r="AV368" s="293"/>
      <c r="AW368" s="293"/>
      <c r="AX368" s="293"/>
      <c r="AY368" s="293"/>
      <c r="AZ368" s="293"/>
      <c r="BA368" s="293"/>
      <c r="BB368" s="293"/>
      <c r="BC368" s="293"/>
      <c r="BD368" s="293"/>
      <c r="BE368" s="293"/>
      <c r="BF368" s="293"/>
      <c r="BG368" s="293"/>
      <c r="BH368" s="293"/>
      <c r="BI368" s="293"/>
      <c r="BJ368" s="293"/>
      <c r="BK368" s="293"/>
      <c r="BL368" s="293"/>
      <c r="BM368" s="293"/>
      <c r="BN368" s="293"/>
      <c r="BO368" s="293"/>
      <c r="BP368" s="293"/>
      <c r="BQ368" s="293"/>
      <c r="BR368" s="293"/>
      <c r="BS368" s="293"/>
      <c r="BT368" s="293"/>
      <c r="BU368" s="293"/>
      <c r="BV368" s="293"/>
      <c r="BW368" s="293"/>
      <c r="BX368" s="293"/>
      <c r="BY368" s="293"/>
      <c r="BZ368" s="293"/>
      <c r="CA368" s="285"/>
      <c r="CB368" s="286"/>
      <c r="CC368" s="286"/>
      <c r="CD368" s="286"/>
      <c r="CE368" s="286"/>
      <c r="CF368" s="286"/>
      <c r="CG368" s="286"/>
      <c r="CH368" s="286"/>
      <c r="CI368" s="286"/>
      <c r="CJ368" s="286"/>
      <c r="CK368" s="286"/>
      <c r="CL368" s="286"/>
      <c r="CM368" s="286"/>
      <c r="CN368" s="286"/>
      <c r="CO368" s="286"/>
      <c r="CP368" s="286"/>
      <c r="CQ368" s="286"/>
      <c r="CR368" s="286"/>
      <c r="CS368" s="286"/>
      <c r="CT368" s="286"/>
      <c r="CU368" s="286"/>
      <c r="CV368" s="286"/>
      <c r="CW368" s="286"/>
      <c r="CX368" s="286"/>
      <c r="CY368" s="286"/>
      <c r="CZ368" s="286"/>
      <c r="DA368" s="286"/>
      <c r="DB368" s="286"/>
      <c r="DC368" s="286"/>
      <c r="DD368" s="286"/>
      <c r="DE368" s="286"/>
      <c r="DF368" s="286"/>
      <c r="DG368" s="286"/>
      <c r="DH368" s="286"/>
      <c r="DI368" s="286"/>
      <c r="DJ368" s="286"/>
      <c r="DK368" s="286"/>
      <c r="DL368" s="286"/>
      <c r="DM368" s="286"/>
      <c r="DN368" s="286"/>
      <c r="DO368" s="286"/>
      <c r="DP368" s="286"/>
      <c r="DR368" s="58" t="str">
        <f>IF(ISNUMBER(MATCH(#REF!,'Audit Characteristic Mapping'!$B$3:$B$500,0)),"Y","")</f>
        <v/>
      </c>
      <c r="DS368" s="58" t="str">
        <f>IF(ISNUMBER(MATCH(#REF!,'Audit Characteristic Mapping'!$C$3:$C$500,0)),"Y","")</f>
        <v/>
      </c>
      <c r="DT368" s="58" t="str">
        <f>IF(ISNUMBER(MATCH(#REF!,'Audit Characteristic Mapping'!$D$3:$D$500,0)),"Y","")</f>
        <v/>
      </c>
      <c r="DU368" s="58" t="str">
        <f>IF(ISNUMBER(MATCH(#REF!,'Audit Characteristic Mapping'!$E$3:$E$500,0)),"Y","")</f>
        <v/>
      </c>
      <c r="DV368" s="58" t="str">
        <f>IF(ISNUMBER(MATCH(#REF!,'Audit Characteristic Mapping'!$F$3:$F$500,0)),"Y","")</f>
        <v/>
      </c>
      <c r="DW368" s="58" t="str">
        <f>IF(ISNUMBER(MATCH(#REF!,'Audit Characteristic Mapping'!$G$3:$G$500,0)),"Y","")</f>
        <v/>
      </c>
      <c r="DX368" s="58" t="str">
        <f>IF(ISNUMBER(MATCH(#REF!,'Audit Characteristic Mapping'!$H$3:$H$500,0)),"Y","")</f>
        <v/>
      </c>
      <c r="DY368" s="58" t="str">
        <f>IF(ISNUMBER(MATCH(#REF!,'Audit Characteristic Mapping'!$I$3:$I$500,0)),"Y","")</f>
        <v/>
      </c>
      <c r="DZ368" s="58" t="str">
        <f>IF(ISNUMBER(MATCH(#REF!,'Audit Characteristic Mapping'!$J$3:$J$500,0)),"Y","")</f>
        <v/>
      </c>
      <c r="EA368" s="58" t="str">
        <f>IF(ISNUMBER(MATCH(#REF!,'Audit Characteristic Mapping'!$K$3:$K$500,0)),"Y","")</f>
        <v/>
      </c>
    </row>
    <row r="369" spans="1:131" ht="64" x14ac:dyDescent="0.2">
      <c r="A369" s="294">
        <v>364</v>
      </c>
      <c r="B369" s="287" t="s">
        <v>492</v>
      </c>
      <c r="C369" s="226" t="s">
        <v>518</v>
      </c>
      <c r="D369" s="170">
        <v>10</v>
      </c>
      <c r="E369" s="288">
        <v>73</v>
      </c>
      <c r="F369" s="291" t="str">
        <f>VLOOKUP(Calculation!A369,'Descriptor maps'!$A$2:$F$1658,6,0)</f>
        <v>Is there documented evidence that the outcomes of the design reviews for all stages were incorporated in the design and that all comments were closed, to achieve the objective of confirming that the design was completed in accordance with the current engineering practices?</v>
      </c>
      <c r="G369" s="296" t="s">
        <v>1193</v>
      </c>
      <c r="H369" s="290"/>
      <c r="I369" s="291" cm="1">
        <f t="array" ref="I369">INDEX('Descriptor maps'!$H$2:$H$1658,MATCH(1,('Descriptor maps'!$A$2:$A$1658=Calculation!$A369)*('Descriptor maps'!$G$2:$G$1658=Calculation!$G369),0))</f>
        <v>2</v>
      </c>
      <c r="J369" s="292" cm="1">
        <f t="array" ref="J369">INDEX('Descriptor maps'!$I$2:$I$1658,MATCH(1,('Descriptor maps'!$A$2:$A$1658=Calculation!$A369)*('Descriptor maps'!$G$2:$G$1658=Calculation!$G369),0))</f>
        <v>2</v>
      </c>
      <c r="K369" s="226"/>
      <c r="L369" s="293"/>
      <c r="M369" s="293"/>
      <c r="N369" s="293"/>
      <c r="O369" s="293"/>
      <c r="P369" s="293">
        <f>1*$J369</f>
        <v>2</v>
      </c>
      <c r="Q369" s="293"/>
      <c r="R369" s="293"/>
      <c r="S369" s="293"/>
      <c r="T369" s="293"/>
      <c r="U369" s="293"/>
      <c r="V369" s="293"/>
      <c r="W369" s="293">
        <f>1*$J369</f>
        <v>2</v>
      </c>
      <c r="X369" s="293"/>
      <c r="Y369" s="293"/>
      <c r="Z369" s="293"/>
      <c r="AA369" s="293"/>
      <c r="AB369" s="293"/>
      <c r="AC369" s="293"/>
      <c r="AD369" s="293">
        <f>1*$J369</f>
        <v>2</v>
      </c>
      <c r="AE369" s="293"/>
      <c r="AF369" s="293"/>
      <c r="AG369" s="293"/>
      <c r="AH369" s="293"/>
      <c r="AI369" s="293"/>
      <c r="AJ369" s="293"/>
      <c r="AK369" s="293"/>
      <c r="AL369" s="293"/>
      <c r="AM369" s="293"/>
      <c r="AN369" s="293"/>
      <c r="AO369" s="293"/>
      <c r="AP369" s="293"/>
      <c r="AQ369" s="293"/>
      <c r="AR369" s="293"/>
      <c r="AS369" s="293"/>
      <c r="AT369" s="293"/>
      <c r="AU369" s="293"/>
      <c r="AV369" s="293"/>
      <c r="AW369" s="293"/>
      <c r="AX369" s="293"/>
      <c r="AY369" s="293"/>
      <c r="AZ369" s="293"/>
      <c r="BA369" s="293"/>
      <c r="BB369" s="293"/>
      <c r="BC369" s="293"/>
      <c r="BD369" s="293"/>
      <c r="BE369" s="293"/>
      <c r="BF369" s="293"/>
      <c r="BG369" s="293"/>
      <c r="BH369" s="293"/>
      <c r="BI369" s="293"/>
      <c r="BJ369" s="293"/>
      <c r="BK369" s="293"/>
      <c r="BL369" s="293"/>
      <c r="BM369" s="293"/>
      <c r="BN369" s="293"/>
      <c r="BO369" s="293"/>
      <c r="BP369" s="293"/>
      <c r="BQ369" s="293"/>
      <c r="BR369" s="293"/>
      <c r="BS369" s="293"/>
      <c r="BT369" s="293"/>
      <c r="BU369" s="293"/>
      <c r="BV369" s="293"/>
      <c r="BW369" s="293"/>
      <c r="BX369" s="293"/>
      <c r="BY369" s="293"/>
      <c r="BZ369" s="293"/>
      <c r="CA369" s="285"/>
      <c r="CB369" s="286"/>
      <c r="CC369" s="286"/>
      <c r="CD369" s="286"/>
      <c r="CE369" s="286"/>
      <c r="CF369" s="286"/>
      <c r="CG369" s="286"/>
      <c r="CH369" s="286"/>
      <c r="CI369" s="286"/>
      <c r="CJ369" s="286"/>
      <c r="CK369" s="286"/>
      <c r="CL369" s="286"/>
      <c r="CM369" s="286"/>
      <c r="CN369" s="286"/>
      <c r="CO369" s="286"/>
      <c r="CP369" s="286"/>
      <c r="CQ369" s="286"/>
      <c r="CR369" s="286"/>
      <c r="CS369" s="286"/>
      <c r="CT369" s="286"/>
      <c r="CU369" s="286"/>
      <c r="CV369" s="286"/>
      <c r="CW369" s="286"/>
      <c r="CX369" s="286"/>
      <c r="CY369" s="286"/>
      <c r="CZ369" s="286"/>
      <c r="DA369" s="286"/>
      <c r="DB369" s="286"/>
      <c r="DC369" s="286"/>
      <c r="DD369" s="286"/>
      <c r="DE369" s="286"/>
      <c r="DF369" s="286"/>
      <c r="DG369" s="286"/>
      <c r="DH369" s="286"/>
      <c r="DI369" s="286"/>
      <c r="DJ369" s="286"/>
      <c r="DK369" s="286"/>
      <c r="DL369" s="286"/>
      <c r="DM369" s="286"/>
      <c r="DN369" s="286"/>
      <c r="DO369" s="286"/>
      <c r="DP369" s="286"/>
      <c r="DR369" s="58" t="str">
        <f>IF(ISNUMBER(MATCH(#REF!,'Audit Characteristic Mapping'!$B$3:$B$500,0)),"Y","")</f>
        <v/>
      </c>
      <c r="DS369" s="58" t="str">
        <f>IF(ISNUMBER(MATCH(#REF!,'Audit Characteristic Mapping'!$C$3:$C$500,0)),"Y","")</f>
        <v/>
      </c>
      <c r="DT369" s="58" t="str">
        <f>IF(ISNUMBER(MATCH(#REF!,'Audit Characteristic Mapping'!$D$3:$D$500,0)),"Y","")</f>
        <v/>
      </c>
      <c r="DU369" s="58" t="str">
        <f>IF(ISNUMBER(MATCH(#REF!,'Audit Characteristic Mapping'!$E$3:$E$500,0)),"Y","")</f>
        <v/>
      </c>
      <c r="DV369" s="58" t="str">
        <f>IF(ISNUMBER(MATCH(#REF!,'Audit Characteristic Mapping'!$F$3:$F$500,0)),"Y","")</f>
        <v/>
      </c>
      <c r="DW369" s="58" t="str">
        <f>IF(ISNUMBER(MATCH(#REF!,'Audit Characteristic Mapping'!$G$3:$G$500,0)),"Y","")</f>
        <v/>
      </c>
      <c r="DX369" s="58" t="str">
        <f>IF(ISNUMBER(MATCH(#REF!,'Audit Characteristic Mapping'!$H$3:$H$500,0)),"Y","")</f>
        <v/>
      </c>
      <c r="DY369" s="58" t="str">
        <f>IF(ISNUMBER(MATCH(#REF!,'Audit Characteristic Mapping'!$I$3:$I$500,0)),"Y","")</f>
        <v/>
      </c>
      <c r="DZ369" s="58" t="str">
        <f>IF(ISNUMBER(MATCH(#REF!,'Audit Characteristic Mapping'!$J$3:$J$500,0)),"Y","")</f>
        <v/>
      </c>
      <c r="EA369" s="58" t="str">
        <f>IF(ISNUMBER(MATCH(#REF!,'Audit Characteristic Mapping'!$K$3:$K$500,0)),"Y","")</f>
        <v/>
      </c>
    </row>
    <row r="370" spans="1:131" ht="64" x14ac:dyDescent="0.2">
      <c r="A370" s="294">
        <v>365</v>
      </c>
      <c r="B370" s="287" t="s">
        <v>492</v>
      </c>
      <c r="C370" s="226" t="s">
        <v>518</v>
      </c>
      <c r="D370" s="170">
        <v>10</v>
      </c>
      <c r="E370" s="288">
        <v>73</v>
      </c>
      <c r="F370" s="291" t="str">
        <f>VLOOKUP(Calculation!A370,'Descriptor maps'!$A$2:$F$1658,6,0)</f>
        <v>Is there documented evidence that pore pressure measuring devices (standpipes, VWPs) have been installed in the confining structure, to achieve the objective of monitoring pore pressures within the embankment with sufficient accuracy and frequency considering the context of the facility?</v>
      </c>
      <c r="G370" s="296" t="s">
        <v>1193</v>
      </c>
      <c r="H370" s="290"/>
      <c r="I370" s="291" cm="1">
        <f t="array" ref="I370">INDEX('Descriptor maps'!$H$2:$H$1658,MATCH(1,('Descriptor maps'!$A$2:$A$1658=Calculation!$A370)*('Descriptor maps'!$G$2:$G$1658=Calculation!$G370),0))</f>
        <v>2</v>
      </c>
      <c r="J370" s="292" cm="1">
        <f t="array" ref="J370">INDEX('Descriptor maps'!$I$2:$I$1658,MATCH(1,('Descriptor maps'!$A$2:$A$1658=Calculation!$A370)*('Descriptor maps'!$G$2:$G$1658=Calculation!$G370),0))</f>
        <v>2</v>
      </c>
      <c r="K370" s="226"/>
      <c r="L370" s="293"/>
      <c r="M370" s="293"/>
      <c r="N370" s="293"/>
      <c r="O370" s="293"/>
      <c r="P370" s="293">
        <f>1*$J370</f>
        <v>2</v>
      </c>
      <c r="Q370" s="293"/>
      <c r="R370" s="293"/>
      <c r="S370" s="293"/>
      <c r="T370" s="293"/>
      <c r="U370" s="293"/>
      <c r="V370" s="293"/>
      <c r="W370" s="293">
        <f>1*$J370</f>
        <v>2</v>
      </c>
      <c r="X370" s="293"/>
      <c r="Y370" s="293"/>
      <c r="Z370" s="293"/>
      <c r="AA370" s="293"/>
      <c r="AB370" s="293"/>
      <c r="AC370" s="293"/>
      <c r="AD370" s="293">
        <f>1*$J370</f>
        <v>2</v>
      </c>
      <c r="AE370" s="293"/>
      <c r="AF370" s="293"/>
      <c r="AG370" s="293"/>
      <c r="AH370" s="293"/>
      <c r="AI370" s="293"/>
      <c r="AJ370" s="293"/>
      <c r="AK370" s="293"/>
      <c r="AL370" s="293"/>
      <c r="AM370" s="293"/>
      <c r="AN370" s="293"/>
      <c r="AO370" s="293"/>
      <c r="AP370" s="293"/>
      <c r="AQ370" s="293"/>
      <c r="AR370" s="293"/>
      <c r="AS370" s="293"/>
      <c r="AT370" s="293"/>
      <c r="AU370" s="293"/>
      <c r="AV370" s="293"/>
      <c r="AW370" s="293"/>
      <c r="AX370" s="293"/>
      <c r="AY370" s="293"/>
      <c r="AZ370" s="293"/>
      <c r="BA370" s="293"/>
      <c r="BB370" s="293"/>
      <c r="BC370" s="293"/>
      <c r="BD370" s="293"/>
      <c r="BE370" s="293"/>
      <c r="BF370" s="293"/>
      <c r="BG370" s="293"/>
      <c r="BH370" s="293"/>
      <c r="BI370" s="293"/>
      <c r="BJ370" s="293"/>
      <c r="BK370" s="293"/>
      <c r="BL370" s="293"/>
      <c r="BM370" s="293"/>
      <c r="BN370" s="293"/>
      <c r="BO370" s="293"/>
      <c r="BP370" s="293"/>
      <c r="BQ370" s="293"/>
      <c r="BR370" s="293"/>
      <c r="BS370" s="293"/>
      <c r="BT370" s="293"/>
      <c r="BU370" s="293"/>
      <c r="BV370" s="293"/>
      <c r="BW370" s="293"/>
      <c r="BX370" s="293"/>
      <c r="BY370" s="293"/>
      <c r="BZ370" s="293"/>
      <c r="CA370" s="285"/>
      <c r="CB370" s="286"/>
      <c r="CC370" s="286"/>
      <c r="CD370" s="286"/>
      <c r="CE370" s="286"/>
      <c r="CF370" s="286"/>
      <c r="CG370" s="286"/>
      <c r="CH370" s="286"/>
      <c r="CI370" s="286"/>
      <c r="CJ370" s="286"/>
      <c r="CK370" s="286"/>
      <c r="CL370" s="286"/>
      <c r="CM370" s="286"/>
      <c r="CN370" s="286"/>
      <c r="CO370" s="286"/>
      <c r="CP370" s="286"/>
      <c r="CQ370" s="286"/>
      <c r="CR370" s="286"/>
      <c r="CS370" s="286"/>
      <c r="CT370" s="286"/>
      <c r="CU370" s="286"/>
      <c r="CV370" s="286"/>
      <c r="CW370" s="286"/>
      <c r="CX370" s="286"/>
      <c r="CY370" s="286"/>
      <c r="CZ370" s="286"/>
      <c r="DA370" s="286"/>
      <c r="DB370" s="286"/>
      <c r="DC370" s="286"/>
      <c r="DD370" s="286"/>
      <c r="DE370" s="286"/>
      <c r="DF370" s="286"/>
      <c r="DG370" s="286"/>
      <c r="DH370" s="286"/>
      <c r="DI370" s="286"/>
      <c r="DJ370" s="286"/>
      <c r="DK370" s="286"/>
      <c r="DL370" s="286"/>
      <c r="DM370" s="286"/>
      <c r="DN370" s="286"/>
      <c r="DO370" s="286"/>
      <c r="DP370" s="286"/>
      <c r="DR370" s="58" t="str">
        <f>IF(ISNUMBER(MATCH(#REF!,'Audit Characteristic Mapping'!$B$3:$B$500,0)),"Y","")</f>
        <v/>
      </c>
      <c r="DS370" s="58" t="str">
        <f>IF(ISNUMBER(MATCH(#REF!,'Audit Characteristic Mapping'!$C$3:$C$500,0)),"Y","")</f>
        <v/>
      </c>
      <c r="DT370" s="58" t="str">
        <f>IF(ISNUMBER(MATCH(#REF!,'Audit Characteristic Mapping'!$D$3:$D$500,0)),"Y","")</f>
        <v/>
      </c>
      <c r="DU370" s="58" t="str">
        <f>IF(ISNUMBER(MATCH(#REF!,'Audit Characteristic Mapping'!$E$3:$E$500,0)),"Y","")</f>
        <v/>
      </c>
      <c r="DV370" s="58" t="str">
        <f>IF(ISNUMBER(MATCH(#REF!,'Audit Characteristic Mapping'!$F$3:$F$500,0)),"Y","")</f>
        <v/>
      </c>
      <c r="DW370" s="58" t="str">
        <f>IF(ISNUMBER(MATCH(#REF!,'Audit Characteristic Mapping'!$G$3:$G$500,0)),"Y","")</f>
        <v/>
      </c>
      <c r="DX370" s="58" t="str">
        <f>IF(ISNUMBER(MATCH(#REF!,'Audit Characteristic Mapping'!$H$3:$H$500,0)),"Y","")</f>
        <v/>
      </c>
      <c r="DY370" s="58" t="str">
        <f>IF(ISNUMBER(MATCH(#REF!,'Audit Characteristic Mapping'!$I$3:$I$500,0)),"Y","")</f>
        <v/>
      </c>
      <c r="DZ370" s="58" t="str">
        <f>IF(ISNUMBER(MATCH(#REF!,'Audit Characteristic Mapping'!$J$3:$J$500,0)),"Y","")</f>
        <v/>
      </c>
      <c r="EA370" s="58" t="str">
        <f>IF(ISNUMBER(MATCH(#REF!,'Audit Characteristic Mapping'!$K$3:$K$500,0)),"Y","")</f>
        <v/>
      </c>
    </row>
    <row r="371" spans="1:131" ht="48" x14ac:dyDescent="0.2">
      <c r="A371" s="294">
        <v>366</v>
      </c>
      <c r="B371" s="287" t="s">
        <v>492</v>
      </c>
      <c r="C371" s="226" t="s">
        <v>518</v>
      </c>
      <c r="D371" s="170">
        <v>10</v>
      </c>
      <c r="E371" s="288">
        <v>73</v>
      </c>
      <c r="F371" s="291" t="str">
        <f>VLOOKUP(Calculation!A371,'Descriptor maps'!$A$2:$F$1658,6,0)</f>
        <v>Is there documented evidence that the arrangement of the pore water pressure instrumentation within the embankment is based on or supported by the failure mode assessment to achieve the objective of informing critical controls?</v>
      </c>
      <c r="G371" s="296" t="s">
        <v>1193</v>
      </c>
      <c r="H371" s="290"/>
      <c r="I371" s="291" cm="1">
        <f t="array" ref="I371">INDEX('Descriptor maps'!$H$2:$H$1658,MATCH(1,('Descriptor maps'!$A$2:$A$1658=Calculation!$A371)*('Descriptor maps'!$G$2:$G$1658=Calculation!$G371),0))</f>
        <v>2</v>
      </c>
      <c r="J371" s="292" cm="1">
        <f t="array" ref="J371">INDEX('Descriptor maps'!$I$2:$I$1658,MATCH(1,('Descriptor maps'!$A$2:$A$1658=Calculation!$A371)*('Descriptor maps'!$G$2:$G$1658=Calculation!$G371),0))</f>
        <v>2</v>
      </c>
      <c r="K371" s="226"/>
      <c r="L371" s="293"/>
      <c r="M371" s="293"/>
      <c r="N371" s="293"/>
      <c r="O371" s="293"/>
      <c r="P371" s="293">
        <f>1*$J371</f>
        <v>2</v>
      </c>
      <c r="Q371" s="293"/>
      <c r="R371" s="293"/>
      <c r="S371" s="293"/>
      <c r="T371" s="293"/>
      <c r="U371" s="293"/>
      <c r="V371" s="293"/>
      <c r="W371" s="293">
        <f>1*$J371</f>
        <v>2</v>
      </c>
      <c r="X371" s="293"/>
      <c r="Y371" s="293"/>
      <c r="Z371" s="293"/>
      <c r="AA371" s="293"/>
      <c r="AB371" s="293"/>
      <c r="AC371" s="293"/>
      <c r="AD371" s="293">
        <f>1*$J371</f>
        <v>2</v>
      </c>
      <c r="AE371" s="293"/>
      <c r="AF371" s="293"/>
      <c r="AG371" s="293"/>
      <c r="AH371" s="293"/>
      <c r="AI371" s="293"/>
      <c r="AJ371" s="293"/>
      <c r="AK371" s="293"/>
      <c r="AL371" s="293"/>
      <c r="AM371" s="293"/>
      <c r="AN371" s="293"/>
      <c r="AO371" s="293"/>
      <c r="AP371" s="293"/>
      <c r="AQ371" s="293"/>
      <c r="AR371" s="293"/>
      <c r="AS371" s="293"/>
      <c r="AT371" s="293"/>
      <c r="AU371" s="293"/>
      <c r="AV371" s="293"/>
      <c r="AW371" s="293"/>
      <c r="AX371" s="293"/>
      <c r="AY371" s="293"/>
      <c r="AZ371" s="293"/>
      <c r="BA371" s="293"/>
      <c r="BB371" s="293"/>
      <c r="BC371" s="293"/>
      <c r="BD371" s="293"/>
      <c r="BE371" s="293"/>
      <c r="BF371" s="293"/>
      <c r="BG371" s="293"/>
      <c r="BH371" s="293"/>
      <c r="BI371" s="293"/>
      <c r="BJ371" s="293"/>
      <c r="BK371" s="293"/>
      <c r="BL371" s="293"/>
      <c r="BM371" s="293"/>
      <c r="BN371" s="293"/>
      <c r="BO371" s="293"/>
      <c r="BP371" s="293"/>
      <c r="BQ371" s="293"/>
      <c r="BR371" s="293"/>
      <c r="BS371" s="293"/>
      <c r="BT371" s="293"/>
      <c r="BU371" s="293"/>
      <c r="BV371" s="293"/>
      <c r="BW371" s="293"/>
      <c r="BX371" s="293"/>
      <c r="BY371" s="293"/>
      <c r="BZ371" s="293"/>
      <c r="CA371" s="285"/>
      <c r="CB371" s="286"/>
      <c r="CC371" s="286"/>
      <c r="CD371" s="286"/>
      <c r="CE371" s="286"/>
      <c r="CF371" s="286"/>
      <c r="CG371" s="286"/>
      <c r="CH371" s="286"/>
      <c r="CI371" s="286"/>
      <c r="CJ371" s="286"/>
      <c r="CK371" s="286"/>
      <c r="CL371" s="286"/>
      <c r="CM371" s="286"/>
      <c r="CN371" s="286"/>
      <c r="CO371" s="286"/>
      <c r="CP371" s="286"/>
      <c r="CQ371" s="286"/>
      <c r="CR371" s="286"/>
      <c r="CS371" s="286"/>
      <c r="CT371" s="286"/>
      <c r="CU371" s="286"/>
      <c r="CV371" s="286"/>
      <c r="CW371" s="286"/>
      <c r="CX371" s="286"/>
      <c r="CY371" s="286"/>
      <c r="CZ371" s="286"/>
      <c r="DA371" s="286"/>
      <c r="DB371" s="286"/>
      <c r="DC371" s="286"/>
      <c r="DD371" s="286"/>
      <c r="DE371" s="286"/>
      <c r="DF371" s="286"/>
      <c r="DG371" s="286"/>
      <c r="DH371" s="286"/>
      <c r="DI371" s="286"/>
      <c r="DJ371" s="286"/>
      <c r="DK371" s="286"/>
      <c r="DL371" s="286"/>
      <c r="DM371" s="286"/>
      <c r="DN371" s="286"/>
      <c r="DO371" s="286"/>
      <c r="DP371" s="286"/>
      <c r="DR371" s="58" t="str">
        <f>IF(ISNUMBER(MATCH(#REF!,'Audit Characteristic Mapping'!$B$3:$B$500,0)),"Y","")</f>
        <v/>
      </c>
      <c r="DS371" s="58" t="str">
        <f>IF(ISNUMBER(MATCH(#REF!,'Audit Characteristic Mapping'!$C$3:$C$500,0)),"Y","")</f>
        <v/>
      </c>
      <c r="DT371" s="58" t="str">
        <f>IF(ISNUMBER(MATCH(#REF!,'Audit Characteristic Mapping'!$D$3:$D$500,0)),"Y","")</f>
        <v/>
      </c>
      <c r="DU371" s="58" t="str">
        <f>IF(ISNUMBER(MATCH(#REF!,'Audit Characteristic Mapping'!$E$3:$E$500,0)),"Y","")</f>
        <v/>
      </c>
      <c r="DV371" s="58" t="str">
        <f>IF(ISNUMBER(MATCH(#REF!,'Audit Characteristic Mapping'!$F$3:$F$500,0)),"Y","")</f>
        <v/>
      </c>
      <c r="DW371" s="58" t="str">
        <f>IF(ISNUMBER(MATCH(#REF!,'Audit Characteristic Mapping'!$G$3:$G$500,0)),"Y","")</f>
        <v/>
      </c>
      <c r="DX371" s="58" t="str">
        <f>IF(ISNUMBER(MATCH(#REF!,'Audit Characteristic Mapping'!$H$3:$H$500,0)),"Y","")</f>
        <v/>
      </c>
      <c r="DY371" s="58" t="str">
        <f>IF(ISNUMBER(MATCH(#REF!,'Audit Characteristic Mapping'!$I$3:$I$500,0)),"Y","")</f>
        <v/>
      </c>
      <c r="DZ371" s="58" t="str">
        <f>IF(ISNUMBER(MATCH(#REF!,'Audit Characteristic Mapping'!$J$3:$J$500,0)),"Y","")</f>
        <v/>
      </c>
      <c r="EA371" s="58" t="str">
        <f>IF(ISNUMBER(MATCH(#REF!,'Audit Characteristic Mapping'!$K$3:$K$500,0)),"Y","")</f>
        <v/>
      </c>
    </row>
    <row r="372" spans="1:131" ht="32" hidden="1" x14ac:dyDescent="0.2">
      <c r="A372" s="288">
        <v>362</v>
      </c>
      <c r="B372" s="287" t="s">
        <v>492</v>
      </c>
      <c r="C372" s="226" t="s">
        <v>518</v>
      </c>
      <c r="D372" s="170">
        <v>10</v>
      </c>
      <c r="E372" s="288">
        <v>73</v>
      </c>
      <c r="F372" s="291" t="str">
        <f>VLOOKUP(Calculation!A372,'Descriptor maps'!$A$2:$F$1658,2,0)</f>
        <v>Operation</v>
      </c>
      <c r="G372" s="296" t="s">
        <v>247</v>
      </c>
      <c r="H372" s="290"/>
      <c r="I372" s="291"/>
      <c r="J372" s="292" t="e" cm="1">
        <f t="array" ref="J372">INDEX('Descriptor maps'!$I$2:$I$1658,MATCH(1,('Descriptor maps'!$A$2:$A$1658=Calculation!$A372)*('Descriptor maps'!$G$2:$G$1658=Calculation!$G372),0))</f>
        <v>#N/A</v>
      </c>
      <c r="K372" s="226"/>
      <c r="L372" s="293"/>
      <c r="M372" s="293"/>
      <c r="N372" s="293"/>
      <c r="O372" s="293"/>
      <c r="P372" s="293"/>
      <c r="Q372" s="293"/>
      <c r="R372" s="293"/>
      <c r="S372" s="293"/>
      <c r="T372" s="293"/>
      <c r="U372" s="293"/>
      <c r="V372" s="293"/>
      <c r="W372" s="293"/>
      <c r="X372" s="293"/>
      <c r="Y372" s="293"/>
      <c r="Z372" s="293"/>
      <c r="AA372" s="293"/>
      <c r="AB372" s="293"/>
      <c r="AC372" s="293"/>
      <c r="AD372" s="293"/>
      <c r="AE372" s="293"/>
      <c r="AF372" s="293"/>
      <c r="AG372" s="293"/>
      <c r="AH372" s="293"/>
      <c r="AI372" s="293"/>
      <c r="AJ372" s="293"/>
      <c r="AK372" s="293"/>
      <c r="AL372" s="293"/>
      <c r="AM372" s="293"/>
      <c r="AN372" s="293"/>
      <c r="AO372" s="293"/>
      <c r="AP372" s="293"/>
      <c r="AQ372" s="293"/>
      <c r="AR372" s="293"/>
      <c r="AS372" s="293"/>
      <c r="AT372" s="293"/>
      <c r="AU372" s="293"/>
      <c r="AV372" s="293"/>
      <c r="AW372" s="293"/>
      <c r="AX372" s="293"/>
      <c r="AY372" s="293"/>
      <c r="AZ372" s="293"/>
      <c r="BA372" s="293"/>
      <c r="BB372" s="293"/>
      <c r="BC372" s="293"/>
      <c r="BD372" s="293"/>
      <c r="BE372" s="293"/>
      <c r="BF372" s="293"/>
      <c r="BG372" s="293"/>
      <c r="BH372" s="293"/>
      <c r="BI372" s="293"/>
      <c r="BJ372" s="293"/>
      <c r="BK372" s="293"/>
      <c r="BL372" s="293"/>
      <c r="BM372" s="293"/>
      <c r="BN372" s="293"/>
      <c r="BO372" s="293"/>
      <c r="BP372" s="293"/>
      <c r="BQ372" s="293"/>
      <c r="BR372" s="293"/>
      <c r="BS372" s="293"/>
      <c r="BT372" s="293"/>
      <c r="BU372" s="293"/>
      <c r="BV372" s="293"/>
      <c r="BW372" s="293"/>
      <c r="BX372" s="293"/>
      <c r="BY372" s="293"/>
      <c r="BZ372" s="293"/>
      <c r="CA372" s="285"/>
      <c r="CB372" s="286"/>
      <c r="CC372" s="286"/>
      <c r="CD372" s="286"/>
      <c r="CE372" s="286"/>
      <c r="CF372" s="286"/>
      <c r="CG372" s="286"/>
      <c r="CH372" s="286"/>
      <c r="CI372" s="286"/>
      <c r="CJ372" s="286"/>
      <c r="CK372" s="286"/>
      <c r="CL372" s="286"/>
      <c r="CM372" s="286"/>
      <c r="CN372" s="286"/>
      <c r="CO372" s="286"/>
      <c r="CP372" s="286"/>
      <c r="CQ372" s="286"/>
      <c r="CR372" s="286"/>
      <c r="CS372" s="286"/>
      <c r="CT372" s="286"/>
      <c r="CU372" s="286"/>
      <c r="CV372" s="286"/>
      <c r="CW372" s="286"/>
      <c r="CX372" s="286"/>
      <c r="CY372" s="286"/>
      <c r="CZ372" s="286"/>
      <c r="DA372" s="286"/>
      <c r="DB372" s="286"/>
      <c r="DC372" s="286"/>
      <c r="DD372" s="286"/>
      <c r="DE372" s="286"/>
      <c r="DF372" s="286"/>
      <c r="DG372" s="286"/>
      <c r="DH372" s="286"/>
      <c r="DI372" s="286"/>
      <c r="DJ372" s="286"/>
      <c r="DK372" s="286"/>
      <c r="DL372" s="286"/>
      <c r="DM372" s="286"/>
      <c r="DN372" s="286"/>
      <c r="DO372" s="286"/>
      <c r="DP372" s="286"/>
      <c r="DR372" s="58" t="str">
        <f>IF(ISNUMBER(MATCH(#REF!,'Audit Characteristic Mapping'!$B$3:$B$500,0)),"Y","")</f>
        <v/>
      </c>
      <c r="DS372" s="58" t="str">
        <f>IF(ISNUMBER(MATCH(#REF!,'Audit Characteristic Mapping'!$C$3:$C$500,0)),"Y","")</f>
        <v/>
      </c>
      <c r="DT372" s="58" t="str">
        <f>IF(ISNUMBER(MATCH(#REF!,'Audit Characteristic Mapping'!$D$3:$D$500,0)),"Y","")</f>
        <v/>
      </c>
      <c r="DU372" s="58" t="str">
        <f>IF(ISNUMBER(MATCH(#REF!,'Audit Characteristic Mapping'!$E$3:$E$500,0)),"Y","")</f>
        <v/>
      </c>
      <c r="DV372" s="58" t="str">
        <f>IF(ISNUMBER(MATCH(#REF!,'Audit Characteristic Mapping'!$F$3:$F$500,0)),"Y","")</f>
        <v/>
      </c>
      <c r="DW372" s="58" t="str">
        <f>IF(ISNUMBER(MATCH(#REF!,'Audit Characteristic Mapping'!$G$3:$G$500,0)),"Y","")</f>
        <v/>
      </c>
      <c r="DX372" s="58" t="str">
        <f>IF(ISNUMBER(MATCH(#REF!,'Audit Characteristic Mapping'!$H$3:$H$500,0)),"Y","")</f>
        <v/>
      </c>
      <c r="DY372" s="58" t="str">
        <f>IF(ISNUMBER(MATCH(#REF!,'Audit Characteristic Mapping'!$I$3:$I$500,0)),"Y","")</f>
        <v/>
      </c>
      <c r="DZ372" s="58" t="str">
        <f>IF(ISNUMBER(MATCH(#REF!,'Audit Characteristic Mapping'!$J$3:$J$500,0)),"Y","")</f>
        <v/>
      </c>
      <c r="EA372" s="58" t="str">
        <f>IF(ISNUMBER(MATCH(#REF!,'Audit Characteristic Mapping'!$K$3:$K$500,0)),"Y","")</f>
        <v/>
      </c>
    </row>
    <row r="373" spans="1:131" ht="32" hidden="1" x14ac:dyDescent="0.2">
      <c r="A373" s="288">
        <v>363</v>
      </c>
      <c r="B373" s="287" t="s">
        <v>492</v>
      </c>
      <c r="C373" s="226" t="s">
        <v>518</v>
      </c>
      <c r="D373" s="170">
        <v>10</v>
      </c>
      <c r="E373" s="288">
        <v>73</v>
      </c>
      <c r="F373" s="291" t="str">
        <f>VLOOKUP(Calculation!A373,'Descriptor maps'!$A$2:$F$1658,2,0)</f>
        <v>Operation</v>
      </c>
      <c r="G373" s="296" t="s">
        <v>247</v>
      </c>
      <c r="H373" s="290"/>
      <c r="I373" s="291"/>
      <c r="J373" s="292" t="e" cm="1">
        <f t="array" ref="J373">INDEX('Descriptor maps'!$I$2:$I$1658,MATCH(1,('Descriptor maps'!$A$2:$A$1658=Calculation!$A373)*('Descriptor maps'!$G$2:$G$1658=Calculation!$G373),0))</f>
        <v>#N/A</v>
      </c>
      <c r="K373" s="226"/>
      <c r="L373" s="293"/>
      <c r="M373" s="293"/>
      <c r="N373" s="293"/>
      <c r="O373" s="293"/>
      <c r="P373" s="293"/>
      <c r="Q373" s="293"/>
      <c r="R373" s="293"/>
      <c r="S373" s="293"/>
      <c r="T373" s="293"/>
      <c r="U373" s="293"/>
      <c r="V373" s="293"/>
      <c r="W373" s="293"/>
      <c r="X373" s="293"/>
      <c r="Y373" s="293"/>
      <c r="Z373" s="293"/>
      <c r="AA373" s="293"/>
      <c r="AB373" s="293"/>
      <c r="AC373" s="293"/>
      <c r="AD373" s="293"/>
      <c r="AE373" s="293"/>
      <c r="AF373" s="293"/>
      <c r="AG373" s="293"/>
      <c r="AH373" s="293"/>
      <c r="AI373" s="293"/>
      <c r="AJ373" s="293"/>
      <c r="AK373" s="293"/>
      <c r="AL373" s="293"/>
      <c r="AM373" s="293"/>
      <c r="AN373" s="293"/>
      <c r="AO373" s="293"/>
      <c r="AP373" s="293"/>
      <c r="AQ373" s="293"/>
      <c r="AR373" s="293"/>
      <c r="AS373" s="293"/>
      <c r="AT373" s="293"/>
      <c r="AU373" s="293"/>
      <c r="AV373" s="293"/>
      <c r="AW373" s="293"/>
      <c r="AX373" s="293"/>
      <c r="AY373" s="293"/>
      <c r="AZ373" s="293"/>
      <c r="BA373" s="293"/>
      <c r="BB373" s="293"/>
      <c r="BC373" s="293"/>
      <c r="BD373" s="293"/>
      <c r="BE373" s="293"/>
      <c r="BF373" s="293"/>
      <c r="BG373" s="293"/>
      <c r="BH373" s="293"/>
      <c r="BI373" s="293"/>
      <c r="BJ373" s="293"/>
      <c r="BK373" s="293"/>
      <c r="BL373" s="293"/>
      <c r="BM373" s="293"/>
      <c r="BN373" s="293"/>
      <c r="BO373" s="293"/>
      <c r="BP373" s="293"/>
      <c r="BQ373" s="293"/>
      <c r="BR373" s="293"/>
      <c r="BS373" s="293"/>
      <c r="BT373" s="293"/>
      <c r="BU373" s="293"/>
      <c r="BV373" s="293"/>
      <c r="BW373" s="293"/>
      <c r="BX373" s="293"/>
      <c r="BY373" s="293"/>
      <c r="BZ373" s="293"/>
      <c r="CA373" s="285"/>
      <c r="CB373" s="286"/>
      <c r="CC373" s="286"/>
      <c r="CD373" s="286"/>
      <c r="CE373" s="286"/>
      <c r="CF373" s="286"/>
      <c r="CG373" s="286"/>
      <c r="CH373" s="286"/>
      <c r="CI373" s="286"/>
      <c r="CJ373" s="286"/>
      <c r="CK373" s="286"/>
      <c r="CL373" s="286"/>
      <c r="CM373" s="286"/>
      <c r="CN373" s="286"/>
      <c r="CO373" s="286"/>
      <c r="CP373" s="286"/>
      <c r="CQ373" s="286"/>
      <c r="CR373" s="286"/>
      <c r="CS373" s="286"/>
      <c r="CT373" s="286"/>
      <c r="CU373" s="286"/>
      <c r="CV373" s="286"/>
      <c r="CW373" s="286"/>
      <c r="CX373" s="286"/>
      <c r="CY373" s="286"/>
      <c r="CZ373" s="286"/>
      <c r="DA373" s="286"/>
      <c r="DB373" s="286"/>
      <c r="DC373" s="286"/>
      <c r="DD373" s="286"/>
      <c r="DE373" s="286"/>
      <c r="DF373" s="286"/>
      <c r="DG373" s="286"/>
      <c r="DH373" s="286"/>
      <c r="DI373" s="286"/>
      <c r="DJ373" s="286"/>
      <c r="DK373" s="286"/>
      <c r="DL373" s="286"/>
      <c r="DM373" s="286"/>
      <c r="DN373" s="286"/>
      <c r="DO373" s="286"/>
      <c r="DP373" s="286"/>
      <c r="DR373" s="58" t="str">
        <f>IF(ISNUMBER(MATCH(#REF!,'Audit Characteristic Mapping'!$B$3:$B$500,0)),"Y","")</f>
        <v/>
      </c>
      <c r="DS373" s="58" t="str">
        <f>IF(ISNUMBER(MATCH(#REF!,'Audit Characteristic Mapping'!$C$3:$C$500,0)),"Y","")</f>
        <v/>
      </c>
      <c r="DT373" s="58" t="str">
        <f>IF(ISNUMBER(MATCH(#REF!,'Audit Characteristic Mapping'!$D$3:$D$500,0)),"Y","")</f>
        <v/>
      </c>
      <c r="DU373" s="58" t="str">
        <f>IF(ISNUMBER(MATCH(#REF!,'Audit Characteristic Mapping'!$E$3:$E$500,0)),"Y","")</f>
        <v/>
      </c>
      <c r="DV373" s="58" t="str">
        <f>IF(ISNUMBER(MATCH(#REF!,'Audit Characteristic Mapping'!$F$3:$F$500,0)),"Y","")</f>
        <v/>
      </c>
      <c r="DW373" s="58" t="str">
        <f>IF(ISNUMBER(MATCH(#REF!,'Audit Characteristic Mapping'!$G$3:$G$500,0)),"Y","")</f>
        <v/>
      </c>
      <c r="DX373" s="58" t="str">
        <f>IF(ISNUMBER(MATCH(#REF!,'Audit Characteristic Mapping'!$H$3:$H$500,0)),"Y","")</f>
        <v/>
      </c>
      <c r="DY373" s="58" t="str">
        <f>IF(ISNUMBER(MATCH(#REF!,'Audit Characteristic Mapping'!$I$3:$I$500,0)),"Y","")</f>
        <v/>
      </c>
      <c r="DZ373" s="58" t="str">
        <f>IF(ISNUMBER(MATCH(#REF!,'Audit Characteristic Mapping'!$J$3:$J$500,0)),"Y","")</f>
        <v/>
      </c>
      <c r="EA373" s="58" t="str">
        <f>IF(ISNUMBER(MATCH(#REF!,'Audit Characteristic Mapping'!$K$3:$K$500,0)),"Y","")</f>
        <v/>
      </c>
    </row>
    <row r="374" spans="1:131" ht="48" x14ac:dyDescent="0.2">
      <c r="A374" s="294">
        <v>367</v>
      </c>
      <c r="B374" s="287" t="s">
        <v>492</v>
      </c>
      <c r="C374" s="226" t="s">
        <v>518</v>
      </c>
      <c r="D374" s="170">
        <v>10</v>
      </c>
      <c r="E374" s="288">
        <v>73</v>
      </c>
      <c r="F374" s="291" t="str">
        <f>VLOOKUP(Calculation!A374,'Descriptor maps'!$A$2:$F$1658,6,0)</f>
        <v>Is there documented evidence that the arrangement of the pore water pressure instrumentation within the foundations is based on or supported by the failure mode assessment to achieve the objective of informing critical controls?</v>
      </c>
      <c r="G374" s="296" t="s">
        <v>1193</v>
      </c>
      <c r="H374" s="290"/>
      <c r="I374" s="291" cm="1">
        <f t="array" ref="I374">INDEX('Descriptor maps'!$H$2:$H$1658,MATCH(1,('Descriptor maps'!$A$2:$A$1658=Calculation!$A374)*('Descriptor maps'!$G$2:$G$1658=Calculation!$G374),0))</f>
        <v>2</v>
      </c>
      <c r="J374" s="292" cm="1">
        <f t="array" ref="J374">INDEX('Descriptor maps'!$I$2:$I$1658,MATCH(1,('Descriptor maps'!$A$2:$A$1658=Calculation!$A374)*('Descriptor maps'!$G$2:$G$1658=Calculation!$G374),0))</f>
        <v>2</v>
      </c>
      <c r="K374" s="226"/>
      <c r="L374" s="293"/>
      <c r="M374" s="293"/>
      <c r="N374" s="293"/>
      <c r="O374" s="293"/>
      <c r="P374" s="293">
        <f t="shared" ref="P374:P380" si="0">1*$J374</f>
        <v>2</v>
      </c>
      <c r="Q374" s="293"/>
      <c r="R374" s="293"/>
      <c r="S374" s="293"/>
      <c r="T374" s="293"/>
      <c r="U374" s="293"/>
      <c r="V374" s="293"/>
      <c r="W374" s="293">
        <f t="shared" ref="W374:W380" si="1">1*$J374</f>
        <v>2</v>
      </c>
      <c r="X374" s="293"/>
      <c r="Y374" s="293"/>
      <c r="Z374" s="293"/>
      <c r="AA374" s="293"/>
      <c r="AB374" s="293"/>
      <c r="AC374" s="293"/>
      <c r="AD374" s="293">
        <f t="shared" ref="AD374:AD380" si="2">1*$J374</f>
        <v>2</v>
      </c>
      <c r="AE374" s="293"/>
      <c r="AF374" s="293"/>
      <c r="AG374" s="293"/>
      <c r="AH374" s="293"/>
      <c r="AI374" s="293"/>
      <c r="AJ374" s="293"/>
      <c r="AK374" s="293"/>
      <c r="AL374" s="293"/>
      <c r="AM374" s="293"/>
      <c r="AN374" s="293"/>
      <c r="AO374" s="293"/>
      <c r="AP374" s="293"/>
      <c r="AQ374" s="293"/>
      <c r="AR374" s="293"/>
      <c r="AS374" s="293"/>
      <c r="AT374" s="293"/>
      <c r="AU374" s="293"/>
      <c r="AV374" s="293"/>
      <c r="AW374" s="293"/>
      <c r="AX374" s="293"/>
      <c r="AY374" s="293"/>
      <c r="AZ374" s="293"/>
      <c r="BA374" s="293"/>
      <c r="BB374" s="293"/>
      <c r="BC374" s="293"/>
      <c r="BD374" s="293"/>
      <c r="BE374" s="293"/>
      <c r="BF374" s="293"/>
      <c r="BG374" s="293"/>
      <c r="BH374" s="293"/>
      <c r="BI374" s="293"/>
      <c r="BJ374" s="293"/>
      <c r="BK374" s="293"/>
      <c r="BL374" s="293"/>
      <c r="BM374" s="293"/>
      <c r="BN374" s="293"/>
      <c r="BO374" s="293"/>
      <c r="BP374" s="293"/>
      <c r="BQ374" s="293"/>
      <c r="BR374" s="293"/>
      <c r="BS374" s="293"/>
      <c r="BT374" s="293"/>
      <c r="BU374" s="293"/>
      <c r="BV374" s="293"/>
      <c r="BW374" s="293"/>
      <c r="BX374" s="293"/>
      <c r="BY374" s="293"/>
      <c r="BZ374" s="293"/>
      <c r="CA374" s="285"/>
      <c r="CB374" s="286"/>
      <c r="CC374" s="286"/>
      <c r="CD374" s="286"/>
      <c r="CE374" s="286"/>
      <c r="CF374" s="286"/>
      <c r="CG374" s="286"/>
      <c r="CH374" s="286"/>
      <c r="CI374" s="286"/>
      <c r="CJ374" s="286"/>
      <c r="CK374" s="286"/>
      <c r="CL374" s="286"/>
      <c r="CM374" s="286"/>
      <c r="CN374" s="286"/>
      <c r="CO374" s="286"/>
      <c r="CP374" s="286"/>
      <c r="CQ374" s="286"/>
      <c r="CR374" s="286"/>
      <c r="CS374" s="286"/>
      <c r="CT374" s="286"/>
      <c r="CU374" s="286"/>
      <c r="CV374" s="286"/>
      <c r="CW374" s="286"/>
      <c r="CX374" s="286"/>
      <c r="CY374" s="286"/>
      <c r="CZ374" s="286"/>
      <c r="DA374" s="286"/>
      <c r="DB374" s="286"/>
      <c r="DC374" s="286"/>
      <c r="DD374" s="286"/>
      <c r="DE374" s="286"/>
      <c r="DF374" s="286"/>
      <c r="DG374" s="286"/>
      <c r="DH374" s="286"/>
      <c r="DI374" s="286"/>
      <c r="DJ374" s="286"/>
      <c r="DK374" s="286"/>
      <c r="DL374" s="286"/>
      <c r="DM374" s="286"/>
      <c r="DN374" s="286"/>
      <c r="DO374" s="286"/>
      <c r="DP374" s="286"/>
      <c r="DR374" s="58" t="str">
        <f>IF(ISNUMBER(MATCH(#REF!,'Audit Characteristic Mapping'!$B$3:$B$500,0)),"Y","")</f>
        <v/>
      </c>
      <c r="DS374" s="58" t="str">
        <f>IF(ISNUMBER(MATCH(#REF!,'Audit Characteristic Mapping'!$C$3:$C$500,0)),"Y","")</f>
        <v/>
      </c>
      <c r="DT374" s="58" t="str">
        <f>IF(ISNUMBER(MATCH(#REF!,'Audit Characteristic Mapping'!$D$3:$D$500,0)),"Y","")</f>
        <v/>
      </c>
      <c r="DU374" s="58" t="str">
        <f>IF(ISNUMBER(MATCH(#REF!,'Audit Characteristic Mapping'!$E$3:$E$500,0)),"Y","")</f>
        <v/>
      </c>
      <c r="DV374" s="58" t="str">
        <f>IF(ISNUMBER(MATCH(#REF!,'Audit Characteristic Mapping'!$F$3:$F$500,0)),"Y","")</f>
        <v/>
      </c>
      <c r="DW374" s="58" t="str">
        <f>IF(ISNUMBER(MATCH(#REF!,'Audit Characteristic Mapping'!$G$3:$G$500,0)),"Y","")</f>
        <v/>
      </c>
      <c r="DX374" s="58" t="str">
        <f>IF(ISNUMBER(MATCH(#REF!,'Audit Characteristic Mapping'!$H$3:$H$500,0)),"Y","")</f>
        <v/>
      </c>
      <c r="DY374" s="58" t="str">
        <f>IF(ISNUMBER(MATCH(#REF!,'Audit Characteristic Mapping'!$I$3:$I$500,0)),"Y","")</f>
        <v/>
      </c>
      <c r="DZ374" s="58" t="str">
        <f>IF(ISNUMBER(MATCH(#REF!,'Audit Characteristic Mapping'!$J$3:$J$500,0)),"Y","")</f>
        <v/>
      </c>
      <c r="EA374" s="58" t="str">
        <f>IF(ISNUMBER(MATCH(#REF!,'Audit Characteristic Mapping'!$K$3:$K$500,0)),"Y","")</f>
        <v/>
      </c>
    </row>
    <row r="375" spans="1:131" ht="48" x14ac:dyDescent="0.2">
      <c r="A375" s="294">
        <v>368</v>
      </c>
      <c r="B375" s="287" t="s">
        <v>492</v>
      </c>
      <c r="C375" s="226" t="s">
        <v>518</v>
      </c>
      <c r="D375" s="170">
        <v>10</v>
      </c>
      <c r="E375" s="288">
        <v>73</v>
      </c>
      <c r="F375" s="291" t="str">
        <f>VLOOKUP(Calculation!A375,'Descriptor maps'!$A$2:$F$1658,6,0)</f>
        <v>Is there documented evidence that the arrangement of the surface deformation instruments is based on or supported by the failure mode assessment to achieve the objective of informing critical controls?</v>
      </c>
      <c r="G375" s="296" t="s">
        <v>1193</v>
      </c>
      <c r="H375" s="290"/>
      <c r="I375" s="291" cm="1">
        <f t="array" ref="I375">INDEX('Descriptor maps'!$H$2:$H$1658,MATCH(1,('Descriptor maps'!$A$2:$A$1658=Calculation!$A375)*('Descriptor maps'!$G$2:$G$1658=Calculation!$G375),0))</f>
        <v>2</v>
      </c>
      <c r="J375" s="292" cm="1">
        <f t="array" ref="J375">INDEX('Descriptor maps'!$I$2:$I$1658,MATCH(1,('Descriptor maps'!$A$2:$A$1658=Calculation!$A375)*('Descriptor maps'!$G$2:$G$1658=Calculation!$G375),0))</f>
        <v>2</v>
      </c>
      <c r="K375" s="226"/>
      <c r="L375" s="293"/>
      <c r="M375" s="293"/>
      <c r="N375" s="293"/>
      <c r="O375" s="293"/>
      <c r="P375" s="293">
        <f t="shared" si="0"/>
        <v>2</v>
      </c>
      <c r="Q375" s="293"/>
      <c r="R375" s="293"/>
      <c r="S375" s="293"/>
      <c r="T375" s="293"/>
      <c r="U375" s="293"/>
      <c r="V375" s="293"/>
      <c r="W375" s="293">
        <f t="shared" si="1"/>
        <v>2</v>
      </c>
      <c r="X375" s="293"/>
      <c r="Y375" s="293"/>
      <c r="Z375" s="293"/>
      <c r="AA375" s="293"/>
      <c r="AB375" s="293"/>
      <c r="AC375" s="293"/>
      <c r="AD375" s="293">
        <f t="shared" si="2"/>
        <v>2</v>
      </c>
      <c r="AE375" s="293"/>
      <c r="AF375" s="293"/>
      <c r="AG375" s="293"/>
      <c r="AH375" s="293"/>
      <c r="AI375" s="293"/>
      <c r="AJ375" s="293"/>
      <c r="AK375" s="293"/>
      <c r="AL375" s="293"/>
      <c r="AM375" s="293"/>
      <c r="AN375" s="293"/>
      <c r="AO375" s="293"/>
      <c r="AP375" s="293"/>
      <c r="AQ375" s="293"/>
      <c r="AR375" s="293"/>
      <c r="AS375" s="293"/>
      <c r="AT375" s="293"/>
      <c r="AU375" s="293"/>
      <c r="AV375" s="293"/>
      <c r="AW375" s="293"/>
      <c r="AX375" s="293"/>
      <c r="AY375" s="293"/>
      <c r="AZ375" s="293"/>
      <c r="BA375" s="293"/>
      <c r="BB375" s="293"/>
      <c r="BC375" s="293"/>
      <c r="BD375" s="293"/>
      <c r="BE375" s="293"/>
      <c r="BF375" s="293"/>
      <c r="BG375" s="293"/>
      <c r="BH375" s="293"/>
      <c r="BI375" s="293"/>
      <c r="BJ375" s="293"/>
      <c r="BK375" s="293"/>
      <c r="BL375" s="293"/>
      <c r="BM375" s="293"/>
      <c r="BN375" s="293"/>
      <c r="BO375" s="293"/>
      <c r="BP375" s="293"/>
      <c r="BQ375" s="293"/>
      <c r="BR375" s="293"/>
      <c r="BS375" s="293"/>
      <c r="BT375" s="293"/>
      <c r="BU375" s="293"/>
      <c r="BV375" s="293"/>
      <c r="BW375" s="293"/>
      <c r="BX375" s="293"/>
      <c r="BY375" s="293"/>
      <c r="BZ375" s="293"/>
      <c r="CA375" s="285"/>
      <c r="CB375" s="286"/>
      <c r="CC375" s="286"/>
      <c r="CD375" s="286"/>
      <c r="CE375" s="286"/>
      <c r="CF375" s="286"/>
      <c r="CG375" s="286"/>
      <c r="CH375" s="286"/>
      <c r="CI375" s="286"/>
      <c r="CJ375" s="286"/>
      <c r="CK375" s="286"/>
      <c r="CL375" s="286"/>
      <c r="CM375" s="286"/>
      <c r="CN375" s="286"/>
      <c r="CO375" s="286"/>
      <c r="CP375" s="286"/>
      <c r="CQ375" s="286"/>
      <c r="CR375" s="286"/>
      <c r="CS375" s="286"/>
      <c r="CT375" s="286"/>
      <c r="CU375" s="286"/>
      <c r="CV375" s="286"/>
      <c r="CW375" s="286"/>
      <c r="CX375" s="286"/>
      <c r="CY375" s="286"/>
      <c r="CZ375" s="286"/>
      <c r="DA375" s="286"/>
      <c r="DB375" s="286"/>
      <c r="DC375" s="286"/>
      <c r="DD375" s="286"/>
      <c r="DE375" s="286"/>
      <c r="DF375" s="286"/>
      <c r="DG375" s="286"/>
      <c r="DH375" s="286"/>
      <c r="DI375" s="286"/>
      <c r="DJ375" s="286"/>
      <c r="DK375" s="286"/>
      <c r="DL375" s="286"/>
      <c r="DM375" s="286"/>
      <c r="DN375" s="286"/>
      <c r="DO375" s="286"/>
      <c r="DP375" s="286"/>
      <c r="DR375" s="58" t="str">
        <f>IF(ISNUMBER(MATCH(#REF!,'Audit Characteristic Mapping'!$B$3:$B$500,0)),"Y","")</f>
        <v/>
      </c>
      <c r="DS375" s="58" t="str">
        <f>IF(ISNUMBER(MATCH(#REF!,'Audit Characteristic Mapping'!$C$3:$C$500,0)),"Y","")</f>
        <v/>
      </c>
      <c r="DT375" s="58" t="str">
        <f>IF(ISNUMBER(MATCH(#REF!,'Audit Characteristic Mapping'!$D$3:$D$500,0)),"Y","")</f>
        <v/>
      </c>
      <c r="DU375" s="58" t="str">
        <f>IF(ISNUMBER(MATCH(#REF!,'Audit Characteristic Mapping'!$E$3:$E$500,0)),"Y","")</f>
        <v/>
      </c>
      <c r="DV375" s="58" t="str">
        <f>IF(ISNUMBER(MATCH(#REF!,'Audit Characteristic Mapping'!$F$3:$F$500,0)),"Y","")</f>
        <v/>
      </c>
      <c r="DW375" s="58" t="str">
        <f>IF(ISNUMBER(MATCH(#REF!,'Audit Characteristic Mapping'!$G$3:$G$500,0)),"Y","")</f>
        <v/>
      </c>
      <c r="DX375" s="58" t="str">
        <f>IF(ISNUMBER(MATCH(#REF!,'Audit Characteristic Mapping'!$H$3:$H$500,0)),"Y","")</f>
        <v/>
      </c>
      <c r="DY375" s="58" t="str">
        <f>IF(ISNUMBER(MATCH(#REF!,'Audit Characteristic Mapping'!$I$3:$I$500,0)),"Y","")</f>
        <v/>
      </c>
      <c r="DZ375" s="58" t="str">
        <f>IF(ISNUMBER(MATCH(#REF!,'Audit Characteristic Mapping'!$J$3:$J$500,0)),"Y","")</f>
        <v/>
      </c>
      <c r="EA375" s="58" t="str">
        <f>IF(ISNUMBER(MATCH(#REF!,'Audit Characteristic Mapping'!$K$3:$K$500,0)),"Y","")</f>
        <v/>
      </c>
    </row>
    <row r="376" spans="1:131" ht="48" x14ac:dyDescent="0.2">
      <c r="A376" s="294">
        <v>369</v>
      </c>
      <c r="B376" s="287" t="s">
        <v>492</v>
      </c>
      <c r="C376" s="226" t="s">
        <v>518</v>
      </c>
      <c r="D376" s="170">
        <v>10</v>
      </c>
      <c r="E376" s="288">
        <v>73</v>
      </c>
      <c r="F376" s="291" t="str">
        <f>VLOOKUP(Calculation!A376,'Descriptor maps'!$A$2:$F$1658,6,0)</f>
        <v>Is there documented evidence that the arrangement of the internal embankment deformation instruments is based on or supported by the failure mode assessment to achieve the objective of informing critical controls?</v>
      </c>
      <c r="G376" s="296" t="s">
        <v>1195</v>
      </c>
      <c r="H376" s="290"/>
      <c r="I376" s="291" cm="1">
        <f t="array" ref="I376">INDEX('Descriptor maps'!$H$2:$H$1658,MATCH(1,('Descriptor maps'!$A$2:$A$1658=Calculation!$A376)*('Descriptor maps'!$G$2:$G$1658=Calculation!$G376),0))</f>
        <v>4</v>
      </c>
      <c r="J376" s="292" cm="1">
        <f t="array" ref="J376">INDEX('Descriptor maps'!$I$2:$I$1658,MATCH(1,('Descriptor maps'!$A$2:$A$1658=Calculation!$A376)*('Descriptor maps'!$G$2:$G$1658=Calculation!$G376),0))</f>
        <v>4</v>
      </c>
      <c r="K376" s="226"/>
      <c r="L376" s="293"/>
      <c r="M376" s="293"/>
      <c r="N376" s="293"/>
      <c r="O376" s="293"/>
      <c r="P376" s="293">
        <f t="shared" si="0"/>
        <v>4</v>
      </c>
      <c r="Q376" s="293"/>
      <c r="R376" s="293"/>
      <c r="S376" s="293"/>
      <c r="T376" s="293"/>
      <c r="U376" s="293"/>
      <c r="V376" s="293"/>
      <c r="W376" s="293">
        <f t="shared" si="1"/>
        <v>4</v>
      </c>
      <c r="X376" s="293"/>
      <c r="Y376" s="293"/>
      <c r="Z376" s="293"/>
      <c r="AA376" s="293"/>
      <c r="AB376" s="293"/>
      <c r="AC376" s="293"/>
      <c r="AD376" s="293">
        <f t="shared" si="2"/>
        <v>4</v>
      </c>
      <c r="AE376" s="293"/>
      <c r="AF376" s="293"/>
      <c r="AG376" s="293"/>
      <c r="AH376" s="293"/>
      <c r="AI376" s="293"/>
      <c r="AJ376" s="293"/>
      <c r="AK376" s="293"/>
      <c r="AL376" s="293"/>
      <c r="AM376" s="293"/>
      <c r="AN376" s="293"/>
      <c r="AO376" s="293"/>
      <c r="AP376" s="293"/>
      <c r="AQ376" s="293"/>
      <c r="AR376" s="293"/>
      <c r="AS376" s="293"/>
      <c r="AT376" s="293"/>
      <c r="AU376" s="293"/>
      <c r="AV376" s="293"/>
      <c r="AW376" s="293"/>
      <c r="AX376" s="293"/>
      <c r="AY376" s="293"/>
      <c r="AZ376" s="293"/>
      <c r="BA376" s="293"/>
      <c r="BB376" s="293"/>
      <c r="BC376" s="293"/>
      <c r="BD376" s="293"/>
      <c r="BE376" s="293"/>
      <c r="BF376" s="293"/>
      <c r="BG376" s="293"/>
      <c r="BH376" s="293"/>
      <c r="BI376" s="293"/>
      <c r="BJ376" s="293"/>
      <c r="BK376" s="293"/>
      <c r="BL376" s="293"/>
      <c r="BM376" s="293"/>
      <c r="BN376" s="293"/>
      <c r="BO376" s="293"/>
      <c r="BP376" s="293"/>
      <c r="BQ376" s="293"/>
      <c r="BR376" s="293"/>
      <c r="BS376" s="293"/>
      <c r="BT376" s="293"/>
      <c r="BU376" s="293"/>
      <c r="BV376" s="293"/>
      <c r="BW376" s="293"/>
      <c r="BX376" s="293"/>
      <c r="BY376" s="293"/>
      <c r="BZ376" s="293"/>
      <c r="CA376" s="285"/>
      <c r="CB376" s="286"/>
      <c r="CC376" s="286"/>
      <c r="CD376" s="286"/>
      <c r="CE376" s="286"/>
      <c r="CF376" s="286"/>
      <c r="CG376" s="286"/>
      <c r="CH376" s="286"/>
      <c r="CI376" s="286"/>
      <c r="CJ376" s="286"/>
      <c r="CK376" s="286"/>
      <c r="CL376" s="286"/>
      <c r="CM376" s="286"/>
      <c r="CN376" s="286"/>
      <c r="CO376" s="286"/>
      <c r="CP376" s="286"/>
      <c r="CQ376" s="286"/>
      <c r="CR376" s="286"/>
      <c r="CS376" s="286"/>
      <c r="CT376" s="286"/>
      <c r="CU376" s="286"/>
      <c r="CV376" s="286"/>
      <c r="CW376" s="286"/>
      <c r="CX376" s="286"/>
      <c r="CY376" s="286"/>
      <c r="CZ376" s="286"/>
      <c r="DA376" s="286"/>
      <c r="DB376" s="286"/>
      <c r="DC376" s="286"/>
      <c r="DD376" s="286"/>
      <c r="DE376" s="286"/>
      <c r="DF376" s="286"/>
      <c r="DG376" s="286"/>
      <c r="DH376" s="286"/>
      <c r="DI376" s="286"/>
      <c r="DJ376" s="286"/>
      <c r="DK376" s="286"/>
      <c r="DL376" s="286"/>
      <c r="DM376" s="286"/>
      <c r="DN376" s="286"/>
      <c r="DO376" s="286"/>
      <c r="DP376" s="286"/>
      <c r="DR376" s="58" t="str">
        <f>IF(ISNUMBER(MATCH(#REF!,'Audit Characteristic Mapping'!$B$3:$B$500,0)),"Y","")</f>
        <v/>
      </c>
      <c r="DS376" s="58" t="str">
        <f>IF(ISNUMBER(MATCH(#REF!,'Audit Characteristic Mapping'!$C$3:$C$500,0)),"Y","")</f>
        <v/>
      </c>
      <c r="DT376" s="58" t="str">
        <f>IF(ISNUMBER(MATCH(#REF!,'Audit Characteristic Mapping'!$D$3:$D$500,0)),"Y","")</f>
        <v/>
      </c>
      <c r="DU376" s="58" t="str">
        <f>IF(ISNUMBER(MATCH(#REF!,'Audit Characteristic Mapping'!$E$3:$E$500,0)),"Y","")</f>
        <v/>
      </c>
      <c r="DV376" s="58" t="str">
        <f>IF(ISNUMBER(MATCH(#REF!,'Audit Characteristic Mapping'!$F$3:$F$500,0)),"Y","")</f>
        <v/>
      </c>
      <c r="DW376" s="58" t="str">
        <f>IF(ISNUMBER(MATCH(#REF!,'Audit Characteristic Mapping'!$G$3:$G$500,0)),"Y","")</f>
        <v/>
      </c>
      <c r="DX376" s="58" t="str">
        <f>IF(ISNUMBER(MATCH(#REF!,'Audit Characteristic Mapping'!$H$3:$H$500,0)),"Y","")</f>
        <v/>
      </c>
      <c r="DY376" s="58" t="str">
        <f>IF(ISNUMBER(MATCH(#REF!,'Audit Characteristic Mapping'!$I$3:$I$500,0)),"Y","")</f>
        <v/>
      </c>
      <c r="DZ376" s="58" t="str">
        <f>IF(ISNUMBER(MATCH(#REF!,'Audit Characteristic Mapping'!$J$3:$J$500,0)),"Y","")</f>
        <v/>
      </c>
      <c r="EA376" s="58" t="str">
        <f>IF(ISNUMBER(MATCH(#REF!,'Audit Characteristic Mapping'!$K$3:$K$500,0)),"Y","")</f>
        <v/>
      </c>
    </row>
    <row r="377" spans="1:131" ht="48" x14ac:dyDescent="0.2">
      <c r="A377" s="294">
        <v>370</v>
      </c>
      <c r="B377" s="287" t="s">
        <v>492</v>
      </c>
      <c r="C377" s="226" t="s">
        <v>518</v>
      </c>
      <c r="D377" s="170">
        <v>10</v>
      </c>
      <c r="E377" s="288">
        <v>73</v>
      </c>
      <c r="F377" s="291" t="str">
        <f>VLOOKUP(Calculation!A377,'Descriptor maps'!$A$2:$F$1658,6,0)</f>
        <v>Is there documented evidence that the arrangement of the seepage monitoring instruments is based on or supported by the failure mode assessment to achieve the objective of informing critical controls?</v>
      </c>
      <c r="G377" s="296" t="s">
        <v>1193</v>
      </c>
      <c r="H377" s="290"/>
      <c r="I377" s="291" cm="1">
        <f t="array" ref="I377">INDEX('Descriptor maps'!$H$2:$H$1658,MATCH(1,('Descriptor maps'!$A$2:$A$1658=Calculation!$A377)*('Descriptor maps'!$G$2:$G$1658=Calculation!$G377),0))</f>
        <v>2</v>
      </c>
      <c r="J377" s="292" cm="1">
        <f t="array" ref="J377">INDEX('Descriptor maps'!$I$2:$I$1658,MATCH(1,('Descriptor maps'!$A$2:$A$1658=Calculation!$A377)*('Descriptor maps'!$G$2:$G$1658=Calculation!$G377),0))</f>
        <v>2</v>
      </c>
      <c r="K377" s="226"/>
      <c r="L377" s="293"/>
      <c r="M377" s="293"/>
      <c r="N377" s="293"/>
      <c r="O377" s="293"/>
      <c r="P377" s="293">
        <f t="shared" si="0"/>
        <v>2</v>
      </c>
      <c r="Q377" s="293"/>
      <c r="R377" s="293"/>
      <c r="S377" s="293"/>
      <c r="T377" s="293"/>
      <c r="U377" s="293"/>
      <c r="V377" s="293"/>
      <c r="W377" s="293">
        <f t="shared" si="1"/>
        <v>2</v>
      </c>
      <c r="X377" s="293"/>
      <c r="Y377" s="293"/>
      <c r="Z377" s="293"/>
      <c r="AA377" s="293"/>
      <c r="AB377" s="293"/>
      <c r="AC377" s="293"/>
      <c r="AD377" s="293">
        <f t="shared" si="2"/>
        <v>2</v>
      </c>
      <c r="AE377" s="293"/>
      <c r="AF377" s="293"/>
      <c r="AG377" s="293"/>
      <c r="AH377" s="293"/>
      <c r="AI377" s="293"/>
      <c r="AJ377" s="293"/>
      <c r="AK377" s="293"/>
      <c r="AL377" s="293"/>
      <c r="AM377" s="293"/>
      <c r="AN377" s="293"/>
      <c r="AO377" s="293"/>
      <c r="AP377" s="293"/>
      <c r="AQ377" s="293"/>
      <c r="AR377" s="293"/>
      <c r="AS377" s="293"/>
      <c r="AT377" s="293"/>
      <c r="AU377" s="293"/>
      <c r="AV377" s="293"/>
      <c r="AW377" s="293"/>
      <c r="AX377" s="293"/>
      <c r="AY377" s="293"/>
      <c r="AZ377" s="293"/>
      <c r="BA377" s="293"/>
      <c r="BB377" s="293"/>
      <c r="BC377" s="293"/>
      <c r="BD377" s="293"/>
      <c r="BE377" s="293"/>
      <c r="BF377" s="293"/>
      <c r="BG377" s="293"/>
      <c r="BH377" s="293"/>
      <c r="BI377" s="293"/>
      <c r="BJ377" s="293"/>
      <c r="BK377" s="293"/>
      <c r="BL377" s="293"/>
      <c r="BM377" s="293"/>
      <c r="BN377" s="293"/>
      <c r="BO377" s="293"/>
      <c r="BP377" s="293"/>
      <c r="BQ377" s="293"/>
      <c r="BR377" s="293"/>
      <c r="BS377" s="293"/>
      <c r="BT377" s="293"/>
      <c r="BU377" s="293"/>
      <c r="BV377" s="293"/>
      <c r="BW377" s="293"/>
      <c r="BX377" s="293"/>
      <c r="BY377" s="293"/>
      <c r="BZ377" s="293"/>
      <c r="CA377" s="285"/>
      <c r="CB377" s="286"/>
      <c r="CC377" s="286"/>
      <c r="CD377" s="286"/>
      <c r="CE377" s="286"/>
      <c r="CF377" s="286"/>
      <c r="CG377" s="286"/>
      <c r="CH377" s="286"/>
      <c r="CI377" s="286"/>
      <c r="CJ377" s="286"/>
      <c r="CK377" s="286"/>
      <c r="CL377" s="286"/>
      <c r="CM377" s="286"/>
      <c r="CN377" s="286"/>
      <c r="CO377" s="286"/>
      <c r="CP377" s="286"/>
      <c r="CQ377" s="286"/>
      <c r="CR377" s="286"/>
      <c r="CS377" s="286"/>
      <c r="CT377" s="286"/>
      <c r="CU377" s="286"/>
      <c r="CV377" s="286"/>
      <c r="CW377" s="286"/>
      <c r="CX377" s="286"/>
      <c r="CY377" s="286"/>
      <c r="CZ377" s="286"/>
      <c r="DA377" s="286"/>
      <c r="DB377" s="286"/>
      <c r="DC377" s="286"/>
      <c r="DD377" s="286"/>
      <c r="DE377" s="286"/>
      <c r="DF377" s="286"/>
      <c r="DG377" s="286"/>
      <c r="DH377" s="286"/>
      <c r="DI377" s="286"/>
      <c r="DJ377" s="286"/>
      <c r="DK377" s="286"/>
      <c r="DL377" s="286"/>
      <c r="DM377" s="286"/>
      <c r="DN377" s="286"/>
      <c r="DO377" s="286"/>
      <c r="DP377" s="286"/>
      <c r="DR377" s="58" t="str">
        <f>IF(ISNUMBER(MATCH(#REF!,'Audit Characteristic Mapping'!$B$3:$B$500,0)),"Y","")</f>
        <v/>
      </c>
      <c r="DS377" s="58" t="str">
        <f>IF(ISNUMBER(MATCH(#REF!,'Audit Characteristic Mapping'!$C$3:$C$500,0)),"Y","")</f>
        <v/>
      </c>
      <c r="DT377" s="58" t="str">
        <f>IF(ISNUMBER(MATCH(#REF!,'Audit Characteristic Mapping'!$D$3:$D$500,0)),"Y","")</f>
        <v/>
      </c>
      <c r="DU377" s="58" t="str">
        <f>IF(ISNUMBER(MATCH(#REF!,'Audit Characteristic Mapping'!$E$3:$E$500,0)),"Y","")</f>
        <v/>
      </c>
      <c r="DV377" s="58" t="str">
        <f>IF(ISNUMBER(MATCH(#REF!,'Audit Characteristic Mapping'!$F$3:$F$500,0)),"Y","")</f>
        <v/>
      </c>
      <c r="DW377" s="58" t="str">
        <f>IF(ISNUMBER(MATCH(#REF!,'Audit Characteristic Mapping'!$G$3:$G$500,0)),"Y","")</f>
        <v/>
      </c>
      <c r="DX377" s="58" t="str">
        <f>IF(ISNUMBER(MATCH(#REF!,'Audit Characteristic Mapping'!$H$3:$H$500,0)),"Y","")</f>
        <v/>
      </c>
      <c r="DY377" s="58" t="str">
        <f>IF(ISNUMBER(MATCH(#REF!,'Audit Characteristic Mapping'!$I$3:$I$500,0)),"Y","")</f>
        <v/>
      </c>
      <c r="DZ377" s="58" t="str">
        <f>IF(ISNUMBER(MATCH(#REF!,'Audit Characteristic Mapping'!$J$3:$J$500,0)),"Y","")</f>
        <v/>
      </c>
      <c r="EA377" s="58" t="str">
        <f>IF(ISNUMBER(MATCH(#REF!,'Audit Characteristic Mapping'!$K$3:$K$500,0)),"Y","")</f>
        <v/>
      </c>
    </row>
    <row r="378" spans="1:131" ht="64" x14ac:dyDescent="0.2">
      <c r="A378" s="294">
        <v>372</v>
      </c>
      <c r="B378" s="287" t="s">
        <v>492</v>
      </c>
      <c r="C378" s="226" t="s">
        <v>525</v>
      </c>
      <c r="D378" s="170">
        <v>10</v>
      </c>
      <c r="E378" s="288">
        <v>75</v>
      </c>
      <c r="F378" s="291" t="str">
        <f>VLOOKUP(Calculation!A378,'Descriptor maps'!$A$2:$F$1658,6,0)</f>
        <v>Is there documented evidence that foundation pore pressure data was collected and reviewed appropriately and at the minimum required frequencies to achieve the objective of determining if the pore pressures are in line with the expected performance of the structure?</v>
      </c>
      <c r="G378" s="296" t="s">
        <v>1194</v>
      </c>
      <c r="H378" s="290"/>
      <c r="I378" s="291" cm="1">
        <f t="array" ref="I378">INDEX('Descriptor maps'!$H$2:$H$1658,MATCH(1,('Descriptor maps'!$A$2:$A$1658=Calculation!$A378)*('Descriptor maps'!$G$2:$G$1658=Calculation!$G378),0))</f>
        <v>3</v>
      </c>
      <c r="J378" s="292" cm="1">
        <f t="array" ref="J378">INDEX('Descriptor maps'!$I$2:$I$1658,MATCH(1,('Descriptor maps'!$A$2:$A$1658=Calculation!$A378)*('Descriptor maps'!$G$2:$G$1658=Calculation!$G378),0))</f>
        <v>3</v>
      </c>
      <c r="K378" s="226"/>
      <c r="L378" s="293"/>
      <c r="M378" s="293"/>
      <c r="N378" s="293"/>
      <c r="O378" s="293"/>
      <c r="P378" s="293">
        <f t="shared" si="0"/>
        <v>3</v>
      </c>
      <c r="Q378" s="293"/>
      <c r="R378" s="293"/>
      <c r="S378" s="293"/>
      <c r="T378" s="293"/>
      <c r="U378" s="293"/>
      <c r="V378" s="293"/>
      <c r="W378" s="293">
        <f t="shared" si="1"/>
        <v>3</v>
      </c>
      <c r="X378" s="293"/>
      <c r="Y378" s="293"/>
      <c r="Z378" s="293"/>
      <c r="AA378" s="293"/>
      <c r="AB378" s="293"/>
      <c r="AC378" s="293"/>
      <c r="AD378" s="293">
        <f t="shared" si="2"/>
        <v>3</v>
      </c>
      <c r="AE378" s="293"/>
      <c r="AF378" s="293"/>
      <c r="AG378" s="293"/>
      <c r="AH378" s="293"/>
      <c r="AI378" s="293"/>
      <c r="AJ378" s="293"/>
      <c r="AK378" s="293"/>
      <c r="AL378" s="293"/>
      <c r="AM378" s="293"/>
      <c r="AN378" s="293"/>
      <c r="AO378" s="293"/>
      <c r="AP378" s="293"/>
      <c r="AQ378" s="293"/>
      <c r="AR378" s="293"/>
      <c r="AS378" s="293"/>
      <c r="AT378" s="293"/>
      <c r="AU378" s="293"/>
      <c r="AV378" s="293"/>
      <c r="AW378" s="293"/>
      <c r="AX378" s="293"/>
      <c r="AY378" s="293"/>
      <c r="AZ378" s="293"/>
      <c r="BA378" s="293"/>
      <c r="BB378" s="293"/>
      <c r="BC378" s="293"/>
      <c r="BD378" s="293"/>
      <c r="BE378" s="293"/>
      <c r="BF378" s="293"/>
      <c r="BG378" s="293"/>
      <c r="BH378" s="293"/>
      <c r="BI378" s="293"/>
      <c r="BJ378" s="293"/>
      <c r="BK378" s="293"/>
      <c r="BL378" s="293"/>
      <c r="BM378" s="293"/>
      <c r="BN378" s="293"/>
      <c r="BO378" s="293"/>
      <c r="BP378" s="293"/>
      <c r="BQ378" s="293"/>
      <c r="BR378" s="293"/>
      <c r="BS378" s="293"/>
      <c r="BT378" s="293"/>
      <c r="BU378" s="293"/>
      <c r="BV378" s="293"/>
      <c r="BW378" s="293"/>
      <c r="BX378" s="293"/>
      <c r="BY378" s="293"/>
      <c r="BZ378" s="293"/>
      <c r="CA378" s="285"/>
      <c r="CB378" s="286"/>
      <c r="CC378" s="286"/>
      <c r="CD378" s="286"/>
      <c r="CE378" s="286"/>
      <c r="CF378" s="286"/>
      <c r="CG378" s="286"/>
      <c r="CH378" s="286"/>
      <c r="CI378" s="286"/>
      <c r="CJ378" s="286"/>
      <c r="CK378" s="286"/>
      <c r="CL378" s="286"/>
      <c r="CM378" s="286"/>
      <c r="CN378" s="286"/>
      <c r="CO378" s="286"/>
      <c r="CP378" s="286"/>
      <c r="CQ378" s="286"/>
      <c r="CR378" s="286"/>
      <c r="CS378" s="286"/>
      <c r="CT378" s="286"/>
      <c r="CU378" s="286"/>
      <c r="CV378" s="286"/>
      <c r="CW378" s="286"/>
      <c r="CX378" s="286"/>
      <c r="CY378" s="286"/>
      <c r="CZ378" s="286"/>
      <c r="DA378" s="286"/>
      <c r="DB378" s="286"/>
      <c r="DC378" s="286"/>
      <c r="DD378" s="286"/>
      <c r="DE378" s="286"/>
      <c r="DF378" s="286"/>
      <c r="DG378" s="286"/>
      <c r="DH378" s="286"/>
      <c r="DI378" s="286"/>
      <c r="DJ378" s="286"/>
      <c r="DK378" s="286"/>
      <c r="DL378" s="286"/>
      <c r="DM378" s="286"/>
      <c r="DN378" s="286"/>
      <c r="DO378" s="286"/>
      <c r="DP378" s="286"/>
      <c r="DR378" s="58" t="str">
        <f>IF(ISNUMBER(MATCH(#REF!,'Audit Characteristic Mapping'!$B$3:$B$500,0)),"Y","")</f>
        <v/>
      </c>
      <c r="DS378" s="58" t="str">
        <f>IF(ISNUMBER(MATCH(#REF!,'Audit Characteristic Mapping'!$C$3:$C$500,0)),"Y","")</f>
        <v/>
      </c>
      <c r="DT378" s="58" t="str">
        <f>IF(ISNUMBER(MATCH(#REF!,'Audit Characteristic Mapping'!$D$3:$D$500,0)),"Y","")</f>
        <v/>
      </c>
      <c r="DU378" s="58" t="str">
        <f>IF(ISNUMBER(MATCH(#REF!,'Audit Characteristic Mapping'!$E$3:$E$500,0)),"Y","")</f>
        <v/>
      </c>
      <c r="DV378" s="58" t="str">
        <f>IF(ISNUMBER(MATCH(#REF!,'Audit Characteristic Mapping'!$F$3:$F$500,0)),"Y","")</f>
        <v/>
      </c>
      <c r="DW378" s="58" t="str">
        <f>IF(ISNUMBER(MATCH(#REF!,'Audit Characteristic Mapping'!$G$3:$G$500,0)),"Y","")</f>
        <v/>
      </c>
      <c r="DX378" s="58" t="str">
        <f>IF(ISNUMBER(MATCH(#REF!,'Audit Characteristic Mapping'!$H$3:$H$500,0)),"Y","")</f>
        <v/>
      </c>
      <c r="DY378" s="58" t="str">
        <f>IF(ISNUMBER(MATCH(#REF!,'Audit Characteristic Mapping'!$I$3:$I$500,0)),"Y","")</f>
        <v/>
      </c>
      <c r="DZ378" s="58" t="str">
        <f>IF(ISNUMBER(MATCH(#REF!,'Audit Characteristic Mapping'!$J$3:$J$500,0)),"Y","")</f>
        <v/>
      </c>
      <c r="EA378" s="58" t="str">
        <f>IF(ISNUMBER(MATCH(#REF!,'Audit Characteristic Mapping'!$K$3:$K$500,0)),"Y","")</f>
        <v/>
      </c>
    </row>
    <row r="379" spans="1:131" ht="64" x14ac:dyDescent="0.2">
      <c r="A379" s="294">
        <v>373</v>
      </c>
      <c r="B379" s="287" t="s">
        <v>492</v>
      </c>
      <c r="C379" s="226" t="s">
        <v>525</v>
      </c>
      <c r="D379" s="170">
        <v>10</v>
      </c>
      <c r="E379" s="288">
        <v>75</v>
      </c>
      <c r="F379" s="291" t="str">
        <f>VLOOKUP(Calculation!A379,'Descriptor maps'!$A$2:$F$1658,6,0)</f>
        <v>Is there documented evidence that foundation pore water pressure data were analysed using current engineering practice and at the frequencies prescribed in the operation manual with the objective of confirming the embankment performance in respect with the failure mode assessment?</v>
      </c>
      <c r="G379" s="296" t="s">
        <v>527</v>
      </c>
      <c r="H379" s="290"/>
      <c r="I379" s="291" t="e" cm="1">
        <f t="array" ref="I379">INDEX('Descriptor maps'!$H$2:$H$1658,MATCH(1,('Descriptor maps'!$A$2:$A$1658=Calculation!$A379)*('Descriptor maps'!$G$2:$G$1658=Calculation!$G379),0))</f>
        <v>#N/A</v>
      </c>
      <c r="J379" s="292" t="e" cm="1">
        <f t="array" ref="J379">INDEX('Descriptor maps'!$I$2:$I$1658,MATCH(1,('Descriptor maps'!$A$2:$A$1658=Calculation!$A379)*('Descriptor maps'!$G$2:$G$1658=Calculation!$G379),0))</f>
        <v>#N/A</v>
      </c>
      <c r="K379" s="292" t="e" cm="1">
        <f t="array" ref="K379">INDEX('Descriptor maps'!$J$2:$J$1658,MATCH(1,('Descriptor maps'!$A$2:$A$1658=Calculation!$A379)*('Descriptor maps'!$G$2:$G$1658=Calculation!$G379),0))</f>
        <v>#N/A</v>
      </c>
      <c r="L379" s="293"/>
      <c r="M379" s="293"/>
      <c r="N379" s="293"/>
      <c r="O379" s="293"/>
      <c r="P379" s="293" t="e">
        <f t="shared" si="0"/>
        <v>#N/A</v>
      </c>
      <c r="Q379" s="293"/>
      <c r="R379" s="293"/>
      <c r="S379" s="293"/>
      <c r="T379" s="293"/>
      <c r="U379" s="293"/>
      <c r="V379" s="293"/>
      <c r="W379" s="293" t="e">
        <f t="shared" si="1"/>
        <v>#N/A</v>
      </c>
      <c r="X379" s="293"/>
      <c r="Y379" s="293"/>
      <c r="Z379" s="293"/>
      <c r="AA379" s="293"/>
      <c r="AB379" s="293"/>
      <c r="AC379" s="293"/>
      <c r="AD379" s="293" t="e">
        <f t="shared" si="2"/>
        <v>#N/A</v>
      </c>
      <c r="AE379" s="293"/>
      <c r="AF379" s="293"/>
      <c r="AG379" s="293"/>
      <c r="AH379" s="293"/>
      <c r="AI379" s="293"/>
      <c r="AJ379" s="293"/>
      <c r="AK379" s="293"/>
      <c r="AL379" s="293"/>
      <c r="AM379" s="293"/>
      <c r="AN379" s="293"/>
      <c r="AO379" s="293"/>
      <c r="AP379" s="293"/>
      <c r="AQ379" s="293"/>
      <c r="AR379" s="293"/>
      <c r="AS379" s="293"/>
      <c r="AT379" s="293"/>
      <c r="AU379" s="293"/>
      <c r="AV379" s="293"/>
      <c r="AW379" s="293"/>
      <c r="AX379" s="293"/>
      <c r="AY379" s="293"/>
      <c r="AZ379" s="293" t="e">
        <f>K379</f>
        <v>#N/A</v>
      </c>
      <c r="BA379" s="293"/>
      <c r="BB379" s="293"/>
      <c r="BC379" s="293"/>
      <c r="BD379" s="293"/>
      <c r="BE379" s="293"/>
      <c r="BF379" s="293"/>
      <c r="BG379" s="293"/>
      <c r="BH379" s="293"/>
      <c r="BI379" s="293"/>
      <c r="BJ379" s="293"/>
      <c r="BK379" s="293"/>
      <c r="BL379" s="293"/>
      <c r="BM379" s="293"/>
      <c r="BN379" s="293"/>
      <c r="BO379" s="293"/>
      <c r="BP379" s="293"/>
      <c r="BQ379" s="293"/>
      <c r="BR379" s="293"/>
      <c r="BS379" s="293"/>
      <c r="BT379" s="293"/>
      <c r="BU379" s="293"/>
      <c r="BV379" s="293"/>
      <c r="BW379" s="293"/>
      <c r="BX379" s="293"/>
      <c r="BY379" s="293"/>
      <c r="BZ379" s="293"/>
      <c r="CA379" s="285"/>
      <c r="CB379" s="286"/>
      <c r="CC379" s="286"/>
      <c r="CD379" s="286"/>
      <c r="CE379" s="286"/>
      <c r="CF379" s="286"/>
      <c r="CG379" s="286"/>
      <c r="CH379" s="286"/>
      <c r="CI379" s="286"/>
      <c r="CJ379" s="286"/>
      <c r="CK379" s="286"/>
      <c r="CL379" s="286"/>
      <c r="CM379" s="286"/>
      <c r="CN379" s="286"/>
      <c r="CO379" s="286"/>
      <c r="CP379" s="286"/>
      <c r="CQ379" s="286"/>
      <c r="CR379" s="286"/>
      <c r="CS379" s="286"/>
      <c r="CT379" s="286"/>
      <c r="CU379" s="286"/>
      <c r="CV379" s="286"/>
      <c r="CW379" s="286"/>
      <c r="CX379" s="286"/>
      <c r="CY379" s="286"/>
      <c r="CZ379" s="286"/>
      <c r="DA379" s="286"/>
      <c r="DB379" s="286"/>
      <c r="DC379" s="286"/>
      <c r="DD379" s="286"/>
      <c r="DE379" s="286">
        <v>1</v>
      </c>
      <c r="DF379" s="286"/>
      <c r="DG379" s="286"/>
      <c r="DH379" s="286"/>
      <c r="DI379" s="286"/>
      <c r="DJ379" s="286"/>
      <c r="DK379" s="286"/>
      <c r="DL379" s="286"/>
      <c r="DM379" s="286"/>
      <c r="DN379" s="286"/>
      <c r="DO379" s="286"/>
      <c r="DP379" s="286"/>
      <c r="DR379" s="58" t="str">
        <f>IF(ISNUMBER(MATCH(#REF!,'Audit Characteristic Mapping'!$B$3:$B$500,0)),"Y","")</f>
        <v/>
      </c>
      <c r="DS379" s="58" t="str">
        <f>IF(ISNUMBER(MATCH(#REF!,'Audit Characteristic Mapping'!$C$3:$C$500,0)),"Y","")</f>
        <v/>
      </c>
      <c r="DT379" s="58" t="str">
        <f>IF(ISNUMBER(MATCH(#REF!,'Audit Characteristic Mapping'!$D$3:$D$500,0)),"Y","")</f>
        <v/>
      </c>
      <c r="DU379" s="58" t="str">
        <f>IF(ISNUMBER(MATCH(#REF!,'Audit Characteristic Mapping'!$E$3:$E$500,0)),"Y","")</f>
        <v/>
      </c>
      <c r="DV379" s="58" t="str">
        <f>IF(ISNUMBER(MATCH(#REF!,'Audit Characteristic Mapping'!$F$3:$F$500,0)),"Y","")</f>
        <v/>
      </c>
      <c r="DW379" s="58" t="str">
        <f>IF(ISNUMBER(MATCH(#REF!,'Audit Characteristic Mapping'!$G$3:$G$500,0)),"Y","")</f>
        <v/>
      </c>
      <c r="DX379" s="58" t="str">
        <f>IF(ISNUMBER(MATCH(#REF!,'Audit Characteristic Mapping'!$H$3:$H$500,0)),"Y","")</f>
        <v/>
      </c>
      <c r="DY379" s="58" t="str">
        <f>IF(ISNUMBER(MATCH(#REF!,'Audit Characteristic Mapping'!$I$3:$I$500,0)),"Y","")</f>
        <v/>
      </c>
      <c r="DZ379" s="58" t="str">
        <f>IF(ISNUMBER(MATCH(#REF!,'Audit Characteristic Mapping'!$J$3:$J$500,0)),"Y","")</f>
        <v/>
      </c>
      <c r="EA379" s="58" t="str">
        <f>IF(ISNUMBER(MATCH(#REF!,'Audit Characteristic Mapping'!$K$3:$K$500,0)),"Y","")</f>
        <v/>
      </c>
    </row>
    <row r="380" spans="1:131" ht="32" x14ac:dyDescent="0.2">
      <c r="A380" s="294">
        <v>374</v>
      </c>
      <c r="B380" s="287" t="s">
        <v>492</v>
      </c>
      <c r="C380" s="226" t="s">
        <v>525</v>
      </c>
      <c r="D380" s="170">
        <v>10</v>
      </c>
      <c r="E380" s="288">
        <v>75</v>
      </c>
      <c r="F380" s="291" t="str">
        <f>VLOOKUP(Calculation!A380,'Descriptor maps'!$A$2:$F$1658,6,0)</f>
        <v>Does the foundation piezometer pore pressure data indicate that pore pressures have exceeded set trigger levels since it was last reviewed?</v>
      </c>
      <c r="G380" s="296" t="s">
        <v>8</v>
      </c>
      <c r="H380" s="290"/>
      <c r="I380" s="291" cm="1">
        <f t="array" ref="I380">INDEX('Descriptor maps'!$H$2:$H$1658,MATCH(1,('Descriptor maps'!$A$2:$A$1658=Calculation!$A380)*('Descriptor maps'!$G$2:$G$1658=Calculation!$G380),0))</f>
        <v>1</v>
      </c>
      <c r="J380" s="292" cm="1">
        <f t="array" ref="J380">INDEX('Descriptor maps'!$I$2:$I$1658,MATCH(1,('Descriptor maps'!$A$2:$A$1658=Calculation!$A380)*('Descriptor maps'!$G$2:$G$1658=Calculation!$G380),0))</f>
        <v>1</v>
      </c>
      <c r="K380" s="226"/>
      <c r="L380" s="293"/>
      <c r="M380" s="293"/>
      <c r="N380" s="293"/>
      <c r="O380" s="293"/>
      <c r="P380" s="293">
        <f t="shared" si="0"/>
        <v>1</v>
      </c>
      <c r="Q380" s="293"/>
      <c r="R380" s="293"/>
      <c r="S380" s="293"/>
      <c r="T380" s="293"/>
      <c r="U380" s="293"/>
      <c r="V380" s="293"/>
      <c r="W380" s="293">
        <f t="shared" si="1"/>
        <v>1</v>
      </c>
      <c r="X380" s="293"/>
      <c r="Y380" s="293"/>
      <c r="Z380" s="293"/>
      <c r="AA380" s="293"/>
      <c r="AB380" s="293"/>
      <c r="AC380" s="293"/>
      <c r="AD380" s="293">
        <f t="shared" si="2"/>
        <v>1</v>
      </c>
      <c r="AE380" s="293"/>
      <c r="AF380" s="293"/>
      <c r="AG380" s="293"/>
      <c r="AH380" s="293"/>
      <c r="AI380" s="293"/>
      <c r="AJ380" s="293"/>
      <c r="AK380" s="293"/>
      <c r="AL380" s="293"/>
      <c r="AM380" s="293"/>
      <c r="AN380" s="293"/>
      <c r="AO380" s="293"/>
      <c r="AP380" s="293"/>
      <c r="AQ380" s="293"/>
      <c r="AR380" s="293"/>
      <c r="AS380" s="293"/>
      <c r="AT380" s="293"/>
      <c r="AU380" s="293"/>
      <c r="AV380" s="293"/>
      <c r="AW380" s="293"/>
      <c r="AX380" s="293"/>
      <c r="AY380" s="293"/>
      <c r="AZ380" s="293"/>
      <c r="BA380" s="293"/>
      <c r="BB380" s="293"/>
      <c r="BC380" s="293"/>
      <c r="BD380" s="293"/>
      <c r="BE380" s="293"/>
      <c r="BF380" s="293"/>
      <c r="BG380" s="293"/>
      <c r="BH380" s="293"/>
      <c r="BI380" s="293"/>
      <c r="BJ380" s="293"/>
      <c r="BK380" s="293"/>
      <c r="BL380" s="293"/>
      <c r="BM380" s="293"/>
      <c r="BN380" s="293"/>
      <c r="BO380" s="293"/>
      <c r="BP380" s="293"/>
      <c r="BQ380" s="293"/>
      <c r="BR380" s="293"/>
      <c r="BS380" s="293"/>
      <c r="BT380" s="293"/>
      <c r="BU380" s="293"/>
      <c r="BV380" s="293"/>
      <c r="BW380" s="293"/>
      <c r="BX380" s="293"/>
      <c r="BY380" s="293"/>
      <c r="BZ380" s="293"/>
      <c r="CA380" s="285"/>
      <c r="CB380" s="286"/>
      <c r="CC380" s="286"/>
      <c r="CD380" s="286"/>
      <c r="CE380" s="286"/>
      <c r="CF380" s="286"/>
      <c r="CG380" s="286"/>
      <c r="CH380" s="286"/>
      <c r="CI380" s="286"/>
      <c r="CJ380" s="286"/>
      <c r="CK380" s="286"/>
      <c r="CL380" s="286"/>
      <c r="CM380" s="286"/>
      <c r="CN380" s="286"/>
      <c r="CO380" s="286"/>
      <c r="CP380" s="286"/>
      <c r="CQ380" s="286"/>
      <c r="CR380" s="286"/>
      <c r="CS380" s="286"/>
      <c r="CT380" s="286"/>
      <c r="CU380" s="286"/>
      <c r="CV380" s="286"/>
      <c r="CW380" s="286"/>
      <c r="CX380" s="286"/>
      <c r="CY380" s="286"/>
      <c r="CZ380" s="286"/>
      <c r="DA380" s="286"/>
      <c r="DB380" s="286"/>
      <c r="DC380" s="286"/>
      <c r="DD380" s="286"/>
      <c r="DE380" s="286"/>
      <c r="DF380" s="286"/>
      <c r="DG380" s="286"/>
      <c r="DH380" s="286"/>
      <c r="DI380" s="286"/>
      <c r="DJ380" s="286"/>
      <c r="DK380" s="286"/>
      <c r="DL380" s="286"/>
      <c r="DM380" s="286"/>
      <c r="DN380" s="286"/>
      <c r="DO380" s="286"/>
      <c r="DP380" s="286"/>
      <c r="DR380" s="58" t="str">
        <f>IF(ISNUMBER(MATCH(#REF!,'Audit Characteristic Mapping'!$B$3:$B$500,0)),"Y","")</f>
        <v/>
      </c>
      <c r="DS380" s="58" t="str">
        <f>IF(ISNUMBER(MATCH(#REF!,'Audit Characteristic Mapping'!$C$3:$C$500,0)),"Y","")</f>
        <v/>
      </c>
      <c r="DT380" s="58" t="str">
        <f>IF(ISNUMBER(MATCH(#REF!,'Audit Characteristic Mapping'!$D$3:$D$500,0)),"Y","")</f>
        <v/>
      </c>
      <c r="DU380" s="58" t="str">
        <f>IF(ISNUMBER(MATCH(#REF!,'Audit Characteristic Mapping'!$E$3:$E$500,0)),"Y","")</f>
        <v/>
      </c>
      <c r="DV380" s="58" t="str">
        <f>IF(ISNUMBER(MATCH(#REF!,'Audit Characteristic Mapping'!$F$3:$F$500,0)),"Y","")</f>
        <v/>
      </c>
      <c r="DW380" s="58" t="str">
        <f>IF(ISNUMBER(MATCH(#REF!,'Audit Characteristic Mapping'!$G$3:$G$500,0)),"Y","")</f>
        <v/>
      </c>
      <c r="DX380" s="58" t="str">
        <f>IF(ISNUMBER(MATCH(#REF!,'Audit Characteristic Mapping'!$H$3:$H$500,0)),"Y","")</f>
        <v/>
      </c>
      <c r="DY380" s="58" t="str">
        <f>IF(ISNUMBER(MATCH(#REF!,'Audit Characteristic Mapping'!$I$3:$I$500,0)),"Y","")</f>
        <v/>
      </c>
      <c r="DZ380" s="58" t="str">
        <f>IF(ISNUMBER(MATCH(#REF!,'Audit Characteristic Mapping'!$J$3:$J$500,0)),"Y","")</f>
        <v/>
      </c>
      <c r="EA380" s="58" t="str">
        <f>IF(ISNUMBER(MATCH(#REF!,'Audit Characteristic Mapping'!$K$3:$K$500,0)),"Y","")</f>
        <v/>
      </c>
    </row>
    <row r="381" spans="1:131" ht="16" hidden="1" x14ac:dyDescent="0.2">
      <c r="A381" s="288">
        <v>371</v>
      </c>
      <c r="B381" s="287" t="s">
        <v>492</v>
      </c>
      <c r="C381" s="226" t="s">
        <v>523</v>
      </c>
      <c r="D381" s="170">
        <v>10</v>
      </c>
      <c r="E381" s="288">
        <v>74</v>
      </c>
      <c r="F381" s="291" t="str">
        <f>VLOOKUP(Calculation!A381,'Descriptor maps'!$A$2:$F$1658,2,0)</f>
        <v>Operation</v>
      </c>
      <c r="G381" s="296" t="s">
        <v>8</v>
      </c>
      <c r="H381" s="290"/>
      <c r="I381" s="291"/>
      <c r="J381" s="292" cm="1">
        <f t="array" ref="J381">INDEX('Descriptor maps'!$I$2:$I$1658,MATCH(1,('Descriptor maps'!$A$2:$A$1658=Calculation!$A381)*('Descriptor maps'!$G$2:$G$1658=Calculation!$G381),0))</f>
        <v>1</v>
      </c>
      <c r="K381" s="226"/>
      <c r="L381" s="293"/>
      <c r="M381" s="293"/>
      <c r="N381" s="293"/>
      <c r="O381" s="293"/>
      <c r="P381" s="293"/>
      <c r="Q381" s="293"/>
      <c r="R381" s="293"/>
      <c r="S381" s="293"/>
      <c r="T381" s="293"/>
      <c r="U381" s="293"/>
      <c r="V381" s="293"/>
      <c r="W381" s="293"/>
      <c r="X381" s="293"/>
      <c r="Y381" s="293"/>
      <c r="Z381" s="293"/>
      <c r="AA381" s="293"/>
      <c r="AB381" s="293"/>
      <c r="AC381" s="293"/>
      <c r="AD381" s="293"/>
      <c r="AE381" s="293"/>
      <c r="AF381" s="293"/>
      <c r="AG381" s="293"/>
      <c r="AH381" s="293"/>
      <c r="AI381" s="293"/>
      <c r="AJ381" s="293"/>
      <c r="AK381" s="293"/>
      <c r="AL381" s="293"/>
      <c r="AM381" s="293"/>
      <c r="AN381" s="293"/>
      <c r="AO381" s="293"/>
      <c r="AP381" s="293"/>
      <c r="AQ381" s="293"/>
      <c r="AR381" s="293"/>
      <c r="AS381" s="293"/>
      <c r="AT381" s="293"/>
      <c r="AU381" s="293"/>
      <c r="AV381" s="293"/>
      <c r="AW381" s="293"/>
      <c r="AX381" s="293"/>
      <c r="AY381" s="293"/>
      <c r="AZ381" s="293"/>
      <c r="BA381" s="293"/>
      <c r="BB381" s="293"/>
      <c r="BC381" s="293"/>
      <c r="BD381" s="293"/>
      <c r="BE381" s="293"/>
      <c r="BF381" s="293"/>
      <c r="BG381" s="293"/>
      <c r="BH381" s="293"/>
      <c r="BI381" s="293"/>
      <c r="BJ381" s="293"/>
      <c r="BK381" s="293"/>
      <c r="BL381" s="293"/>
      <c r="BM381" s="293"/>
      <c r="BN381" s="293"/>
      <c r="BO381" s="293"/>
      <c r="BP381" s="293"/>
      <c r="BQ381" s="293"/>
      <c r="BR381" s="293"/>
      <c r="BS381" s="293"/>
      <c r="BT381" s="293"/>
      <c r="BU381" s="293"/>
      <c r="BV381" s="293"/>
      <c r="BW381" s="293"/>
      <c r="BX381" s="293"/>
      <c r="BY381" s="293"/>
      <c r="BZ381" s="293"/>
      <c r="CA381" s="285"/>
      <c r="CB381" s="286"/>
      <c r="CC381" s="286"/>
      <c r="CD381" s="286"/>
      <c r="CE381" s="286"/>
      <c r="CF381" s="286"/>
      <c r="CG381" s="286"/>
      <c r="CH381" s="286"/>
      <c r="CI381" s="286"/>
      <c r="CJ381" s="286"/>
      <c r="CK381" s="286"/>
      <c r="CL381" s="286"/>
      <c r="CM381" s="286"/>
      <c r="CN381" s="286"/>
      <c r="CO381" s="286"/>
      <c r="CP381" s="286"/>
      <c r="CQ381" s="286"/>
      <c r="CR381" s="286"/>
      <c r="CS381" s="286"/>
      <c r="CT381" s="286"/>
      <c r="CU381" s="286"/>
      <c r="CV381" s="286"/>
      <c r="CW381" s="286"/>
      <c r="CX381" s="286"/>
      <c r="CY381" s="286"/>
      <c r="CZ381" s="286"/>
      <c r="DA381" s="286"/>
      <c r="DB381" s="286"/>
      <c r="DC381" s="286"/>
      <c r="DD381" s="286"/>
      <c r="DE381" s="286"/>
      <c r="DF381" s="286"/>
      <c r="DG381" s="286"/>
      <c r="DH381" s="286"/>
      <c r="DI381" s="286"/>
      <c r="DJ381" s="286"/>
      <c r="DK381" s="286"/>
      <c r="DL381" s="286"/>
      <c r="DM381" s="286"/>
      <c r="DN381" s="286"/>
      <c r="DO381" s="286"/>
      <c r="DP381" s="286"/>
      <c r="DR381" s="58" t="str">
        <f>IF(ISNUMBER(MATCH(#REF!,'Audit Characteristic Mapping'!$B$3:$B$500,0)),"Y","")</f>
        <v/>
      </c>
      <c r="DS381" s="58" t="str">
        <f>IF(ISNUMBER(MATCH(#REF!,'Audit Characteristic Mapping'!$C$3:$C$500,0)),"Y","")</f>
        <v/>
      </c>
      <c r="DT381" s="58" t="str">
        <f>IF(ISNUMBER(MATCH(#REF!,'Audit Characteristic Mapping'!$D$3:$D$500,0)),"Y","")</f>
        <v/>
      </c>
      <c r="DU381" s="58" t="str">
        <f>IF(ISNUMBER(MATCH(#REF!,'Audit Characteristic Mapping'!$E$3:$E$500,0)),"Y","")</f>
        <v/>
      </c>
      <c r="DV381" s="58" t="str">
        <f>IF(ISNUMBER(MATCH(#REF!,'Audit Characteristic Mapping'!$F$3:$F$500,0)),"Y","")</f>
        <v/>
      </c>
      <c r="DW381" s="58" t="str">
        <f>IF(ISNUMBER(MATCH(#REF!,'Audit Characteristic Mapping'!$G$3:$G$500,0)),"Y","")</f>
        <v/>
      </c>
      <c r="DX381" s="58" t="str">
        <f>IF(ISNUMBER(MATCH(#REF!,'Audit Characteristic Mapping'!$H$3:$H$500,0)),"Y","")</f>
        <v/>
      </c>
      <c r="DY381" s="58" t="str">
        <f>IF(ISNUMBER(MATCH(#REF!,'Audit Characteristic Mapping'!$I$3:$I$500,0)),"Y","")</f>
        <v/>
      </c>
      <c r="DZ381" s="58" t="str">
        <f>IF(ISNUMBER(MATCH(#REF!,'Audit Characteristic Mapping'!$J$3:$J$500,0)),"Y","")</f>
        <v/>
      </c>
      <c r="EA381" s="58" t="str">
        <f>IF(ISNUMBER(MATCH(#REF!,'Audit Characteristic Mapping'!$K$3:$K$500,0)),"Y","")</f>
        <v/>
      </c>
    </row>
    <row r="382" spans="1:131" ht="64" x14ac:dyDescent="0.2">
      <c r="A382" s="294">
        <v>375</v>
      </c>
      <c r="B382" s="287" t="s">
        <v>492</v>
      </c>
      <c r="C382" s="226" t="s">
        <v>529</v>
      </c>
      <c r="D382" s="170">
        <v>10</v>
      </c>
      <c r="E382" s="288">
        <v>76</v>
      </c>
      <c r="F382" s="291" t="str">
        <f>VLOOKUP(Calculation!A382,'Descriptor maps'!$A$2:$F$1658,6,0)</f>
        <v>Is there documented evidence that embankment pore pressure data was collected and reviewed appropriately and at the minimum required frequencies to achieve the objective of determining if the pore pressures are in line with the expected performance of the structure?</v>
      </c>
      <c r="G382" s="296" t="s">
        <v>1193</v>
      </c>
      <c r="H382" s="290"/>
      <c r="I382" s="291" cm="1">
        <f t="array" ref="I382">INDEX('Descriptor maps'!$H$2:$H$1658,MATCH(1,('Descriptor maps'!$A$2:$A$1658=Calculation!$A382)*('Descriptor maps'!$G$2:$G$1658=Calculation!$G382),0))</f>
        <v>2</v>
      </c>
      <c r="J382" s="292" cm="1">
        <f t="array" ref="J382">INDEX('Descriptor maps'!$I$2:$I$1658,MATCH(1,('Descriptor maps'!$A$2:$A$1658=Calculation!$A382)*('Descriptor maps'!$G$2:$G$1658=Calculation!$G382),0))</f>
        <v>2</v>
      </c>
      <c r="K382" s="226"/>
      <c r="L382" s="293"/>
      <c r="M382" s="293"/>
      <c r="N382" s="293"/>
      <c r="O382" s="293"/>
      <c r="P382" s="293">
        <f t="shared" ref="P382:P393" si="3">1*$J382</f>
        <v>2</v>
      </c>
      <c r="Q382" s="293"/>
      <c r="R382" s="293"/>
      <c r="S382" s="293"/>
      <c r="T382" s="293"/>
      <c r="U382" s="293"/>
      <c r="V382" s="293"/>
      <c r="W382" s="293">
        <f t="shared" ref="W382:W395" si="4">1*$J382</f>
        <v>2</v>
      </c>
      <c r="X382" s="293"/>
      <c r="Y382" s="293"/>
      <c r="Z382" s="293"/>
      <c r="AA382" s="293"/>
      <c r="AB382" s="293"/>
      <c r="AC382" s="293"/>
      <c r="AD382" s="293">
        <f t="shared" ref="AD382:AD395" si="5">1*$J382</f>
        <v>2</v>
      </c>
      <c r="AE382" s="293"/>
      <c r="AF382" s="293"/>
      <c r="AG382" s="293"/>
      <c r="AH382" s="293"/>
      <c r="AI382" s="293"/>
      <c r="AJ382" s="293"/>
      <c r="AK382" s="293"/>
      <c r="AL382" s="293"/>
      <c r="AM382" s="293"/>
      <c r="AN382" s="293"/>
      <c r="AO382" s="293"/>
      <c r="AP382" s="293"/>
      <c r="AQ382" s="293"/>
      <c r="AR382" s="293"/>
      <c r="AS382" s="293"/>
      <c r="AT382" s="293"/>
      <c r="AU382" s="293"/>
      <c r="AV382" s="293"/>
      <c r="AW382" s="293"/>
      <c r="AX382" s="293"/>
      <c r="AY382" s="293"/>
      <c r="AZ382" s="293"/>
      <c r="BA382" s="293"/>
      <c r="BB382" s="293"/>
      <c r="BC382" s="293"/>
      <c r="BD382" s="293"/>
      <c r="BE382" s="293"/>
      <c r="BF382" s="293"/>
      <c r="BG382" s="293"/>
      <c r="BH382" s="293"/>
      <c r="BI382" s="293"/>
      <c r="BJ382" s="293"/>
      <c r="BK382" s="293"/>
      <c r="BL382" s="293"/>
      <c r="BM382" s="293"/>
      <c r="BN382" s="293"/>
      <c r="BO382" s="293"/>
      <c r="BP382" s="293"/>
      <c r="BQ382" s="293"/>
      <c r="BR382" s="293"/>
      <c r="BS382" s="293"/>
      <c r="BT382" s="293"/>
      <c r="BU382" s="293"/>
      <c r="BV382" s="293"/>
      <c r="BW382" s="293"/>
      <c r="BX382" s="293"/>
      <c r="BY382" s="293"/>
      <c r="BZ382" s="293"/>
      <c r="CA382" s="285"/>
      <c r="CB382" s="286"/>
      <c r="CC382" s="286"/>
      <c r="CD382" s="286"/>
      <c r="CE382" s="286"/>
      <c r="CF382" s="286"/>
      <c r="CG382" s="286"/>
      <c r="CH382" s="286"/>
      <c r="CI382" s="286"/>
      <c r="CJ382" s="286"/>
      <c r="CK382" s="286"/>
      <c r="CL382" s="286"/>
      <c r="CM382" s="286"/>
      <c r="CN382" s="286"/>
      <c r="CO382" s="286"/>
      <c r="CP382" s="286"/>
      <c r="CQ382" s="286"/>
      <c r="CR382" s="286"/>
      <c r="CS382" s="286"/>
      <c r="CT382" s="286"/>
      <c r="CU382" s="286"/>
      <c r="CV382" s="286"/>
      <c r="CW382" s="286"/>
      <c r="CX382" s="286"/>
      <c r="CY382" s="286"/>
      <c r="CZ382" s="286"/>
      <c r="DA382" s="286"/>
      <c r="DB382" s="286"/>
      <c r="DC382" s="286"/>
      <c r="DD382" s="286"/>
      <c r="DE382" s="286"/>
      <c r="DF382" s="286"/>
      <c r="DG382" s="286"/>
      <c r="DH382" s="286"/>
      <c r="DI382" s="286"/>
      <c r="DJ382" s="286"/>
      <c r="DK382" s="286"/>
      <c r="DL382" s="286"/>
      <c r="DM382" s="286"/>
      <c r="DN382" s="286"/>
      <c r="DO382" s="286"/>
      <c r="DP382" s="286"/>
      <c r="DR382" s="58" t="str">
        <f>IF(ISNUMBER(MATCH(#REF!,'Audit Characteristic Mapping'!$B$3:$B$500,0)),"Y","")</f>
        <v/>
      </c>
      <c r="DS382" s="58" t="str">
        <f>IF(ISNUMBER(MATCH(#REF!,'Audit Characteristic Mapping'!$C$3:$C$500,0)),"Y","")</f>
        <v/>
      </c>
      <c r="DT382" s="58" t="str">
        <f>IF(ISNUMBER(MATCH(#REF!,'Audit Characteristic Mapping'!$D$3:$D$500,0)),"Y","")</f>
        <v/>
      </c>
      <c r="DU382" s="58" t="str">
        <f>IF(ISNUMBER(MATCH(#REF!,'Audit Characteristic Mapping'!$E$3:$E$500,0)),"Y","")</f>
        <v/>
      </c>
      <c r="DV382" s="58" t="str">
        <f>IF(ISNUMBER(MATCH(#REF!,'Audit Characteristic Mapping'!$F$3:$F$500,0)),"Y","")</f>
        <v/>
      </c>
      <c r="DW382" s="58" t="str">
        <f>IF(ISNUMBER(MATCH(#REF!,'Audit Characteristic Mapping'!$G$3:$G$500,0)),"Y","")</f>
        <v/>
      </c>
      <c r="DX382" s="58" t="str">
        <f>IF(ISNUMBER(MATCH(#REF!,'Audit Characteristic Mapping'!$H$3:$H$500,0)),"Y","")</f>
        <v/>
      </c>
      <c r="DY382" s="58" t="str">
        <f>IF(ISNUMBER(MATCH(#REF!,'Audit Characteristic Mapping'!$I$3:$I$500,0)),"Y","")</f>
        <v/>
      </c>
      <c r="DZ382" s="58" t="str">
        <f>IF(ISNUMBER(MATCH(#REF!,'Audit Characteristic Mapping'!$J$3:$J$500,0)),"Y","")</f>
        <v/>
      </c>
      <c r="EA382" s="58" t="str">
        <f>IF(ISNUMBER(MATCH(#REF!,'Audit Characteristic Mapping'!$K$3:$K$500,0)),"Y","")</f>
        <v/>
      </c>
    </row>
    <row r="383" spans="1:131" ht="32" x14ac:dyDescent="0.2">
      <c r="A383" s="294">
        <v>376</v>
      </c>
      <c r="B383" s="287" t="s">
        <v>492</v>
      </c>
      <c r="C383" s="226" t="s">
        <v>529</v>
      </c>
      <c r="D383" s="170">
        <v>10</v>
      </c>
      <c r="E383" s="288">
        <v>76</v>
      </c>
      <c r="F383" s="291" t="str">
        <f>VLOOKUP(Calculation!A383,'Descriptor maps'!$A$2:$F$1658,6,0)</f>
        <v>What was the documented conclusion of the embankment pore pressure data assessment?</v>
      </c>
      <c r="G383" s="296" t="s">
        <v>531</v>
      </c>
      <c r="H383" s="290"/>
      <c r="I383" s="291" t="e" cm="1">
        <f t="array" ref="I383">INDEX('Descriptor maps'!$H$2:$H$1658,MATCH(1,('Descriptor maps'!$A$2:$A$1658=Calculation!$A383)*('Descriptor maps'!$G$2:$G$1658=Calculation!$G383),0))</f>
        <v>#N/A</v>
      </c>
      <c r="J383" s="292" t="e" cm="1">
        <f t="array" ref="J383">INDEX('Descriptor maps'!$I$2:$I$1658,MATCH(1,('Descriptor maps'!$A$2:$A$1658=Calculation!$A383)*('Descriptor maps'!$G$2:$G$1658=Calculation!$G383),0))</f>
        <v>#N/A</v>
      </c>
      <c r="K383" s="226"/>
      <c r="L383" s="293"/>
      <c r="M383" s="293"/>
      <c r="N383" s="293"/>
      <c r="O383" s="293"/>
      <c r="P383" s="293" t="e">
        <f t="shared" si="3"/>
        <v>#N/A</v>
      </c>
      <c r="Q383" s="293"/>
      <c r="R383" s="293"/>
      <c r="S383" s="293"/>
      <c r="T383" s="293"/>
      <c r="U383" s="293"/>
      <c r="V383" s="293"/>
      <c r="W383" s="293" t="e">
        <f t="shared" si="4"/>
        <v>#N/A</v>
      </c>
      <c r="X383" s="293"/>
      <c r="Y383" s="293"/>
      <c r="Z383" s="293"/>
      <c r="AA383" s="293"/>
      <c r="AB383" s="293"/>
      <c r="AC383" s="293"/>
      <c r="AD383" s="293" t="e">
        <f t="shared" si="5"/>
        <v>#N/A</v>
      </c>
      <c r="AE383" s="293"/>
      <c r="AF383" s="293"/>
      <c r="AG383" s="293"/>
      <c r="AH383" s="293"/>
      <c r="AI383" s="293"/>
      <c r="AJ383" s="293"/>
      <c r="AK383" s="293"/>
      <c r="AL383" s="293"/>
      <c r="AM383" s="293"/>
      <c r="AN383" s="293"/>
      <c r="AO383" s="293"/>
      <c r="AP383" s="293"/>
      <c r="AQ383" s="293"/>
      <c r="AR383" s="293"/>
      <c r="AS383" s="293"/>
      <c r="AT383" s="293"/>
      <c r="AU383" s="293"/>
      <c r="AV383" s="293"/>
      <c r="AW383" s="293"/>
      <c r="AX383" s="293"/>
      <c r="AY383" s="293"/>
      <c r="AZ383" s="293"/>
      <c r="BA383" s="293"/>
      <c r="BB383" s="293"/>
      <c r="BC383" s="293"/>
      <c r="BD383" s="293"/>
      <c r="BE383" s="293"/>
      <c r="BF383" s="293"/>
      <c r="BG383" s="293"/>
      <c r="BH383" s="293"/>
      <c r="BI383" s="293"/>
      <c r="BJ383" s="293"/>
      <c r="BK383" s="293"/>
      <c r="BL383" s="293"/>
      <c r="BM383" s="293"/>
      <c r="BN383" s="293"/>
      <c r="BO383" s="293"/>
      <c r="BP383" s="293"/>
      <c r="BQ383" s="293"/>
      <c r="BR383" s="293"/>
      <c r="BS383" s="293"/>
      <c r="BT383" s="293"/>
      <c r="BU383" s="293"/>
      <c r="BV383" s="293"/>
      <c r="BW383" s="293"/>
      <c r="BX383" s="293"/>
      <c r="BY383" s="293"/>
      <c r="BZ383" s="293"/>
      <c r="CA383" s="285"/>
      <c r="CB383" s="286"/>
      <c r="CC383" s="286"/>
      <c r="CD383" s="286"/>
      <c r="CE383" s="286"/>
      <c r="CF383" s="286"/>
      <c r="CG383" s="286"/>
      <c r="CH383" s="286"/>
      <c r="CI383" s="286"/>
      <c r="CJ383" s="286"/>
      <c r="CK383" s="286"/>
      <c r="CL383" s="286"/>
      <c r="CM383" s="286"/>
      <c r="CN383" s="286"/>
      <c r="CO383" s="286"/>
      <c r="CP383" s="286"/>
      <c r="CQ383" s="286"/>
      <c r="CR383" s="286"/>
      <c r="CS383" s="286"/>
      <c r="CT383" s="286"/>
      <c r="CU383" s="286"/>
      <c r="CV383" s="286"/>
      <c r="CW383" s="286"/>
      <c r="CX383" s="286"/>
      <c r="CY383" s="286"/>
      <c r="CZ383" s="286"/>
      <c r="DA383" s="286"/>
      <c r="DB383" s="286"/>
      <c r="DC383" s="286"/>
      <c r="DD383" s="286"/>
      <c r="DE383" s="286"/>
      <c r="DF383" s="286"/>
      <c r="DG383" s="286"/>
      <c r="DH383" s="286"/>
      <c r="DI383" s="286"/>
      <c r="DJ383" s="286"/>
      <c r="DK383" s="286"/>
      <c r="DL383" s="286"/>
      <c r="DM383" s="286"/>
      <c r="DN383" s="286"/>
      <c r="DO383" s="286"/>
      <c r="DP383" s="286"/>
      <c r="DR383" s="58" t="str">
        <f>IF(ISNUMBER(MATCH(#REF!,'Audit Characteristic Mapping'!$B$3:$B$500,0)),"Y","")</f>
        <v/>
      </c>
      <c r="DS383" s="58" t="str">
        <f>IF(ISNUMBER(MATCH(#REF!,'Audit Characteristic Mapping'!$C$3:$C$500,0)),"Y","")</f>
        <v/>
      </c>
      <c r="DT383" s="58" t="str">
        <f>IF(ISNUMBER(MATCH(#REF!,'Audit Characteristic Mapping'!$D$3:$D$500,0)),"Y","")</f>
        <v/>
      </c>
      <c r="DU383" s="58" t="str">
        <f>IF(ISNUMBER(MATCH(#REF!,'Audit Characteristic Mapping'!$E$3:$E$500,0)),"Y","")</f>
        <v/>
      </c>
      <c r="DV383" s="58" t="str">
        <f>IF(ISNUMBER(MATCH(#REF!,'Audit Characteristic Mapping'!$F$3:$F$500,0)),"Y","")</f>
        <v/>
      </c>
      <c r="DW383" s="58" t="str">
        <f>IF(ISNUMBER(MATCH(#REF!,'Audit Characteristic Mapping'!$G$3:$G$500,0)),"Y","")</f>
        <v/>
      </c>
      <c r="DX383" s="58" t="str">
        <f>IF(ISNUMBER(MATCH(#REF!,'Audit Characteristic Mapping'!$H$3:$H$500,0)),"Y","")</f>
        <v/>
      </c>
      <c r="DY383" s="58" t="str">
        <f>IF(ISNUMBER(MATCH(#REF!,'Audit Characteristic Mapping'!$I$3:$I$500,0)),"Y","")</f>
        <v/>
      </c>
      <c r="DZ383" s="58" t="str">
        <f>IF(ISNUMBER(MATCH(#REF!,'Audit Characteristic Mapping'!$J$3:$J$500,0)),"Y","")</f>
        <v/>
      </c>
      <c r="EA383" s="58" t="str">
        <f>IF(ISNUMBER(MATCH(#REF!,'Audit Characteristic Mapping'!$K$3:$K$500,0)),"Y","")</f>
        <v/>
      </c>
    </row>
    <row r="384" spans="1:131" ht="32" x14ac:dyDescent="0.2">
      <c r="A384" s="294">
        <v>377</v>
      </c>
      <c r="B384" s="287" t="s">
        <v>492</v>
      </c>
      <c r="C384" s="226" t="s">
        <v>529</v>
      </c>
      <c r="D384" s="170">
        <v>10</v>
      </c>
      <c r="E384" s="288">
        <v>76</v>
      </c>
      <c r="F384" s="291" t="str">
        <f>VLOOKUP(Calculation!A384,'Descriptor maps'!$A$2:$F$1658,6,0)</f>
        <v>Does the embankment piezometer pore pressure data indicate that pore pressures have exceeded set trigger levels since it was last reviewed?</v>
      </c>
      <c r="G384" s="296" t="s">
        <v>8</v>
      </c>
      <c r="H384" s="290"/>
      <c r="I384" s="291" cm="1">
        <f t="array" ref="I384">INDEX('Descriptor maps'!$H$2:$H$1658,MATCH(1,('Descriptor maps'!$A$2:$A$1658=Calculation!$A384)*('Descriptor maps'!$G$2:$G$1658=Calculation!$G384),0))</f>
        <v>1</v>
      </c>
      <c r="J384" s="292" cm="1">
        <f t="array" ref="J384">INDEX('Descriptor maps'!$I$2:$I$1658,MATCH(1,('Descriptor maps'!$A$2:$A$1658=Calculation!$A384)*('Descriptor maps'!$G$2:$G$1658=Calculation!$G384),0))</f>
        <v>1</v>
      </c>
      <c r="K384" s="226"/>
      <c r="L384" s="293"/>
      <c r="M384" s="293"/>
      <c r="N384" s="293"/>
      <c r="O384" s="293"/>
      <c r="P384" s="293">
        <f t="shared" si="3"/>
        <v>1</v>
      </c>
      <c r="Q384" s="293"/>
      <c r="R384" s="293"/>
      <c r="S384" s="293"/>
      <c r="T384" s="293"/>
      <c r="U384" s="293"/>
      <c r="V384" s="293"/>
      <c r="W384" s="293">
        <f t="shared" si="4"/>
        <v>1</v>
      </c>
      <c r="X384" s="293"/>
      <c r="Y384" s="293"/>
      <c r="Z384" s="293"/>
      <c r="AA384" s="293"/>
      <c r="AB384" s="293"/>
      <c r="AC384" s="293"/>
      <c r="AD384" s="293">
        <f t="shared" si="5"/>
        <v>1</v>
      </c>
      <c r="AE384" s="293"/>
      <c r="AF384" s="293"/>
      <c r="AG384" s="293"/>
      <c r="AH384" s="293"/>
      <c r="AI384" s="293"/>
      <c r="AJ384" s="293"/>
      <c r="AK384" s="293"/>
      <c r="AL384" s="293"/>
      <c r="AM384" s="293"/>
      <c r="AN384" s="293"/>
      <c r="AO384" s="293"/>
      <c r="AP384" s="293"/>
      <c r="AQ384" s="293"/>
      <c r="AR384" s="293"/>
      <c r="AS384" s="293"/>
      <c r="AT384" s="293"/>
      <c r="AU384" s="293"/>
      <c r="AV384" s="293"/>
      <c r="AW384" s="293"/>
      <c r="AX384" s="293"/>
      <c r="AY384" s="293"/>
      <c r="AZ384" s="293"/>
      <c r="BA384" s="293"/>
      <c r="BB384" s="293"/>
      <c r="BC384" s="293"/>
      <c r="BD384" s="293"/>
      <c r="BE384" s="293"/>
      <c r="BF384" s="293"/>
      <c r="BG384" s="293"/>
      <c r="BH384" s="293"/>
      <c r="BI384" s="293"/>
      <c r="BJ384" s="293"/>
      <c r="BK384" s="293"/>
      <c r="BL384" s="293"/>
      <c r="BM384" s="293"/>
      <c r="BN384" s="293"/>
      <c r="BO384" s="293"/>
      <c r="BP384" s="293"/>
      <c r="BQ384" s="293"/>
      <c r="BR384" s="293"/>
      <c r="BS384" s="293"/>
      <c r="BT384" s="293"/>
      <c r="BU384" s="293"/>
      <c r="BV384" s="293"/>
      <c r="BW384" s="293"/>
      <c r="BX384" s="293"/>
      <c r="BY384" s="293"/>
      <c r="BZ384" s="293"/>
      <c r="CA384" s="285"/>
      <c r="CB384" s="286"/>
      <c r="CC384" s="286"/>
      <c r="CD384" s="286"/>
      <c r="CE384" s="286"/>
      <c r="CF384" s="286"/>
      <c r="CG384" s="286"/>
      <c r="CH384" s="286"/>
      <c r="CI384" s="286"/>
      <c r="CJ384" s="286"/>
      <c r="CK384" s="286"/>
      <c r="CL384" s="286"/>
      <c r="CM384" s="286"/>
      <c r="CN384" s="286"/>
      <c r="CO384" s="286"/>
      <c r="CP384" s="286"/>
      <c r="CQ384" s="286"/>
      <c r="CR384" s="286"/>
      <c r="CS384" s="286"/>
      <c r="CT384" s="286"/>
      <c r="CU384" s="286"/>
      <c r="CV384" s="286"/>
      <c r="CW384" s="286"/>
      <c r="CX384" s="286"/>
      <c r="CY384" s="286"/>
      <c r="CZ384" s="286"/>
      <c r="DA384" s="286"/>
      <c r="DB384" s="286"/>
      <c r="DC384" s="286"/>
      <c r="DD384" s="286"/>
      <c r="DE384" s="286"/>
      <c r="DF384" s="286"/>
      <c r="DG384" s="286"/>
      <c r="DH384" s="286"/>
      <c r="DI384" s="286"/>
      <c r="DJ384" s="286"/>
      <c r="DK384" s="286"/>
      <c r="DL384" s="286"/>
      <c r="DM384" s="286"/>
      <c r="DN384" s="286"/>
      <c r="DO384" s="286"/>
      <c r="DP384" s="286"/>
      <c r="DR384" s="58" t="str">
        <f>IF(ISNUMBER(MATCH(#REF!,'Audit Characteristic Mapping'!$B$3:$B$500,0)),"Y","")</f>
        <v/>
      </c>
      <c r="DS384" s="58" t="str">
        <f>IF(ISNUMBER(MATCH(#REF!,'Audit Characteristic Mapping'!$C$3:$C$500,0)),"Y","")</f>
        <v/>
      </c>
      <c r="DT384" s="58" t="str">
        <f>IF(ISNUMBER(MATCH(#REF!,'Audit Characteristic Mapping'!$D$3:$D$500,0)),"Y","")</f>
        <v/>
      </c>
      <c r="DU384" s="58" t="str">
        <f>IF(ISNUMBER(MATCH(#REF!,'Audit Characteristic Mapping'!$E$3:$E$500,0)),"Y","")</f>
        <v/>
      </c>
      <c r="DV384" s="58" t="str">
        <f>IF(ISNUMBER(MATCH(#REF!,'Audit Characteristic Mapping'!$F$3:$F$500,0)),"Y","")</f>
        <v/>
      </c>
      <c r="DW384" s="58" t="str">
        <f>IF(ISNUMBER(MATCH(#REF!,'Audit Characteristic Mapping'!$G$3:$G$500,0)),"Y","")</f>
        <v/>
      </c>
      <c r="DX384" s="58" t="str">
        <f>IF(ISNUMBER(MATCH(#REF!,'Audit Characteristic Mapping'!$H$3:$H$500,0)),"Y","")</f>
        <v/>
      </c>
      <c r="DY384" s="58" t="str">
        <f>IF(ISNUMBER(MATCH(#REF!,'Audit Characteristic Mapping'!$I$3:$I$500,0)),"Y","")</f>
        <v/>
      </c>
      <c r="DZ384" s="58" t="str">
        <f>IF(ISNUMBER(MATCH(#REF!,'Audit Characteristic Mapping'!$J$3:$J$500,0)),"Y","")</f>
        <v/>
      </c>
      <c r="EA384" s="58" t="str">
        <f>IF(ISNUMBER(MATCH(#REF!,'Audit Characteristic Mapping'!$K$3:$K$500,0)),"Y","")</f>
        <v/>
      </c>
    </row>
    <row r="385" spans="1:131" ht="64" x14ac:dyDescent="0.2">
      <c r="A385" s="294">
        <v>378</v>
      </c>
      <c r="B385" s="287" t="s">
        <v>492</v>
      </c>
      <c r="C385" s="226" t="s">
        <v>533</v>
      </c>
      <c r="D385" s="170">
        <v>10</v>
      </c>
      <c r="E385" s="288">
        <v>77</v>
      </c>
      <c r="F385" s="291" t="str">
        <f>VLOOKUP(Calculation!A385,'Descriptor maps'!$A$2:$F$1658,6,0)</f>
        <v>Is there documented evidence that surface movement data was collected and reviewed appropriately and at the minimum required frequencies to achieve the objective of determining if the movements are in line with the expected performance of the structure?</v>
      </c>
      <c r="G385" s="296" t="s">
        <v>1193</v>
      </c>
      <c r="H385" s="290"/>
      <c r="I385" s="291" cm="1">
        <f t="array" ref="I385">INDEX('Descriptor maps'!$H$2:$H$1658,MATCH(1,('Descriptor maps'!$A$2:$A$1658=Calculation!$A385)*('Descriptor maps'!$G$2:$G$1658=Calculation!$G385),0))</f>
        <v>2</v>
      </c>
      <c r="J385" s="292" cm="1">
        <f t="array" ref="J385">INDEX('Descriptor maps'!$I$2:$I$1658,MATCH(1,('Descriptor maps'!$A$2:$A$1658=Calculation!$A385)*('Descriptor maps'!$G$2:$G$1658=Calculation!$G385),0))</f>
        <v>2</v>
      </c>
      <c r="K385" s="226"/>
      <c r="L385" s="293"/>
      <c r="M385" s="293"/>
      <c r="N385" s="293"/>
      <c r="O385" s="293"/>
      <c r="P385" s="293">
        <f t="shared" si="3"/>
        <v>2</v>
      </c>
      <c r="Q385" s="293"/>
      <c r="R385" s="293"/>
      <c r="S385" s="293"/>
      <c r="T385" s="293"/>
      <c r="U385" s="293"/>
      <c r="V385" s="293"/>
      <c r="W385" s="293">
        <f t="shared" si="4"/>
        <v>2</v>
      </c>
      <c r="X385" s="293"/>
      <c r="Y385" s="293"/>
      <c r="Z385" s="293"/>
      <c r="AA385" s="293"/>
      <c r="AB385" s="293"/>
      <c r="AC385" s="293"/>
      <c r="AD385" s="293">
        <f t="shared" si="5"/>
        <v>2</v>
      </c>
      <c r="AE385" s="293"/>
      <c r="AF385" s="293"/>
      <c r="AG385" s="293"/>
      <c r="AH385" s="293"/>
      <c r="AI385" s="293"/>
      <c r="AJ385" s="293"/>
      <c r="AK385" s="293"/>
      <c r="AL385" s="293"/>
      <c r="AM385" s="293"/>
      <c r="AN385" s="293"/>
      <c r="AO385" s="293"/>
      <c r="AP385" s="293"/>
      <c r="AQ385" s="293"/>
      <c r="AR385" s="293"/>
      <c r="AS385" s="293"/>
      <c r="AT385" s="293"/>
      <c r="AU385" s="293"/>
      <c r="AV385" s="293"/>
      <c r="AW385" s="293"/>
      <c r="AX385" s="293"/>
      <c r="AY385" s="293"/>
      <c r="AZ385" s="293"/>
      <c r="BA385" s="293"/>
      <c r="BB385" s="293"/>
      <c r="BC385" s="293"/>
      <c r="BD385" s="293"/>
      <c r="BE385" s="293"/>
      <c r="BF385" s="293"/>
      <c r="BG385" s="293"/>
      <c r="BH385" s="293"/>
      <c r="BI385" s="293"/>
      <c r="BJ385" s="293"/>
      <c r="BK385" s="293"/>
      <c r="BL385" s="293"/>
      <c r="BM385" s="293"/>
      <c r="BN385" s="293"/>
      <c r="BO385" s="293"/>
      <c r="BP385" s="293"/>
      <c r="BQ385" s="293"/>
      <c r="BR385" s="293"/>
      <c r="BS385" s="293"/>
      <c r="BT385" s="293"/>
      <c r="BU385" s="293"/>
      <c r="BV385" s="293"/>
      <c r="BW385" s="293"/>
      <c r="BX385" s="293"/>
      <c r="BY385" s="293"/>
      <c r="BZ385" s="293"/>
      <c r="CA385" s="285"/>
      <c r="CB385" s="286"/>
      <c r="CC385" s="286"/>
      <c r="CD385" s="286"/>
      <c r="CE385" s="286"/>
      <c r="CF385" s="286"/>
      <c r="CG385" s="286"/>
      <c r="CH385" s="286"/>
      <c r="CI385" s="286"/>
      <c r="CJ385" s="286"/>
      <c r="CK385" s="286"/>
      <c r="CL385" s="286"/>
      <c r="CM385" s="286"/>
      <c r="CN385" s="286"/>
      <c r="CO385" s="286"/>
      <c r="CP385" s="286"/>
      <c r="CQ385" s="286"/>
      <c r="CR385" s="286"/>
      <c r="CS385" s="286"/>
      <c r="CT385" s="286"/>
      <c r="CU385" s="286"/>
      <c r="CV385" s="286"/>
      <c r="CW385" s="286"/>
      <c r="CX385" s="286"/>
      <c r="CY385" s="286"/>
      <c r="CZ385" s="286"/>
      <c r="DA385" s="286"/>
      <c r="DB385" s="286"/>
      <c r="DC385" s="286"/>
      <c r="DD385" s="286"/>
      <c r="DE385" s="286"/>
      <c r="DF385" s="286"/>
      <c r="DG385" s="286"/>
      <c r="DH385" s="286"/>
      <c r="DI385" s="286"/>
      <c r="DJ385" s="286"/>
      <c r="DK385" s="286"/>
      <c r="DL385" s="286"/>
      <c r="DM385" s="286"/>
      <c r="DN385" s="286"/>
      <c r="DO385" s="286"/>
      <c r="DP385" s="286"/>
      <c r="DR385" s="58" t="str">
        <f>IF(ISNUMBER(MATCH(#REF!,'Audit Characteristic Mapping'!$B$3:$B$500,0)),"Y","")</f>
        <v/>
      </c>
      <c r="DS385" s="58" t="str">
        <f>IF(ISNUMBER(MATCH(#REF!,'Audit Characteristic Mapping'!$C$3:$C$500,0)),"Y","")</f>
        <v/>
      </c>
      <c r="DT385" s="58" t="str">
        <f>IF(ISNUMBER(MATCH(#REF!,'Audit Characteristic Mapping'!$D$3:$D$500,0)),"Y","")</f>
        <v/>
      </c>
      <c r="DU385" s="58" t="str">
        <f>IF(ISNUMBER(MATCH(#REF!,'Audit Characteristic Mapping'!$E$3:$E$500,0)),"Y","")</f>
        <v/>
      </c>
      <c r="DV385" s="58" t="str">
        <f>IF(ISNUMBER(MATCH(#REF!,'Audit Characteristic Mapping'!$F$3:$F$500,0)),"Y","")</f>
        <v/>
      </c>
      <c r="DW385" s="58" t="str">
        <f>IF(ISNUMBER(MATCH(#REF!,'Audit Characteristic Mapping'!$G$3:$G$500,0)),"Y","")</f>
        <v/>
      </c>
      <c r="DX385" s="58" t="str">
        <f>IF(ISNUMBER(MATCH(#REF!,'Audit Characteristic Mapping'!$H$3:$H$500,0)),"Y","")</f>
        <v/>
      </c>
      <c r="DY385" s="58" t="str">
        <f>IF(ISNUMBER(MATCH(#REF!,'Audit Characteristic Mapping'!$I$3:$I$500,0)),"Y","")</f>
        <v/>
      </c>
      <c r="DZ385" s="58" t="str">
        <f>IF(ISNUMBER(MATCH(#REF!,'Audit Characteristic Mapping'!$J$3:$J$500,0)),"Y","")</f>
        <v/>
      </c>
      <c r="EA385" s="58" t="str">
        <f>IF(ISNUMBER(MATCH(#REF!,'Audit Characteristic Mapping'!$K$3:$K$500,0)),"Y","")</f>
        <v/>
      </c>
    </row>
    <row r="386" spans="1:131" ht="32" x14ac:dyDescent="0.2">
      <c r="A386" s="294">
        <v>379</v>
      </c>
      <c r="B386" s="287" t="s">
        <v>492</v>
      </c>
      <c r="C386" s="226" t="s">
        <v>533</v>
      </c>
      <c r="D386" s="170">
        <v>10</v>
      </c>
      <c r="E386" s="288">
        <v>77</v>
      </c>
      <c r="F386" s="291" t="str">
        <f>VLOOKUP(Calculation!A386,'Descriptor maps'!$A$2:$F$1658,6,0)</f>
        <v>Is there a documented evidence that the analysed surface movement data confirmed that the embankment deformations were in line with the expected performance ?</v>
      </c>
      <c r="G386" s="296" t="s">
        <v>8</v>
      </c>
      <c r="H386" s="290"/>
      <c r="I386" s="291" cm="1">
        <f t="array" ref="I386">INDEX('Descriptor maps'!$H$2:$H$1658,MATCH(1,('Descriptor maps'!$A$2:$A$1658=Calculation!$A386)*('Descriptor maps'!$G$2:$G$1658=Calculation!$G386),0))</f>
        <v>4</v>
      </c>
      <c r="J386" s="292" cm="1">
        <f t="array" ref="J386">INDEX('Descriptor maps'!$I$2:$I$1658,MATCH(1,('Descriptor maps'!$A$2:$A$1658=Calculation!$A386)*('Descriptor maps'!$G$2:$G$1658=Calculation!$G386),0))</f>
        <v>4</v>
      </c>
      <c r="K386" s="226"/>
      <c r="L386" s="293"/>
      <c r="M386" s="293"/>
      <c r="N386" s="293"/>
      <c r="O386" s="293"/>
      <c r="P386" s="293">
        <f t="shared" si="3"/>
        <v>4</v>
      </c>
      <c r="Q386" s="293"/>
      <c r="R386" s="293"/>
      <c r="S386" s="293"/>
      <c r="T386" s="293"/>
      <c r="U386" s="293"/>
      <c r="V386" s="293"/>
      <c r="W386" s="293">
        <f t="shared" si="4"/>
        <v>4</v>
      </c>
      <c r="X386" s="293"/>
      <c r="Y386" s="293"/>
      <c r="Z386" s="293"/>
      <c r="AA386" s="293"/>
      <c r="AB386" s="293"/>
      <c r="AC386" s="293"/>
      <c r="AD386" s="293">
        <f t="shared" si="5"/>
        <v>4</v>
      </c>
      <c r="AE386" s="293"/>
      <c r="AF386" s="293"/>
      <c r="AG386" s="293"/>
      <c r="AH386" s="293"/>
      <c r="AI386" s="293"/>
      <c r="AJ386" s="293"/>
      <c r="AK386" s="293"/>
      <c r="AL386" s="293"/>
      <c r="AM386" s="293"/>
      <c r="AN386" s="293"/>
      <c r="AO386" s="293"/>
      <c r="AP386" s="293"/>
      <c r="AQ386" s="293"/>
      <c r="AR386" s="293"/>
      <c r="AS386" s="293"/>
      <c r="AT386" s="293"/>
      <c r="AU386" s="293"/>
      <c r="AV386" s="293"/>
      <c r="AW386" s="293"/>
      <c r="AX386" s="293"/>
      <c r="AY386" s="293"/>
      <c r="AZ386" s="293"/>
      <c r="BA386" s="293"/>
      <c r="BB386" s="293"/>
      <c r="BC386" s="293"/>
      <c r="BD386" s="293"/>
      <c r="BE386" s="293"/>
      <c r="BF386" s="293"/>
      <c r="BG386" s="293"/>
      <c r="BH386" s="293"/>
      <c r="BI386" s="293"/>
      <c r="BJ386" s="293"/>
      <c r="BK386" s="293"/>
      <c r="BL386" s="293"/>
      <c r="BM386" s="293"/>
      <c r="BN386" s="293"/>
      <c r="BO386" s="293"/>
      <c r="BP386" s="293"/>
      <c r="BQ386" s="293"/>
      <c r="BR386" s="293"/>
      <c r="BS386" s="293"/>
      <c r="BT386" s="293"/>
      <c r="BU386" s="293"/>
      <c r="BV386" s="293"/>
      <c r="BW386" s="293"/>
      <c r="BX386" s="293"/>
      <c r="BY386" s="293"/>
      <c r="BZ386" s="293"/>
      <c r="CA386" s="285"/>
      <c r="CB386" s="286"/>
      <c r="CC386" s="286"/>
      <c r="CD386" s="286"/>
      <c r="CE386" s="286"/>
      <c r="CF386" s="286"/>
      <c r="CG386" s="286"/>
      <c r="CH386" s="286"/>
      <c r="CI386" s="286"/>
      <c r="CJ386" s="286"/>
      <c r="CK386" s="286"/>
      <c r="CL386" s="286"/>
      <c r="CM386" s="286"/>
      <c r="CN386" s="286"/>
      <c r="CO386" s="286"/>
      <c r="CP386" s="286"/>
      <c r="CQ386" s="286"/>
      <c r="CR386" s="286"/>
      <c r="CS386" s="286"/>
      <c r="CT386" s="286"/>
      <c r="CU386" s="286"/>
      <c r="CV386" s="286"/>
      <c r="CW386" s="286"/>
      <c r="CX386" s="286"/>
      <c r="CY386" s="286"/>
      <c r="CZ386" s="286"/>
      <c r="DA386" s="286"/>
      <c r="DB386" s="286"/>
      <c r="DC386" s="286"/>
      <c r="DD386" s="286"/>
      <c r="DE386" s="286"/>
      <c r="DF386" s="286"/>
      <c r="DG386" s="286"/>
      <c r="DH386" s="286"/>
      <c r="DI386" s="286"/>
      <c r="DJ386" s="286"/>
      <c r="DK386" s="286"/>
      <c r="DL386" s="286"/>
      <c r="DM386" s="286"/>
      <c r="DN386" s="286"/>
      <c r="DO386" s="286"/>
      <c r="DP386" s="286"/>
      <c r="DR386" s="58" t="str">
        <f>IF(ISNUMBER(MATCH(#REF!,'Audit Characteristic Mapping'!$B$3:$B$500,0)),"Y","")</f>
        <v/>
      </c>
      <c r="DS386" s="58" t="str">
        <f>IF(ISNUMBER(MATCH(#REF!,'Audit Characteristic Mapping'!$C$3:$C$500,0)),"Y","")</f>
        <v/>
      </c>
      <c r="DT386" s="58" t="str">
        <f>IF(ISNUMBER(MATCH(#REF!,'Audit Characteristic Mapping'!$D$3:$D$500,0)),"Y","")</f>
        <v/>
      </c>
      <c r="DU386" s="58" t="str">
        <f>IF(ISNUMBER(MATCH(#REF!,'Audit Characteristic Mapping'!$E$3:$E$500,0)),"Y","")</f>
        <v/>
      </c>
      <c r="DV386" s="58" t="str">
        <f>IF(ISNUMBER(MATCH(#REF!,'Audit Characteristic Mapping'!$F$3:$F$500,0)),"Y","")</f>
        <v/>
      </c>
      <c r="DW386" s="58" t="str">
        <f>IF(ISNUMBER(MATCH(#REF!,'Audit Characteristic Mapping'!$G$3:$G$500,0)),"Y","")</f>
        <v/>
      </c>
      <c r="DX386" s="58" t="str">
        <f>IF(ISNUMBER(MATCH(#REF!,'Audit Characteristic Mapping'!$H$3:$H$500,0)),"Y","")</f>
        <v/>
      </c>
      <c r="DY386" s="58" t="str">
        <f>IF(ISNUMBER(MATCH(#REF!,'Audit Characteristic Mapping'!$I$3:$I$500,0)),"Y","")</f>
        <v/>
      </c>
      <c r="DZ386" s="58" t="str">
        <f>IF(ISNUMBER(MATCH(#REF!,'Audit Characteristic Mapping'!$J$3:$J$500,0)),"Y","")</f>
        <v/>
      </c>
      <c r="EA386" s="58" t="str">
        <f>IF(ISNUMBER(MATCH(#REF!,'Audit Characteristic Mapping'!$K$3:$K$500,0)),"Y","")</f>
        <v/>
      </c>
    </row>
    <row r="387" spans="1:131" ht="64" x14ac:dyDescent="0.2">
      <c r="A387" s="294">
        <v>381</v>
      </c>
      <c r="B387" s="287" t="s">
        <v>492</v>
      </c>
      <c r="C387" s="226" t="s">
        <v>534</v>
      </c>
      <c r="D387" s="170">
        <v>10</v>
      </c>
      <c r="E387" s="288">
        <v>78</v>
      </c>
      <c r="F387" s="291" t="str">
        <f>VLOOKUP(Calculation!A387,'Descriptor maps'!$A$2:$F$1658,6,0)</f>
        <v>Is there documented evidence that internal movement data was collected and reviewed appropriately and at the minimum required frequencies to achieve the objective determining if the movements are in line with the expected performance of the structure?</v>
      </c>
      <c r="G387" s="296" t="s">
        <v>1193</v>
      </c>
      <c r="H387" s="290"/>
      <c r="I387" s="291" cm="1">
        <f t="array" ref="I387">INDEX('Descriptor maps'!$H$2:$H$1658,MATCH(1,('Descriptor maps'!$A$2:$A$1658=Calculation!$A387)*('Descriptor maps'!$G$2:$G$1658=Calculation!$G387),0))</f>
        <v>2</v>
      </c>
      <c r="J387" s="292" cm="1">
        <f t="array" ref="J387">INDEX('Descriptor maps'!$I$2:$I$1658,MATCH(1,('Descriptor maps'!$A$2:$A$1658=Calculation!$A387)*('Descriptor maps'!$G$2:$G$1658=Calculation!$G387),0))</f>
        <v>2</v>
      </c>
      <c r="K387" s="226"/>
      <c r="L387" s="293"/>
      <c r="M387" s="293"/>
      <c r="N387" s="293"/>
      <c r="O387" s="293"/>
      <c r="P387" s="293">
        <f t="shared" si="3"/>
        <v>2</v>
      </c>
      <c r="Q387" s="293"/>
      <c r="R387" s="293"/>
      <c r="S387" s="293"/>
      <c r="T387" s="293"/>
      <c r="U387" s="293"/>
      <c r="V387" s="293"/>
      <c r="W387" s="293">
        <f t="shared" si="4"/>
        <v>2</v>
      </c>
      <c r="X387" s="293"/>
      <c r="Y387" s="293"/>
      <c r="Z387" s="293"/>
      <c r="AA387" s="293"/>
      <c r="AB387" s="293"/>
      <c r="AC387" s="293"/>
      <c r="AD387" s="293">
        <f t="shared" si="5"/>
        <v>2</v>
      </c>
      <c r="AE387" s="293"/>
      <c r="AF387" s="293"/>
      <c r="AG387" s="293"/>
      <c r="AH387" s="293"/>
      <c r="AI387" s="293"/>
      <c r="AJ387" s="293"/>
      <c r="AK387" s="293"/>
      <c r="AL387" s="293"/>
      <c r="AM387" s="293"/>
      <c r="AN387" s="293"/>
      <c r="AO387" s="293"/>
      <c r="AP387" s="293"/>
      <c r="AQ387" s="293"/>
      <c r="AR387" s="293"/>
      <c r="AS387" s="293"/>
      <c r="AT387" s="293"/>
      <c r="AU387" s="293"/>
      <c r="AV387" s="293"/>
      <c r="AW387" s="293"/>
      <c r="AX387" s="293"/>
      <c r="AY387" s="293"/>
      <c r="AZ387" s="293"/>
      <c r="BA387" s="293"/>
      <c r="BB387" s="293"/>
      <c r="BC387" s="293"/>
      <c r="BD387" s="293"/>
      <c r="BE387" s="293"/>
      <c r="BF387" s="293"/>
      <c r="BG387" s="293"/>
      <c r="BH387" s="293"/>
      <c r="BI387" s="293"/>
      <c r="BJ387" s="293"/>
      <c r="BK387" s="293"/>
      <c r="BL387" s="293"/>
      <c r="BM387" s="293"/>
      <c r="BN387" s="293"/>
      <c r="BO387" s="293"/>
      <c r="BP387" s="293"/>
      <c r="BQ387" s="293"/>
      <c r="BR387" s="293"/>
      <c r="BS387" s="293"/>
      <c r="BT387" s="293"/>
      <c r="BU387" s="293"/>
      <c r="BV387" s="293"/>
      <c r="BW387" s="293"/>
      <c r="BX387" s="293"/>
      <c r="BY387" s="293"/>
      <c r="BZ387" s="293"/>
      <c r="CA387" s="285"/>
      <c r="CB387" s="286"/>
      <c r="CC387" s="286"/>
      <c r="CD387" s="286"/>
      <c r="CE387" s="286"/>
      <c r="CF387" s="286"/>
      <c r="CG387" s="286"/>
      <c r="CH387" s="286"/>
      <c r="CI387" s="286"/>
      <c r="CJ387" s="286"/>
      <c r="CK387" s="286"/>
      <c r="CL387" s="286"/>
      <c r="CM387" s="286"/>
      <c r="CN387" s="286"/>
      <c r="CO387" s="286"/>
      <c r="CP387" s="286"/>
      <c r="CQ387" s="286"/>
      <c r="CR387" s="286"/>
      <c r="CS387" s="286"/>
      <c r="CT387" s="286"/>
      <c r="CU387" s="286"/>
      <c r="CV387" s="286"/>
      <c r="CW387" s="286"/>
      <c r="CX387" s="286"/>
      <c r="CY387" s="286"/>
      <c r="CZ387" s="286"/>
      <c r="DA387" s="286"/>
      <c r="DB387" s="286"/>
      <c r="DC387" s="286"/>
      <c r="DD387" s="286"/>
      <c r="DE387" s="286"/>
      <c r="DF387" s="286"/>
      <c r="DG387" s="286"/>
      <c r="DH387" s="286"/>
      <c r="DI387" s="286"/>
      <c r="DJ387" s="286"/>
      <c r="DK387" s="286"/>
      <c r="DL387" s="286"/>
      <c r="DM387" s="286"/>
      <c r="DN387" s="286"/>
      <c r="DO387" s="286"/>
      <c r="DP387" s="286"/>
      <c r="DR387" s="58" t="str">
        <f>IF(ISNUMBER(MATCH(#REF!,'Audit Characteristic Mapping'!$B$3:$B$500,0)),"Y","")</f>
        <v/>
      </c>
      <c r="DS387" s="58" t="str">
        <f>IF(ISNUMBER(MATCH(#REF!,'Audit Characteristic Mapping'!$C$3:$C$500,0)),"Y","")</f>
        <v/>
      </c>
      <c r="DT387" s="58" t="str">
        <f>IF(ISNUMBER(MATCH(#REF!,'Audit Characteristic Mapping'!$D$3:$D$500,0)),"Y","")</f>
        <v/>
      </c>
      <c r="DU387" s="58" t="str">
        <f>IF(ISNUMBER(MATCH(#REF!,'Audit Characteristic Mapping'!$E$3:$E$500,0)),"Y","")</f>
        <v/>
      </c>
      <c r="DV387" s="58" t="str">
        <f>IF(ISNUMBER(MATCH(#REF!,'Audit Characteristic Mapping'!$F$3:$F$500,0)),"Y","")</f>
        <v/>
      </c>
      <c r="DW387" s="58" t="str">
        <f>IF(ISNUMBER(MATCH(#REF!,'Audit Characteristic Mapping'!$G$3:$G$500,0)),"Y","")</f>
        <v/>
      </c>
      <c r="DX387" s="58" t="str">
        <f>IF(ISNUMBER(MATCH(#REF!,'Audit Characteristic Mapping'!$H$3:$H$500,0)),"Y","")</f>
        <v/>
      </c>
      <c r="DY387" s="58" t="str">
        <f>IF(ISNUMBER(MATCH(#REF!,'Audit Characteristic Mapping'!$I$3:$I$500,0)),"Y","")</f>
        <v/>
      </c>
      <c r="DZ387" s="58" t="str">
        <f>IF(ISNUMBER(MATCH(#REF!,'Audit Characteristic Mapping'!$J$3:$J$500,0)),"Y","")</f>
        <v/>
      </c>
      <c r="EA387" s="58" t="str">
        <f>IF(ISNUMBER(MATCH(#REF!,'Audit Characteristic Mapping'!$K$3:$K$500,0)),"Y","")</f>
        <v/>
      </c>
    </row>
    <row r="388" spans="1:131" ht="32" x14ac:dyDescent="0.2">
      <c r="A388" s="294">
        <v>382</v>
      </c>
      <c r="B388" s="287" t="s">
        <v>492</v>
      </c>
      <c r="C388" s="226" t="s">
        <v>534</v>
      </c>
      <c r="D388" s="170">
        <v>10</v>
      </c>
      <c r="E388" s="288">
        <v>78</v>
      </c>
      <c r="F388" s="291" t="str">
        <f>VLOOKUP(Calculation!A388,'Descriptor maps'!$A$2:$F$1658,6,0)</f>
        <v>Does the assessment of the  internal movement data shows that internal deformations are in line with the expected performance?</v>
      </c>
      <c r="G388" s="296" t="s">
        <v>7</v>
      </c>
      <c r="H388" s="290"/>
      <c r="I388" s="291" cm="1">
        <f t="array" ref="I388">INDEX('Descriptor maps'!$H$2:$H$1658,MATCH(1,('Descriptor maps'!$A$2:$A$1658=Calculation!$A388)*('Descriptor maps'!$G$2:$G$1658=Calculation!$G388),0))</f>
        <v>1</v>
      </c>
      <c r="J388" s="292" cm="1">
        <f t="array" ref="J388">INDEX('Descriptor maps'!$I$2:$I$1658,MATCH(1,('Descriptor maps'!$A$2:$A$1658=Calculation!$A388)*('Descriptor maps'!$G$2:$G$1658=Calculation!$G388),0))</f>
        <v>1</v>
      </c>
      <c r="K388" s="226"/>
      <c r="L388" s="293"/>
      <c r="M388" s="293"/>
      <c r="N388" s="293"/>
      <c r="O388" s="293"/>
      <c r="P388" s="293">
        <f t="shared" si="3"/>
        <v>1</v>
      </c>
      <c r="Q388" s="293"/>
      <c r="R388" s="293"/>
      <c r="S388" s="293"/>
      <c r="T388" s="293"/>
      <c r="U388" s="293"/>
      <c r="V388" s="293"/>
      <c r="W388" s="293">
        <f t="shared" si="4"/>
        <v>1</v>
      </c>
      <c r="X388" s="293"/>
      <c r="Y388" s="293"/>
      <c r="Z388" s="293"/>
      <c r="AA388" s="293"/>
      <c r="AB388" s="293"/>
      <c r="AC388" s="293"/>
      <c r="AD388" s="293">
        <f t="shared" si="5"/>
        <v>1</v>
      </c>
      <c r="AE388" s="293"/>
      <c r="AF388" s="293"/>
      <c r="AG388" s="293"/>
      <c r="AH388" s="293"/>
      <c r="AI388" s="293"/>
      <c r="AJ388" s="293"/>
      <c r="AK388" s="293"/>
      <c r="AL388" s="293"/>
      <c r="AM388" s="293"/>
      <c r="AN388" s="293"/>
      <c r="AO388" s="293"/>
      <c r="AP388" s="293"/>
      <c r="AQ388" s="293"/>
      <c r="AR388" s="293"/>
      <c r="AS388" s="293"/>
      <c r="AT388" s="293"/>
      <c r="AU388" s="293"/>
      <c r="AV388" s="293"/>
      <c r="AW388" s="293"/>
      <c r="AX388" s="293"/>
      <c r="AY388" s="293"/>
      <c r="AZ388" s="293"/>
      <c r="BA388" s="293"/>
      <c r="BB388" s="293"/>
      <c r="BC388" s="293"/>
      <c r="BD388" s="293"/>
      <c r="BE388" s="293"/>
      <c r="BF388" s="293"/>
      <c r="BG388" s="293"/>
      <c r="BH388" s="293"/>
      <c r="BI388" s="293"/>
      <c r="BJ388" s="293"/>
      <c r="BK388" s="293"/>
      <c r="BL388" s="293"/>
      <c r="BM388" s="293"/>
      <c r="BN388" s="293"/>
      <c r="BO388" s="293"/>
      <c r="BP388" s="293"/>
      <c r="BQ388" s="293"/>
      <c r="BR388" s="293"/>
      <c r="BS388" s="293"/>
      <c r="BT388" s="293"/>
      <c r="BU388" s="293"/>
      <c r="BV388" s="293"/>
      <c r="BW388" s="293"/>
      <c r="BX388" s="293"/>
      <c r="BY388" s="293"/>
      <c r="BZ388" s="293"/>
      <c r="CA388" s="285"/>
      <c r="CB388" s="286"/>
      <c r="CC388" s="286"/>
      <c r="CD388" s="286"/>
      <c r="CE388" s="286"/>
      <c r="CF388" s="286"/>
      <c r="CG388" s="286"/>
      <c r="CH388" s="286"/>
      <c r="CI388" s="286"/>
      <c r="CJ388" s="286"/>
      <c r="CK388" s="286"/>
      <c r="CL388" s="286"/>
      <c r="CM388" s="286"/>
      <c r="CN388" s="286"/>
      <c r="CO388" s="286"/>
      <c r="CP388" s="286"/>
      <c r="CQ388" s="286"/>
      <c r="CR388" s="286"/>
      <c r="CS388" s="286"/>
      <c r="CT388" s="286"/>
      <c r="CU388" s="286"/>
      <c r="CV388" s="286"/>
      <c r="CW388" s="286"/>
      <c r="CX388" s="286"/>
      <c r="CY388" s="286"/>
      <c r="CZ388" s="286"/>
      <c r="DA388" s="286"/>
      <c r="DB388" s="286"/>
      <c r="DC388" s="286"/>
      <c r="DD388" s="286"/>
      <c r="DE388" s="286"/>
      <c r="DF388" s="286"/>
      <c r="DG388" s="286"/>
      <c r="DH388" s="286"/>
      <c r="DI388" s="286"/>
      <c r="DJ388" s="286"/>
      <c r="DK388" s="286"/>
      <c r="DL388" s="286"/>
      <c r="DM388" s="286"/>
      <c r="DN388" s="286"/>
      <c r="DO388" s="286"/>
      <c r="DP388" s="286"/>
      <c r="DR388" s="58" t="str">
        <f>IF(ISNUMBER(MATCH(#REF!,'Audit Characteristic Mapping'!$B$3:$B$500,0)),"Y","")</f>
        <v/>
      </c>
      <c r="DS388" s="58" t="str">
        <f>IF(ISNUMBER(MATCH(#REF!,'Audit Characteristic Mapping'!$C$3:$C$500,0)),"Y","")</f>
        <v/>
      </c>
      <c r="DT388" s="58" t="str">
        <f>IF(ISNUMBER(MATCH(#REF!,'Audit Characteristic Mapping'!$D$3:$D$500,0)),"Y","")</f>
        <v/>
      </c>
      <c r="DU388" s="58" t="str">
        <f>IF(ISNUMBER(MATCH(#REF!,'Audit Characteristic Mapping'!$E$3:$E$500,0)),"Y","")</f>
        <v/>
      </c>
      <c r="DV388" s="58" t="str">
        <f>IF(ISNUMBER(MATCH(#REF!,'Audit Characteristic Mapping'!$F$3:$F$500,0)),"Y","")</f>
        <v/>
      </c>
      <c r="DW388" s="58" t="str">
        <f>IF(ISNUMBER(MATCH(#REF!,'Audit Characteristic Mapping'!$G$3:$G$500,0)),"Y","")</f>
        <v/>
      </c>
      <c r="DX388" s="58" t="str">
        <f>IF(ISNUMBER(MATCH(#REF!,'Audit Characteristic Mapping'!$H$3:$H$500,0)),"Y","")</f>
        <v/>
      </c>
      <c r="DY388" s="58" t="str">
        <f>IF(ISNUMBER(MATCH(#REF!,'Audit Characteristic Mapping'!$I$3:$I$500,0)),"Y","")</f>
        <v/>
      </c>
      <c r="DZ388" s="58" t="str">
        <f>IF(ISNUMBER(MATCH(#REF!,'Audit Characteristic Mapping'!$J$3:$J$500,0)),"Y","")</f>
        <v/>
      </c>
      <c r="EA388" s="58" t="str">
        <f>IF(ISNUMBER(MATCH(#REF!,'Audit Characteristic Mapping'!$K$3:$K$500,0)),"Y","")</f>
        <v/>
      </c>
    </row>
    <row r="389" spans="1:131" ht="32" x14ac:dyDescent="0.2">
      <c r="A389" s="294">
        <v>383</v>
      </c>
      <c r="B389" s="287" t="s">
        <v>492</v>
      </c>
      <c r="C389" s="226" t="s">
        <v>534</v>
      </c>
      <c r="D389" s="170">
        <v>10</v>
      </c>
      <c r="E389" s="288">
        <v>78</v>
      </c>
      <c r="F389" s="291" t="str">
        <f>VLOOKUP(Calculation!A389,'Descriptor maps'!$A$2:$F$1658,6,0)</f>
        <v>Does the internal movement data indicate that movements have exceeded set trigger levels since it was last reviewed?</v>
      </c>
      <c r="G389" s="296" t="s">
        <v>7</v>
      </c>
      <c r="H389" s="290"/>
      <c r="I389" s="291" cm="1">
        <f t="array" ref="I389">INDEX('Descriptor maps'!$H$2:$H$1658,MATCH(1,('Descriptor maps'!$A$2:$A$1658=Calculation!$A389)*('Descriptor maps'!$G$2:$G$1658=Calculation!$G389),0))</f>
        <v>4</v>
      </c>
      <c r="J389" s="292" cm="1">
        <f t="array" ref="J389">INDEX('Descriptor maps'!$I$2:$I$1658,MATCH(1,('Descriptor maps'!$A$2:$A$1658=Calculation!$A389)*('Descriptor maps'!$G$2:$G$1658=Calculation!$G389),0))</f>
        <v>4</v>
      </c>
      <c r="K389" s="226"/>
      <c r="L389" s="293"/>
      <c r="M389" s="293"/>
      <c r="N389" s="293"/>
      <c r="O389" s="293"/>
      <c r="P389" s="293">
        <f t="shared" si="3"/>
        <v>4</v>
      </c>
      <c r="Q389" s="293"/>
      <c r="R389" s="293"/>
      <c r="S389" s="293"/>
      <c r="T389" s="293"/>
      <c r="U389" s="293"/>
      <c r="V389" s="293"/>
      <c r="W389" s="293">
        <f t="shared" si="4"/>
        <v>4</v>
      </c>
      <c r="X389" s="293"/>
      <c r="Y389" s="293"/>
      <c r="Z389" s="293"/>
      <c r="AA389" s="293"/>
      <c r="AB389" s="293"/>
      <c r="AC389" s="293"/>
      <c r="AD389" s="293">
        <f t="shared" si="5"/>
        <v>4</v>
      </c>
      <c r="AE389" s="293"/>
      <c r="AF389" s="293"/>
      <c r="AG389" s="293"/>
      <c r="AH389" s="293"/>
      <c r="AI389" s="293"/>
      <c r="AJ389" s="293"/>
      <c r="AK389" s="293"/>
      <c r="AL389" s="293"/>
      <c r="AM389" s="293"/>
      <c r="AN389" s="293"/>
      <c r="AO389" s="293"/>
      <c r="AP389" s="293"/>
      <c r="AQ389" s="293"/>
      <c r="AR389" s="293"/>
      <c r="AS389" s="293"/>
      <c r="AT389" s="293"/>
      <c r="AU389" s="293"/>
      <c r="AV389" s="293"/>
      <c r="AW389" s="293"/>
      <c r="AX389" s="293"/>
      <c r="AY389" s="293"/>
      <c r="AZ389" s="293"/>
      <c r="BA389" s="293"/>
      <c r="BB389" s="293"/>
      <c r="BC389" s="293"/>
      <c r="BD389" s="293"/>
      <c r="BE389" s="293"/>
      <c r="BF389" s="293"/>
      <c r="BG389" s="293"/>
      <c r="BH389" s="293"/>
      <c r="BI389" s="293"/>
      <c r="BJ389" s="293"/>
      <c r="BK389" s="293"/>
      <c r="BL389" s="293"/>
      <c r="BM389" s="293"/>
      <c r="BN389" s="293"/>
      <c r="BO389" s="293"/>
      <c r="BP389" s="293"/>
      <c r="BQ389" s="293"/>
      <c r="BR389" s="293"/>
      <c r="BS389" s="293"/>
      <c r="BT389" s="293"/>
      <c r="BU389" s="293"/>
      <c r="BV389" s="293"/>
      <c r="BW389" s="293"/>
      <c r="BX389" s="293"/>
      <c r="BY389" s="293"/>
      <c r="BZ389" s="293"/>
      <c r="CA389" s="285"/>
      <c r="CB389" s="286"/>
      <c r="CC389" s="286"/>
      <c r="CD389" s="286"/>
      <c r="CE389" s="286"/>
      <c r="CF389" s="286"/>
      <c r="CG389" s="286"/>
      <c r="CH389" s="286"/>
      <c r="CI389" s="286"/>
      <c r="CJ389" s="286"/>
      <c r="CK389" s="286"/>
      <c r="CL389" s="286"/>
      <c r="CM389" s="286"/>
      <c r="CN389" s="286"/>
      <c r="CO389" s="286"/>
      <c r="CP389" s="286"/>
      <c r="CQ389" s="286"/>
      <c r="CR389" s="286"/>
      <c r="CS389" s="286"/>
      <c r="CT389" s="286"/>
      <c r="CU389" s="286"/>
      <c r="CV389" s="286"/>
      <c r="CW389" s="286"/>
      <c r="CX389" s="286"/>
      <c r="CY389" s="286"/>
      <c r="CZ389" s="286"/>
      <c r="DA389" s="286"/>
      <c r="DB389" s="286"/>
      <c r="DC389" s="286"/>
      <c r="DD389" s="286"/>
      <c r="DE389" s="286"/>
      <c r="DF389" s="286"/>
      <c r="DG389" s="286"/>
      <c r="DH389" s="286"/>
      <c r="DI389" s="286"/>
      <c r="DJ389" s="286"/>
      <c r="DK389" s="286"/>
      <c r="DL389" s="286"/>
      <c r="DM389" s="286"/>
      <c r="DN389" s="286"/>
      <c r="DO389" s="286"/>
      <c r="DP389" s="286"/>
      <c r="DR389" s="58" t="str">
        <f>IF(ISNUMBER(MATCH(#REF!,'Audit Characteristic Mapping'!$B$3:$B$500,0)),"Y","")</f>
        <v/>
      </c>
      <c r="DS389" s="58" t="str">
        <f>IF(ISNUMBER(MATCH(#REF!,'Audit Characteristic Mapping'!$C$3:$C$500,0)),"Y","")</f>
        <v/>
      </c>
      <c r="DT389" s="58" t="str">
        <f>IF(ISNUMBER(MATCH(#REF!,'Audit Characteristic Mapping'!$D$3:$D$500,0)),"Y","")</f>
        <v/>
      </c>
      <c r="DU389" s="58" t="str">
        <f>IF(ISNUMBER(MATCH(#REF!,'Audit Characteristic Mapping'!$E$3:$E$500,0)),"Y","")</f>
        <v/>
      </c>
      <c r="DV389" s="58" t="str">
        <f>IF(ISNUMBER(MATCH(#REF!,'Audit Characteristic Mapping'!$F$3:$F$500,0)),"Y","")</f>
        <v/>
      </c>
      <c r="DW389" s="58" t="str">
        <f>IF(ISNUMBER(MATCH(#REF!,'Audit Characteristic Mapping'!$G$3:$G$500,0)),"Y","")</f>
        <v/>
      </c>
      <c r="DX389" s="58" t="str">
        <f>IF(ISNUMBER(MATCH(#REF!,'Audit Characteristic Mapping'!$H$3:$H$500,0)),"Y","")</f>
        <v/>
      </c>
      <c r="DY389" s="58" t="str">
        <f>IF(ISNUMBER(MATCH(#REF!,'Audit Characteristic Mapping'!$I$3:$I$500,0)),"Y","")</f>
        <v/>
      </c>
      <c r="DZ389" s="58" t="str">
        <f>IF(ISNUMBER(MATCH(#REF!,'Audit Characteristic Mapping'!$J$3:$J$500,0)),"Y","")</f>
        <v/>
      </c>
      <c r="EA389" s="58" t="str">
        <f>IF(ISNUMBER(MATCH(#REF!,'Audit Characteristic Mapping'!$K$3:$K$500,0)),"Y","")</f>
        <v/>
      </c>
    </row>
    <row r="390" spans="1:131" ht="64" x14ac:dyDescent="0.2">
      <c r="A390" s="294">
        <v>384</v>
      </c>
      <c r="B390" s="287" t="s">
        <v>492</v>
      </c>
      <c r="C390" s="226" t="s">
        <v>537</v>
      </c>
      <c r="D390" s="170">
        <v>10</v>
      </c>
      <c r="E390" s="288">
        <v>79</v>
      </c>
      <c r="F390" s="291" t="str">
        <f>VLOOKUP(Calculation!A390,'Descriptor maps'!$A$2:$F$1658,6,0)</f>
        <v>Is there documented evidence that seepage data was collected and reviewed appropriately and at the minimum required frequencies to achieve the objective determining if the seepage volumes and rates are in line with the expected performance of the structure?</v>
      </c>
      <c r="G390" s="296" t="s">
        <v>1195</v>
      </c>
      <c r="H390" s="290"/>
      <c r="I390" s="291" cm="1">
        <f t="array" ref="I390">INDEX('Descriptor maps'!$H$2:$H$1658,MATCH(1,('Descriptor maps'!$A$2:$A$1658=Calculation!$A390)*('Descriptor maps'!$G$2:$G$1658=Calculation!$G390),0))</f>
        <v>4</v>
      </c>
      <c r="J390" s="292" cm="1">
        <f t="array" ref="J390">INDEX('Descriptor maps'!$I$2:$I$1658,MATCH(1,('Descriptor maps'!$A$2:$A$1658=Calculation!$A390)*('Descriptor maps'!$G$2:$G$1658=Calculation!$G390),0))</f>
        <v>4</v>
      </c>
      <c r="K390" s="226"/>
      <c r="L390" s="293"/>
      <c r="M390" s="293"/>
      <c r="N390" s="293"/>
      <c r="O390" s="293"/>
      <c r="P390" s="293">
        <f t="shared" si="3"/>
        <v>4</v>
      </c>
      <c r="Q390" s="293"/>
      <c r="R390" s="293"/>
      <c r="S390" s="293"/>
      <c r="T390" s="293"/>
      <c r="U390" s="293"/>
      <c r="V390" s="293"/>
      <c r="W390" s="293">
        <f t="shared" si="4"/>
        <v>4</v>
      </c>
      <c r="X390" s="293"/>
      <c r="Y390" s="293"/>
      <c r="Z390" s="293"/>
      <c r="AA390" s="293"/>
      <c r="AB390" s="293"/>
      <c r="AC390" s="293"/>
      <c r="AD390" s="293">
        <f t="shared" si="5"/>
        <v>4</v>
      </c>
      <c r="AE390" s="293"/>
      <c r="AF390" s="293"/>
      <c r="AG390" s="293"/>
      <c r="AH390" s="293"/>
      <c r="AI390" s="293"/>
      <c r="AJ390" s="293"/>
      <c r="AK390" s="293"/>
      <c r="AL390" s="293"/>
      <c r="AM390" s="293"/>
      <c r="AN390" s="293"/>
      <c r="AO390" s="293"/>
      <c r="AP390" s="293"/>
      <c r="AQ390" s="293"/>
      <c r="AR390" s="293"/>
      <c r="AS390" s="293"/>
      <c r="AT390" s="293"/>
      <c r="AU390" s="293"/>
      <c r="AV390" s="293"/>
      <c r="AW390" s="293"/>
      <c r="AX390" s="293"/>
      <c r="AY390" s="293"/>
      <c r="AZ390" s="293"/>
      <c r="BA390" s="293"/>
      <c r="BB390" s="293"/>
      <c r="BC390" s="293"/>
      <c r="BD390" s="293"/>
      <c r="BE390" s="293"/>
      <c r="BF390" s="293"/>
      <c r="BG390" s="293"/>
      <c r="BH390" s="293"/>
      <c r="BI390" s="293"/>
      <c r="BJ390" s="293"/>
      <c r="BK390" s="293"/>
      <c r="BL390" s="293"/>
      <c r="BM390" s="293"/>
      <c r="BN390" s="293"/>
      <c r="BO390" s="293"/>
      <c r="BP390" s="293"/>
      <c r="BQ390" s="293"/>
      <c r="BR390" s="293"/>
      <c r="BS390" s="293"/>
      <c r="BT390" s="293"/>
      <c r="BU390" s="293"/>
      <c r="BV390" s="293"/>
      <c r="BW390" s="293"/>
      <c r="BX390" s="293"/>
      <c r="BY390" s="293"/>
      <c r="BZ390" s="293"/>
      <c r="CA390" s="285"/>
      <c r="CB390" s="286"/>
      <c r="CC390" s="286"/>
      <c r="CD390" s="286"/>
      <c r="CE390" s="286"/>
      <c r="CF390" s="286"/>
      <c r="CG390" s="286"/>
      <c r="CH390" s="286"/>
      <c r="CI390" s="286"/>
      <c r="CJ390" s="286"/>
      <c r="CK390" s="286"/>
      <c r="CL390" s="286"/>
      <c r="CM390" s="286"/>
      <c r="CN390" s="286"/>
      <c r="CO390" s="286"/>
      <c r="CP390" s="286"/>
      <c r="CQ390" s="286"/>
      <c r="CR390" s="286"/>
      <c r="CS390" s="286"/>
      <c r="CT390" s="286"/>
      <c r="CU390" s="286"/>
      <c r="CV390" s="286"/>
      <c r="CW390" s="286"/>
      <c r="CX390" s="286"/>
      <c r="CY390" s="286"/>
      <c r="CZ390" s="286"/>
      <c r="DA390" s="286"/>
      <c r="DB390" s="286"/>
      <c r="DC390" s="286"/>
      <c r="DD390" s="286"/>
      <c r="DE390" s="286"/>
      <c r="DF390" s="286"/>
      <c r="DG390" s="286"/>
      <c r="DH390" s="286"/>
      <c r="DI390" s="286"/>
      <c r="DJ390" s="286"/>
      <c r="DK390" s="286"/>
      <c r="DL390" s="286"/>
      <c r="DM390" s="286"/>
      <c r="DN390" s="286"/>
      <c r="DO390" s="286"/>
      <c r="DP390" s="286"/>
      <c r="DR390" s="58" t="str">
        <f>IF(ISNUMBER(MATCH(#REF!,'Audit Characteristic Mapping'!$B$3:$B$500,0)),"Y","")</f>
        <v/>
      </c>
      <c r="DS390" s="58" t="str">
        <f>IF(ISNUMBER(MATCH(#REF!,'Audit Characteristic Mapping'!$C$3:$C$500,0)),"Y","")</f>
        <v/>
      </c>
      <c r="DT390" s="58" t="str">
        <f>IF(ISNUMBER(MATCH(#REF!,'Audit Characteristic Mapping'!$D$3:$D$500,0)),"Y","")</f>
        <v/>
      </c>
      <c r="DU390" s="58" t="str">
        <f>IF(ISNUMBER(MATCH(#REF!,'Audit Characteristic Mapping'!$E$3:$E$500,0)),"Y","")</f>
        <v/>
      </c>
      <c r="DV390" s="58" t="str">
        <f>IF(ISNUMBER(MATCH(#REF!,'Audit Characteristic Mapping'!$F$3:$F$500,0)),"Y","")</f>
        <v/>
      </c>
      <c r="DW390" s="58" t="str">
        <f>IF(ISNUMBER(MATCH(#REF!,'Audit Characteristic Mapping'!$G$3:$G$500,0)),"Y","")</f>
        <v/>
      </c>
      <c r="DX390" s="58" t="str">
        <f>IF(ISNUMBER(MATCH(#REF!,'Audit Characteristic Mapping'!$H$3:$H$500,0)),"Y","")</f>
        <v/>
      </c>
      <c r="DY390" s="58" t="str">
        <f>IF(ISNUMBER(MATCH(#REF!,'Audit Characteristic Mapping'!$I$3:$I$500,0)),"Y","")</f>
        <v/>
      </c>
      <c r="DZ390" s="58" t="str">
        <f>IF(ISNUMBER(MATCH(#REF!,'Audit Characteristic Mapping'!$J$3:$J$500,0)),"Y","")</f>
        <v/>
      </c>
      <c r="EA390" s="58" t="str">
        <f>IF(ISNUMBER(MATCH(#REF!,'Audit Characteristic Mapping'!$K$3:$K$500,0)),"Y","")</f>
        <v/>
      </c>
    </row>
    <row r="391" spans="1:131" ht="32" x14ac:dyDescent="0.2">
      <c r="A391" s="294">
        <v>385</v>
      </c>
      <c r="B391" s="287" t="s">
        <v>492</v>
      </c>
      <c r="C391" s="226" t="s">
        <v>537</v>
      </c>
      <c r="D391" s="170">
        <v>10</v>
      </c>
      <c r="E391" s="288">
        <v>79</v>
      </c>
      <c r="F391" s="291" t="str">
        <f>VLOOKUP(Calculation!A391,'Descriptor maps'!$A$2:$F$1658,6,0)</f>
        <v>Does the assessment of the seepage data shows that seepage rates are in line with the expected performance?</v>
      </c>
      <c r="G391" s="296" t="s">
        <v>7</v>
      </c>
      <c r="H391" s="290"/>
      <c r="I391" s="291" cm="1">
        <f t="array" ref="I391">INDEX('Descriptor maps'!$H$2:$H$1658,MATCH(1,('Descriptor maps'!$A$2:$A$1658=Calculation!$A391)*('Descriptor maps'!$G$2:$G$1658=Calculation!$G391),0))</f>
        <v>1</v>
      </c>
      <c r="J391" s="292" cm="1">
        <f t="array" ref="J391">INDEX('Descriptor maps'!$I$2:$I$1658,MATCH(1,('Descriptor maps'!$A$2:$A$1658=Calculation!$A391)*('Descriptor maps'!$G$2:$G$1658=Calculation!$G391),0))</f>
        <v>1</v>
      </c>
      <c r="K391" s="226"/>
      <c r="L391" s="293"/>
      <c r="M391" s="293"/>
      <c r="N391" s="293"/>
      <c r="O391" s="293"/>
      <c r="P391" s="293">
        <f t="shared" si="3"/>
        <v>1</v>
      </c>
      <c r="Q391" s="293"/>
      <c r="R391" s="293"/>
      <c r="S391" s="293"/>
      <c r="T391" s="293"/>
      <c r="U391" s="293"/>
      <c r="V391" s="293"/>
      <c r="W391" s="293">
        <f t="shared" si="4"/>
        <v>1</v>
      </c>
      <c r="X391" s="293"/>
      <c r="Y391" s="293"/>
      <c r="Z391" s="293"/>
      <c r="AA391" s="293"/>
      <c r="AB391" s="293"/>
      <c r="AC391" s="293"/>
      <c r="AD391" s="293">
        <f t="shared" si="5"/>
        <v>1</v>
      </c>
      <c r="AE391" s="293"/>
      <c r="AF391" s="293"/>
      <c r="AG391" s="293"/>
      <c r="AH391" s="293"/>
      <c r="AI391" s="293"/>
      <c r="AJ391" s="293"/>
      <c r="AK391" s="293"/>
      <c r="AL391" s="293"/>
      <c r="AM391" s="293"/>
      <c r="AN391" s="293"/>
      <c r="AO391" s="293"/>
      <c r="AP391" s="293"/>
      <c r="AQ391" s="293"/>
      <c r="AR391" s="293"/>
      <c r="AS391" s="293"/>
      <c r="AT391" s="293"/>
      <c r="AU391" s="293"/>
      <c r="AV391" s="293"/>
      <c r="AW391" s="293"/>
      <c r="AX391" s="293"/>
      <c r="AY391" s="293"/>
      <c r="AZ391" s="293"/>
      <c r="BA391" s="293"/>
      <c r="BB391" s="293"/>
      <c r="BC391" s="293"/>
      <c r="BD391" s="293"/>
      <c r="BE391" s="293"/>
      <c r="BF391" s="293"/>
      <c r="BG391" s="293"/>
      <c r="BH391" s="293"/>
      <c r="BI391" s="293"/>
      <c r="BJ391" s="293"/>
      <c r="BK391" s="293"/>
      <c r="BL391" s="293"/>
      <c r="BM391" s="293"/>
      <c r="BN391" s="293"/>
      <c r="BO391" s="293"/>
      <c r="BP391" s="293"/>
      <c r="BQ391" s="293"/>
      <c r="BR391" s="293"/>
      <c r="BS391" s="293"/>
      <c r="BT391" s="293"/>
      <c r="BU391" s="293"/>
      <c r="BV391" s="293"/>
      <c r="BW391" s="293"/>
      <c r="BX391" s="293"/>
      <c r="BY391" s="293"/>
      <c r="BZ391" s="293"/>
      <c r="CA391" s="285"/>
      <c r="CB391" s="286"/>
      <c r="CC391" s="286"/>
      <c r="CD391" s="286"/>
      <c r="CE391" s="286"/>
      <c r="CF391" s="286"/>
      <c r="CG391" s="286"/>
      <c r="CH391" s="286"/>
      <c r="CI391" s="286"/>
      <c r="CJ391" s="286"/>
      <c r="CK391" s="286"/>
      <c r="CL391" s="286"/>
      <c r="CM391" s="286"/>
      <c r="CN391" s="286"/>
      <c r="CO391" s="286"/>
      <c r="CP391" s="286"/>
      <c r="CQ391" s="286"/>
      <c r="CR391" s="286"/>
      <c r="CS391" s="286"/>
      <c r="CT391" s="286"/>
      <c r="CU391" s="286"/>
      <c r="CV391" s="286"/>
      <c r="CW391" s="286"/>
      <c r="CX391" s="286"/>
      <c r="CY391" s="286"/>
      <c r="CZ391" s="286"/>
      <c r="DA391" s="286"/>
      <c r="DB391" s="286"/>
      <c r="DC391" s="286"/>
      <c r="DD391" s="286"/>
      <c r="DE391" s="286"/>
      <c r="DF391" s="286"/>
      <c r="DG391" s="286"/>
      <c r="DH391" s="286"/>
      <c r="DI391" s="286"/>
      <c r="DJ391" s="286"/>
      <c r="DK391" s="286"/>
      <c r="DL391" s="286"/>
      <c r="DM391" s="286"/>
      <c r="DN391" s="286"/>
      <c r="DO391" s="286"/>
      <c r="DP391" s="286"/>
      <c r="DR391" s="58" t="str">
        <f>IF(ISNUMBER(MATCH(#REF!,'Audit Characteristic Mapping'!$B$3:$B$500,0)),"Y","")</f>
        <v/>
      </c>
      <c r="DS391" s="58" t="str">
        <f>IF(ISNUMBER(MATCH(#REF!,'Audit Characteristic Mapping'!$C$3:$C$500,0)),"Y","")</f>
        <v/>
      </c>
      <c r="DT391" s="58" t="str">
        <f>IF(ISNUMBER(MATCH(#REF!,'Audit Characteristic Mapping'!$D$3:$D$500,0)),"Y","")</f>
        <v/>
      </c>
      <c r="DU391" s="58" t="str">
        <f>IF(ISNUMBER(MATCH(#REF!,'Audit Characteristic Mapping'!$E$3:$E$500,0)),"Y","")</f>
        <v/>
      </c>
      <c r="DV391" s="58" t="str">
        <f>IF(ISNUMBER(MATCH(#REF!,'Audit Characteristic Mapping'!$F$3:$F$500,0)),"Y","")</f>
        <v/>
      </c>
      <c r="DW391" s="58" t="str">
        <f>IF(ISNUMBER(MATCH(#REF!,'Audit Characteristic Mapping'!$G$3:$G$500,0)),"Y","")</f>
        <v/>
      </c>
      <c r="DX391" s="58" t="str">
        <f>IF(ISNUMBER(MATCH(#REF!,'Audit Characteristic Mapping'!$H$3:$H$500,0)),"Y","")</f>
        <v/>
      </c>
      <c r="DY391" s="58" t="str">
        <f>IF(ISNUMBER(MATCH(#REF!,'Audit Characteristic Mapping'!$I$3:$I$500,0)),"Y","")</f>
        <v/>
      </c>
      <c r="DZ391" s="58" t="str">
        <f>IF(ISNUMBER(MATCH(#REF!,'Audit Characteristic Mapping'!$J$3:$J$500,0)),"Y","")</f>
        <v/>
      </c>
      <c r="EA391" s="58" t="str">
        <f>IF(ISNUMBER(MATCH(#REF!,'Audit Characteristic Mapping'!$K$3:$K$500,0)),"Y","")</f>
        <v/>
      </c>
    </row>
    <row r="392" spans="1:131" ht="32" x14ac:dyDescent="0.2">
      <c r="A392" s="294">
        <v>386</v>
      </c>
      <c r="B392" s="287" t="s">
        <v>492</v>
      </c>
      <c r="C392" s="226" t="s">
        <v>537</v>
      </c>
      <c r="D392" s="170">
        <v>10</v>
      </c>
      <c r="E392" s="288">
        <v>79</v>
      </c>
      <c r="F392" s="291" t="str">
        <f>VLOOKUP(Calculation!A392,'Descriptor maps'!$A$2:$F$1658,6,0)</f>
        <v>Does the seepage data indicate that seepage rates have exceeded set trigger levels since it was last reviewed?</v>
      </c>
      <c r="G392" s="296" t="s">
        <v>7</v>
      </c>
      <c r="H392" s="290"/>
      <c r="I392" s="291" cm="1">
        <f t="array" ref="I392">INDEX('Descriptor maps'!$H$2:$H$1658,MATCH(1,('Descriptor maps'!$A$2:$A$1658=Calculation!$A392)*('Descriptor maps'!$G$2:$G$1658=Calculation!$G392),0))</f>
        <v>4</v>
      </c>
      <c r="J392" s="292" cm="1">
        <f t="array" ref="J392">INDEX('Descriptor maps'!$I$2:$I$1658,MATCH(1,('Descriptor maps'!$A$2:$A$1658=Calculation!$A392)*('Descriptor maps'!$G$2:$G$1658=Calculation!$G392),0))</f>
        <v>4</v>
      </c>
      <c r="K392" s="226"/>
      <c r="L392" s="293"/>
      <c r="M392" s="293"/>
      <c r="N392" s="293"/>
      <c r="O392" s="293"/>
      <c r="P392" s="293">
        <f t="shared" si="3"/>
        <v>4</v>
      </c>
      <c r="Q392" s="293"/>
      <c r="R392" s="293"/>
      <c r="S392" s="293"/>
      <c r="T392" s="293"/>
      <c r="U392" s="293"/>
      <c r="V392" s="293"/>
      <c r="W392" s="293">
        <f t="shared" si="4"/>
        <v>4</v>
      </c>
      <c r="X392" s="293"/>
      <c r="Y392" s="293"/>
      <c r="Z392" s="293"/>
      <c r="AA392" s="293"/>
      <c r="AB392" s="293"/>
      <c r="AC392" s="293"/>
      <c r="AD392" s="293">
        <f t="shared" si="5"/>
        <v>4</v>
      </c>
      <c r="AE392" s="293"/>
      <c r="AF392" s="293"/>
      <c r="AG392" s="293"/>
      <c r="AH392" s="293"/>
      <c r="AI392" s="293"/>
      <c r="AJ392" s="293"/>
      <c r="AK392" s="293"/>
      <c r="AL392" s="293"/>
      <c r="AM392" s="293"/>
      <c r="AN392" s="293"/>
      <c r="AO392" s="293"/>
      <c r="AP392" s="293"/>
      <c r="AQ392" s="293"/>
      <c r="AR392" s="293"/>
      <c r="AS392" s="293"/>
      <c r="AT392" s="293"/>
      <c r="AU392" s="293"/>
      <c r="AV392" s="293"/>
      <c r="AW392" s="293"/>
      <c r="AX392" s="293"/>
      <c r="AY392" s="293"/>
      <c r="AZ392" s="293"/>
      <c r="BA392" s="293"/>
      <c r="BB392" s="293"/>
      <c r="BC392" s="293"/>
      <c r="BD392" s="293"/>
      <c r="BE392" s="293"/>
      <c r="BF392" s="293"/>
      <c r="BG392" s="293"/>
      <c r="BH392" s="293"/>
      <c r="BI392" s="293"/>
      <c r="BJ392" s="293"/>
      <c r="BK392" s="293"/>
      <c r="BL392" s="293"/>
      <c r="BM392" s="293"/>
      <c r="BN392" s="293"/>
      <c r="BO392" s="293"/>
      <c r="BP392" s="293"/>
      <c r="BQ392" s="293"/>
      <c r="BR392" s="293"/>
      <c r="BS392" s="293"/>
      <c r="BT392" s="293"/>
      <c r="BU392" s="293"/>
      <c r="BV392" s="293"/>
      <c r="BW392" s="293"/>
      <c r="BX392" s="293"/>
      <c r="BY392" s="293"/>
      <c r="BZ392" s="293"/>
      <c r="CA392" s="285"/>
      <c r="CB392" s="286"/>
      <c r="CC392" s="286"/>
      <c r="CD392" s="286"/>
      <c r="CE392" s="286"/>
      <c r="CF392" s="286"/>
      <c r="CG392" s="286"/>
      <c r="CH392" s="286"/>
      <c r="CI392" s="286"/>
      <c r="CJ392" s="286"/>
      <c r="CK392" s="286"/>
      <c r="CL392" s="286"/>
      <c r="CM392" s="286"/>
      <c r="CN392" s="286"/>
      <c r="CO392" s="286"/>
      <c r="CP392" s="286"/>
      <c r="CQ392" s="286"/>
      <c r="CR392" s="286"/>
      <c r="CS392" s="286"/>
      <c r="CT392" s="286"/>
      <c r="CU392" s="286"/>
      <c r="CV392" s="286"/>
      <c r="CW392" s="286"/>
      <c r="CX392" s="286"/>
      <c r="CY392" s="286"/>
      <c r="CZ392" s="286"/>
      <c r="DA392" s="286"/>
      <c r="DB392" s="286"/>
      <c r="DC392" s="286"/>
      <c r="DD392" s="286"/>
      <c r="DE392" s="286"/>
      <c r="DF392" s="286"/>
      <c r="DG392" s="286"/>
      <c r="DH392" s="286"/>
      <c r="DI392" s="286"/>
      <c r="DJ392" s="286"/>
      <c r="DK392" s="286"/>
      <c r="DL392" s="286"/>
      <c r="DM392" s="286"/>
      <c r="DN392" s="286"/>
      <c r="DO392" s="286"/>
      <c r="DP392" s="286"/>
      <c r="DR392" s="58" t="str">
        <f>IF(ISNUMBER(MATCH(#REF!,'Audit Characteristic Mapping'!$B$3:$B$500,0)),"Y","")</f>
        <v/>
      </c>
      <c r="DS392" s="58" t="str">
        <f>IF(ISNUMBER(MATCH(#REF!,'Audit Characteristic Mapping'!$C$3:$C$500,0)),"Y","")</f>
        <v/>
      </c>
      <c r="DT392" s="58" t="str">
        <f>IF(ISNUMBER(MATCH(#REF!,'Audit Characteristic Mapping'!$D$3:$D$500,0)),"Y","")</f>
        <v/>
      </c>
      <c r="DU392" s="58" t="str">
        <f>IF(ISNUMBER(MATCH(#REF!,'Audit Characteristic Mapping'!$E$3:$E$500,0)),"Y","")</f>
        <v/>
      </c>
      <c r="DV392" s="58" t="str">
        <f>IF(ISNUMBER(MATCH(#REF!,'Audit Characteristic Mapping'!$F$3:$F$500,0)),"Y","")</f>
        <v/>
      </c>
      <c r="DW392" s="58" t="str">
        <f>IF(ISNUMBER(MATCH(#REF!,'Audit Characteristic Mapping'!$G$3:$G$500,0)),"Y","")</f>
        <v/>
      </c>
      <c r="DX392" s="58" t="str">
        <f>IF(ISNUMBER(MATCH(#REF!,'Audit Characteristic Mapping'!$H$3:$H$500,0)),"Y","")</f>
        <v/>
      </c>
      <c r="DY392" s="58" t="str">
        <f>IF(ISNUMBER(MATCH(#REF!,'Audit Characteristic Mapping'!$I$3:$I$500,0)),"Y","")</f>
        <v/>
      </c>
      <c r="DZ392" s="58" t="str">
        <f>IF(ISNUMBER(MATCH(#REF!,'Audit Characteristic Mapping'!$J$3:$J$500,0)),"Y","")</f>
        <v/>
      </c>
      <c r="EA392" s="58" t="str">
        <f>IF(ISNUMBER(MATCH(#REF!,'Audit Characteristic Mapping'!$K$3:$K$500,0)),"Y","")</f>
        <v/>
      </c>
    </row>
    <row r="393" spans="1:131" ht="48" x14ac:dyDescent="0.2">
      <c r="A393" s="294">
        <v>387</v>
      </c>
      <c r="B393" s="287" t="s">
        <v>492</v>
      </c>
      <c r="C393" s="226" t="s">
        <v>540</v>
      </c>
      <c r="D393" s="170">
        <v>10</v>
      </c>
      <c r="E393" s="288">
        <v>80</v>
      </c>
      <c r="F393" s="291" t="str">
        <f>VLOOKUP(Calculation!A393,'Descriptor maps'!$A$2:$F$1658,6,0)</f>
        <v>Does collected data and observations indicate that structural embankment and foundation zones which analyses and modelling indicated should be unsaturated are indeed saturated?</v>
      </c>
      <c r="G393" s="296" t="s">
        <v>8</v>
      </c>
      <c r="H393" s="290"/>
      <c r="I393" s="291" cm="1">
        <f t="array" ref="I393">INDEX('Descriptor maps'!$H$2:$H$1658,MATCH(1,('Descriptor maps'!$A$2:$A$1658=Calculation!$A393)*('Descriptor maps'!$G$2:$G$1658=Calculation!$G393),0))</f>
        <v>1</v>
      </c>
      <c r="J393" s="292" cm="1">
        <f t="array" ref="J393">INDEX('Descriptor maps'!$I$2:$I$1658,MATCH(1,('Descriptor maps'!$A$2:$A$1658=Calculation!$A393)*('Descriptor maps'!$G$2:$G$1658=Calculation!$G393),0))</f>
        <v>1</v>
      </c>
      <c r="K393" s="226"/>
      <c r="L393" s="293"/>
      <c r="M393" s="293"/>
      <c r="N393" s="293"/>
      <c r="O393" s="293"/>
      <c r="P393" s="293">
        <f t="shared" si="3"/>
        <v>1</v>
      </c>
      <c r="Q393" s="293"/>
      <c r="R393" s="293"/>
      <c r="S393" s="293"/>
      <c r="T393" s="293"/>
      <c r="U393" s="293"/>
      <c r="V393" s="293"/>
      <c r="W393" s="293">
        <f t="shared" si="4"/>
        <v>1</v>
      </c>
      <c r="X393" s="293"/>
      <c r="Y393" s="293"/>
      <c r="Z393" s="293"/>
      <c r="AA393" s="293"/>
      <c r="AB393" s="293"/>
      <c r="AC393" s="293"/>
      <c r="AD393" s="293">
        <f t="shared" si="5"/>
        <v>1</v>
      </c>
      <c r="AE393" s="293"/>
      <c r="AF393" s="293"/>
      <c r="AG393" s="293"/>
      <c r="AH393" s="293"/>
      <c r="AI393" s="293"/>
      <c r="AJ393" s="293"/>
      <c r="AK393" s="293"/>
      <c r="AL393" s="293"/>
      <c r="AM393" s="293"/>
      <c r="AN393" s="293"/>
      <c r="AO393" s="293"/>
      <c r="AP393" s="293"/>
      <c r="AQ393" s="293"/>
      <c r="AR393" s="293"/>
      <c r="AS393" s="293"/>
      <c r="AT393" s="293"/>
      <c r="AU393" s="293"/>
      <c r="AV393" s="293"/>
      <c r="AW393" s="293"/>
      <c r="AX393" s="293"/>
      <c r="AY393" s="293"/>
      <c r="AZ393" s="293"/>
      <c r="BA393" s="293"/>
      <c r="BB393" s="293"/>
      <c r="BC393" s="293"/>
      <c r="BD393" s="293"/>
      <c r="BE393" s="293"/>
      <c r="BF393" s="293"/>
      <c r="BG393" s="293"/>
      <c r="BH393" s="293"/>
      <c r="BI393" s="293"/>
      <c r="BJ393" s="293"/>
      <c r="BK393" s="293"/>
      <c r="BL393" s="293"/>
      <c r="BM393" s="293"/>
      <c r="BN393" s="293"/>
      <c r="BO393" s="293"/>
      <c r="BP393" s="293"/>
      <c r="BQ393" s="293"/>
      <c r="BR393" s="293"/>
      <c r="BS393" s="293"/>
      <c r="BT393" s="293"/>
      <c r="BU393" s="293"/>
      <c r="BV393" s="293"/>
      <c r="BW393" s="293"/>
      <c r="BX393" s="293"/>
      <c r="BY393" s="293"/>
      <c r="BZ393" s="293"/>
      <c r="CA393" s="285"/>
      <c r="CB393" s="286">
        <v>1</v>
      </c>
      <c r="CC393" s="286"/>
      <c r="CD393" s="286"/>
      <c r="CE393" s="286"/>
      <c r="CF393" s="286"/>
      <c r="CG393" s="286"/>
      <c r="CH393" s="286"/>
      <c r="CI393" s="286"/>
      <c r="CJ393" s="286"/>
      <c r="CK393" s="286"/>
      <c r="CL393" s="286"/>
      <c r="CM393" s="286"/>
      <c r="CN393" s="286"/>
      <c r="CO393" s="286"/>
      <c r="CP393" s="286">
        <v>1</v>
      </c>
      <c r="CQ393" s="286"/>
      <c r="CR393" s="286">
        <v>1</v>
      </c>
      <c r="CS393" s="286"/>
      <c r="CT393" s="286"/>
      <c r="CU393" s="286"/>
      <c r="CV393" s="286"/>
      <c r="CW393" s="286"/>
      <c r="CX393" s="286"/>
      <c r="CY393" s="286"/>
      <c r="CZ393" s="286"/>
      <c r="DA393" s="286"/>
      <c r="DB393" s="286"/>
      <c r="DC393" s="286"/>
      <c r="DD393" s="286"/>
      <c r="DE393" s="286"/>
      <c r="DF393" s="286"/>
      <c r="DG393" s="286"/>
      <c r="DH393" s="286"/>
      <c r="DI393" s="286"/>
      <c r="DJ393" s="286"/>
      <c r="DK393" s="286"/>
      <c r="DL393" s="286"/>
      <c r="DM393" s="286"/>
      <c r="DN393" s="286"/>
      <c r="DO393" s="286"/>
      <c r="DP393" s="286"/>
      <c r="DR393" s="58" t="str">
        <f>IF(ISNUMBER(MATCH(#REF!,'Audit Characteristic Mapping'!$B$3:$B$500,0)),"Y","")</f>
        <v/>
      </c>
      <c r="DS393" s="58" t="str">
        <f>IF(ISNUMBER(MATCH(#REF!,'Audit Characteristic Mapping'!$C$3:$C$500,0)),"Y","")</f>
        <v/>
      </c>
      <c r="DT393" s="58" t="str">
        <f>IF(ISNUMBER(MATCH(#REF!,'Audit Characteristic Mapping'!$D$3:$D$500,0)),"Y","")</f>
        <v/>
      </c>
      <c r="DU393" s="58" t="str">
        <f>IF(ISNUMBER(MATCH(#REF!,'Audit Characteristic Mapping'!$E$3:$E$500,0)),"Y","")</f>
        <v/>
      </c>
      <c r="DV393" s="58" t="str">
        <f>IF(ISNUMBER(MATCH(#REF!,'Audit Characteristic Mapping'!$F$3:$F$500,0)),"Y","")</f>
        <v/>
      </c>
      <c r="DW393" s="58" t="str">
        <f>IF(ISNUMBER(MATCH(#REF!,'Audit Characteristic Mapping'!$G$3:$G$500,0)),"Y","")</f>
        <v/>
      </c>
      <c r="DX393" s="58" t="str">
        <f>IF(ISNUMBER(MATCH(#REF!,'Audit Characteristic Mapping'!$H$3:$H$500,0)),"Y","")</f>
        <v/>
      </c>
      <c r="DY393" s="58" t="str">
        <f>IF(ISNUMBER(MATCH(#REF!,'Audit Characteristic Mapping'!$I$3:$I$500,0)),"Y","")</f>
        <v/>
      </c>
      <c r="DZ393" s="58" t="str">
        <f>IF(ISNUMBER(MATCH(#REF!,'Audit Characteristic Mapping'!$J$3:$J$500,0)),"Y","")</f>
        <v/>
      </c>
      <c r="EA393" s="58" t="str">
        <f>IF(ISNUMBER(MATCH(#REF!,'Audit Characteristic Mapping'!$K$3:$K$500,0)),"Y","")</f>
        <v/>
      </c>
    </row>
    <row r="394" spans="1:131" ht="64" x14ac:dyDescent="0.2">
      <c r="A394" s="294">
        <v>388</v>
      </c>
      <c r="B394" s="287" t="s">
        <v>492</v>
      </c>
      <c r="C394" s="226" t="s">
        <v>540</v>
      </c>
      <c r="D394" s="170">
        <v>10</v>
      </c>
      <c r="E394" s="288">
        <v>80</v>
      </c>
      <c r="F394" s="291" t="str">
        <f>VLOOKUP(Calculation!A394,'Descriptor maps'!$A$2:$F$1658,6,0)</f>
        <v>Is there documented evidence that liquefaction assessment was completed for materials in the structural zone of the embankment and foundations with the objective of confirming the embankment stability under relevant loading conditions associated with the failure modes?</v>
      </c>
      <c r="G394" s="296" t="s">
        <v>8</v>
      </c>
      <c r="H394" s="290"/>
      <c r="I394" s="291" t="e" cm="1">
        <f t="array" ref="I394">INDEX('Descriptor maps'!$H$2:$H$1658,MATCH(1,('Descriptor maps'!$A$2:$A$1658=Calculation!$A394)*('Descriptor maps'!$G$2:$G$1658=Calculation!$G394),0))</f>
        <v>#N/A</v>
      </c>
      <c r="J394" s="292" t="e" cm="1">
        <f t="array" ref="J394">INDEX('Descriptor maps'!$I$2:$I$1658,MATCH(1,('Descriptor maps'!$A$2:$A$1658=Calculation!$A394)*('Descriptor maps'!$G$2:$G$1658=Calculation!$G394),0))</f>
        <v>#N/A</v>
      </c>
      <c r="K394" s="226"/>
      <c r="L394" s="293"/>
      <c r="M394" s="293"/>
      <c r="N394" s="293"/>
      <c r="O394" s="293"/>
      <c r="P394" s="293"/>
      <c r="Q394" s="293"/>
      <c r="R394" s="293"/>
      <c r="S394" s="293"/>
      <c r="T394" s="293"/>
      <c r="U394" s="293"/>
      <c r="V394" s="293"/>
      <c r="W394" s="293" t="e">
        <f t="shared" si="4"/>
        <v>#N/A</v>
      </c>
      <c r="X394" s="293" t="e">
        <f>1*$J394</f>
        <v>#N/A</v>
      </c>
      <c r="Y394" s="293"/>
      <c r="Z394" s="293"/>
      <c r="AA394" s="293"/>
      <c r="AB394" s="293"/>
      <c r="AC394" s="293"/>
      <c r="AD394" s="293" t="e">
        <f t="shared" si="5"/>
        <v>#N/A</v>
      </c>
      <c r="AE394" s="293" t="e">
        <f>1*$J394</f>
        <v>#N/A</v>
      </c>
      <c r="AF394" s="293"/>
      <c r="AG394" s="293"/>
      <c r="AH394" s="293"/>
      <c r="AI394" s="293"/>
      <c r="AJ394" s="293"/>
      <c r="AK394" s="293"/>
      <c r="AL394" s="293"/>
      <c r="AM394" s="293"/>
      <c r="AN394" s="293"/>
      <c r="AO394" s="293"/>
      <c r="AP394" s="293"/>
      <c r="AQ394" s="293"/>
      <c r="AR394" s="293"/>
      <c r="AS394" s="293"/>
      <c r="AT394" s="293"/>
      <c r="AU394" s="293"/>
      <c r="AV394" s="293"/>
      <c r="AW394" s="293"/>
      <c r="AX394" s="293"/>
      <c r="AY394" s="293"/>
      <c r="AZ394" s="293"/>
      <c r="BA394" s="293"/>
      <c r="BB394" s="293"/>
      <c r="BC394" s="293"/>
      <c r="BD394" s="293"/>
      <c r="BE394" s="293"/>
      <c r="BF394" s="293"/>
      <c r="BG394" s="293"/>
      <c r="BH394" s="293"/>
      <c r="BI394" s="293"/>
      <c r="BJ394" s="293"/>
      <c r="BK394" s="293"/>
      <c r="BL394" s="293"/>
      <c r="BM394" s="293"/>
      <c r="BN394" s="293"/>
      <c r="BO394" s="293"/>
      <c r="BP394" s="293"/>
      <c r="BQ394" s="293"/>
      <c r="BR394" s="293"/>
      <c r="BS394" s="293"/>
      <c r="BT394" s="293"/>
      <c r="BU394" s="293"/>
      <c r="BV394" s="293"/>
      <c r="BW394" s="293"/>
      <c r="BX394" s="293"/>
      <c r="BY394" s="293"/>
      <c r="BZ394" s="293"/>
      <c r="CA394" s="285"/>
      <c r="CB394" s="286"/>
      <c r="CC394" s="286"/>
      <c r="CD394" s="286"/>
      <c r="CE394" s="286"/>
      <c r="CF394" s="286"/>
      <c r="CG394" s="286"/>
      <c r="CH394" s="286"/>
      <c r="CI394" s="286"/>
      <c r="CJ394" s="286"/>
      <c r="CK394" s="286">
        <v>1</v>
      </c>
      <c r="CL394" s="286"/>
      <c r="CM394" s="286"/>
      <c r="CN394" s="286"/>
      <c r="CO394" s="286"/>
      <c r="CP394" s="286"/>
      <c r="CQ394" s="286"/>
      <c r="CR394" s="286"/>
      <c r="CS394" s="286"/>
      <c r="CT394" s="286"/>
      <c r="CU394" s="286"/>
      <c r="CV394" s="286"/>
      <c r="CW394" s="286"/>
      <c r="CX394" s="286"/>
      <c r="CY394" s="286"/>
      <c r="CZ394" s="286"/>
      <c r="DA394" s="286"/>
      <c r="DB394" s="286"/>
      <c r="DC394" s="286"/>
      <c r="DD394" s="286"/>
      <c r="DE394" s="286"/>
      <c r="DF394" s="286"/>
      <c r="DG394" s="286"/>
      <c r="DH394" s="286"/>
      <c r="DI394" s="286"/>
      <c r="DJ394" s="286"/>
      <c r="DK394" s="286"/>
      <c r="DL394" s="286"/>
      <c r="DM394" s="286"/>
      <c r="DN394" s="286"/>
      <c r="DO394" s="286"/>
      <c r="DP394" s="286"/>
      <c r="DR394" s="58" t="str">
        <f>IF(ISNUMBER(MATCH(#REF!,'Audit Characteristic Mapping'!$B$3:$B$500,0)),"Y","")</f>
        <v/>
      </c>
      <c r="DS394" s="58" t="str">
        <f>IF(ISNUMBER(MATCH(#REF!,'Audit Characteristic Mapping'!$C$3:$C$500,0)),"Y","")</f>
        <v/>
      </c>
      <c r="DT394" s="58" t="str">
        <f>IF(ISNUMBER(MATCH(#REF!,'Audit Characteristic Mapping'!$D$3:$D$500,0)),"Y","")</f>
        <v/>
      </c>
      <c r="DU394" s="58" t="str">
        <f>IF(ISNUMBER(MATCH(#REF!,'Audit Characteristic Mapping'!$E$3:$E$500,0)),"Y","")</f>
        <v/>
      </c>
      <c r="DV394" s="58" t="str">
        <f>IF(ISNUMBER(MATCH(#REF!,'Audit Characteristic Mapping'!$F$3:$F$500,0)),"Y","")</f>
        <v/>
      </c>
      <c r="DW394" s="58" t="str">
        <f>IF(ISNUMBER(MATCH(#REF!,'Audit Characteristic Mapping'!$G$3:$G$500,0)),"Y","")</f>
        <v/>
      </c>
      <c r="DX394" s="58" t="str">
        <f>IF(ISNUMBER(MATCH(#REF!,'Audit Characteristic Mapping'!$H$3:$H$500,0)),"Y","")</f>
        <v/>
      </c>
      <c r="DY394" s="58" t="str">
        <f>IF(ISNUMBER(MATCH(#REF!,'Audit Characteristic Mapping'!$I$3:$I$500,0)),"Y","")</f>
        <v/>
      </c>
      <c r="DZ394" s="58" t="str">
        <f>IF(ISNUMBER(MATCH(#REF!,'Audit Characteristic Mapping'!$J$3:$J$500,0)),"Y","")</f>
        <v/>
      </c>
      <c r="EA394" s="58" t="str">
        <f>IF(ISNUMBER(MATCH(#REF!,'Audit Characteristic Mapping'!$K$3:$K$500,0)),"Y","")</f>
        <v/>
      </c>
    </row>
    <row r="395" spans="1:131" ht="32" x14ac:dyDescent="0.2">
      <c r="A395" s="294">
        <v>389</v>
      </c>
      <c r="B395" s="287" t="s">
        <v>492</v>
      </c>
      <c r="C395" s="226" t="s">
        <v>541</v>
      </c>
      <c r="D395" s="170">
        <v>10</v>
      </c>
      <c r="E395" s="288">
        <v>81</v>
      </c>
      <c r="F395" s="291" t="str">
        <f>VLOOKUP(Calculation!A395,'Descriptor maps'!$A$2:$F$1658,6,0)</f>
        <v>Is there documented evidence of any past slips or large movements of the embankment?</v>
      </c>
      <c r="G395" s="296" t="s">
        <v>542</v>
      </c>
      <c r="H395" s="290"/>
      <c r="I395" s="291" cm="1">
        <f t="array" ref="I395">INDEX('Descriptor maps'!$H$2:$H$1658,MATCH(1,('Descriptor maps'!$A$2:$A$1658=Calculation!$A395)*('Descriptor maps'!$G$2:$G$1658=Calculation!$G395),0))</f>
        <v>1</v>
      </c>
      <c r="J395" s="292" cm="1">
        <f t="array" ref="J395">INDEX('Descriptor maps'!$I$2:$I$1658,MATCH(1,('Descriptor maps'!$A$2:$A$1658=Calculation!$A395)*('Descriptor maps'!$G$2:$G$1658=Calculation!$G395),0))</f>
        <v>1</v>
      </c>
      <c r="K395" s="226"/>
      <c r="L395" s="293"/>
      <c r="M395" s="293"/>
      <c r="N395" s="293"/>
      <c r="O395" s="293"/>
      <c r="P395" s="293">
        <f>1*$J395</f>
        <v>1</v>
      </c>
      <c r="Q395" s="293"/>
      <c r="R395" s="293"/>
      <c r="S395" s="293"/>
      <c r="T395" s="293"/>
      <c r="U395" s="293"/>
      <c r="V395" s="293"/>
      <c r="W395" s="293">
        <f t="shared" si="4"/>
        <v>1</v>
      </c>
      <c r="X395" s="293"/>
      <c r="Y395" s="293"/>
      <c r="Z395" s="293"/>
      <c r="AA395" s="293"/>
      <c r="AB395" s="293"/>
      <c r="AC395" s="293"/>
      <c r="AD395" s="293">
        <f t="shared" si="5"/>
        <v>1</v>
      </c>
      <c r="AE395" s="293"/>
      <c r="AF395" s="293"/>
      <c r="AG395" s="293"/>
      <c r="AH395" s="293"/>
      <c r="AI395" s="293"/>
      <c r="AJ395" s="293"/>
      <c r="AK395" s="293"/>
      <c r="AL395" s="293"/>
      <c r="AM395" s="293"/>
      <c r="AN395" s="293"/>
      <c r="AO395" s="293"/>
      <c r="AP395" s="293"/>
      <c r="AQ395" s="293"/>
      <c r="AR395" s="293"/>
      <c r="AS395" s="293"/>
      <c r="AT395" s="293"/>
      <c r="AU395" s="293"/>
      <c r="AV395" s="293"/>
      <c r="AW395" s="293"/>
      <c r="AX395" s="293"/>
      <c r="AY395" s="293"/>
      <c r="AZ395" s="293"/>
      <c r="BA395" s="293"/>
      <c r="BB395" s="293"/>
      <c r="BC395" s="293"/>
      <c r="BD395" s="293"/>
      <c r="BE395" s="293"/>
      <c r="BF395" s="293"/>
      <c r="BG395" s="293"/>
      <c r="BH395" s="293"/>
      <c r="BI395" s="293"/>
      <c r="BJ395" s="293"/>
      <c r="BK395" s="293"/>
      <c r="BL395" s="293"/>
      <c r="BM395" s="293"/>
      <c r="BN395" s="293"/>
      <c r="BO395" s="293"/>
      <c r="BP395" s="293"/>
      <c r="BQ395" s="293"/>
      <c r="BR395" s="293"/>
      <c r="BS395" s="293"/>
      <c r="BT395" s="293"/>
      <c r="BU395" s="293"/>
      <c r="BV395" s="293"/>
      <c r="BW395" s="293"/>
      <c r="BX395" s="293"/>
      <c r="BY395" s="293"/>
      <c r="BZ395" s="293"/>
      <c r="CA395" s="285"/>
      <c r="CB395" s="286"/>
      <c r="CC395" s="286"/>
      <c r="CD395" s="286"/>
      <c r="CE395" s="286"/>
      <c r="CF395" s="286"/>
      <c r="CG395" s="286"/>
      <c r="CH395" s="286"/>
      <c r="CI395" s="286"/>
      <c r="CJ395" s="286"/>
      <c r="CK395" s="286"/>
      <c r="CL395" s="286"/>
      <c r="CM395" s="286"/>
      <c r="CN395" s="286"/>
      <c r="CO395" s="286"/>
      <c r="CP395" s="286"/>
      <c r="CQ395" s="286"/>
      <c r="CR395" s="286"/>
      <c r="CS395" s="286"/>
      <c r="CT395" s="286"/>
      <c r="CU395" s="286"/>
      <c r="CV395" s="286"/>
      <c r="CW395" s="286"/>
      <c r="CX395" s="286"/>
      <c r="CY395" s="286"/>
      <c r="CZ395" s="286"/>
      <c r="DA395" s="286"/>
      <c r="DB395" s="286"/>
      <c r="DC395" s="286"/>
      <c r="DD395" s="286"/>
      <c r="DE395" s="286"/>
      <c r="DF395" s="286"/>
      <c r="DG395" s="286"/>
      <c r="DH395" s="286"/>
      <c r="DI395" s="286"/>
      <c r="DJ395" s="286"/>
      <c r="DK395" s="286"/>
      <c r="DL395" s="286"/>
      <c r="DM395" s="286"/>
      <c r="DN395" s="286"/>
      <c r="DO395" s="286"/>
      <c r="DP395" s="286"/>
      <c r="DR395" s="58" t="str">
        <f>IF(ISNUMBER(MATCH(#REF!,'Audit Characteristic Mapping'!$B$3:$B$500,0)),"Y","")</f>
        <v/>
      </c>
      <c r="DS395" s="58" t="str">
        <f>IF(ISNUMBER(MATCH(#REF!,'Audit Characteristic Mapping'!$C$3:$C$500,0)),"Y","")</f>
        <v/>
      </c>
      <c r="DT395" s="58" t="str">
        <f>IF(ISNUMBER(MATCH(#REF!,'Audit Characteristic Mapping'!$D$3:$D$500,0)),"Y","")</f>
        <v/>
      </c>
      <c r="DU395" s="58" t="str">
        <f>IF(ISNUMBER(MATCH(#REF!,'Audit Characteristic Mapping'!$E$3:$E$500,0)),"Y","")</f>
        <v/>
      </c>
      <c r="DV395" s="58" t="str">
        <f>IF(ISNUMBER(MATCH(#REF!,'Audit Characteristic Mapping'!$F$3:$F$500,0)),"Y","")</f>
        <v/>
      </c>
      <c r="DW395" s="58" t="str">
        <f>IF(ISNUMBER(MATCH(#REF!,'Audit Characteristic Mapping'!$G$3:$G$500,0)),"Y","")</f>
        <v/>
      </c>
      <c r="DX395" s="58" t="str">
        <f>IF(ISNUMBER(MATCH(#REF!,'Audit Characteristic Mapping'!$H$3:$H$500,0)),"Y","")</f>
        <v/>
      </c>
      <c r="DY395" s="58" t="str">
        <f>IF(ISNUMBER(MATCH(#REF!,'Audit Characteristic Mapping'!$I$3:$I$500,0)),"Y","")</f>
        <v/>
      </c>
      <c r="DZ395" s="58" t="str">
        <f>IF(ISNUMBER(MATCH(#REF!,'Audit Characteristic Mapping'!$J$3:$J$500,0)),"Y","")</f>
        <v/>
      </c>
      <c r="EA395" s="58" t="str">
        <f>IF(ISNUMBER(MATCH(#REF!,'Audit Characteristic Mapping'!$K$3:$K$500,0)),"Y","")</f>
        <v/>
      </c>
    </row>
    <row r="396" spans="1:131" ht="16" x14ac:dyDescent="0.2">
      <c r="A396" s="294">
        <v>390</v>
      </c>
      <c r="B396" s="287" t="s">
        <v>492</v>
      </c>
      <c r="C396" s="226" t="s">
        <v>541</v>
      </c>
      <c r="D396" s="170">
        <v>10</v>
      </c>
      <c r="E396" s="288">
        <v>81</v>
      </c>
      <c r="F396" s="291" t="str">
        <f>VLOOKUP(Calculation!A396,'Descriptor maps'!$A$2:$F$1658,6,0)</f>
        <v>Is there documented evidence of seepage through the embankment?</v>
      </c>
      <c r="G396" s="296" t="s">
        <v>1201</v>
      </c>
      <c r="H396" s="290"/>
      <c r="I396" s="291" cm="1">
        <f t="array" ref="I396">INDEX('Descriptor maps'!$H$2:$H$1658,MATCH(1,('Descriptor maps'!$A$2:$A$1658=Calculation!$A396)*('Descriptor maps'!$G$2:$G$1658=Calculation!$G396),0))</f>
        <v>1</v>
      </c>
      <c r="J396" s="292" cm="1">
        <f t="array" ref="J396">INDEX('Descriptor maps'!$J$2:$J$1658,MATCH(1,('Descriptor maps'!$A$2:$A$1658=Calculation!$A396)*('Descriptor maps'!$G$2:$G$1658=Calculation!$G396),0))</f>
        <v>0.5</v>
      </c>
      <c r="K396" s="226"/>
      <c r="L396" s="293"/>
      <c r="M396" s="293"/>
      <c r="N396" s="293"/>
      <c r="O396" s="293"/>
      <c r="P396" s="293"/>
      <c r="Q396" s="293"/>
      <c r="R396" s="293"/>
      <c r="S396" s="293"/>
      <c r="T396" s="293"/>
      <c r="U396" s="293"/>
      <c r="V396" s="293"/>
      <c r="W396" s="293"/>
      <c r="X396" s="293"/>
      <c r="Y396" s="293"/>
      <c r="Z396" s="293"/>
      <c r="AA396" s="293"/>
      <c r="AB396" s="293"/>
      <c r="AC396" s="293"/>
      <c r="AD396" s="293"/>
      <c r="AE396" s="293"/>
      <c r="AF396" s="293"/>
      <c r="AG396" s="293"/>
      <c r="AH396" s="293"/>
      <c r="AI396" s="293"/>
      <c r="AJ396" s="293"/>
      <c r="AK396" s="293"/>
      <c r="AL396" s="293"/>
      <c r="AM396" s="293"/>
      <c r="AN396" s="293"/>
      <c r="AO396" s="293">
        <f>J396</f>
        <v>0.5</v>
      </c>
      <c r="AP396" s="293"/>
      <c r="AQ396" s="293"/>
      <c r="AR396" s="293"/>
      <c r="AS396" s="293"/>
      <c r="AT396" s="293"/>
      <c r="AU396" s="293"/>
      <c r="AV396" s="293"/>
      <c r="AW396" s="293"/>
      <c r="AX396" s="293"/>
      <c r="AY396" s="293"/>
      <c r="AZ396" s="293"/>
      <c r="BA396" s="293"/>
      <c r="BB396" s="293"/>
      <c r="BC396" s="293"/>
      <c r="BD396" s="293"/>
      <c r="BE396" s="293"/>
      <c r="BF396" s="293"/>
      <c r="BG396" s="293"/>
      <c r="BH396" s="293"/>
      <c r="BI396" s="293"/>
      <c r="BJ396" s="293"/>
      <c r="BK396" s="293"/>
      <c r="BL396" s="293"/>
      <c r="BM396" s="293">
        <f>J396</f>
        <v>0.5</v>
      </c>
      <c r="BN396" s="293"/>
      <c r="BO396" s="293"/>
      <c r="BP396" s="293"/>
      <c r="BQ396" s="293"/>
      <c r="BR396" s="293"/>
      <c r="BS396" s="293"/>
      <c r="BT396" s="293"/>
      <c r="BU396" s="293"/>
      <c r="BV396" s="293"/>
      <c r="BW396" s="293"/>
      <c r="BX396" s="293"/>
      <c r="BY396" s="293"/>
      <c r="BZ396" s="293"/>
      <c r="CA396" s="285"/>
      <c r="CB396" s="286"/>
      <c r="CC396" s="286"/>
      <c r="CD396" s="286"/>
      <c r="CE396" s="286"/>
      <c r="CF396" s="286"/>
      <c r="CG396" s="286"/>
      <c r="CH396" s="286"/>
      <c r="CI396" s="286"/>
      <c r="CJ396" s="286"/>
      <c r="CK396" s="286"/>
      <c r="CL396" s="286"/>
      <c r="CM396" s="286"/>
      <c r="CN396" s="286"/>
      <c r="CO396" s="286"/>
      <c r="CP396" s="286"/>
      <c r="CQ396" s="286"/>
      <c r="CR396" s="286"/>
      <c r="CS396" s="286"/>
      <c r="CT396" s="286"/>
      <c r="CU396" s="286"/>
      <c r="CV396" s="286"/>
      <c r="CW396" s="286"/>
      <c r="CX396" s="286"/>
      <c r="CY396" s="286"/>
      <c r="CZ396" s="286"/>
      <c r="DA396" s="286"/>
      <c r="DB396" s="286"/>
      <c r="DC396" s="286"/>
      <c r="DD396" s="286"/>
      <c r="DE396" s="286"/>
      <c r="DF396" s="286"/>
      <c r="DG396" s="286"/>
      <c r="DH396" s="286"/>
      <c r="DI396" s="286"/>
      <c r="DJ396" s="286"/>
      <c r="DK396" s="286"/>
      <c r="DL396" s="286"/>
      <c r="DM396" s="286"/>
      <c r="DN396" s="286"/>
      <c r="DO396" s="286"/>
      <c r="DP396" s="286"/>
      <c r="DR396" s="58" t="str">
        <f>IF(ISNUMBER(MATCH(#REF!,'Audit Characteristic Mapping'!$B$3:$B$500,0)),"Y","")</f>
        <v/>
      </c>
      <c r="DS396" s="58" t="str">
        <f>IF(ISNUMBER(MATCH(#REF!,'Audit Characteristic Mapping'!$C$3:$C$500,0)),"Y","")</f>
        <v/>
      </c>
      <c r="DT396" s="58" t="str">
        <f>IF(ISNUMBER(MATCH(#REF!,'Audit Characteristic Mapping'!$D$3:$D$500,0)),"Y","")</f>
        <v/>
      </c>
      <c r="DU396" s="58" t="str">
        <f>IF(ISNUMBER(MATCH(#REF!,'Audit Characteristic Mapping'!$E$3:$E$500,0)),"Y","")</f>
        <v/>
      </c>
      <c r="DV396" s="58" t="str">
        <f>IF(ISNUMBER(MATCH(#REF!,'Audit Characteristic Mapping'!$F$3:$F$500,0)),"Y","")</f>
        <v/>
      </c>
      <c r="DW396" s="58" t="str">
        <f>IF(ISNUMBER(MATCH(#REF!,'Audit Characteristic Mapping'!$G$3:$G$500,0)),"Y","")</f>
        <v/>
      </c>
      <c r="DX396" s="58" t="str">
        <f>IF(ISNUMBER(MATCH(#REF!,'Audit Characteristic Mapping'!$H$3:$H$500,0)),"Y","")</f>
        <v/>
      </c>
      <c r="DY396" s="58" t="str">
        <f>IF(ISNUMBER(MATCH(#REF!,'Audit Characteristic Mapping'!$I$3:$I$500,0)),"Y","")</f>
        <v/>
      </c>
      <c r="DZ396" s="58" t="str">
        <f>IF(ISNUMBER(MATCH(#REF!,'Audit Characteristic Mapping'!$J$3:$J$500,0)),"Y","")</f>
        <v/>
      </c>
      <c r="EA396" s="58" t="str">
        <f>IF(ISNUMBER(MATCH(#REF!,'Audit Characteristic Mapping'!$K$3:$K$500,0)),"Y","")</f>
        <v/>
      </c>
    </row>
    <row r="397" spans="1:131" ht="16" x14ac:dyDescent="0.2">
      <c r="A397" s="294">
        <v>391</v>
      </c>
      <c r="B397" s="287" t="s">
        <v>492</v>
      </c>
      <c r="C397" s="226" t="s">
        <v>541</v>
      </c>
      <c r="D397" s="170">
        <v>10</v>
      </c>
      <c r="E397" s="288">
        <v>81</v>
      </c>
      <c r="F397" s="291" t="str">
        <f>VLOOKUP(Calculation!A397,'Descriptor maps'!$A$2:$F$1658,6,0)</f>
        <v>Is there documented evidence of seepage through the foundation?</v>
      </c>
      <c r="G397" s="296" t="s">
        <v>1201</v>
      </c>
      <c r="H397" s="290"/>
      <c r="I397" s="291" cm="1">
        <f t="array" ref="I397">INDEX('Descriptor maps'!$H$2:$H$1658,MATCH(1,('Descriptor maps'!$A$2:$A$1658=Calculation!$A397)*('Descriptor maps'!$G$2:$G$1658=Calculation!$G397),0))</f>
        <v>1</v>
      </c>
      <c r="J397" s="292" cm="1">
        <f t="array" ref="J397">INDEX('Descriptor maps'!$J$2:$J$1658,MATCH(1,('Descriptor maps'!$A$2:$A$1658=Calculation!$A397)*('Descriptor maps'!$G$2:$G$1658=Calculation!$G397),0))</f>
        <v>0.5</v>
      </c>
      <c r="K397" s="226"/>
      <c r="L397" s="293"/>
      <c r="M397" s="293"/>
      <c r="N397" s="293"/>
      <c r="O397" s="293"/>
      <c r="P397" s="293"/>
      <c r="Q397" s="293"/>
      <c r="R397" s="293"/>
      <c r="S397" s="293"/>
      <c r="T397" s="293"/>
      <c r="U397" s="293"/>
      <c r="V397" s="293"/>
      <c r="W397" s="293"/>
      <c r="X397" s="293"/>
      <c r="Y397" s="293"/>
      <c r="Z397" s="293"/>
      <c r="AA397" s="293"/>
      <c r="AB397" s="293"/>
      <c r="AC397" s="293"/>
      <c r="AD397" s="293"/>
      <c r="AE397" s="293"/>
      <c r="AF397" s="293"/>
      <c r="AG397" s="293"/>
      <c r="AH397" s="293"/>
      <c r="AI397" s="293"/>
      <c r="AJ397" s="293"/>
      <c r="AK397" s="293"/>
      <c r="AL397" s="293"/>
      <c r="AM397" s="293"/>
      <c r="AN397" s="293"/>
      <c r="AO397" s="293"/>
      <c r="AP397" s="293"/>
      <c r="AQ397" s="293"/>
      <c r="AR397" s="293"/>
      <c r="AS397" s="293"/>
      <c r="AT397" s="293"/>
      <c r="AU397" s="293"/>
      <c r="AV397" s="293"/>
      <c r="AW397" s="293"/>
      <c r="AX397" s="293"/>
      <c r="AY397" s="293">
        <f>1*$J397</f>
        <v>0.5</v>
      </c>
      <c r="AZ397" s="293"/>
      <c r="BA397" s="293"/>
      <c r="BB397" s="293"/>
      <c r="BC397" s="293"/>
      <c r="BD397" s="293"/>
      <c r="BE397" s="293"/>
      <c r="BF397" s="293"/>
      <c r="BG397" s="293"/>
      <c r="BH397" s="293"/>
      <c r="BI397" s="293"/>
      <c r="BJ397" s="293"/>
      <c r="BK397" s="293"/>
      <c r="BL397" s="293"/>
      <c r="BM397" s="293">
        <f>1*$J397</f>
        <v>0.5</v>
      </c>
      <c r="BN397" s="293"/>
      <c r="BO397" s="293"/>
      <c r="BP397" s="293"/>
      <c r="BQ397" s="293"/>
      <c r="BR397" s="293"/>
      <c r="BS397" s="293"/>
      <c r="BT397" s="293"/>
      <c r="BU397" s="293"/>
      <c r="BV397" s="293"/>
      <c r="BW397" s="293"/>
      <c r="BX397" s="293"/>
      <c r="BY397" s="293"/>
      <c r="BZ397" s="293"/>
      <c r="CA397" s="285"/>
      <c r="CB397" s="286"/>
      <c r="CC397" s="286"/>
      <c r="CD397" s="286"/>
      <c r="CE397" s="286"/>
      <c r="CF397" s="286"/>
      <c r="CG397" s="286"/>
      <c r="CH397" s="286"/>
      <c r="CI397" s="286"/>
      <c r="CJ397" s="286"/>
      <c r="CK397" s="286"/>
      <c r="CL397" s="286"/>
      <c r="CM397" s="286"/>
      <c r="CN397" s="286"/>
      <c r="CO397" s="286"/>
      <c r="CP397" s="286"/>
      <c r="CQ397" s="286"/>
      <c r="CR397" s="286"/>
      <c r="CS397" s="286"/>
      <c r="CT397" s="286"/>
      <c r="CU397" s="286"/>
      <c r="CV397" s="286"/>
      <c r="CW397" s="286"/>
      <c r="CX397" s="286"/>
      <c r="CY397" s="286"/>
      <c r="CZ397" s="286"/>
      <c r="DA397" s="286"/>
      <c r="DB397" s="286"/>
      <c r="DC397" s="286"/>
      <c r="DD397" s="286"/>
      <c r="DE397" s="286"/>
      <c r="DF397" s="286"/>
      <c r="DG397" s="286"/>
      <c r="DH397" s="286"/>
      <c r="DI397" s="286"/>
      <c r="DJ397" s="286"/>
      <c r="DK397" s="286"/>
      <c r="DL397" s="286"/>
      <c r="DM397" s="286"/>
      <c r="DN397" s="286"/>
      <c r="DO397" s="286"/>
      <c r="DP397" s="286"/>
      <c r="DR397" s="58" t="str">
        <f>IF(ISNUMBER(MATCH(#REF!,'Audit Characteristic Mapping'!$B$3:$B$500,0)),"Y","")</f>
        <v/>
      </c>
      <c r="DS397" s="58" t="str">
        <f>IF(ISNUMBER(MATCH(#REF!,'Audit Characteristic Mapping'!$C$3:$C$500,0)),"Y","")</f>
        <v/>
      </c>
      <c r="DT397" s="58" t="str">
        <f>IF(ISNUMBER(MATCH(#REF!,'Audit Characteristic Mapping'!$D$3:$D$500,0)),"Y","")</f>
        <v/>
      </c>
      <c r="DU397" s="58" t="str">
        <f>IF(ISNUMBER(MATCH(#REF!,'Audit Characteristic Mapping'!$E$3:$E$500,0)),"Y","")</f>
        <v/>
      </c>
      <c r="DV397" s="58" t="str">
        <f>IF(ISNUMBER(MATCH(#REF!,'Audit Characteristic Mapping'!$F$3:$F$500,0)),"Y","")</f>
        <v/>
      </c>
      <c r="DW397" s="58" t="str">
        <f>IF(ISNUMBER(MATCH(#REF!,'Audit Characteristic Mapping'!$G$3:$G$500,0)),"Y","")</f>
        <v/>
      </c>
      <c r="DX397" s="58" t="str">
        <f>IF(ISNUMBER(MATCH(#REF!,'Audit Characteristic Mapping'!$H$3:$H$500,0)),"Y","")</f>
        <v/>
      </c>
      <c r="DY397" s="58" t="str">
        <f>IF(ISNUMBER(MATCH(#REF!,'Audit Characteristic Mapping'!$I$3:$I$500,0)),"Y","")</f>
        <v/>
      </c>
      <c r="DZ397" s="58" t="str">
        <f>IF(ISNUMBER(MATCH(#REF!,'Audit Characteristic Mapping'!$J$3:$J$500,0)),"Y","")</f>
        <v/>
      </c>
      <c r="EA397" s="58" t="str">
        <f>IF(ISNUMBER(MATCH(#REF!,'Audit Characteristic Mapping'!$K$3:$K$500,0)),"Y","")</f>
        <v/>
      </c>
    </row>
    <row r="398" spans="1:131" ht="49" thickBot="1" x14ac:dyDescent="0.25">
      <c r="A398" s="294">
        <v>455</v>
      </c>
      <c r="B398" s="287" t="s">
        <v>253</v>
      </c>
      <c r="C398" s="226" t="s">
        <v>328</v>
      </c>
      <c r="D398" s="170">
        <v>5</v>
      </c>
      <c r="E398" s="288">
        <v>38</v>
      </c>
      <c r="F398" s="291" t="str">
        <f>VLOOKUP(Calculation!A398,'Descriptor maps'!$A$2:$F$1658,6,0)</f>
        <v>Is there documented evidence that piping failure modes were assessed using current engineering practice to achieve the objective of confirming that piping failure controls are in place?</v>
      </c>
      <c r="G398" s="296" t="s">
        <v>1193</v>
      </c>
      <c r="H398" s="290"/>
      <c r="I398" s="291" cm="1">
        <f t="array" ref="I398">INDEX('Descriptor maps'!$H$2:$H$1658,MATCH(1,('Descriptor maps'!$A$2:$A$1658=Calculation!$A398)*('Descriptor maps'!$G$2:$G$1658=Calculation!$G398),0))</f>
        <v>2</v>
      </c>
      <c r="J398" s="292" cm="1">
        <f t="array" ref="J398">INDEX('Descriptor maps'!$I$2:$I$1658,MATCH(1,('Descriptor maps'!$A$2:$A$1658=Calculation!$A398)*('Descriptor maps'!$G$2:$G$1658=Calculation!$G398),0))</f>
        <v>2</v>
      </c>
      <c r="K398" s="226"/>
      <c r="L398" s="293"/>
      <c r="M398" s="293"/>
      <c r="N398" s="293"/>
      <c r="O398" s="293"/>
      <c r="P398" s="293"/>
      <c r="Q398" s="293"/>
      <c r="R398" s="293"/>
      <c r="S398" s="293"/>
      <c r="T398" s="293"/>
      <c r="U398" s="293"/>
      <c r="V398" s="293"/>
      <c r="W398" s="293"/>
      <c r="X398" s="293"/>
      <c r="Y398" s="293"/>
      <c r="Z398" s="293"/>
      <c r="AA398" s="293"/>
      <c r="AB398" s="293"/>
      <c r="AC398" s="293"/>
      <c r="AD398" s="293"/>
      <c r="AE398" s="293"/>
      <c r="AF398" s="293"/>
      <c r="AG398" s="293"/>
      <c r="AH398" s="293"/>
      <c r="AI398" s="293">
        <f>J398</f>
        <v>2</v>
      </c>
      <c r="AJ398" s="293"/>
      <c r="AK398" s="293"/>
      <c r="AL398" s="293"/>
      <c r="AM398" s="293"/>
      <c r="AN398" s="293"/>
      <c r="AO398" s="293"/>
      <c r="AP398" s="293"/>
      <c r="AQ398" s="293"/>
      <c r="AR398" s="293"/>
      <c r="AS398" s="293">
        <f>J398</f>
        <v>2</v>
      </c>
      <c r="AT398" s="293"/>
      <c r="AU398" s="293"/>
      <c r="AV398" s="293"/>
      <c r="AW398" s="293"/>
      <c r="AX398" s="293"/>
      <c r="AY398" s="293"/>
      <c r="AZ398" s="293"/>
      <c r="BA398" s="293"/>
      <c r="BB398" s="293"/>
      <c r="BC398" s="293"/>
      <c r="BD398" s="293"/>
      <c r="BE398" s="293"/>
      <c r="BF398" s="293"/>
      <c r="BG398" s="293"/>
      <c r="BH398" s="293"/>
      <c r="BI398" s="293"/>
      <c r="BJ398" s="293"/>
      <c r="BK398" s="293"/>
      <c r="BL398" s="293"/>
      <c r="BM398" s="293"/>
      <c r="BN398" s="293"/>
      <c r="BO398" s="293"/>
      <c r="BP398" s="293"/>
      <c r="BQ398" s="293"/>
      <c r="BR398" s="293"/>
      <c r="BS398" s="293"/>
      <c r="BT398" s="293"/>
      <c r="BU398" s="293"/>
      <c r="BV398" s="293"/>
      <c r="BW398" s="293"/>
      <c r="BX398" s="293"/>
      <c r="BY398" s="293"/>
      <c r="BZ398" s="293"/>
      <c r="CA398" s="285"/>
      <c r="CB398" s="286"/>
      <c r="CC398" s="286"/>
      <c r="CD398" s="286"/>
      <c r="CE398" s="286"/>
      <c r="CF398" s="286"/>
      <c r="CG398" s="286"/>
      <c r="CH398" s="286"/>
      <c r="CI398" s="286"/>
      <c r="CJ398" s="286"/>
      <c r="CK398" s="286"/>
      <c r="CL398" s="286"/>
      <c r="CM398" s="286"/>
      <c r="CN398" s="286"/>
      <c r="CO398" s="286"/>
      <c r="CP398" s="286"/>
      <c r="CQ398" s="286"/>
      <c r="CR398" s="286"/>
      <c r="CS398" s="286"/>
      <c r="CT398" s="286"/>
      <c r="CU398" s="286"/>
      <c r="CV398" s="286"/>
      <c r="CW398" s="286"/>
      <c r="CX398" s="286"/>
      <c r="CY398" s="286"/>
      <c r="CZ398" s="286"/>
      <c r="DA398" s="286">
        <v>1</v>
      </c>
      <c r="DB398" s="286"/>
      <c r="DC398" s="286"/>
      <c r="DD398" s="286"/>
      <c r="DE398" s="286"/>
      <c r="DF398" s="286">
        <v>1</v>
      </c>
      <c r="DG398" s="286"/>
      <c r="DH398" s="286"/>
      <c r="DI398" s="286"/>
      <c r="DJ398" s="286"/>
      <c r="DK398" s="286"/>
      <c r="DL398" s="286"/>
      <c r="DM398" s="286"/>
      <c r="DN398" s="286"/>
      <c r="DO398" s="286"/>
      <c r="DP398" s="286"/>
      <c r="DR398" s="58" t="str">
        <f>IF(ISNUMBER(MATCH(#REF!,'Audit Characteristic Mapping'!$B$3:$B$500,0)),"Y","")</f>
        <v/>
      </c>
      <c r="DS398" s="58" t="str">
        <f>IF(ISNUMBER(MATCH(#REF!,'Audit Characteristic Mapping'!$C$3:$C$500,0)),"Y","")</f>
        <v/>
      </c>
      <c r="DT398" s="58" t="str">
        <f>IF(ISNUMBER(MATCH(#REF!,'Audit Characteristic Mapping'!$D$3:$D$500,0)),"Y","")</f>
        <v/>
      </c>
      <c r="DU398" s="58" t="str">
        <f>IF(ISNUMBER(MATCH(#REF!,'Audit Characteristic Mapping'!$E$3:$E$500,0)),"Y","")</f>
        <v/>
      </c>
      <c r="DV398" s="58" t="str">
        <f>IF(ISNUMBER(MATCH(#REF!,'Audit Characteristic Mapping'!$F$3:$F$500,0)),"Y","")</f>
        <v/>
      </c>
      <c r="DW398" s="58" t="str">
        <f>IF(ISNUMBER(MATCH(#REF!,'Audit Characteristic Mapping'!$G$3:$G$500,0)),"Y","")</f>
        <v/>
      </c>
      <c r="DX398" s="58" t="str">
        <f>IF(ISNUMBER(MATCH(#REF!,'Audit Characteristic Mapping'!$H$3:$H$500,0)),"Y","")</f>
        <v/>
      </c>
      <c r="DY398" s="58" t="str">
        <f>IF(ISNUMBER(MATCH(#REF!,'Audit Characteristic Mapping'!$I$3:$I$500,0)),"Y","")</f>
        <v/>
      </c>
      <c r="DZ398" s="58" t="str">
        <f>IF(ISNUMBER(MATCH(#REF!,'Audit Characteristic Mapping'!$J$3:$J$500,0)),"Y","")</f>
        <v/>
      </c>
      <c r="EA398" s="58" t="str">
        <f>IF(ISNUMBER(MATCH(#REF!,'Audit Characteristic Mapping'!$K$3:$K$500,0)),"Y","")</f>
        <v/>
      </c>
    </row>
    <row r="399" spans="1:131" ht="17" hidden="1" thickBot="1" x14ac:dyDescent="0.25">
      <c r="A399" s="299">
        <v>392</v>
      </c>
      <c r="B399" s="287" t="s">
        <v>492</v>
      </c>
      <c r="C399" s="226" t="s">
        <v>541</v>
      </c>
      <c r="D399" s="170">
        <v>10</v>
      </c>
      <c r="E399" s="288">
        <v>81</v>
      </c>
      <c r="F399" s="291" t="str">
        <f>VLOOKUP(Calculation!A399,'Descriptor maps'!$A$2:$F$1658,2,0)</f>
        <v>Operation</v>
      </c>
      <c r="G399" s="296" t="s">
        <v>542</v>
      </c>
      <c r="H399" s="290"/>
      <c r="I399" s="291"/>
      <c r="J399" s="292" cm="1">
        <f t="array" ref="J399">INDEX('Descriptor maps'!$I$2:$I$1658,MATCH(1,('Descriptor maps'!$A$2:$A$1658=Calculation!$A399)*('Descriptor maps'!$G$2:$G$1658=Calculation!$G399),0))</f>
        <v>1</v>
      </c>
      <c r="K399" s="226"/>
      <c r="L399" s="293"/>
      <c r="M399" s="293"/>
      <c r="N399" s="293"/>
      <c r="O399" s="293"/>
      <c r="P399" s="293"/>
      <c r="Q399" s="293"/>
      <c r="R399" s="293"/>
      <c r="S399" s="293"/>
      <c r="T399" s="293"/>
      <c r="U399" s="293"/>
      <c r="V399" s="293"/>
      <c r="W399" s="293"/>
      <c r="X399" s="293"/>
      <c r="Y399" s="293"/>
      <c r="Z399" s="293"/>
      <c r="AA399" s="293"/>
      <c r="AB399" s="293"/>
      <c r="AC399" s="293"/>
      <c r="AD399" s="293"/>
      <c r="AE399" s="293"/>
      <c r="AF399" s="293"/>
      <c r="AG399" s="293"/>
      <c r="AH399" s="293"/>
      <c r="AI399" s="293"/>
      <c r="AJ399" s="293"/>
      <c r="AK399" s="293"/>
      <c r="AL399" s="293"/>
      <c r="AM399" s="293"/>
      <c r="AN399" s="293"/>
      <c r="AO399" s="293"/>
      <c r="AP399" s="293"/>
      <c r="AQ399" s="293"/>
      <c r="AR399" s="293"/>
      <c r="AS399" s="293"/>
      <c r="AT399" s="293"/>
      <c r="AU399" s="293"/>
      <c r="AV399" s="293"/>
      <c r="AW399" s="293"/>
      <c r="AX399" s="293"/>
      <c r="AY399" s="293"/>
      <c r="AZ399" s="293"/>
      <c r="BA399" s="293"/>
      <c r="BB399" s="293"/>
      <c r="BC399" s="293"/>
      <c r="BD399" s="293"/>
      <c r="BE399" s="293"/>
      <c r="BF399" s="293"/>
      <c r="BG399" s="293"/>
      <c r="BH399" s="293"/>
      <c r="BI399" s="293"/>
      <c r="BJ399" s="293"/>
      <c r="BK399" s="293"/>
      <c r="BL399" s="293"/>
      <c r="BM399" s="293"/>
      <c r="BN399" s="293"/>
      <c r="BO399" s="293"/>
      <c r="BP399" s="293"/>
      <c r="BQ399" s="293"/>
      <c r="BR399" s="293"/>
      <c r="BS399" s="293"/>
      <c r="BT399" s="293"/>
      <c r="BU399" s="293"/>
      <c r="BV399" s="293"/>
      <c r="BW399" s="293"/>
      <c r="BX399" s="293"/>
      <c r="BY399" s="293"/>
      <c r="BZ399" s="293"/>
      <c r="CA399" s="285"/>
      <c r="CB399" s="286"/>
      <c r="CC399" s="286"/>
      <c r="CD399" s="286"/>
      <c r="CE399" s="286"/>
      <c r="CF399" s="286"/>
      <c r="CG399" s="286"/>
      <c r="CH399" s="286"/>
      <c r="CI399" s="286"/>
      <c r="CJ399" s="286"/>
      <c r="CK399" s="286"/>
      <c r="CL399" s="286"/>
      <c r="CM399" s="286"/>
      <c r="CN399" s="286"/>
      <c r="CO399" s="286"/>
      <c r="CP399" s="286"/>
      <c r="CQ399" s="286"/>
      <c r="CR399" s="286"/>
      <c r="CS399" s="286"/>
      <c r="CT399" s="286"/>
      <c r="CU399" s="286"/>
      <c r="CV399" s="286"/>
      <c r="CW399" s="286"/>
      <c r="CX399" s="286"/>
      <c r="CY399" s="286"/>
      <c r="CZ399" s="286"/>
      <c r="DA399" s="286"/>
      <c r="DB399" s="286"/>
      <c r="DC399" s="286"/>
      <c r="DD399" s="286"/>
      <c r="DE399" s="286"/>
      <c r="DF399" s="286"/>
      <c r="DG399" s="286"/>
      <c r="DH399" s="286"/>
      <c r="DI399" s="286"/>
      <c r="DJ399" s="286"/>
      <c r="DK399" s="286"/>
      <c r="DL399" s="286"/>
      <c r="DM399" s="286"/>
      <c r="DN399" s="286">
        <v>1</v>
      </c>
      <c r="DO399" s="286"/>
      <c r="DP399" s="286">
        <v>1</v>
      </c>
      <c r="DR399" s="58" t="str">
        <f>IF(ISNUMBER(MATCH(#REF!,'Audit Characteristic Mapping'!$B$3:$B$500,0)),"Y","")</f>
        <v/>
      </c>
      <c r="DS399" s="58" t="str">
        <f>IF(ISNUMBER(MATCH(#REF!,'Audit Characteristic Mapping'!$C$3:$C$500,0)),"Y","")</f>
        <v/>
      </c>
      <c r="DT399" s="58" t="str">
        <f>IF(ISNUMBER(MATCH(#REF!,'Audit Characteristic Mapping'!$D$3:$D$500,0)),"Y","")</f>
        <v/>
      </c>
      <c r="DU399" s="58" t="str">
        <f>IF(ISNUMBER(MATCH(#REF!,'Audit Characteristic Mapping'!$E$3:$E$500,0)),"Y","")</f>
        <v/>
      </c>
      <c r="DV399" s="58" t="str">
        <f>IF(ISNUMBER(MATCH(#REF!,'Audit Characteristic Mapping'!$F$3:$F$500,0)),"Y","")</f>
        <v/>
      </c>
      <c r="DW399" s="58" t="str">
        <f>IF(ISNUMBER(MATCH(#REF!,'Audit Characteristic Mapping'!$G$3:$G$500,0)),"Y","")</f>
        <v/>
      </c>
      <c r="DX399" s="58" t="str">
        <f>IF(ISNUMBER(MATCH(#REF!,'Audit Characteristic Mapping'!$H$3:$H$500,0)),"Y","")</f>
        <v/>
      </c>
      <c r="DY399" s="58" t="str">
        <f>IF(ISNUMBER(MATCH(#REF!,'Audit Characteristic Mapping'!$I$3:$I$500,0)),"Y","")</f>
        <v/>
      </c>
      <c r="DZ399" s="58" t="str">
        <f>IF(ISNUMBER(MATCH(#REF!,'Audit Characteristic Mapping'!$J$3:$J$500,0)),"Y","")</f>
        <v/>
      </c>
      <c r="EA399" s="58" t="str">
        <f>IF(ISNUMBER(MATCH(#REF!,'Audit Characteristic Mapping'!$K$3:$K$500,0)),"Y","")</f>
        <v/>
      </c>
    </row>
    <row r="400" spans="1:131" ht="17" hidden="1" thickBot="1" x14ac:dyDescent="0.25">
      <c r="A400" s="288">
        <v>393</v>
      </c>
      <c r="B400" s="287" t="s">
        <v>492</v>
      </c>
      <c r="C400" s="226" t="s">
        <v>541</v>
      </c>
      <c r="D400" s="170">
        <v>10</v>
      </c>
      <c r="E400" s="288">
        <v>81</v>
      </c>
      <c r="F400" s="291" t="str">
        <f>VLOOKUP(Calculation!A400,'Descriptor maps'!$A$2:$F$1658,2,0)</f>
        <v>Operation</v>
      </c>
      <c r="G400" s="296" t="s">
        <v>542</v>
      </c>
      <c r="H400" s="290"/>
      <c r="I400" s="291"/>
      <c r="J400" s="292" cm="1">
        <f t="array" ref="J400">INDEX('Descriptor maps'!$I$2:$I$1658,MATCH(1,('Descriptor maps'!$A$2:$A$1658=Calculation!$A400)*('Descriptor maps'!$G$2:$G$1658=Calculation!$G400),0))</f>
        <v>1</v>
      </c>
      <c r="K400" s="226"/>
      <c r="L400" s="293"/>
      <c r="M400" s="293"/>
      <c r="N400" s="293"/>
      <c r="O400" s="293"/>
      <c r="P400" s="293"/>
      <c r="Q400" s="293"/>
      <c r="R400" s="293"/>
      <c r="S400" s="293"/>
      <c r="T400" s="293"/>
      <c r="U400" s="293"/>
      <c r="V400" s="293"/>
      <c r="W400" s="293"/>
      <c r="X400" s="293"/>
      <c r="Y400" s="293"/>
      <c r="Z400" s="293"/>
      <c r="AA400" s="293"/>
      <c r="AB400" s="293"/>
      <c r="AC400" s="293"/>
      <c r="AD400" s="293"/>
      <c r="AE400" s="293"/>
      <c r="AF400" s="293"/>
      <c r="AG400" s="293"/>
      <c r="AH400" s="293"/>
      <c r="AI400" s="293"/>
      <c r="AJ400" s="293"/>
      <c r="AK400" s="293"/>
      <c r="AL400" s="293"/>
      <c r="AM400" s="293"/>
      <c r="AN400" s="293"/>
      <c r="AO400" s="293"/>
      <c r="AP400" s="293"/>
      <c r="AQ400" s="293"/>
      <c r="AR400" s="293"/>
      <c r="AS400" s="293"/>
      <c r="AT400" s="293"/>
      <c r="AU400" s="293"/>
      <c r="AV400" s="293"/>
      <c r="AW400" s="293"/>
      <c r="AX400" s="293"/>
      <c r="AY400" s="293"/>
      <c r="AZ400" s="293"/>
      <c r="BA400" s="293"/>
      <c r="BB400" s="293"/>
      <c r="BC400" s="293"/>
      <c r="BD400" s="293"/>
      <c r="BE400" s="293"/>
      <c r="BF400" s="293"/>
      <c r="BG400" s="293"/>
      <c r="BH400" s="293"/>
      <c r="BI400" s="293"/>
      <c r="BJ400" s="293"/>
      <c r="BK400" s="293"/>
      <c r="BL400" s="293"/>
      <c r="BM400" s="293"/>
      <c r="BN400" s="293"/>
      <c r="BO400" s="293"/>
      <c r="BP400" s="293"/>
      <c r="BQ400" s="293"/>
      <c r="BR400" s="293"/>
      <c r="BS400" s="293"/>
      <c r="BT400" s="293"/>
      <c r="BU400" s="293"/>
      <c r="BV400" s="293"/>
      <c r="BW400" s="293"/>
      <c r="BX400" s="293"/>
      <c r="BY400" s="293"/>
      <c r="BZ400" s="293"/>
      <c r="CA400" s="285"/>
      <c r="CB400" s="286"/>
      <c r="CC400" s="286"/>
      <c r="CD400" s="286"/>
      <c r="CE400" s="286"/>
      <c r="CF400" s="286"/>
      <c r="CG400" s="286"/>
      <c r="CH400" s="286"/>
      <c r="CI400" s="286"/>
      <c r="CJ400" s="286"/>
      <c r="CK400" s="286"/>
      <c r="CL400" s="286"/>
      <c r="CM400" s="286"/>
      <c r="CN400" s="286"/>
      <c r="CO400" s="286"/>
      <c r="CP400" s="286"/>
      <c r="CQ400" s="286"/>
      <c r="CR400" s="286"/>
      <c r="CS400" s="286"/>
      <c r="CT400" s="286"/>
      <c r="CU400" s="286"/>
      <c r="CV400" s="286"/>
      <c r="CW400" s="286"/>
      <c r="CX400" s="286"/>
      <c r="CY400" s="286"/>
      <c r="CZ400" s="286"/>
      <c r="DA400" s="286"/>
      <c r="DB400" s="286"/>
      <c r="DC400" s="286"/>
      <c r="DD400" s="286"/>
      <c r="DE400" s="286"/>
      <c r="DF400" s="286"/>
      <c r="DG400" s="286"/>
      <c r="DH400" s="286"/>
      <c r="DI400" s="286"/>
      <c r="DJ400" s="286"/>
      <c r="DK400" s="286"/>
      <c r="DL400" s="286"/>
      <c r="DM400" s="286"/>
      <c r="DN400" s="286"/>
      <c r="DO400" s="286"/>
      <c r="DP400" s="286"/>
      <c r="DR400" s="58" t="str">
        <f>IF(ISNUMBER(MATCH(#REF!,'Audit Characteristic Mapping'!$B$3:$B$500,0)),"Y","")</f>
        <v/>
      </c>
      <c r="DS400" s="58" t="str">
        <f>IF(ISNUMBER(MATCH(#REF!,'Audit Characteristic Mapping'!$C$3:$C$500,0)),"Y","")</f>
        <v/>
      </c>
      <c r="DT400" s="58" t="str">
        <f>IF(ISNUMBER(MATCH(#REF!,'Audit Characteristic Mapping'!$D$3:$D$500,0)),"Y","")</f>
        <v/>
      </c>
      <c r="DU400" s="58" t="str">
        <f>IF(ISNUMBER(MATCH(#REF!,'Audit Characteristic Mapping'!$E$3:$E$500,0)),"Y","")</f>
        <v/>
      </c>
      <c r="DV400" s="58" t="str">
        <f>IF(ISNUMBER(MATCH(#REF!,'Audit Characteristic Mapping'!$F$3:$F$500,0)),"Y","")</f>
        <v/>
      </c>
      <c r="DW400" s="58" t="str">
        <f>IF(ISNUMBER(MATCH(#REF!,'Audit Characteristic Mapping'!$G$3:$G$500,0)),"Y","")</f>
        <v/>
      </c>
      <c r="DX400" s="58" t="str">
        <f>IF(ISNUMBER(MATCH(#REF!,'Audit Characteristic Mapping'!$H$3:$H$500,0)),"Y","")</f>
        <v/>
      </c>
      <c r="DY400" s="58" t="str">
        <f>IF(ISNUMBER(MATCH(#REF!,'Audit Characteristic Mapping'!$I$3:$I$500,0)),"Y","")</f>
        <v/>
      </c>
      <c r="DZ400" s="58" t="str">
        <f>IF(ISNUMBER(MATCH(#REF!,'Audit Characteristic Mapping'!$J$3:$J$500,0)),"Y","")</f>
        <v/>
      </c>
      <c r="EA400" s="58" t="str">
        <f>IF(ISNUMBER(MATCH(#REF!,'Audit Characteristic Mapping'!$K$3:$K$500,0)),"Y","")</f>
        <v/>
      </c>
    </row>
    <row r="401" spans="1:131" ht="17" hidden="1" thickBot="1" x14ac:dyDescent="0.25">
      <c r="A401" s="288">
        <v>394</v>
      </c>
      <c r="B401" s="287" t="s">
        <v>492</v>
      </c>
      <c r="C401" s="226" t="s">
        <v>541</v>
      </c>
      <c r="D401" s="170">
        <v>10</v>
      </c>
      <c r="E401" s="288">
        <v>81</v>
      </c>
      <c r="F401" s="291" t="str">
        <f>VLOOKUP(Calculation!A401,'Descriptor maps'!$A$2:$F$1658,2,0)</f>
        <v>Operation</v>
      </c>
      <c r="G401" s="296" t="s">
        <v>546</v>
      </c>
      <c r="H401" s="290"/>
      <c r="I401" s="291"/>
      <c r="J401" s="292" cm="1">
        <f t="array" ref="J401">INDEX('Descriptor maps'!$I$2:$I$1658,MATCH(1,('Descriptor maps'!$A$2:$A$1658=Calculation!$A401)*('Descriptor maps'!$G$2:$G$1658=Calculation!$G401),0))</f>
        <v>2</v>
      </c>
      <c r="K401" s="226"/>
      <c r="L401" s="293"/>
      <c r="M401" s="293"/>
      <c r="N401" s="293"/>
      <c r="O401" s="293"/>
      <c r="P401" s="293"/>
      <c r="Q401" s="293"/>
      <c r="R401" s="293"/>
      <c r="S401" s="293"/>
      <c r="T401" s="293"/>
      <c r="U401" s="293"/>
      <c r="V401" s="293"/>
      <c r="W401" s="293"/>
      <c r="X401" s="293"/>
      <c r="Y401" s="293"/>
      <c r="Z401" s="293"/>
      <c r="AA401" s="293"/>
      <c r="AB401" s="293"/>
      <c r="AC401" s="293"/>
      <c r="AD401" s="293"/>
      <c r="AE401" s="293"/>
      <c r="AF401" s="293"/>
      <c r="AG401" s="293"/>
      <c r="AH401" s="293"/>
      <c r="AI401" s="293"/>
      <c r="AJ401" s="293"/>
      <c r="AK401" s="293"/>
      <c r="AL401" s="293"/>
      <c r="AM401" s="293"/>
      <c r="AN401" s="293"/>
      <c r="AO401" s="293"/>
      <c r="AP401" s="293"/>
      <c r="AQ401" s="293"/>
      <c r="AR401" s="293"/>
      <c r="AS401" s="293"/>
      <c r="AT401" s="293"/>
      <c r="AU401" s="293"/>
      <c r="AV401" s="293"/>
      <c r="AW401" s="293"/>
      <c r="AX401" s="293"/>
      <c r="AY401" s="293"/>
      <c r="AZ401" s="293"/>
      <c r="BA401" s="293"/>
      <c r="BB401" s="293"/>
      <c r="BC401" s="293"/>
      <c r="BD401" s="293"/>
      <c r="BE401" s="293"/>
      <c r="BF401" s="293"/>
      <c r="BG401" s="293"/>
      <c r="BH401" s="293"/>
      <c r="BI401" s="293"/>
      <c r="BJ401" s="293"/>
      <c r="BK401" s="293"/>
      <c r="BL401" s="293"/>
      <c r="BM401" s="293"/>
      <c r="BN401" s="293"/>
      <c r="BO401" s="293"/>
      <c r="BP401" s="293"/>
      <c r="BQ401" s="293"/>
      <c r="BR401" s="293"/>
      <c r="BS401" s="293"/>
      <c r="BT401" s="293"/>
      <c r="BU401" s="293"/>
      <c r="BV401" s="293"/>
      <c r="BW401" s="293"/>
      <c r="BX401" s="293"/>
      <c r="BY401" s="293"/>
      <c r="BZ401" s="293"/>
      <c r="CA401" s="285"/>
      <c r="CB401" s="286"/>
      <c r="CC401" s="286"/>
      <c r="CD401" s="286"/>
      <c r="CE401" s="286"/>
      <c r="CF401" s="286"/>
      <c r="CG401" s="286"/>
      <c r="CH401" s="286"/>
      <c r="CI401" s="286"/>
      <c r="CJ401" s="286"/>
      <c r="CK401" s="286"/>
      <c r="CL401" s="286"/>
      <c r="CM401" s="286"/>
      <c r="CN401" s="286"/>
      <c r="CO401" s="286"/>
      <c r="CP401" s="286"/>
      <c r="CQ401" s="286"/>
      <c r="CR401" s="286"/>
      <c r="CS401" s="286"/>
      <c r="CT401" s="286"/>
      <c r="CU401" s="286"/>
      <c r="CV401" s="286"/>
      <c r="CW401" s="286"/>
      <c r="CX401" s="286"/>
      <c r="CY401" s="286"/>
      <c r="CZ401" s="286"/>
      <c r="DA401" s="286"/>
      <c r="DB401" s="286"/>
      <c r="DC401" s="286"/>
      <c r="DD401" s="286"/>
      <c r="DE401" s="286"/>
      <c r="DF401" s="286"/>
      <c r="DG401" s="286"/>
      <c r="DH401" s="286"/>
      <c r="DI401" s="286"/>
      <c r="DJ401" s="286"/>
      <c r="DK401" s="286"/>
      <c r="DL401" s="286"/>
      <c r="DM401" s="286"/>
      <c r="DN401" s="286"/>
      <c r="DO401" s="286"/>
      <c r="DP401" s="286"/>
      <c r="DR401" s="58" t="str">
        <f>IF(ISNUMBER(MATCH(#REF!,'Audit Characteristic Mapping'!$B$3:$B$500,0)),"Y","")</f>
        <v/>
      </c>
      <c r="DS401" s="58" t="str">
        <f>IF(ISNUMBER(MATCH(#REF!,'Audit Characteristic Mapping'!$C$3:$C$500,0)),"Y","")</f>
        <v/>
      </c>
      <c r="DT401" s="58" t="str">
        <f>IF(ISNUMBER(MATCH(#REF!,'Audit Characteristic Mapping'!$D$3:$D$500,0)),"Y","")</f>
        <v/>
      </c>
      <c r="DU401" s="58" t="str">
        <f>IF(ISNUMBER(MATCH(#REF!,'Audit Characteristic Mapping'!$E$3:$E$500,0)),"Y","")</f>
        <v/>
      </c>
      <c r="DV401" s="58" t="str">
        <f>IF(ISNUMBER(MATCH(#REF!,'Audit Characteristic Mapping'!$F$3:$F$500,0)),"Y","")</f>
        <v/>
      </c>
      <c r="DW401" s="58" t="str">
        <f>IF(ISNUMBER(MATCH(#REF!,'Audit Characteristic Mapping'!$G$3:$G$500,0)),"Y","")</f>
        <v/>
      </c>
      <c r="DX401" s="58" t="str">
        <f>IF(ISNUMBER(MATCH(#REF!,'Audit Characteristic Mapping'!$H$3:$H$500,0)),"Y","")</f>
        <v/>
      </c>
      <c r="DY401" s="58" t="str">
        <f>IF(ISNUMBER(MATCH(#REF!,'Audit Characteristic Mapping'!$I$3:$I$500,0)),"Y","")</f>
        <v/>
      </c>
      <c r="DZ401" s="58" t="str">
        <f>IF(ISNUMBER(MATCH(#REF!,'Audit Characteristic Mapping'!$J$3:$J$500,0)),"Y","")</f>
        <v/>
      </c>
      <c r="EA401" s="58" t="str">
        <f>IF(ISNUMBER(MATCH(#REF!,'Audit Characteristic Mapping'!$K$3:$K$500,0)),"Y","")</f>
        <v/>
      </c>
    </row>
    <row r="402" spans="1:131" ht="33" hidden="1" thickBot="1" x14ac:dyDescent="0.25">
      <c r="A402" s="288">
        <v>395</v>
      </c>
      <c r="B402" s="287" t="s">
        <v>547</v>
      </c>
      <c r="C402" s="226" t="s">
        <v>547</v>
      </c>
      <c r="D402" s="170">
        <v>11</v>
      </c>
      <c r="E402" s="288">
        <v>82</v>
      </c>
      <c r="F402" s="291" t="str">
        <f>VLOOKUP(Calculation!A402,'Descriptor maps'!$A$2:$F$1658,2,0)</f>
        <v>Monitoring program and reporting</v>
      </c>
      <c r="G402" s="296"/>
      <c r="H402" s="290"/>
      <c r="I402" s="291"/>
      <c r="J402" s="292" t="e" cm="1">
        <f t="array" ref="J402">INDEX('Descriptor maps'!$I$2:$I$1658,MATCH(1,('Descriptor maps'!$A$2:$A$1658=Calculation!$A402)*('Descriptor maps'!$G$2:$G$1658=Calculation!$G402),0))</f>
        <v>#N/A</v>
      </c>
      <c r="K402" s="226"/>
      <c r="L402" s="293"/>
      <c r="M402" s="293"/>
      <c r="N402" s="293"/>
      <c r="O402" s="293"/>
      <c r="P402" s="293"/>
      <c r="Q402" s="293"/>
      <c r="R402" s="293"/>
      <c r="S402" s="293"/>
      <c r="T402" s="293"/>
      <c r="U402" s="293"/>
      <c r="V402" s="293"/>
      <c r="W402" s="293"/>
      <c r="X402" s="293"/>
      <c r="Y402" s="293"/>
      <c r="Z402" s="293"/>
      <c r="AA402" s="293"/>
      <c r="AB402" s="293"/>
      <c r="AC402" s="293"/>
      <c r="AD402" s="293"/>
      <c r="AE402" s="293"/>
      <c r="AF402" s="293"/>
      <c r="AG402" s="293"/>
      <c r="AH402" s="293"/>
      <c r="AI402" s="293"/>
      <c r="AJ402" s="293"/>
      <c r="AK402" s="293"/>
      <c r="AL402" s="293"/>
      <c r="AM402" s="293"/>
      <c r="AN402" s="293"/>
      <c r="AO402" s="293"/>
      <c r="AP402" s="293"/>
      <c r="AQ402" s="293"/>
      <c r="AR402" s="293"/>
      <c r="AS402" s="293"/>
      <c r="AT402" s="293"/>
      <c r="AU402" s="293"/>
      <c r="AV402" s="293"/>
      <c r="AW402" s="293"/>
      <c r="AX402" s="293"/>
      <c r="AY402" s="293"/>
      <c r="AZ402" s="293"/>
      <c r="BA402" s="293"/>
      <c r="BB402" s="293"/>
      <c r="BC402" s="293"/>
      <c r="BD402" s="293"/>
      <c r="BE402" s="293"/>
      <c r="BF402" s="293"/>
      <c r="BG402" s="293"/>
      <c r="BH402" s="293"/>
      <c r="BI402" s="293"/>
      <c r="BJ402" s="293"/>
      <c r="BK402" s="293"/>
      <c r="BL402" s="293"/>
      <c r="BM402" s="293"/>
      <c r="BN402" s="293"/>
      <c r="BO402" s="293"/>
      <c r="BP402" s="293"/>
      <c r="BQ402" s="293"/>
      <c r="BR402" s="293"/>
      <c r="BS402" s="293"/>
      <c r="BT402" s="293"/>
      <c r="BU402" s="293"/>
      <c r="BV402" s="293"/>
      <c r="BW402" s="293"/>
      <c r="BX402" s="293"/>
      <c r="BY402" s="293"/>
      <c r="BZ402" s="293"/>
      <c r="CA402" s="285"/>
      <c r="CB402" s="286"/>
      <c r="CC402" s="286"/>
      <c r="CD402" s="286"/>
      <c r="CE402" s="286"/>
      <c r="CF402" s="286"/>
      <c r="CG402" s="286"/>
      <c r="CH402" s="286"/>
      <c r="CI402" s="286"/>
      <c r="CJ402" s="286"/>
      <c r="CK402" s="286"/>
      <c r="CL402" s="286"/>
      <c r="CM402" s="286"/>
      <c r="CN402" s="286"/>
      <c r="CO402" s="286"/>
      <c r="CP402" s="286"/>
      <c r="CQ402" s="286"/>
      <c r="CR402" s="286"/>
      <c r="CS402" s="286"/>
      <c r="CT402" s="286"/>
      <c r="CU402" s="286"/>
      <c r="CV402" s="286"/>
      <c r="CW402" s="286"/>
      <c r="CX402" s="286"/>
      <c r="CY402" s="286"/>
      <c r="CZ402" s="286"/>
      <c r="DA402" s="286"/>
      <c r="DB402" s="286"/>
      <c r="DC402" s="286"/>
      <c r="DD402" s="286"/>
      <c r="DE402" s="286"/>
      <c r="DF402" s="286"/>
      <c r="DG402" s="286"/>
      <c r="DH402" s="286"/>
      <c r="DI402" s="286"/>
      <c r="DJ402" s="286"/>
      <c r="DK402" s="286"/>
      <c r="DL402" s="286"/>
      <c r="DM402" s="286"/>
      <c r="DN402" s="286"/>
      <c r="DO402" s="286"/>
      <c r="DP402" s="286"/>
      <c r="DR402" s="58" t="str">
        <f>IF(ISNUMBER(MATCH(#REF!,'Audit Characteristic Mapping'!$B$3:$B$500,0)),"Y","")</f>
        <v/>
      </c>
      <c r="DS402" s="58" t="str">
        <f>IF(ISNUMBER(MATCH(#REF!,'Audit Characteristic Mapping'!$C$3:$C$500,0)),"Y","")</f>
        <v/>
      </c>
      <c r="DT402" s="58" t="str">
        <f>IF(ISNUMBER(MATCH(#REF!,'Audit Characteristic Mapping'!$D$3:$D$500,0)),"Y","")</f>
        <v/>
      </c>
      <c r="DU402" s="58" t="str">
        <f>IF(ISNUMBER(MATCH(#REF!,'Audit Characteristic Mapping'!$E$3:$E$500,0)),"Y","")</f>
        <v/>
      </c>
      <c r="DV402" s="58" t="str">
        <f>IF(ISNUMBER(MATCH(#REF!,'Audit Characteristic Mapping'!$F$3:$F$500,0)),"Y","")</f>
        <v/>
      </c>
      <c r="DW402" s="58" t="str">
        <f>IF(ISNUMBER(MATCH(#REF!,'Audit Characteristic Mapping'!$G$3:$G$500,0)),"Y","")</f>
        <v/>
      </c>
      <c r="DX402" s="58" t="str">
        <f>IF(ISNUMBER(MATCH(#REF!,'Audit Characteristic Mapping'!$H$3:$H$500,0)),"Y","")</f>
        <v/>
      </c>
      <c r="DY402" s="58" t="str">
        <f>IF(ISNUMBER(MATCH(#REF!,'Audit Characteristic Mapping'!$I$3:$I$500,0)),"Y","")</f>
        <v/>
      </c>
      <c r="DZ402" s="58" t="str">
        <f>IF(ISNUMBER(MATCH(#REF!,'Audit Characteristic Mapping'!$J$3:$J$500,0)),"Y","")</f>
        <v/>
      </c>
      <c r="EA402" s="58" t="str">
        <f>IF(ISNUMBER(MATCH(#REF!,'Audit Characteristic Mapping'!$K$3:$K$500,0)),"Y","")</f>
        <v/>
      </c>
    </row>
    <row r="403" spans="1:131" ht="33" hidden="1" thickBot="1" x14ac:dyDescent="0.25">
      <c r="A403" s="288">
        <v>396</v>
      </c>
      <c r="B403" s="287" t="s">
        <v>547</v>
      </c>
      <c r="C403" s="226" t="s">
        <v>547</v>
      </c>
      <c r="D403" s="170">
        <v>11</v>
      </c>
      <c r="E403" s="288">
        <v>82</v>
      </c>
      <c r="F403" s="291" t="str">
        <f>VLOOKUP(Calculation!A403,'Descriptor maps'!$A$2:$F$1658,2,0)</f>
        <v>Monitoring program and reporting</v>
      </c>
      <c r="G403" s="296"/>
      <c r="H403" s="290"/>
      <c r="I403" s="291"/>
      <c r="J403" s="292" t="e" cm="1">
        <f t="array" ref="J403">INDEX('Descriptor maps'!$I$2:$I$1658,MATCH(1,('Descriptor maps'!$A$2:$A$1658=Calculation!$A403)*('Descriptor maps'!$G$2:$G$1658=Calculation!$G403),0))</f>
        <v>#N/A</v>
      </c>
      <c r="K403" s="226"/>
      <c r="L403" s="293"/>
      <c r="M403" s="293"/>
      <c r="N403" s="293"/>
      <c r="O403" s="293"/>
      <c r="P403" s="293"/>
      <c r="Q403" s="293"/>
      <c r="R403" s="293"/>
      <c r="S403" s="293"/>
      <c r="T403" s="293"/>
      <c r="U403" s="293"/>
      <c r="V403" s="293"/>
      <c r="W403" s="293"/>
      <c r="X403" s="293"/>
      <c r="Y403" s="293"/>
      <c r="Z403" s="293"/>
      <c r="AA403" s="293"/>
      <c r="AB403" s="293"/>
      <c r="AC403" s="293"/>
      <c r="AD403" s="293"/>
      <c r="AE403" s="293"/>
      <c r="AF403" s="293"/>
      <c r="AG403" s="293"/>
      <c r="AH403" s="293"/>
      <c r="AI403" s="293"/>
      <c r="AJ403" s="293"/>
      <c r="AK403" s="293"/>
      <c r="AL403" s="293"/>
      <c r="AM403" s="293"/>
      <c r="AN403" s="293"/>
      <c r="AO403" s="293"/>
      <c r="AP403" s="293"/>
      <c r="AQ403" s="293"/>
      <c r="AR403" s="293"/>
      <c r="AS403" s="293"/>
      <c r="AT403" s="293"/>
      <c r="AU403" s="293"/>
      <c r="AV403" s="293"/>
      <c r="AW403" s="293"/>
      <c r="AX403" s="293"/>
      <c r="AY403" s="293"/>
      <c r="AZ403" s="293"/>
      <c r="BA403" s="293"/>
      <c r="BB403" s="293"/>
      <c r="BC403" s="293"/>
      <c r="BD403" s="293"/>
      <c r="BE403" s="293"/>
      <c r="BF403" s="293"/>
      <c r="BG403" s="293"/>
      <c r="BH403" s="293"/>
      <c r="BI403" s="293"/>
      <c r="BJ403" s="293"/>
      <c r="BK403" s="293"/>
      <c r="BL403" s="293"/>
      <c r="BM403" s="293"/>
      <c r="BN403" s="293"/>
      <c r="BO403" s="293"/>
      <c r="BP403" s="293"/>
      <c r="BQ403" s="293"/>
      <c r="BR403" s="293"/>
      <c r="BS403" s="293"/>
      <c r="BT403" s="293"/>
      <c r="BU403" s="293"/>
      <c r="BV403" s="293"/>
      <c r="BW403" s="293"/>
      <c r="BX403" s="293"/>
      <c r="BY403" s="293"/>
      <c r="BZ403" s="293"/>
      <c r="CA403" s="285"/>
      <c r="CB403" s="286"/>
      <c r="CC403" s="286"/>
      <c r="CD403" s="286"/>
      <c r="CE403" s="286"/>
      <c r="CF403" s="286"/>
      <c r="CG403" s="286"/>
      <c r="CH403" s="286"/>
      <c r="CI403" s="286"/>
      <c r="CJ403" s="286"/>
      <c r="CK403" s="286"/>
      <c r="CL403" s="286"/>
      <c r="CM403" s="286"/>
      <c r="CN403" s="286"/>
      <c r="CO403" s="286"/>
      <c r="CP403" s="286"/>
      <c r="CQ403" s="286"/>
      <c r="CR403" s="286"/>
      <c r="CS403" s="286"/>
      <c r="CT403" s="286"/>
      <c r="CU403" s="286"/>
      <c r="CV403" s="286"/>
      <c r="CW403" s="286"/>
      <c r="CX403" s="286"/>
      <c r="CY403" s="286"/>
      <c r="CZ403" s="286"/>
      <c r="DA403" s="286"/>
      <c r="DB403" s="286"/>
      <c r="DC403" s="286"/>
      <c r="DD403" s="286"/>
      <c r="DE403" s="286"/>
      <c r="DF403" s="286"/>
      <c r="DG403" s="286"/>
      <c r="DH403" s="286"/>
      <c r="DI403" s="286"/>
      <c r="DJ403" s="286"/>
      <c r="DK403" s="286"/>
      <c r="DL403" s="286"/>
      <c r="DM403" s="286"/>
      <c r="DN403" s="286"/>
      <c r="DO403" s="286"/>
      <c r="DP403" s="286"/>
      <c r="DR403" s="58" t="str">
        <f>IF(ISNUMBER(MATCH(#REF!,'Audit Characteristic Mapping'!$B$3:$B$500,0)),"Y","")</f>
        <v/>
      </c>
      <c r="DS403" s="58" t="str">
        <f>IF(ISNUMBER(MATCH(#REF!,'Audit Characteristic Mapping'!$C$3:$C$500,0)),"Y","")</f>
        <v/>
      </c>
      <c r="DT403" s="58" t="str">
        <f>IF(ISNUMBER(MATCH(#REF!,'Audit Characteristic Mapping'!$D$3:$D$500,0)),"Y","")</f>
        <v/>
      </c>
      <c r="DU403" s="58" t="str">
        <f>IF(ISNUMBER(MATCH(#REF!,'Audit Characteristic Mapping'!$E$3:$E$500,0)),"Y","")</f>
        <v/>
      </c>
      <c r="DV403" s="58" t="str">
        <f>IF(ISNUMBER(MATCH(#REF!,'Audit Characteristic Mapping'!$F$3:$F$500,0)),"Y","")</f>
        <v/>
      </c>
      <c r="DW403" s="58" t="str">
        <f>IF(ISNUMBER(MATCH(#REF!,'Audit Characteristic Mapping'!$G$3:$G$500,0)),"Y","")</f>
        <v/>
      </c>
      <c r="DX403" s="58" t="str">
        <f>IF(ISNUMBER(MATCH(#REF!,'Audit Characteristic Mapping'!$H$3:$H$500,0)),"Y","")</f>
        <v/>
      </c>
      <c r="DY403" s="58" t="str">
        <f>IF(ISNUMBER(MATCH(#REF!,'Audit Characteristic Mapping'!$I$3:$I$500,0)),"Y","")</f>
        <v/>
      </c>
      <c r="DZ403" s="58" t="str">
        <f>IF(ISNUMBER(MATCH(#REF!,'Audit Characteristic Mapping'!$J$3:$J$500,0)),"Y","")</f>
        <v/>
      </c>
      <c r="EA403" s="58" t="str">
        <f>IF(ISNUMBER(MATCH(#REF!,'Audit Characteristic Mapping'!$K$3:$K$500,0)),"Y","")</f>
        <v/>
      </c>
    </row>
    <row r="404" spans="1:131" ht="33" hidden="1" thickBot="1" x14ac:dyDescent="0.25">
      <c r="A404" s="288">
        <v>397</v>
      </c>
      <c r="B404" s="287" t="s">
        <v>547</v>
      </c>
      <c r="C404" s="226" t="s">
        <v>547</v>
      </c>
      <c r="D404" s="170">
        <v>11</v>
      </c>
      <c r="E404" s="288">
        <v>82</v>
      </c>
      <c r="F404" s="291" t="str">
        <f>VLOOKUP(Calculation!A404,'Descriptor maps'!$A$2:$F$1658,2,0)</f>
        <v>Monitoring program and reporting</v>
      </c>
      <c r="G404" s="296"/>
      <c r="H404" s="290"/>
      <c r="I404" s="291"/>
      <c r="J404" s="292" t="e" cm="1">
        <f t="array" ref="J404">INDEX('Descriptor maps'!$I$2:$I$1658,MATCH(1,('Descriptor maps'!$A$2:$A$1658=Calculation!$A404)*('Descriptor maps'!$G$2:$G$1658=Calculation!$G404),0))</f>
        <v>#N/A</v>
      </c>
      <c r="K404" s="226"/>
      <c r="L404" s="293"/>
      <c r="M404" s="293"/>
      <c r="N404" s="293"/>
      <c r="O404" s="293"/>
      <c r="P404" s="293"/>
      <c r="Q404" s="293"/>
      <c r="R404" s="293"/>
      <c r="S404" s="293"/>
      <c r="T404" s="293"/>
      <c r="U404" s="293"/>
      <c r="V404" s="293"/>
      <c r="W404" s="293"/>
      <c r="X404" s="293"/>
      <c r="Y404" s="293"/>
      <c r="Z404" s="293"/>
      <c r="AA404" s="293"/>
      <c r="AB404" s="293"/>
      <c r="AC404" s="293"/>
      <c r="AD404" s="293"/>
      <c r="AE404" s="293"/>
      <c r="AF404" s="293"/>
      <c r="AG404" s="293"/>
      <c r="AH404" s="293"/>
      <c r="AI404" s="293"/>
      <c r="AJ404" s="293"/>
      <c r="AK404" s="293"/>
      <c r="AL404" s="293"/>
      <c r="AM404" s="293"/>
      <c r="AN404" s="293"/>
      <c r="AO404" s="293"/>
      <c r="AP404" s="293"/>
      <c r="AQ404" s="293"/>
      <c r="AR404" s="293"/>
      <c r="AS404" s="293"/>
      <c r="AT404" s="293"/>
      <c r="AU404" s="293"/>
      <c r="AV404" s="293"/>
      <c r="AW404" s="293"/>
      <c r="AX404" s="293"/>
      <c r="AY404" s="293"/>
      <c r="AZ404" s="293"/>
      <c r="BA404" s="293"/>
      <c r="BB404" s="293"/>
      <c r="BC404" s="293"/>
      <c r="BD404" s="293"/>
      <c r="BE404" s="293"/>
      <c r="BF404" s="293"/>
      <c r="BG404" s="293"/>
      <c r="BH404" s="293"/>
      <c r="BI404" s="293"/>
      <c r="BJ404" s="293"/>
      <c r="BK404" s="293"/>
      <c r="BL404" s="293"/>
      <c r="BM404" s="293"/>
      <c r="BN404" s="293"/>
      <c r="BO404" s="293"/>
      <c r="BP404" s="293"/>
      <c r="BQ404" s="293"/>
      <c r="BR404" s="293"/>
      <c r="BS404" s="293"/>
      <c r="BT404" s="293"/>
      <c r="BU404" s="293"/>
      <c r="BV404" s="293"/>
      <c r="BW404" s="293"/>
      <c r="BX404" s="293"/>
      <c r="BY404" s="293"/>
      <c r="BZ404" s="293"/>
      <c r="CA404" s="285"/>
      <c r="CB404" s="286"/>
      <c r="CC404" s="286"/>
      <c r="CD404" s="286"/>
      <c r="CE404" s="286"/>
      <c r="CF404" s="286"/>
      <c r="CG404" s="286"/>
      <c r="CH404" s="286"/>
      <c r="CI404" s="286"/>
      <c r="CJ404" s="286"/>
      <c r="CK404" s="286"/>
      <c r="CL404" s="286"/>
      <c r="CM404" s="286"/>
      <c r="CN404" s="286"/>
      <c r="CO404" s="286"/>
      <c r="CP404" s="286"/>
      <c r="CQ404" s="286"/>
      <c r="CR404" s="286"/>
      <c r="CS404" s="286"/>
      <c r="CT404" s="286"/>
      <c r="CU404" s="286"/>
      <c r="CV404" s="286"/>
      <c r="CW404" s="286"/>
      <c r="CX404" s="286"/>
      <c r="CY404" s="286"/>
      <c r="CZ404" s="286"/>
      <c r="DA404" s="286"/>
      <c r="DB404" s="286"/>
      <c r="DC404" s="286"/>
      <c r="DD404" s="286"/>
      <c r="DE404" s="286"/>
      <c r="DF404" s="286"/>
      <c r="DG404" s="286"/>
      <c r="DH404" s="286"/>
      <c r="DI404" s="286"/>
      <c r="DJ404" s="286"/>
      <c r="DK404" s="286"/>
      <c r="DL404" s="286"/>
      <c r="DM404" s="286"/>
      <c r="DN404" s="286"/>
      <c r="DO404" s="286"/>
      <c r="DP404" s="286"/>
      <c r="DR404" s="58" t="str">
        <f>IF(ISNUMBER(MATCH(#REF!,'Audit Characteristic Mapping'!$B$3:$B$500,0)),"Y","")</f>
        <v/>
      </c>
      <c r="DS404" s="58" t="str">
        <f>IF(ISNUMBER(MATCH(#REF!,'Audit Characteristic Mapping'!$C$3:$C$500,0)),"Y","")</f>
        <v/>
      </c>
      <c r="DT404" s="58" t="str">
        <f>IF(ISNUMBER(MATCH(#REF!,'Audit Characteristic Mapping'!$D$3:$D$500,0)),"Y","")</f>
        <v/>
      </c>
      <c r="DU404" s="58" t="str">
        <f>IF(ISNUMBER(MATCH(#REF!,'Audit Characteristic Mapping'!$E$3:$E$500,0)),"Y","")</f>
        <v/>
      </c>
      <c r="DV404" s="58" t="str">
        <f>IF(ISNUMBER(MATCH(#REF!,'Audit Characteristic Mapping'!$F$3:$F$500,0)),"Y","")</f>
        <v/>
      </c>
      <c r="DW404" s="58" t="str">
        <f>IF(ISNUMBER(MATCH(#REF!,'Audit Characteristic Mapping'!$G$3:$G$500,0)),"Y","")</f>
        <v/>
      </c>
      <c r="DX404" s="58" t="str">
        <f>IF(ISNUMBER(MATCH(#REF!,'Audit Characteristic Mapping'!$H$3:$H$500,0)),"Y","")</f>
        <v/>
      </c>
      <c r="DY404" s="58" t="str">
        <f>IF(ISNUMBER(MATCH(#REF!,'Audit Characteristic Mapping'!$I$3:$I$500,0)),"Y","")</f>
        <v/>
      </c>
      <c r="DZ404" s="58" t="str">
        <f>IF(ISNUMBER(MATCH(#REF!,'Audit Characteristic Mapping'!$J$3:$J$500,0)),"Y","")</f>
        <v/>
      </c>
      <c r="EA404" s="58" t="str">
        <f>IF(ISNUMBER(MATCH(#REF!,'Audit Characteristic Mapping'!$K$3:$K$500,0)),"Y","")</f>
        <v/>
      </c>
    </row>
    <row r="405" spans="1:131" ht="33" hidden="1" thickBot="1" x14ac:dyDescent="0.25">
      <c r="A405" s="288">
        <v>398</v>
      </c>
      <c r="B405" s="287" t="s">
        <v>547</v>
      </c>
      <c r="C405" s="226" t="s">
        <v>547</v>
      </c>
      <c r="D405" s="170">
        <v>11</v>
      </c>
      <c r="E405" s="288">
        <v>82</v>
      </c>
      <c r="F405" s="291" t="str">
        <f>VLOOKUP(Calculation!A405,'Descriptor maps'!$A$2:$F$1658,2,0)</f>
        <v>Monitoring program and reporting</v>
      </c>
      <c r="G405" s="296"/>
      <c r="H405" s="290"/>
      <c r="I405" s="291"/>
      <c r="J405" s="292" t="e" cm="1">
        <f t="array" ref="J405">INDEX('Descriptor maps'!$I$2:$I$1658,MATCH(1,('Descriptor maps'!$A$2:$A$1658=Calculation!$A405)*('Descriptor maps'!$G$2:$G$1658=Calculation!$G405),0))</f>
        <v>#N/A</v>
      </c>
      <c r="K405" s="226"/>
      <c r="L405" s="293"/>
      <c r="M405" s="293"/>
      <c r="N405" s="293"/>
      <c r="O405" s="293"/>
      <c r="P405" s="293"/>
      <c r="Q405" s="293"/>
      <c r="R405" s="293"/>
      <c r="S405" s="293"/>
      <c r="T405" s="293"/>
      <c r="U405" s="293"/>
      <c r="V405" s="293"/>
      <c r="W405" s="293"/>
      <c r="X405" s="293"/>
      <c r="Y405" s="293"/>
      <c r="Z405" s="293"/>
      <c r="AA405" s="293"/>
      <c r="AB405" s="293"/>
      <c r="AC405" s="293"/>
      <c r="AD405" s="293"/>
      <c r="AE405" s="293"/>
      <c r="AF405" s="293"/>
      <c r="AG405" s="293"/>
      <c r="AH405" s="293"/>
      <c r="AI405" s="293"/>
      <c r="AJ405" s="293"/>
      <c r="AK405" s="293"/>
      <c r="AL405" s="293"/>
      <c r="AM405" s="293"/>
      <c r="AN405" s="293"/>
      <c r="AO405" s="293"/>
      <c r="AP405" s="293"/>
      <c r="AQ405" s="293"/>
      <c r="AR405" s="293"/>
      <c r="AS405" s="293"/>
      <c r="AT405" s="293"/>
      <c r="AU405" s="293"/>
      <c r="AV405" s="293"/>
      <c r="AW405" s="293"/>
      <c r="AX405" s="293"/>
      <c r="AY405" s="293"/>
      <c r="AZ405" s="293"/>
      <c r="BA405" s="293"/>
      <c r="BB405" s="293"/>
      <c r="BC405" s="293"/>
      <c r="BD405" s="293"/>
      <c r="BE405" s="293"/>
      <c r="BF405" s="293"/>
      <c r="BG405" s="293"/>
      <c r="BH405" s="293"/>
      <c r="BI405" s="293"/>
      <c r="BJ405" s="293"/>
      <c r="BK405" s="293"/>
      <c r="BL405" s="293"/>
      <c r="BM405" s="293"/>
      <c r="BN405" s="293"/>
      <c r="BO405" s="293"/>
      <c r="BP405" s="293"/>
      <c r="BQ405" s="293"/>
      <c r="BR405" s="293"/>
      <c r="BS405" s="293"/>
      <c r="BT405" s="293"/>
      <c r="BU405" s="293"/>
      <c r="BV405" s="293"/>
      <c r="BW405" s="293"/>
      <c r="BX405" s="293"/>
      <c r="BY405" s="293"/>
      <c r="BZ405" s="293"/>
      <c r="CA405" s="285"/>
      <c r="CB405" s="286"/>
      <c r="CC405" s="286"/>
      <c r="CD405" s="286"/>
      <c r="CE405" s="286"/>
      <c r="CF405" s="286"/>
      <c r="CG405" s="286"/>
      <c r="CH405" s="286"/>
      <c r="CI405" s="286"/>
      <c r="CJ405" s="286"/>
      <c r="CK405" s="286"/>
      <c r="CL405" s="286"/>
      <c r="CM405" s="286"/>
      <c r="CN405" s="286"/>
      <c r="CO405" s="286"/>
      <c r="CP405" s="286"/>
      <c r="CQ405" s="286"/>
      <c r="CR405" s="286"/>
      <c r="CS405" s="286"/>
      <c r="CT405" s="286"/>
      <c r="CU405" s="286"/>
      <c r="CV405" s="286"/>
      <c r="CW405" s="286"/>
      <c r="CX405" s="286"/>
      <c r="CY405" s="286"/>
      <c r="CZ405" s="286"/>
      <c r="DA405" s="286"/>
      <c r="DB405" s="286"/>
      <c r="DC405" s="286"/>
      <c r="DD405" s="286"/>
      <c r="DE405" s="286"/>
      <c r="DF405" s="286"/>
      <c r="DG405" s="286"/>
      <c r="DH405" s="286"/>
      <c r="DI405" s="286"/>
      <c r="DJ405" s="286"/>
      <c r="DK405" s="286"/>
      <c r="DL405" s="286"/>
      <c r="DM405" s="286"/>
      <c r="DN405" s="286"/>
      <c r="DO405" s="286"/>
      <c r="DP405" s="286"/>
      <c r="DR405" s="58" t="str">
        <f>IF(ISNUMBER(MATCH(#REF!,'Audit Characteristic Mapping'!$B$3:$B$500,0)),"Y","")</f>
        <v/>
      </c>
      <c r="DS405" s="58" t="str">
        <f>IF(ISNUMBER(MATCH(#REF!,'Audit Characteristic Mapping'!$C$3:$C$500,0)),"Y","")</f>
        <v/>
      </c>
      <c r="DT405" s="58" t="str">
        <f>IF(ISNUMBER(MATCH(#REF!,'Audit Characteristic Mapping'!$D$3:$D$500,0)),"Y","")</f>
        <v/>
      </c>
      <c r="DU405" s="58" t="str">
        <f>IF(ISNUMBER(MATCH(#REF!,'Audit Characteristic Mapping'!$E$3:$E$500,0)),"Y","")</f>
        <v/>
      </c>
      <c r="DV405" s="58" t="str">
        <f>IF(ISNUMBER(MATCH(#REF!,'Audit Characteristic Mapping'!$F$3:$F$500,0)),"Y","")</f>
        <v/>
      </c>
      <c r="DW405" s="58" t="str">
        <f>IF(ISNUMBER(MATCH(#REF!,'Audit Characteristic Mapping'!$G$3:$G$500,0)),"Y","")</f>
        <v/>
      </c>
      <c r="DX405" s="58" t="str">
        <f>IF(ISNUMBER(MATCH(#REF!,'Audit Characteristic Mapping'!$H$3:$H$500,0)),"Y","")</f>
        <v/>
      </c>
      <c r="DY405" s="58" t="str">
        <f>IF(ISNUMBER(MATCH(#REF!,'Audit Characteristic Mapping'!$I$3:$I$500,0)),"Y","")</f>
        <v/>
      </c>
      <c r="DZ405" s="58" t="str">
        <f>IF(ISNUMBER(MATCH(#REF!,'Audit Characteristic Mapping'!$J$3:$J$500,0)),"Y","")</f>
        <v/>
      </c>
      <c r="EA405" s="58" t="str">
        <f>IF(ISNUMBER(MATCH(#REF!,'Audit Characteristic Mapping'!$K$3:$K$500,0)),"Y","")</f>
        <v/>
      </c>
    </row>
    <row r="406" spans="1:131" ht="33" hidden="1" thickBot="1" x14ac:dyDescent="0.25">
      <c r="A406" s="288">
        <v>399</v>
      </c>
      <c r="B406" s="287" t="s">
        <v>547</v>
      </c>
      <c r="C406" s="226" t="s">
        <v>547</v>
      </c>
      <c r="D406" s="170">
        <v>11</v>
      </c>
      <c r="E406" s="288">
        <v>82</v>
      </c>
      <c r="F406" s="291" t="str">
        <f>VLOOKUP(Calculation!A406,'Descriptor maps'!$A$2:$F$1658,2,0)</f>
        <v>Monitoring program and reporting</v>
      </c>
      <c r="G406" s="296"/>
      <c r="H406" s="290"/>
      <c r="I406" s="291"/>
      <c r="J406" s="292" t="e" cm="1">
        <f t="array" ref="J406">INDEX('Descriptor maps'!$I$2:$I$1658,MATCH(1,('Descriptor maps'!$A$2:$A$1658=Calculation!$A406)*('Descriptor maps'!$G$2:$G$1658=Calculation!$G406),0))</f>
        <v>#N/A</v>
      </c>
      <c r="K406" s="226"/>
      <c r="L406" s="293"/>
      <c r="M406" s="293"/>
      <c r="N406" s="293"/>
      <c r="O406" s="293"/>
      <c r="P406" s="293"/>
      <c r="Q406" s="293"/>
      <c r="R406" s="293"/>
      <c r="S406" s="293"/>
      <c r="T406" s="293"/>
      <c r="U406" s="293"/>
      <c r="V406" s="293"/>
      <c r="W406" s="293"/>
      <c r="X406" s="293"/>
      <c r="Y406" s="293"/>
      <c r="Z406" s="293"/>
      <c r="AA406" s="293"/>
      <c r="AB406" s="293"/>
      <c r="AC406" s="293"/>
      <c r="AD406" s="293"/>
      <c r="AE406" s="293"/>
      <c r="AF406" s="293"/>
      <c r="AG406" s="293"/>
      <c r="AH406" s="293"/>
      <c r="AI406" s="293"/>
      <c r="AJ406" s="293"/>
      <c r="AK406" s="293"/>
      <c r="AL406" s="293"/>
      <c r="AM406" s="293"/>
      <c r="AN406" s="293"/>
      <c r="AO406" s="293"/>
      <c r="AP406" s="293"/>
      <c r="AQ406" s="293"/>
      <c r="AR406" s="293"/>
      <c r="AS406" s="293"/>
      <c r="AT406" s="293"/>
      <c r="AU406" s="293"/>
      <c r="AV406" s="293"/>
      <c r="AW406" s="293"/>
      <c r="AX406" s="293"/>
      <c r="AY406" s="293"/>
      <c r="AZ406" s="293"/>
      <c r="BA406" s="293"/>
      <c r="BB406" s="293"/>
      <c r="BC406" s="293"/>
      <c r="BD406" s="293"/>
      <c r="BE406" s="293"/>
      <c r="BF406" s="293"/>
      <c r="BG406" s="293"/>
      <c r="BH406" s="293"/>
      <c r="BI406" s="293"/>
      <c r="BJ406" s="293"/>
      <c r="BK406" s="293"/>
      <c r="BL406" s="293"/>
      <c r="BM406" s="293"/>
      <c r="BN406" s="293"/>
      <c r="BO406" s="293"/>
      <c r="BP406" s="293"/>
      <c r="BQ406" s="293"/>
      <c r="BR406" s="293"/>
      <c r="BS406" s="293"/>
      <c r="BT406" s="293"/>
      <c r="BU406" s="293"/>
      <c r="BV406" s="293"/>
      <c r="BW406" s="293"/>
      <c r="BX406" s="293"/>
      <c r="BY406" s="293"/>
      <c r="BZ406" s="293"/>
      <c r="CA406" s="285"/>
      <c r="CB406" s="286"/>
      <c r="CC406" s="286"/>
      <c r="CD406" s="286"/>
      <c r="CE406" s="286"/>
      <c r="CF406" s="286"/>
      <c r="CG406" s="286"/>
      <c r="CH406" s="286"/>
      <c r="CI406" s="286"/>
      <c r="CJ406" s="286"/>
      <c r="CK406" s="286"/>
      <c r="CL406" s="286"/>
      <c r="CM406" s="286"/>
      <c r="CN406" s="286"/>
      <c r="CO406" s="286"/>
      <c r="CP406" s="286"/>
      <c r="CQ406" s="286"/>
      <c r="CR406" s="286"/>
      <c r="CS406" s="286"/>
      <c r="CT406" s="286"/>
      <c r="CU406" s="286"/>
      <c r="CV406" s="286"/>
      <c r="CW406" s="286"/>
      <c r="CX406" s="286"/>
      <c r="CY406" s="286"/>
      <c r="CZ406" s="286"/>
      <c r="DA406" s="286"/>
      <c r="DB406" s="286"/>
      <c r="DC406" s="286"/>
      <c r="DD406" s="286"/>
      <c r="DE406" s="286"/>
      <c r="DF406" s="286"/>
      <c r="DG406" s="286"/>
      <c r="DH406" s="286"/>
      <c r="DI406" s="286"/>
      <c r="DJ406" s="286"/>
      <c r="DK406" s="286"/>
      <c r="DL406" s="286"/>
      <c r="DM406" s="286"/>
      <c r="DN406" s="286"/>
      <c r="DO406" s="286"/>
      <c r="DP406" s="286"/>
      <c r="DR406" s="58" t="str">
        <f>IF(ISNUMBER(MATCH(#REF!,'Audit Characteristic Mapping'!$B$3:$B$500,0)),"Y","")</f>
        <v/>
      </c>
      <c r="DS406" s="58" t="str">
        <f>IF(ISNUMBER(MATCH(#REF!,'Audit Characteristic Mapping'!$C$3:$C$500,0)),"Y","")</f>
        <v/>
      </c>
      <c r="DT406" s="58" t="str">
        <f>IF(ISNUMBER(MATCH(#REF!,'Audit Characteristic Mapping'!$D$3:$D$500,0)),"Y","")</f>
        <v/>
      </c>
      <c r="DU406" s="58" t="str">
        <f>IF(ISNUMBER(MATCH(#REF!,'Audit Characteristic Mapping'!$E$3:$E$500,0)),"Y","")</f>
        <v/>
      </c>
      <c r="DV406" s="58" t="str">
        <f>IF(ISNUMBER(MATCH(#REF!,'Audit Characteristic Mapping'!$F$3:$F$500,0)),"Y","")</f>
        <v/>
      </c>
      <c r="DW406" s="58" t="str">
        <f>IF(ISNUMBER(MATCH(#REF!,'Audit Characteristic Mapping'!$G$3:$G$500,0)),"Y","")</f>
        <v/>
      </c>
      <c r="DX406" s="58" t="str">
        <f>IF(ISNUMBER(MATCH(#REF!,'Audit Characteristic Mapping'!$H$3:$H$500,0)),"Y","")</f>
        <v/>
      </c>
      <c r="DY406" s="58" t="str">
        <f>IF(ISNUMBER(MATCH(#REF!,'Audit Characteristic Mapping'!$I$3:$I$500,0)),"Y","")</f>
        <v/>
      </c>
      <c r="DZ406" s="58" t="str">
        <f>IF(ISNUMBER(MATCH(#REF!,'Audit Characteristic Mapping'!$J$3:$J$500,0)),"Y","")</f>
        <v/>
      </c>
      <c r="EA406" s="58" t="str">
        <f>IF(ISNUMBER(MATCH(#REF!,'Audit Characteristic Mapping'!$K$3:$K$500,0)),"Y","")</f>
        <v/>
      </c>
    </row>
    <row r="407" spans="1:131" ht="33" hidden="1" thickBot="1" x14ac:dyDescent="0.25">
      <c r="A407" s="288">
        <v>400</v>
      </c>
      <c r="B407" s="287" t="s">
        <v>551</v>
      </c>
      <c r="C407" s="226" t="s">
        <v>552</v>
      </c>
      <c r="D407" s="170">
        <v>12</v>
      </c>
      <c r="E407" s="288">
        <v>83</v>
      </c>
      <c r="F407" s="291" t="str">
        <f>VLOOKUP(Calculation!A407,'Descriptor maps'!$A$2:$F$1658,2,0)</f>
        <v>Environmental requirements</v>
      </c>
      <c r="G407" s="296"/>
      <c r="H407" s="290"/>
      <c r="I407" s="291"/>
      <c r="J407" s="292" t="e" cm="1">
        <f t="array" ref="J407">INDEX('Descriptor maps'!$I$2:$I$1658,MATCH(1,('Descriptor maps'!$A$2:$A$1658=Calculation!$A407)*('Descriptor maps'!$G$2:$G$1658=Calculation!$G407),0))</f>
        <v>#N/A</v>
      </c>
      <c r="K407" s="226"/>
      <c r="L407" s="293"/>
      <c r="M407" s="293"/>
      <c r="N407" s="293"/>
      <c r="O407" s="293"/>
      <c r="P407" s="293"/>
      <c r="Q407" s="293"/>
      <c r="R407" s="293"/>
      <c r="S407" s="293"/>
      <c r="T407" s="293"/>
      <c r="U407" s="293"/>
      <c r="V407" s="293"/>
      <c r="W407" s="293"/>
      <c r="X407" s="293"/>
      <c r="Y407" s="293"/>
      <c r="Z407" s="293"/>
      <c r="AA407" s="293"/>
      <c r="AB407" s="293"/>
      <c r="AC407" s="293"/>
      <c r="AD407" s="293"/>
      <c r="AE407" s="293"/>
      <c r="AF407" s="293"/>
      <c r="AG407" s="293"/>
      <c r="AH407" s="293"/>
      <c r="AI407" s="293"/>
      <c r="AJ407" s="293"/>
      <c r="AK407" s="293"/>
      <c r="AL407" s="293"/>
      <c r="AM407" s="293"/>
      <c r="AN407" s="293"/>
      <c r="AO407" s="293"/>
      <c r="AP407" s="293"/>
      <c r="AQ407" s="293"/>
      <c r="AR407" s="293"/>
      <c r="AS407" s="293"/>
      <c r="AT407" s="293"/>
      <c r="AU407" s="293"/>
      <c r="AV407" s="293"/>
      <c r="AW407" s="293"/>
      <c r="AX407" s="293"/>
      <c r="AY407" s="293"/>
      <c r="AZ407" s="293"/>
      <c r="BA407" s="293"/>
      <c r="BB407" s="293"/>
      <c r="BC407" s="293"/>
      <c r="BD407" s="293"/>
      <c r="BE407" s="293"/>
      <c r="BF407" s="293"/>
      <c r="BG407" s="293"/>
      <c r="BH407" s="293"/>
      <c r="BI407" s="293"/>
      <c r="BJ407" s="293"/>
      <c r="BK407" s="293"/>
      <c r="BL407" s="293"/>
      <c r="BM407" s="293"/>
      <c r="BN407" s="293"/>
      <c r="BO407" s="293"/>
      <c r="BP407" s="293"/>
      <c r="BQ407" s="293"/>
      <c r="BR407" s="293"/>
      <c r="BS407" s="293"/>
      <c r="BT407" s="293"/>
      <c r="BU407" s="293"/>
      <c r="BV407" s="293"/>
      <c r="BW407" s="293"/>
      <c r="BX407" s="293"/>
      <c r="BY407" s="293"/>
      <c r="BZ407" s="293"/>
      <c r="CA407" s="285"/>
      <c r="CB407" s="286"/>
      <c r="CC407" s="286"/>
      <c r="CD407" s="286"/>
      <c r="CE407" s="286"/>
      <c r="CF407" s="286"/>
      <c r="CG407" s="286"/>
      <c r="CH407" s="286"/>
      <c r="CI407" s="286"/>
      <c r="CJ407" s="286"/>
      <c r="CK407" s="286"/>
      <c r="CL407" s="286"/>
      <c r="CM407" s="286"/>
      <c r="CN407" s="286"/>
      <c r="CO407" s="286"/>
      <c r="CP407" s="286"/>
      <c r="CQ407" s="286"/>
      <c r="CR407" s="286"/>
      <c r="CS407" s="286"/>
      <c r="CT407" s="286"/>
      <c r="CU407" s="286"/>
      <c r="CV407" s="286"/>
      <c r="CW407" s="286"/>
      <c r="CX407" s="286"/>
      <c r="CY407" s="286"/>
      <c r="CZ407" s="286"/>
      <c r="DA407" s="286"/>
      <c r="DB407" s="286"/>
      <c r="DC407" s="286"/>
      <c r="DD407" s="286"/>
      <c r="DE407" s="286"/>
      <c r="DF407" s="286"/>
      <c r="DG407" s="286"/>
      <c r="DH407" s="286"/>
      <c r="DI407" s="286"/>
      <c r="DJ407" s="286"/>
      <c r="DK407" s="286"/>
      <c r="DL407" s="286"/>
      <c r="DM407" s="286"/>
      <c r="DN407" s="286"/>
      <c r="DO407" s="286"/>
      <c r="DP407" s="286"/>
      <c r="DR407" s="58" t="str">
        <f>IF(ISNUMBER(MATCH(#REF!,'Audit Characteristic Mapping'!$B$3:$B$500,0)),"Y","")</f>
        <v/>
      </c>
      <c r="DS407" s="58" t="str">
        <f>IF(ISNUMBER(MATCH(#REF!,'Audit Characteristic Mapping'!$C$3:$C$500,0)),"Y","")</f>
        <v/>
      </c>
      <c r="DT407" s="58" t="str">
        <f>IF(ISNUMBER(MATCH(#REF!,'Audit Characteristic Mapping'!$D$3:$D$500,0)),"Y","")</f>
        <v/>
      </c>
      <c r="DU407" s="58" t="str">
        <f>IF(ISNUMBER(MATCH(#REF!,'Audit Characteristic Mapping'!$E$3:$E$500,0)),"Y","")</f>
        <v/>
      </c>
      <c r="DV407" s="58" t="str">
        <f>IF(ISNUMBER(MATCH(#REF!,'Audit Characteristic Mapping'!$F$3:$F$500,0)),"Y","")</f>
        <v/>
      </c>
      <c r="DW407" s="58" t="str">
        <f>IF(ISNUMBER(MATCH(#REF!,'Audit Characteristic Mapping'!$G$3:$G$500,0)),"Y","")</f>
        <v/>
      </c>
      <c r="DX407" s="58" t="str">
        <f>IF(ISNUMBER(MATCH(#REF!,'Audit Characteristic Mapping'!$H$3:$H$500,0)),"Y","")</f>
        <v/>
      </c>
      <c r="DY407" s="58" t="str">
        <f>IF(ISNUMBER(MATCH(#REF!,'Audit Characteristic Mapping'!$I$3:$I$500,0)),"Y","")</f>
        <v/>
      </c>
      <c r="DZ407" s="58" t="str">
        <f>IF(ISNUMBER(MATCH(#REF!,'Audit Characteristic Mapping'!$J$3:$J$500,0)),"Y","")</f>
        <v/>
      </c>
      <c r="EA407" s="58" t="str">
        <f>IF(ISNUMBER(MATCH(#REF!,'Audit Characteristic Mapping'!$K$3:$K$500,0)),"Y","")</f>
        <v/>
      </c>
    </row>
    <row r="408" spans="1:131" ht="33" hidden="1" thickBot="1" x14ac:dyDescent="0.25">
      <c r="A408" s="288">
        <v>401</v>
      </c>
      <c r="B408" s="287" t="s">
        <v>551</v>
      </c>
      <c r="C408" s="226" t="s">
        <v>552</v>
      </c>
      <c r="D408" s="170">
        <v>12</v>
      </c>
      <c r="E408" s="288">
        <v>83</v>
      </c>
      <c r="F408" s="291" t="str">
        <f>VLOOKUP(Calculation!A408,'Descriptor maps'!$A$2:$F$1658,2,0)</f>
        <v>Environmental requirements</v>
      </c>
      <c r="G408" s="296"/>
      <c r="H408" s="290"/>
      <c r="I408" s="291"/>
      <c r="J408" s="292" t="e" cm="1">
        <f t="array" ref="J408">INDEX('Descriptor maps'!$I$2:$I$1658,MATCH(1,('Descriptor maps'!$A$2:$A$1658=Calculation!$A408)*('Descriptor maps'!$G$2:$G$1658=Calculation!$G408),0))</f>
        <v>#N/A</v>
      </c>
      <c r="K408" s="226"/>
      <c r="L408" s="293"/>
      <c r="M408" s="293"/>
      <c r="N408" s="293"/>
      <c r="O408" s="293"/>
      <c r="P408" s="293"/>
      <c r="Q408" s="293"/>
      <c r="R408" s="293"/>
      <c r="S408" s="293"/>
      <c r="T408" s="293"/>
      <c r="U408" s="293"/>
      <c r="V408" s="293"/>
      <c r="W408" s="293"/>
      <c r="X408" s="293"/>
      <c r="Y408" s="293"/>
      <c r="Z408" s="293"/>
      <c r="AA408" s="293"/>
      <c r="AB408" s="293"/>
      <c r="AC408" s="293"/>
      <c r="AD408" s="293"/>
      <c r="AE408" s="293"/>
      <c r="AF408" s="293"/>
      <c r="AG408" s="293"/>
      <c r="AH408" s="293"/>
      <c r="AI408" s="293"/>
      <c r="AJ408" s="293"/>
      <c r="AK408" s="293"/>
      <c r="AL408" s="293"/>
      <c r="AM408" s="293"/>
      <c r="AN408" s="293"/>
      <c r="AO408" s="293"/>
      <c r="AP408" s="293"/>
      <c r="AQ408" s="293"/>
      <c r="AR408" s="293"/>
      <c r="AS408" s="293"/>
      <c r="AT408" s="293"/>
      <c r="AU408" s="293"/>
      <c r="AV408" s="293"/>
      <c r="AW408" s="293"/>
      <c r="AX408" s="293"/>
      <c r="AY408" s="293"/>
      <c r="AZ408" s="293"/>
      <c r="BA408" s="293"/>
      <c r="BB408" s="293"/>
      <c r="BC408" s="293"/>
      <c r="BD408" s="293"/>
      <c r="BE408" s="293"/>
      <c r="BF408" s="293"/>
      <c r="BG408" s="293"/>
      <c r="BH408" s="293"/>
      <c r="BI408" s="293"/>
      <c r="BJ408" s="293"/>
      <c r="BK408" s="293"/>
      <c r="BL408" s="293"/>
      <c r="BM408" s="293"/>
      <c r="BN408" s="293"/>
      <c r="BO408" s="293"/>
      <c r="BP408" s="293"/>
      <c r="BQ408" s="293"/>
      <c r="BR408" s="293"/>
      <c r="BS408" s="293"/>
      <c r="BT408" s="293"/>
      <c r="BU408" s="293"/>
      <c r="BV408" s="293"/>
      <c r="BW408" s="293"/>
      <c r="BX408" s="293"/>
      <c r="BY408" s="293"/>
      <c r="BZ408" s="293"/>
      <c r="CA408" s="285"/>
      <c r="CB408" s="286"/>
      <c r="CC408" s="286"/>
      <c r="CD408" s="286"/>
      <c r="CE408" s="286"/>
      <c r="CF408" s="286"/>
      <c r="CG408" s="286"/>
      <c r="CH408" s="286"/>
      <c r="CI408" s="286"/>
      <c r="CJ408" s="286"/>
      <c r="CK408" s="286"/>
      <c r="CL408" s="286"/>
      <c r="CM408" s="286"/>
      <c r="CN408" s="286"/>
      <c r="CO408" s="286"/>
      <c r="CP408" s="286"/>
      <c r="CQ408" s="286"/>
      <c r="CR408" s="286"/>
      <c r="CS408" s="286"/>
      <c r="CT408" s="286"/>
      <c r="CU408" s="286"/>
      <c r="CV408" s="286"/>
      <c r="CW408" s="286"/>
      <c r="CX408" s="286"/>
      <c r="CY408" s="286"/>
      <c r="CZ408" s="286"/>
      <c r="DA408" s="286"/>
      <c r="DB408" s="286"/>
      <c r="DC408" s="286"/>
      <c r="DD408" s="286"/>
      <c r="DE408" s="286"/>
      <c r="DF408" s="286"/>
      <c r="DG408" s="286"/>
      <c r="DH408" s="286"/>
      <c r="DI408" s="286"/>
      <c r="DJ408" s="286"/>
      <c r="DK408" s="286"/>
      <c r="DL408" s="286"/>
      <c r="DM408" s="286"/>
      <c r="DN408" s="286"/>
      <c r="DO408" s="286"/>
      <c r="DP408" s="286"/>
      <c r="DR408" s="58" t="str">
        <f>IF(ISNUMBER(MATCH(#REF!,'Audit Characteristic Mapping'!$B$3:$B$500,0)),"Y","")</f>
        <v/>
      </c>
      <c r="DS408" s="58" t="str">
        <f>IF(ISNUMBER(MATCH(#REF!,'Audit Characteristic Mapping'!$C$3:$C$500,0)),"Y","")</f>
        <v/>
      </c>
      <c r="DT408" s="58" t="str">
        <f>IF(ISNUMBER(MATCH(#REF!,'Audit Characteristic Mapping'!$D$3:$D$500,0)),"Y","")</f>
        <v/>
      </c>
      <c r="DU408" s="58" t="str">
        <f>IF(ISNUMBER(MATCH(#REF!,'Audit Characteristic Mapping'!$E$3:$E$500,0)),"Y","")</f>
        <v/>
      </c>
      <c r="DV408" s="58" t="str">
        <f>IF(ISNUMBER(MATCH(#REF!,'Audit Characteristic Mapping'!$F$3:$F$500,0)),"Y","")</f>
        <v/>
      </c>
      <c r="DW408" s="58" t="str">
        <f>IF(ISNUMBER(MATCH(#REF!,'Audit Characteristic Mapping'!$G$3:$G$500,0)),"Y","")</f>
        <v/>
      </c>
      <c r="DX408" s="58" t="str">
        <f>IF(ISNUMBER(MATCH(#REF!,'Audit Characteristic Mapping'!$H$3:$H$500,0)),"Y","")</f>
        <v/>
      </c>
      <c r="DY408" s="58" t="str">
        <f>IF(ISNUMBER(MATCH(#REF!,'Audit Characteristic Mapping'!$I$3:$I$500,0)),"Y","")</f>
        <v/>
      </c>
      <c r="DZ408" s="58" t="str">
        <f>IF(ISNUMBER(MATCH(#REF!,'Audit Characteristic Mapping'!$J$3:$J$500,0)),"Y","")</f>
        <v/>
      </c>
      <c r="EA408" s="58" t="str">
        <f>IF(ISNUMBER(MATCH(#REF!,'Audit Characteristic Mapping'!$K$3:$K$500,0)),"Y","")</f>
        <v/>
      </c>
    </row>
    <row r="409" spans="1:131" ht="33" hidden="1" thickBot="1" x14ac:dyDescent="0.25">
      <c r="A409" s="288">
        <v>402</v>
      </c>
      <c r="B409" s="287" t="s">
        <v>551</v>
      </c>
      <c r="C409" s="226" t="s">
        <v>552</v>
      </c>
      <c r="D409" s="170">
        <v>12</v>
      </c>
      <c r="E409" s="288">
        <v>83</v>
      </c>
      <c r="F409" s="291" t="str">
        <f>VLOOKUP(Calculation!A409,'Descriptor maps'!$A$2:$F$1658,2,0)</f>
        <v>Environmental requirements</v>
      </c>
      <c r="G409" s="296"/>
      <c r="H409" s="290"/>
      <c r="I409" s="291"/>
      <c r="J409" s="292" t="e" cm="1">
        <f t="array" ref="J409">INDEX('Descriptor maps'!$I$2:$I$1658,MATCH(1,('Descriptor maps'!$A$2:$A$1658=Calculation!$A409)*('Descriptor maps'!$G$2:$G$1658=Calculation!$G409),0))</f>
        <v>#N/A</v>
      </c>
      <c r="K409" s="226"/>
      <c r="L409" s="293"/>
      <c r="M409" s="293"/>
      <c r="N409" s="293"/>
      <c r="O409" s="293"/>
      <c r="P409" s="293"/>
      <c r="Q409" s="293"/>
      <c r="R409" s="293"/>
      <c r="S409" s="293"/>
      <c r="T409" s="293"/>
      <c r="U409" s="293"/>
      <c r="V409" s="293"/>
      <c r="W409" s="293"/>
      <c r="X409" s="293"/>
      <c r="Y409" s="293"/>
      <c r="Z409" s="293"/>
      <c r="AA409" s="293"/>
      <c r="AB409" s="293"/>
      <c r="AC409" s="293"/>
      <c r="AD409" s="293"/>
      <c r="AE409" s="293"/>
      <c r="AF409" s="293"/>
      <c r="AG409" s="293"/>
      <c r="AH409" s="293"/>
      <c r="AI409" s="293"/>
      <c r="AJ409" s="293"/>
      <c r="AK409" s="293"/>
      <c r="AL409" s="293"/>
      <c r="AM409" s="293"/>
      <c r="AN409" s="293"/>
      <c r="AO409" s="293"/>
      <c r="AP409" s="293"/>
      <c r="AQ409" s="293"/>
      <c r="AR409" s="293"/>
      <c r="AS409" s="293"/>
      <c r="AT409" s="293"/>
      <c r="AU409" s="293"/>
      <c r="AV409" s="293"/>
      <c r="AW409" s="293"/>
      <c r="AX409" s="293"/>
      <c r="AY409" s="293"/>
      <c r="AZ409" s="293"/>
      <c r="BA409" s="293"/>
      <c r="BB409" s="293"/>
      <c r="BC409" s="293"/>
      <c r="BD409" s="293"/>
      <c r="BE409" s="293"/>
      <c r="BF409" s="293"/>
      <c r="BG409" s="293"/>
      <c r="BH409" s="293"/>
      <c r="BI409" s="293"/>
      <c r="BJ409" s="293"/>
      <c r="BK409" s="293"/>
      <c r="BL409" s="293"/>
      <c r="BM409" s="293"/>
      <c r="BN409" s="293"/>
      <c r="BO409" s="293"/>
      <c r="BP409" s="293"/>
      <c r="BQ409" s="293"/>
      <c r="BR409" s="293"/>
      <c r="BS409" s="293"/>
      <c r="BT409" s="293"/>
      <c r="BU409" s="293"/>
      <c r="BV409" s="293"/>
      <c r="BW409" s="293"/>
      <c r="BX409" s="293"/>
      <c r="BY409" s="293"/>
      <c r="BZ409" s="293"/>
      <c r="CA409" s="285"/>
      <c r="CB409" s="286"/>
      <c r="CC409" s="286"/>
      <c r="CD409" s="286"/>
      <c r="CE409" s="286"/>
      <c r="CF409" s="286"/>
      <c r="CG409" s="286"/>
      <c r="CH409" s="286"/>
      <c r="CI409" s="286"/>
      <c r="CJ409" s="286"/>
      <c r="CK409" s="286"/>
      <c r="CL409" s="286"/>
      <c r="CM409" s="286"/>
      <c r="CN409" s="286"/>
      <c r="CO409" s="286"/>
      <c r="CP409" s="286"/>
      <c r="CQ409" s="286"/>
      <c r="CR409" s="286"/>
      <c r="CS409" s="286"/>
      <c r="CT409" s="286"/>
      <c r="CU409" s="286"/>
      <c r="CV409" s="286"/>
      <c r="CW409" s="286"/>
      <c r="CX409" s="286"/>
      <c r="CY409" s="286"/>
      <c r="CZ409" s="286"/>
      <c r="DA409" s="286"/>
      <c r="DB409" s="286"/>
      <c r="DC409" s="286"/>
      <c r="DD409" s="286"/>
      <c r="DE409" s="286"/>
      <c r="DF409" s="286"/>
      <c r="DG409" s="286"/>
      <c r="DH409" s="286"/>
      <c r="DI409" s="286"/>
      <c r="DJ409" s="286"/>
      <c r="DK409" s="286"/>
      <c r="DL409" s="286"/>
      <c r="DM409" s="286"/>
      <c r="DN409" s="286"/>
      <c r="DO409" s="286"/>
      <c r="DP409" s="286"/>
      <c r="DR409" s="58" t="str">
        <f>IF(ISNUMBER(MATCH(#REF!,'Audit Characteristic Mapping'!$B$3:$B$500,0)),"Y","")</f>
        <v/>
      </c>
      <c r="DS409" s="58" t="str">
        <f>IF(ISNUMBER(MATCH(#REF!,'Audit Characteristic Mapping'!$C$3:$C$500,0)),"Y","")</f>
        <v/>
      </c>
      <c r="DT409" s="58" t="str">
        <f>IF(ISNUMBER(MATCH(#REF!,'Audit Characteristic Mapping'!$D$3:$D$500,0)),"Y","")</f>
        <v/>
      </c>
      <c r="DU409" s="58" t="str">
        <f>IF(ISNUMBER(MATCH(#REF!,'Audit Characteristic Mapping'!$E$3:$E$500,0)),"Y","")</f>
        <v/>
      </c>
      <c r="DV409" s="58" t="str">
        <f>IF(ISNUMBER(MATCH(#REF!,'Audit Characteristic Mapping'!$F$3:$F$500,0)),"Y","")</f>
        <v/>
      </c>
      <c r="DW409" s="58" t="str">
        <f>IF(ISNUMBER(MATCH(#REF!,'Audit Characteristic Mapping'!$G$3:$G$500,0)),"Y","")</f>
        <v/>
      </c>
      <c r="DX409" s="58" t="str">
        <f>IF(ISNUMBER(MATCH(#REF!,'Audit Characteristic Mapping'!$H$3:$H$500,0)),"Y","")</f>
        <v/>
      </c>
      <c r="DY409" s="58" t="str">
        <f>IF(ISNUMBER(MATCH(#REF!,'Audit Characteristic Mapping'!$I$3:$I$500,0)),"Y","")</f>
        <v/>
      </c>
      <c r="DZ409" s="58" t="str">
        <f>IF(ISNUMBER(MATCH(#REF!,'Audit Characteristic Mapping'!$J$3:$J$500,0)),"Y","")</f>
        <v/>
      </c>
      <c r="EA409" s="58" t="str">
        <f>IF(ISNUMBER(MATCH(#REF!,'Audit Characteristic Mapping'!$K$3:$K$500,0)),"Y","")</f>
        <v/>
      </c>
    </row>
    <row r="410" spans="1:131" ht="33" hidden="1" thickBot="1" x14ac:dyDescent="0.25">
      <c r="A410" s="288">
        <v>403</v>
      </c>
      <c r="B410" s="287" t="s">
        <v>551</v>
      </c>
      <c r="C410" s="226" t="s">
        <v>556</v>
      </c>
      <c r="D410" s="170">
        <v>12</v>
      </c>
      <c r="E410" s="288">
        <v>84</v>
      </c>
      <c r="F410" s="291" t="str">
        <f>VLOOKUP(Calculation!A410,'Descriptor maps'!$A$2:$F$1658,2,0)</f>
        <v>Environmental requirements</v>
      </c>
      <c r="G410" s="296"/>
      <c r="H410" s="290"/>
      <c r="I410" s="291"/>
      <c r="J410" s="292" t="e" cm="1">
        <f t="array" ref="J410">INDEX('Descriptor maps'!$I$2:$I$1658,MATCH(1,('Descriptor maps'!$A$2:$A$1658=Calculation!$A410)*('Descriptor maps'!$G$2:$G$1658=Calculation!$G410),0))</f>
        <v>#N/A</v>
      </c>
      <c r="K410" s="226"/>
      <c r="L410" s="293"/>
      <c r="M410" s="293"/>
      <c r="N410" s="293"/>
      <c r="O410" s="293"/>
      <c r="P410" s="293"/>
      <c r="Q410" s="293"/>
      <c r="R410" s="293"/>
      <c r="S410" s="293"/>
      <c r="T410" s="293"/>
      <c r="U410" s="293"/>
      <c r="V410" s="293"/>
      <c r="W410" s="293"/>
      <c r="X410" s="293"/>
      <c r="Y410" s="293"/>
      <c r="Z410" s="293"/>
      <c r="AA410" s="293"/>
      <c r="AB410" s="293"/>
      <c r="AC410" s="293"/>
      <c r="AD410" s="293"/>
      <c r="AE410" s="293"/>
      <c r="AF410" s="293"/>
      <c r="AG410" s="293"/>
      <c r="AH410" s="293"/>
      <c r="AI410" s="293"/>
      <c r="AJ410" s="293"/>
      <c r="AK410" s="293"/>
      <c r="AL410" s="293"/>
      <c r="AM410" s="293"/>
      <c r="AN410" s="293"/>
      <c r="AO410" s="293"/>
      <c r="AP410" s="293"/>
      <c r="AQ410" s="293"/>
      <c r="AR410" s="293"/>
      <c r="AS410" s="293"/>
      <c r="AT410" s="293"/>
      <c r="AU410" s="293"/>
      <c r="AV410" s="293"/>
      <c r="AW410" s="293"/>
      <c r="AX410" s="293"/>
      <c r="AY410" s="293"/>
      <c r="AZ410" s="293"/>
      <c r="BA410" s="293"/>
      <c r="BB410" s="293"/>
      <c r="BC410" s="293"/>
      <c r="BD410" s="293"/>
      <c r="BE410" s="293"/>
      <c r="BF410" s="293"/>
      <c r="BG410" s="293"/>
      <c r="BH410" s="293"/>
      <c r="BI410" s="293"/>
      <c r="BJ410" s="293"/>
      <c r="BK410" s="293"/>
      <c r="BL410" s="293"/>
      <c r="BM410" s="293"/>
      <c r="BN410" s="293"/>
      <c r="BO410" s="293"/>
      <c r="BP410" s="293"/>
      <c r="BQ410" s="293"/>
      <c r="BR410" s="293"/>
      <c r="BS410" s="293"/>
      <c r="BT410" s="293"/>
      <c r="BU410" s="293"/>
      <c r="BV410" s="293"/>
      <c r="BW410" s="293"/>
      <c r="BX410" s="293"/>
      <c r="BY410" s="293"/>
      <c r="BZ410" s="293"/>
      <c r="CA410" s="285"/>
      <c r="CB410" s="286"/>
      <c r="CC410" s="286"/>
      <c r="CD410" s="286"/>
      <c r="CE410" s="286"/>
      <c r="CF410" s="286"/>
      <c r="CG410" s="286"/>
      <c r="CH410" s="286"/>
      <c r="CI410" s="286"/>
      <c r="CJ410" s="286"/>
      <c r="CK410" s="286"/>
      <c r="CL410" s="286"/>
      <c r="CM410" s="286"/>
      <c r="CN410" s="286"/>
      <c r="CO410" s="286"/>
      <c r="CP410" s="286"/>
      <c r="CQ410" s="286"/>
      <c r="CR410" s="286"/>
      <c r="CS410" s="286"/>
      <c r="CT410" s="286"/>
      <c r="CU410" s="286"/>
      <c r="CV410" s="286"/>
      <c r="CW410" s="286"/>
      <c r="CX410" s="286"/>
      <c r="CY410" s="286"/>
      <c r="CZ410" s="286"/>
      <c r="DA410" s="286"/>
      <c r="DB410" s="286"/>
      <c r="DC410" s="286"/>
      <c r="DD410" s="286"/>
      <c r="DE410" s="286"/>
      <c r="DF410" s="286"/>
      <c r="DG410" s="286"/>
      <c r="DH410" s="286"/>
      <c r="DI410" s="286"/>
      <c r="DJ410" s="286"/>
      <c r="DK410" s="286"/>
      <c r="DL410" s="286"/>
      <c r="DM410" s="286"/>
      <c r="DN410" s="286"/>
      <c r="DO410" s="286"/>
      <c r="DP410" s="286"/>
      <c r="DR410" s="58" t="str">
        <f>IF(ISNUMBER(MATCH(#REF!,'Audit Characteristic Mapping'!$B$3:$B$500,0)),"Y","")</f>
        <v/>
      </c>
      <c r="DS410" s="58" t="str">
        <f>IF(ISNUMBER(MATCH(#REF!,'Audit Characteristic Mapping'!$C$3:$C$500,0)),"Y","")</f>
        <v/>
      </c>
      <c r="DT410" s="58" t="str">
        <f>IF(ISNUMBER(MATCH(#REF!,'Audit Characteristic Mapping'!$D$3:$D$500,0)),"Y","")</f>
        <v/>
      </c>
      <c r="DU410" s="58" t="str">
        <f>IF(ISNUMBER(MATCH(#REF!,'Audit Characteristic Mapping'!$E$3:$E$500,0)),"Y","")</f>
        <v/>
      </c>
      <c r="DV410" s="58" t="str">
        <f>IF(ISNUMBER(MATCH(#REF!,'Audit Characteristic Mapping'!$F$3:$F$500,0)),"Y","")</f>
        <v/>
      </c>
      <c r="DW410" s="58" t="str">
        <f>IF(ISNUMBER(MATCH(#REF!,'Audit Characteristic Mapping'!$G$3:$G$500,0)),"Y","")</f>
        <v/>
      </c>
      <c r="DX410" s="58" t="str">
        <f>IF(ISNUMBER(MATCH(#REF!,'Audit Characteristic Mapping'!$H$3:$H$500,0)),"Y","")</f>
        <v/>
      </c>
      <c r="DY410" s="58" t="str">
        <f>IF(ISNUMBER(MATCH(#REF!,'Audit Characteristic Mapping'!$I$3:$I$500,0)),"Y","")</f>
        <v/>
      </c>
      <c r="DZ410" s="58" t="str">
        <f>IF(ISNUMBER(MATCH(#REF!,'Audit Characteristic Mapping'!$J$3:$J$500,0)),"Y","")</f>
        <v/>
      </c>
      <c r="EA410" s="58" t="str">
        <f>IF(ISNUMBER(MATCH(#REF!,'Audit Characteristic Mapping'!$K$3:$K$500,0)),"Y","")</f>
        <v/>
      </c>
    </row>
    <row r="411" spans="1:131" ht="33" hidden="1" thickBot="1" x14ac:dyDescent="0.25">
      <c r="A411" s="288">
        <v>404</v>
      </c>
      <c r="B411" s="287" t="s">
        <v>551</v>
      </c>
      <c r="C411" s="226" t="s">
        <v>556</v>
      </c>
      <c r="D411" s="170">
        <v>12</v>
      </c>
      <c r="E411" s="288">
        <v>84</v>
      </c>
      <c r="F411" s="291" t="str">
        <f>VLOOKUP(Calculation!A411,'Descriptor maps'!$A$2:$F$1658,2,0)</f>
        <v>Environmental requirements</v>
      </c>
      <c r="G411" s="296"/>
      <c r="H411" s="290"/>
      <c r="I411" s="291"/>
      <c r="J411" s="292" t="e" cm="1">
        <f t="array" ref="J411">INDEX('Descriptor maps'!$I$2:$I$1658,MATCH(1,('Descriptor maps'!$A$2:$A$1658=Calculation!$A411)*('Descriptor maps'!$G$2:$G$1658=Calculation!$G411),0))</f>
        <v>#N/A</v>
      </c>
      <c r="K411" s="226"/>
      <c r="L411" s="293"/>
      <c r="M411" s="293"/>
      <c r="N411" s="293"/>
      <c r="O411" s="293"/>
      <c r="P411" s="293"/>
      <c r="Q411" s="293"/>
      <c r="R411" s="293"/>
      <c r="S411" s="293"/>
      <c r="T411" s="293"/>
      <c r="U411" s="293"/>
      <c r="V411" s="293"/>
      <c r="W411" s="293"/>
      <c r="X411" s="293"/>
      <c r="Y411" s="293"/>
      <c r="Z411" s="293"/>
      <c r="AA411" s="293"/>
      <c r="AB411" s="293"/>
      <c r="AC411" s="293"/>
      <c r="AD411" s="293"/>
      <c r="AE411" s="293"/>
      <c r="AF411" s="293"/>
      <c r="AG411" s="293"/>
      <c r="AH411" s="293"/>
      <c r="AI411" s="293"/>
      <c r="AJ411" s="293"/>
      <c r="AK411" s="293"/>
      <c r="AL411" s="293"/>
      <c r="AM411" s="293"/>
      <c r="AN411" s="293"/>
      <c r="AO411" s="293"/>
      <c r="AP411" s="293"/>
      <c r="AQ411" s="293"/>
      <c r="AR411" s="293"/>
      <c r="AS411" s="293"/>
      <c r="AT411" s="293"/>
      <c r="AU411" s="293"/>
      <c r="AV411" s="293"/>
      <c r="AW411" s="293"/>
      <c r="AX411" s="293"/>
      <c r="AY411" s="293"/>
      <c r="AZ411" s="293"/>
      <c r="BA411" s="293"/>
      <c r="BB411" s="293"/>
      <c r="BC411" s="293"/>
      <c r="BD411" s="293"/>
      <c r="BE411" s="293"/>
      <c r="BF411" s="293"/>
      <c r="BG411" s="293"/>
      <c r="BH411" s="293"/>
      <c r="BI411" s="293"/>
      <c r="BJ411" s="293"/>
      <c r="BK411" s="293"/>
      <c r="BL411" s="293"/>
      <c r="BM411" s="293"/>
      <c r="BN411" s="293"/>
      <c r="BO411" s="293"/>
      <c r="BP411" s="293"/>
      <c r="BQ411" s="293"/>
      <c r="BR411" s="293"/>
      <c r="BS411" s="293"/>
      <c r="BT411" s="293"/>
      <c r="BU411" s="293"/>
      <c r="BV411" s="293"/>
      <c r="BW411" s="293"/>
      <c r="BX411" s="293"/>
      <c r="BY411" s="293"/>
      <c r="BZ411" s="293"/>
      <c r="CA411" s="285"/>
      <c r="CB411" s="286"/>
      <c r="CC411" s="286"/>
      <c r="CD411" s="286"/>
      <c r="CE411" s="286"/>
      <c r="CF411" s="286"/>
      <c r="CG411" s="286"/>
      <c r="CH411" s="286"/>
      <c r="CI411" s="286"/>
      <c r="CJ411" s="286"/>
      <c r="CK411" s="286"/>
      <c r="CL411" s="286"/>
      <c r="CM411" s="286"/>
      <c r="CN411" s="286"/>
      <c r="CO411" s="286"/>
      <c r="CP411" s="286"/>
      <c r="CQ411" s="286"/>
      <c r="CR411" s="286"/>
      <c r="CS411" s="286"/>
      <c r="CT411" s="286"/>
      <c r="CU411" s="286"/>
      <c r="CV411" s="286"/>
      <c r="CW411" s="286"/>
      <c r="CX411" s="286"/>
      <c r="CY411" s="286"/>
      <c r="CZ411" s="286"/>
      <c r="DA411" s="286"/>
      <c r="DB411" s="286"/>
      <c r="DC411" s="286"/>
      <c r="DD411" s="286"/>
      <c r="DE411" s="286"/>
      <c r="DF411" s="286"/>
      <c r="DG411" s="286"/>
      <c r="DH411" s="286"/>
      <c r="DI411" s="286"/>
      <c r="DJ411" s="286"/>
      <c r="DK411" s="286"/>
      <c r="DL411" s="286"/>
      <c r="DM411" s="286"/>
      <c r="DN411" s="286"/>
      <c r="DO411" s="286"/>
      <c r="DP411" s="286"/>
      <c r="DR411" s="58" t="str">
        <f>IF(ISNUMBER(MATCH(#REF!,'Audit Characteristic Mapping'!$B$3:$B$500,0)),"Y","")</f>
        <v/>
      </c>
      <c r="DS411" s="58" t="str">
        <f>IF(ISNUMBER(MATCH(#REF!,'Audit Characteristic Mapping'!$C$3:$C$500,0)),"Y","")</f>
        <v/>
      </c>
      <c r="DT411" s="58" t="str">
        <f>IF(ISNUMBER(MATCH(#REF!,'Audit Characteristic Mapping'!$D$3:$D$500,0)),"Y","")</f>
        <v/>
      </c>
      <c r="DU411" s="58" t="str">
        <f>IF(ISNUMBER(MATCH(#REF!,'Audit Characteristic Mapping'!$E$3:$E$500,0)),"Y","")</f>
        <v/>
      </c>
      <c r="DV411" s="58" t="str">
        <f>IF(ISNUMBER(MATCH(#REF!,'Audit Characteristic Mapping'!$F$3:$F$500,0)),"Y","")</f>
        <v/>
      </c>
      <c r="DW411" s="58" t="str">
        <f>IF(ISNUMBER(MATCH(#REF!,'Audit Characteristic Mapping'!$G$3:$G$500,0)),"Y","")</f>
        <v/>
      </c>
      <c r="DX411" s="58" t="str">
        <f>IF(ISNUMBER(MATCH(#REF!,'Audit Characteristic Mapping'!$H$3:$H$500,0)),"Y","")</f>
        <v/>
      </c>
      <c r="DY411" s="58" t="str">
        <f>IF(ISNUMBER(MATCH(#REF!,'Audit Characteristic Mapping'!$I$3:$I$500,0)),"Y","")</f>
        <v/>
      </c>
      <c r="DZ411" s="58" t="str">
        <f>IF(ISNUMBER(MATCH(#REF!,'Audit Characteristic Mapping'!$J$3:$J$500,0)),"Y","")</f>
        <v/>
      </c>
      <c r="EA411" s="58" t="str">
        <f>IF(ISNUMBER(MATCH(#REF!,'Audit Characteristic Mapping'!$K$3:$K$500,0)),"Y","")</f>
        <v/>
      </c>
    </row>
    <row r="412" spans="1:131" ht="33" hidden="1" thickBot="1" x14ac:dyDescent="0.25">
      <c r="A412" s="288">
        <v>405</v>
      </c>
      <c r="B412" s="287" t="s">
        <v>551</v>
      </c>
      <c r="C412" s="226" t="s">
        <v>556</v>
      </c>
      <c r="D412" s="170">
        <v>12</v>
      </c>
      <c r="E412" s="288">
        <v>84</v>
      </c>
      <c r="F412" s="291" t="str">
        <f>VLOOKUP(Calculation!A412,'Descriptor maps'!$A$2:$F$1658,2,0)</f>
        <v>Environmental requirements</v>
      </c>
      <c r="G412" s="296"/>
      <c r="H412" s="290"/>
      <c r="I412" s="291"/>
      <c r="J412" s="292" t="e" cm="1">
        <f t="array" ref="J412">INDEX('Descriptor maps'!$I$2:$I$1658,MATCH(1,('Descriptor maps'!$A$2:$A$1658=Calculation!$A412)*('Descriptor maps'!$G$2:$G$1658=Calculation!$G412),0))</f>
        <v>#N/A</v>
      </c>
      <c r="K412" s="226"/>
      <c r="L412" s="293"/>
      <c r="M412" s="293"/>
      <c r="N412" s="293"/>
      <c r="O412" s="293"/>
      <c r="P412" s="293"/>
      <c r="Q412" s="293"/>
      <c r="R412" s="293"/>
      <c r="S412" s="293"/>
      <c r="T412" s="293"/>
      <c r="U412" s="293"/>
      <c r="V412" s="293"/>
      <c r="W412" s="293"/>
      <c r="X412" s="293"/>
      <c r="Y412" s="293"/>
      <c r="Z412" s="293"/>
      <c r="AA412" s="293"/>
      <c r="AB412" s="293"/>
      <c r="AC412" s="293"/>
      <c r="AD412" s="293"/>
      <c r="AE412" s="293"/>
      <c r="AF412" s="293"/>
      <c r="AG412" s="293"/>
      <c r="AH412" s="293"/>
      <c r="AI412" s="293"/>
      <c r="AJ412" s="293"/>
      <c r="AK412" s="293"/>
      <c r="AL412" s="293"/>
      <c r="AM412" s="293"/>
      <c r="AN412" s="293"/>
      <c r="AO412" s="293"/>
      <c r="AP412" s="293"/>
      <c r="AQ412" s="293"/>
      <c r="AR412" s="293"/>
      <c r="AS412" s="293"/>
      <c r="AT412" s="293"/>
      <c r="AU412" s="293"/>
      <c r="AV412" s="293"/>
      <c r="AW412" s="293"/>
      <c r="AX412" s="293"/>
      <c r="AY412" s="293"/>
      <c r="AZ412" s="293"/>
      <c r="BA412" s="293"/>
      <c r="BB412" s="293"/>
      <c r="BC412" s="293"/>
      <c r="BD412" s="293"/>
      <c r="BE412" s="293"/>
      <c r="BF412" s="293"/>
      <c r="BG412" s="293"/>
      <c r="BH412" s="293"/>
      <c r="BI412" s="293"/>
      <c r="BJ412" s="293"/>
      <c r="BK412" s="293"/>
      <c r="BL412" s="293"/>
      <c r="BM412" s="293"/>
      <c r="BN412" s="293"/>
      <c r="BO412" s="293"/>
      <c r="BP412" s="293"/>
      <c r="BQ412" s="293"/>
      <c r="BR412" s="293"/>
      <c r="BS412" s="293"/>
      <c r="BT412" s="293"/>
      <c r="BU412" s="293"/>
      <c r="BV412" s="293"/>
      <c r="BW412" s="293"/>
      <c r="BX412" s="293"/>
      <c r="BY412" s="293"/>
      <c r="BZ412" s="293"/>
      <c r="CA412" s="285"/>
      <c r="CB412" s="286"/>
      <c r="CC412" s="286"/>
      <c r="CD412" s="286"/>
      <c r="CE412" s="286"/>
      <c r="CF412" s="286"/>
      <c r="CG412" s="286"/>
      <c r="CH412" s="286"/>
      <c r="CI412" s="286"/>
      <c r="CJ412" s="286"/>
      <c r="CK412" s="286"/>
      <c r="CL412" s="286"/>
      <c r="CM412" s="286"/>
      <c r="CN412" s="286"/>
      <c r="CO412" s="286"/>
      <c r="CP412" s="286"/>
      <c r="CQ412" s="286"/>
      <c r="CR412" s="286"/>
      <c r="CS412" s="286"/>
      <c r="CT412" s="286"/>
      <c r="CU412" s="286"/>
      <c r="CV412" s="286"/>
      <c r="CW412" s="286"/>
      <c r="CX412" s="286"/>
      <c r="CY412" s="286"/>
      <c r="CZ412" s="286"/>
      <c r="DA412" s="286"/>
      <c r="DB412" s="286"/>
      <c r="DC412" s="286"/>
      <c r="DD412" s="286"/>
      <c r="DE412" s="286"/>
      <c r="DF412" s="286"/>
      <c r="DG412" s="286"/>
      <c r="DH412" s="286"/>
      <c r="DI412" s="286"/>
      <c r="DJ412" s="286"/>
      <c r="DK412" s="286"/>
      <c r="DL412" s="286"/>
      <c r="DM412" s="286"/>
      <c r="DN412" s="286"/>
      <c r="DO412" s="286"/>
      <c r="DP412" s="286"/>
      <c r="DR412" s="58" t="str">
        <f>IF(ISNUMBER(MATCH(#REF!,'Audit Characteristic Mapping'!$B$3:$B$500,0)),"Y","")</f>
        <v/>
      </c>
      <c r="DS412" s="58" t="str">
        <f>IF(ISNUMBER(MATCH(#REF!,'Audit Characteristic Mapping'!$C$3:$C$500,0)),"Y","")</f>
        <v/>
      </c>
      <c r="DT412" s="58" t="str">
        <f>IF(ISNUMBER(MATCH(#REF!,'Audit Characteristic Mapping'!$D$3:$D$500,0)),"Y","")</f>
        <v/>
      </c>
      <c r="DU412" s="58" t="str">
        <f>IF(ISNUMBER(MATCH(#REF!,'Audit Characteristic Mapping'!$E$3:$E$500,0)),"Y","")</f>
        <v/>
      </c>
      <c r="DV412" s="58" t="str">
        <f>IF(ISNUMBER(MATCH(#REF!,'Audit Characteristic Mapping'!$F$3:$F$500,0)),"Y","")</f>
        <v/>
      </c>
      <c r="DW412" s="58" t="str">
        <f>IF(ISNUMBER(MATCH(#REF!,'Audit Characteristic Mapping'!$G$3:$G$500,0)),"Y","")</f>
        <v/>
      </c>
      <c r="DX412" s="58" t="str">
        <f>IF(ISNUMBER(MATCH(#REF!,'Audit Characteristic Mapping'!$H$3:$H$500,0)),"Y","")</f>
        <v/>
      </c>
      <c r="DY412" s="58" t="str">
        <f>IF(ISNUMBER(MATCH(#REF!,'Audit Characteristic Mapping'!$I$3:$I$500,0)),"Y","")</f>
        <v/>
      </c>
      <c r="DZ412" s="58" t="str">
        <f>IF(ISNUMBER(MATCH(#REF!,'Audit Characteristic Mapping'!$J$3:$J$500,0)),"Y","")</f>
        <v/>
      </c>
      <c r="EA412" s="58" t="str">
        <f>IF(ISNUMBER(MATCH(#REF!,'Audit Characteristic Mapping'!$K$3:$K$500,0)),"Y","")</f>
        <v/>
      </c>
    </row>
    <row r="413" spans="1:131" ht="33" hidden="1" thickBot="1" x14ac:dyDescent="0.25">
      <c r="A413" s="288">
        <v>406</v>
      </c>
      <c r="B413" s="287" t="s">
        <v>551</v>
      </c>
      <c r="C413" s="226" t="s">
        <v>556</v>
      </c>
      <c r="D413" s="170">
        <v>12</v>
      </c>
      <c r="E413" s="288">
        <v>84</v>
      </c>
      <c r="F413" s="291" t="str">
        <f>VLOOKUP(Calculation!A413,'Descriptor maps'!$A$2:$F$1658,2,0)</f>
        <v>Environmental requirements</v>
      </c>
      <c r="G413" s="296"/>
      <c r="H413" s="290"/>
      <c r="I413" s="291"/>
      <c r="J413" s="292" t="e" cm="1">
        <f t="array" ref="J413">INDEX('Descriptor maps'!$I$2:$I$1658,MATCH(1,('Descriptor maps'!$A$2:$A$1658=Calculation!$A413)*('Descriptor maps'!$G$2:$G$1658=Calculation!$G413),0))</f>
        <v>#N/A</v>
      </c>
      <c r="K413" s="226"/>
      <c r="L413" s="293"/>
      <c r="M413" s="293"/>
      <c r="N413" s="293"/>
      <c r="O413" s="293"/>
      <c r="P413" s="293"/>
      <c r="Q413" s="293"/>
      <c r="R413" s="293"/>
      <c r="S413" s="293"/>
      <c r="T413" s="293"/>
      <c r="U413" s="293"/>
      <c r="V413" s="293"/>
      <c r="W413" s="293"/>
      <c r="X413" s="293"/>
      <c r="Y413" s="293"/>
      <c r="Z413" s="293"/>
      <c r="AA413" s="293"/>
      <c r="AB413" s="293"/>
      <c r="AC413" s="293"/>
      <c r="AD413" s="293"/>
      <c r="AE413" s="293"/>
      <c r="AF413" s="293"/>
      <c r="AG413" s="293"/>
      <c r="AH413" s="293"/>
      <c r="AI413" s="293"/>
      <c r="AJ413" s="293"/>
      <c r="AK413" s="293"/>
      <c r="AL413" s="293"/>
      <c r="AM413" s="293"/>
      <c r="AN413" s="293"/>
      <c r="AO413" s="293"/>
      <c r="AP413" s="293"/>
      <c r="AQ413" s="293"/>
      <c r="AR413" s="293"/>
      <c r="AS413" s="293"/>
      <c r="AT413" s="293"/>
      <c r="AU413" s="293"/>
      <c r="AV413" s="293"/>
      <c r="AW413" s="293"/>
      <c r="AX413" s="293"/>
      <c r="AY413" s="293"/>
      <c r="AZ413" s="293"/>
      <c r="BA413" s="293"/>
      <c r="BB413" s="293"/>
      <c r="BC413" s="293"/>
      <c r="BD413" s="293"/>
      <c r="BE413" s="293"/>
      <c r="BF413" s="293"/>
      <c r="BG413" s="293"/>
      <c r="BH413" s="293"/>
      <c r="BI413" s="293"/>
      <c r="BJ413" s="293"/>
      <c r="BK413" s="293"/>
      <c r="BL413" s="293"/>
      <c r="BM413" s="293"/>
      <c r="BN413" s="293"/>
      <c r="BO413" s="293"/>
      <c r="BP413" s="293"/>
      <c r="BQ413" s="293"/>
      <c r="BR413" s="293"/>
      <c r="BS413" s="293"/>
      <c r="BT413" s="293"/>
      <c r="BU413" s="293"/>
      <c r="BV413" s="293"/>
      <c r="BW413" s="293"/>
      <c r="BX413" s="293"/>
      <c r="BY413" s="293"/>
      <c r="BZ413" s="293"/>
      <c r="CA413" s="285"/>
      <c r="CB413" s="286"/>
      <c r="CC413" s="286"/>
      <c r="CD413" s="286"/>
      <c r="CE413" s="286"/>
      <c r="CF413" s="286"/>
      <c r="CG413" s="286"/>
      <c r="CH413" s="286"/>
      <c r="CI413" s="286"/>
      <c r="CJ413" s="286"/>
      <c r="CK413" s="286"/>
      <c r="CL413" s="286"/>
      <c r="CM413" s="286"/>
      <c r="CN413" s="286"/>
      <c r="CO413" s="286"/>
      <c r="CP413" s="286"/>
      <c r="CQ413" s="286"/>
      <c r="CR413" s="286"/>
      <c r="CS413" s="286"/>
      <c r="CT413" s="286"/>
      <c r="CU413" s="286"/>
      <c r="CV413" s="286"/>
      <c r="CW413" s="286"/>
      <c r="CX413" s="286"/>
      <c r="CY413" s="286"/>
      <c r="CZ413" s="286"/>
      <c r="DA413" s="286"/>
      <c r="DB413" s="286"/>
      <c r="DC413" s="286"/>
      <c r="DD413" s="286"/>
      <c r="DE413" s="286"/>
      <c r="DF413" s="286"/>
      <c r="DG413" s="286"/>
      <c r="DH413" s="286"/>
      <c r="DI413" s="286"/>
      <c r="DJ413" s="286"/>
      <c r="DK413" s="286"/>
      <c r="DL413" s="286"/>
      <c r="DM413" s="286"/>
      <c r="DN413" s="286"/>
      <c r="DO413" s="286"/>
      <c r="DP413" s="286"/>
      <c r="DR413" s="58" t="str">
        <f>IF(ISNUMBER(MATCH(#REF!,'Audit Characteristic Mapping'!$B$3:$B$500,0)),"Y","")</f>
        <v/>
      </c>
      <c r="DS413" s="58" t="str">
        <f>IF(ISNUMBER(MATCH(#REF!,'Audit Characteristic Mapping'!$C$3:$C$500,0)),"Y","")</f>
        <v/>
      </c>
      <c r="DT413" s="58" t="str">
        <f>IF(ISNUMBER(MATCH(#REF!,'Audit Characteristic Mapping'!$D$3:$D$500,0)),"Y","")</f>
        <v/>
      </c>
      <c r="DU413" s="58" t="str">
        <f>IF(ISNUMBER(MATCH(#REF!,'Audit Characteristic Mapping'!$E$3:$E$500,0)),"Y","")</f>
        <v/>
      </c>
      <c r="DV413" s="58" t="str">
        <f>IF(ISNUMBER(MATCH(#REF!,'Audit Characteristic Mapping'!$F$3:$F$500,0)),"Y","")</f>
        <v/>
      </c>
      <c r="DW413" s="58" t="str">
        <f>IF(ISNUMBER(MATCH(#REF!,'Audit Characteristic Mapping'!$G$3:$G$500,0)),"Y","")</f>
        <v/>
      </c>
      <c r="DX413" s="58" t="str">
        <f>IF(ISNUMBER(MATCH(#REF!,'Audit Characteristic Mapping'!$H$3:$H$500,0)),"Y","")</f>
        <v/>
      </c>
      <c r="DY413" s="58" t="str">
        <f>IF(ISNUMBER(MATCH(#REF!,'Audit Characteristic Mapping'!$I$3:$I$500,0)),"Y","")</f>
        <v/>
      </c>
      <c r="DZ413" s="58" t="str">
        <f>IF(ISNUMBER(MATCH(#REF!,'Audit Characteristic Mapping'!$J$3:$J$500,0)),"Y","")</f>
        <v/>
      </c>
      <c r="EA413" s="58" t="str">
        <f>IF(ISNUMBER(MATCH(#REF!,'Audit Characteristic Mapping'!$K$3:$K$500,0)),"Y","")</f>
        <v/>
      </c>
    </row>
    <row r="414" spans="1:131" ht="33" hidden="1" thickBot="1" x14ac:dyDescent="0.25">
      <c r="A414" s="288">
        <v>407</v>
      </c>
      <c r="B414" s="287" t="s">
        <v>561</v>
      </c>
      <c r="C414" s="226" t="s">
        <v>562</v>
      </c>
      <c r="D414" s="170">
        <v>13</v>
      </c>
      <c r="E414" s="288">
        <v>85</v>
      </c>
      <c r="F414" s="291" t="str">
        <f>VLOOKUP(Calculation!A414,'Descriptor maps'!$A$2:$F$1658,2,0)</f>
        <v>Emergency Planning &amp; Recovery</v>
      </c>
      <c r="G414" s="296"/>
      <c r="H414" s="290"/>
      <c r="I414" s="291"/>
      <c r="J414" s="292" t="e" cm="1">
        <f t="array" ref="J414">INDEX('Descriptor maps'!$I$2:$I$1658,MATCH(1,('Descriptor maps'!$A$2:$A$1658=Calculation!$A414)*('Descriptor maps'!$G$2:$G$1658=Calculation!$G414),0))</f>
        <v>#N/A</v>
      </c>
      <c r="K414" s="226"/>
      <c r="L414" s="293"/>
      <c r="M414" s="293"/>
      <c r="N414" s="293"/>
      <c r="O414" s="293"/>
      <c r="P414" s="293"/>
      <c r="Q414" s="293"/>
      <c r="R414" s="293"/>
      <c r="S414" s="293"/>
      <c r="T414" s="293"/>
      <c r="U414" s="293"/>
      <c r="V414" s="293"/>
      <c r="W414" s="293"/>
      <c r="X414" s="293"/>
      <c r="Y414" s="293"/>
      <c r="Z414" s="293"/>
      <c r="AA414" s="293"/>
      <c r="AB414" s="293"/>
      <c r="AC414" s="293"/>
      <c r="AD414" s="293"/>
      <c r="AE414" s="293"/>
      <c r="AF414" s="293"/>
      <c r="AG414" s="293"/>
      <c r="AH414" s="293"/>
      <c r="AI414" s="293"/>
      <c r="AJ414" s="293"/>
      <c r="AK414" s="293"/>
      <c r="AL414" s="293"/>
      <c r="AM414" s="293"/>
      <c r="AN414" s="293"/>
      <c r="AO414" s="293"/>
      <c r="AP414" s="293"/>
      <c r="AQ414" s="293"/>
      <c r="AR414" s="293"/>
      <c r="AS414" s="293"/>
      <c r="AT414" s="293"/>
      <c r="AU414" s="293"/>
      <c r="AV414" s="293"/>
      <c r="AW414" s="293"/>
      <c r="AX414" s="293"/>
      <c r="AY414" s="293"/>
      <c r="AZ414" s="293"/>
      <c r="BA414" s="293"/>
      <c r="BB414" s="293"/>
      <c r="BC414" s="293"/>
      <c r="BD414" s="293"/>
      <c r="BE414" s="293"/>
      <c r="BF414" s="293"/>
      <c r="BG414" s="293"/>
      <c r="BH414" s="293"/>
      <c r="BI414" s="293"/>
      <c r="BJ414" s="293"/>
      <c r="BK414" s="293"/>
      <c r="BL414" s="293"/>
      <c r="BM414" s="293"/>
      <c r="BN414" s="293"/>
      <c r="BO414" s="293"/>
      <c r="BP414" s="293"/>
      <c r="BQ414" s="293"/>
      <c r="BR414" s="293"/>
      <c r="BS414" s="293"/>
      <c r="BT414" s="293"/>
      <c r="BU414" s="293"/>
      <c r="BV414" s="293"/>
      <c r="BW414" s="293"/>
      <c r="BX414" s="293"/>
      <c r="BY414" s="293"/>
      <c r="BZ414" s="293"/>
      <c r="CA414" s="285"/>
      <c r="CB414" s="286"/>
      <c r="CC414" s="286"/>
      <c r="CD414" s="286"/>
      <c r="CE414" s="286"/>
      <c r="CF414" s="286"/>
      <c r="CG414" s="286"/>
      <c r="CH414" s="286"/>
      <c r="CI414" s="286"/>
      <c r="CJ414" s="286"/>
      <c r="CK414" s="286"/>
      <c r="CL414" s="286"/>
      <c r="CM414" s="286"/>
      <c r="CN414" s="286"/>
      <c r="CO414" s="286"/>
      <c r="CP414" s="286"/>
      <c r="CQ414" s="286"/>
      <c r="CR414" s="286"/>
      <c r="CS414" s="286"/>
      <c r="CT414" s="286"/>
      <c r="CU414" s="286"/>
      <c r="CV414" s="286"/>
      <c r="CW414" s="286"/>
      <c r="CX414" s="286"/>
      <c r="CY414" s="286"/>
      <c r="CZ414" s="286"/>
      <c r="DA414" s="286"/>
      <c r="DB414" s="286"/>
      <c r="DC414" s="286"/>
      <c r="DD414" s="286"/>
      <c r="DE414" s="286"/>
      <c r="DF414" s="286"/>
      <c r="DG414" s="286"/>
      <c r="DH414" s="286"/>
      <c r="DI414" s="286"/>
      <c r="DJ414" s="286"/>
      <c r="DK414" s="286"/>
      <c r="DL414" s="286"/>
      <c r="DM414" s="286"/>
      <c r="DN414" s="286"/>
      <c r="DO414" s="286"/>
      <c r="DP414" s="286"/>
      <c r="DR414" s="58" t="str">
        <f>IF(ISNUMBER(MATCH(#REF!,'Audit Characteristic Mapping'!$B$3:$B$500,0)),"Y","")</f>
        <v/>
      </c>
      <c r="DS414" s="58" t="str">
        <f>IF(ISNUMBER(MATCH(#REF!,'Audit Characteristic Mapping'!$C$3:$C$500,0)),"Y","")</f>
        <v/>
      </c>
      <c r="DT414" s="58" t="str">
        <f>IF(ISNUMBER(MATCH(#REF!,'Audit Characteristic Mapping'!$D$3:$D$500,0)),"Y","")</f>
        <v/>
      </c>
      <c r="DU414" s="58" t="str">
        <f>IF(ISNUMBER(MATCH(#REF!,'Audit Characteristic Mapping'!$E$3:$E$500,0)),"Y","")</f>
        <v/>
      </c>
      <c r="DV414" s="58" t="str">
        <f>IF(ISNUMBER(MATCH(#REF!,'Audit Characteristic Mapping'!$F$3:$F$500,0)),"Y","")</f>
        <v/>
      </c>
      <c r="DW414" s="58" t="str">
        <f>IF(ISNUMBER(MATCH(#REF!,'Audit Characteristic Mapping'!$G$3:$G$500,0)),"Y","")</f>
        <v/>
      </c>
      <c r="DX414" s="58" t="str">
        <f>IF(ISNUMBER(MATCH(#REF!,'Audit Characteristic Mapping'!$H$3:$H$500,0)),"Y","")</f>
        <v/>
      </c>
      <c r="DY414" s="58" t="str">
        <f>IF(ISNUMBER(MATCH(#REF!,'Audit Characteristic Mapping'!$I$3:$I$500,0)),"Y","")</f>
        <v/>
      </c>
      <c r="DZ414" s="58" t="str">
        <f>IF(ISNUMBER(MATCH(#REF!,'Audit Characteristic Mapping'!$J$3:$J$500,0)),"Y","")</f>
        <v/>
      </c>
      <c r="EA414" s="58" t="str">
        <f>IF(ISNUMBER(MATCH(#REF!,'Audit Characteristic Mapping'!$K$3:$K$500,0)),"Y","")</f>
        <v/>
      </c>
    </row>
    <row r="415" spans="1:131" ht="33" hidden="1" thickBot="1" x14ac:dyDescent="0.25">
      <c r="A415" s="288">
        <v>408</v>
      </c>
      <c r="B415" s="287" t="s">
        <v>561</v>
      </c>
      <c r="C415" s="226" t="s">
        <v>562</v>
      </c>
      <c r="D415" s="170">
        <v>13</v>
      </c>
      <c r="E415" s="288">
        <v>85</v>
      </c>
      <c r="F415" s="291" t="str">
        <f>VLOOKUP(Calculation!A415,'Descriptor maps'!$A$2:$F$1658,2,0)</f>
        <v>Emergency Planning &amp; Recovery</v>
      </c>
      <c r="G415" s="296"/>
      <c r="H415" s="290"/>
      <c r="I415" s="291"/>
      <c r="J415" s="292" t="e" cm="1">
        <f t="array" ref="J415">INDEX('Descriptor maps'!$I$2:$I$1658,MATCH(1,('Descriptor maps'!$A$2:$A$1658=Calculation!$A415)*('Descriptor maps'!$G$2:$G$1658=Calculation!$G415),0))</f>
        <v>#N/A</v>
      </c>
      <c r="K415" s="226"/>
      <c r="L415" s="293"/>
      <c r="M415" s="293"/>
      <c r="N415" s="293"/>
      <c r="O415" s="293"/>
      <c r="P415" s="293"/>
      <c r="Q415" s="293"/>
      <c r="R415" s="293"/>
      <c r="S415" s="293"/>
      <c r="T415" s="293"/>
      <c r="U415" s="293"/>
      <c r="V415" s="293"/>
      <c r="W415" s="293"/>
      <c r="X415" s="293"/>
      <c r="Y415" s="293"/>
      <c r="Z415" s="293"/>
      <c r="AA415" s="293"/>
      <c r="AB415" s="293"/>
      <c r="AC415" s="293"/>
      <c r="AD415" s="293"/>
      <c r="AE415" s="293"/>
      <c r="AF415" s="293"/>
      <c r="AG415" s="293"/>
      <c r="AH415" s="293"/>
      <c r="AI415" s="293"/>
      <c r="AJ415" s="293"/>
      <c r="AK415" s="293"/>
      <c r="AL415" s="293"/>
      <c r="AM415" s="293"/>
      <c r="AN415" s="293"/>
      <c r="AO415" s="293"/>
      <c r="AP415" s="293"/>
      <c r="AQ415" s="293"/>
      <c r="AR415" s="293"/>
      <c r="AS415" s="293"/>
      <c r="AT415" s="293"/>
      <c r="AU415" s="293"/>
      <c r="AV415" s="293"/>
      <c r="AW415" s="293"/>
      <c r="AX415" s="293"/>
      <c r="AY415" s="293"/>
      <c r="AZ415" s="293"/>
      <c r="BA415" s="293"/>
      <c r="BB415" s="293"/>
      <c r="BC415" s="293"/>
      <c r="BD415" s="293"/>
      <c r="BE415" s="293"/>
      <c r="BF415" s="293"/>
      <c r="BG415" s="293"/>
      <c r="BH415" s="293"/>
      <c r="BI415" s="293"/>
      <c r="BJ415" s="293"/>
      <c r="BK415" s="293"/>
      <c r="BL415" s="293"/>
      <c r="BM415" s="293"/>
      <c r="BN415" s="293"/>
      <c r="BO415" s="293"/>
      <c r="BP415" s="293"/>
      <c r="BQ415" s="293"/>
      <c r="BR415" s="293"/>
      <c r="BS415" s="293"/>
      <c r="BT415" s="293"/>
      <c r="BU415" s="293"/>
      <c r="BV415" s="293"/>
      <c r="BW415" s="293"/>
      <c r="BX415" s="293"/>
      <c r="BY415" s="293"/>
      <c r="BZ415" s="293"/>
      <c r="CA415" s="285"/>
      <c r="CB415" s="286"/>
      <c r="CC415" s="286"/>
      <c r="CD415" s="286"/>
      <c r="CE415" s="286"/>
      <c r="CF415" s="286"/>
      <c r="CG415" s="286"/>
      <c r="CH415" s="286"/>
      <c r="CI415" s="286"/>
      <c r="CJ415" s="286"/>
      <c r="CK415" s="286"/>
      <c r="CL415" s="286"/>
      <c r="CM415" s="286"/>
      <c r="CN415" s="286"/>
      <c r="CO415" s="286"/>
      <c r="CP415" s="286"/>
      <c r="CQ415" s="286"/>
      <c r="CR415" s="286"/>
      <c r="CS415" s="286"/>
      <c r="CT415" s="286"/>
      <c r="CU415" s="286"/>
      <c r="CV415" s="286"/>
      <c r="CW415" s="286"/>
      <c r="CX415" s="286"/>
      <c r="CY415" s="286"/>
      <c r="CZ415" s="286"/>
      <c r="DA415" s="286"/>
      <c r="DB415" s="286"/>
      <c r="DC415" s="286"/>
      <c r="DD415" s="286"/>
      <c r="DE415" s="286"/>
      <c r="DF415" s="286"/>
      <c r="DG415" s="286"/>
      <c r="DH415" s="286"/>
      <c r="DI415" s="286"/>
      <c r="DJ415" s="286"/>
      <c r="DK415" s="286"/>
      <c r="DL415" s="286"/>
      <c r="DM415" s="286"/>
      <c r="DN415" s="286"/>
      <c r="DO415" s="286"/>
      <c r="DP415" s="286"/>
      <c r="DR415" s="58" t="str">
        <f>IF(ISNUMBER(MATCH(#REF!,'Audit Characteristic Mapping'!$B$3:$B$500,0)),"Y","")</f>
        <v/>
      </c>
      <c r="DS415" s="58" t="str">
        <f>IF(ISNUMBER(MATCH(#REF!,'Audit Characteristic Mapping'!$C$3:$C$500,0)),"Y","")</f>
        <v/>
      </c>
      <c r="DT415" s="58" t="str">
        <f>IF(ISNUMBER(MATCH(#REF!,'Audit Characteristic Mapping'!$D$3:$D$500,0)),"Y","")</f>
        <v/>
      </c>
      <c r="DU415" s="58" t="str">
        <f>IF(ISNUMBER(MATCH(#REF!,'Audit Characteristic Mapping'!$E$3:$E$500,0)),"Y","")</f>
        <v/>
      </c>
      <c r="DV415" s="58" t="str">
        <f>IF(ISNUMBER(MATCH(#REF!,'Audit Characteristic Mapping'!$F$3:$F$500,0)),"Y","")</f>
        <v/>
      </c>
      <c r="DW415" s="58" t="str">
        <f>IF(ISNUMBER(MATCH(#REF!,'Audit Characteristic Mapping'!$G$3:$G$500,0)),"Y","")</f>
        <v/>
      </c>
      <c r="DX415" s="58" t="str">
        <f>IF(ISNUMBER(MATCH(#REF!,'Audit Characteristic Mapping'!$H$3:$H$500,0)),"Y","")</f>
        <v/>
      </c>
      <c r="DY415" s="58" t="str">
        <f>IF(ISNUMBER(MATCH(#REF!,'Audit Characteristic Mapping'!$I$3:$I$500,0)),"Y","")</f>
        <v/>
      </c>
      <c r="DZ415" s="58" t="str">
        <f>IF(ISNUMBER(MATCH(#REF!,'Audit Characteristic Mapping'!$J$3:$J$500,0)),"Y","")</f>
        <v/>
      </c>
      <c r="EA415" s="58" t="str">
        <f>IF(ISNUMBER(MATCH(#REF!,'Audit Characteristic Mapping'!$K$3:$K$500,0)),"Y","")</f>
        <v/>
      </c>
    </row>
    <row r="416" spans="1:131" ht="33" hidden="1" thickBot="1" x14ac:dyDescent="0.25">
      <c r="A416" s="288">
        <v>409</v>
      </c>
      <c r="B416" s="287" t="s">
        <v>561</v>
      </c>
      <c r="C416" s="226" t="s">
        <v>562</v>
      </c>
      <c r="D416" s="170">
        <v>13</v>
      </c>
      <c r="E416" s="288">
        <v>85</v>
      </c>
      <c r="F416" s="291" t="str">
        <f>VLOOKUP(Calculation!A416,'Descriptor maps'!$A$2:$F$1658,2,0)</f>
        <v>Emergency Planning &amp; Recovery</v>
      </c>
      <c r="G416" s="296"/>
      <c r="H416" s="290"/>
      <c r="I416" s="291"/>
      <c r="J416" s="292" t="e" cm="1">
        <f t="array" ref="J416">INDEX('Descriptor maps'!$I$2:$I$1658,MATCH(1,('Descriptor maps'!$A$2:$A$1658=Calculation!$A416)*('Descriptor maps'!$G$2:$G$1658=Calculation!$G416),0))</f>
        <v>#N/A</v>
      </c>
      <c r="K416" s="226"/>
      <c r="L416" s="293"/>
      <c r="M416" s="293"/>
      <c r="N416" s="293"/>
      <c r="O416" s="293"/>
      <c r="P416" s="293"/>
      <c r="Q416" s="293"/>
      <c r="R416" s="293"/>
      <c r="S416" s="293"/>
      <c r="T416" s="293"/>
      <c r="U416" s="293"/>
      <c r="V416" s="293"/>
      <c r="W416" s="293"/>
      <c r="X416" s="293"/>
      <c r="Y416" s="293"/>
      <c r="Z416" s="293"/>
      <c r="AA416" s="293"/>
      <c r="AB416" s="293"/>
      <c r="AC416" s="293"/>
      <c r="AD416" s="293"/>
      <c r="AE416" s="293"/>
      <c r="AF416" s="293"/>
      <c r="AG416" s="293"/>
      <c r="AH416" s="293"/>
      <c r="AI416" s="293"/>
      <c r="AJ416" s="293"/>
      <c r="AK416" s="293"/>
      <c r="AL416" s="293"/>
      <c r="AM416" s="293"/>
      <c r="AN416" s="293"/>
      <c r="AO416" s="293"/>
      <c r="AP416" s="293"/>
      <c r="AQ416" s="293"/>
      <c r="AR416" s="293"/>
      <c r="AS416" s="293"/>
      <c r="AT416" s="293"/>
      <c r="AU416" s="293"/>
      <c r="AV416" s="293"/>
      <c r="AW416" s="293"/>
      <c r="AX416" s="293"/>
      <c r="AY416" s="293"/>
      <c r="AZ416" s="293"/>
      <c r="BA416" s="293"/>
      <c r="BB416" s="293"/>
      <c r="BC416" s="293"/>
      <c r="BD416" s="293"/>
      <c r="BE416" s="293"/>
      <c r="BF416" s="293"/>
      <c r="BG416" s="293"/>
      <c r="BH416" s="293"/>
      <c r="BI416" s="293"/>
      <c r="BJ416" s="293"/>
      <c r="BK416" s="293"/>
      <c r="BL416" s="293"/>
      <c r="BM416" s="293"/>
      <c r="BN416" s="293"/>
      <c r="BO416" s="293"/>
      <c r="BP416" s="293"/>
      <c r="BQ416" s="293"/>
      <c r="BR416" s="293"/>
      <c r="BS416" s="293"/>
      <c r="BT416" s="293"/>
      <c r="BU416" s="293"/>
      <c r="BV416" s="293"/>
      <c r="BW416" s="293"/>
      <c r="BX416" s="293"/>
      <c r="BY416" s="293"/>
      <c r="BZ416" s="293"/>
      <c r="CA416" s="285"/>
      <c r="CB416" s="286"/>
      <c r="CC416" s="286"/>
      <c r="CD416" s="286"/>
      <c r="CE416" s="286"/>
      <c r="CF416" s="286"/>
      <c r="CG416" s="286"/>
      <c r="CH416" s="286"/>
      <c r="CI416" s="286"/>
      <c r="CJ416" s="286"/>
      <c r="CK416" s="286"/>
      <c r="CL416" s="286"/>
      <c r="CM416" s="286"/>
      <c r="CN416" s="286"/>
      <c r="CO416" s="286"/>
      <c r="CP416" s="286"/>
      <c r="CQ416" s="286"/>
      <c r="CR416" s="286"/>
      <c r="CS416" s="286"/>
      <c r="CT416" s="286"/>
      <c r="CU416" s="286"/>
      <c r="CV416" s="286"/>
      <c r="CW416" s="286"/>
      <c r="CX416" s="286"/>
      <c r="CY416" s="286"/>
      <c r="CZ416" s="286"/>
      <c r="DA416" s="286"/>
      <c r="DB416" s="286"/>
      <c r="DC416" s="286"/>
      <c r="DD416" s="286"/>
      <c r="DE416" s="286"/>
      <c r="DF416" s="286"/>
      <c r="DG416" s="286"/>
      <c r="DH416" s="286"/>
      <c r="DI416" s="286"/>
      <c r="DJ416" s="286"/>
      <c r="DK416" s="286"/>
      <c r="DL416" s="286"/>
      <c r="DM416" s="286"/>
      <c r="DN416" s="286"/>
      <c r="DO416" s="286"/>
      <c r="DP416" s="286"/>
      <c r="DR416" s="58" t="str">
        <f>IF(ISNUMBER(MATCH(#REF!,'Audit Characteristic Mapping'!$B$3:$B$500,0)),"Y","")</f>
        <v/>
      </c>
      <c r="DS416" s="58" t="str">
        <f>IF(ISNUMBER(MATCH(#REF!,'Audit Characteristic Mapping'!$C$3:$C$500,0)),"Y","")</f>
        <v/>
      </c>
      <c r="DT416" s="58" t="str">
        <f>IF(ISNUMBER(MATCH(#REF!,'Audit Characteristic Mapping'!$D$3:$D$500,0)),"Y","")</f>
        <v/>
      </c>
      <c r="DU416" s="58" t="str">
        <f>IF(ISNUMBER(MATCH(#REF!,'Audit Characteristic Mapping'!$E$3:$E$500,0)),"Y","")</f>
        <v/>
      </c>
      <c r="DV416" s="58" t="str">
        <f>IF(ISNUMBER(MATCH(#REF!,'Audit Characteristic Mapping'!$F$3:$F$500,0)),"Y","")</f>
        <v/>
      </c>
      <c r="DW416" s="58" t="str">
        <f>IF(ISNUMBER(MATCH(#REF!,'Audit Characteristic Mapping'!$G$3:$G$500,0)),"Y","")</f>
        <v/>
      </c>
      <c r="DX416" s="58" t="str">
        <f>IF(ISNUMBER(MATCH(#REF!,'Audit Characteristic Mapping'!$H$3:$H$500,0)),"Y","")</f>
        <v/>
      </c>
      <c r="DY416" s="58" t="str">
        <f>IF(ISNUMBER(MATCH(#REF!,'Audit Characteristic Mapping'!$I$3:$I$500,0)),"Y","")</f>
        <v/>
      </c>
      <c r="DZ416" s="58" t="str">
        <f>IF(ISNUMBER(MATCH(#REF!,'Audit Characteristic Mapping'!$J$3:$J$500,0)),"Y","")</f>
        <v/>
      </c>
      <c r="EA416" s="58" t="str">
        <f>IF(ISNUMBER(MATCH(#REF!,'Audit Characteristic Mapping'!$K$3:$K$500,0)),"Y","")</f>
        <v/>
      </c>
    </row>
    <row r="417" spans="1:134" ht="33" hidden="1" thickBot="1" x14ac:dyDescent="0.25">
      <c r="A417" s="288">
        <v>410</v>
      </c>
      <c r="B417" s="287" t="s">
        <v>561</v>
      </c>
      <c r="C417" s="226" t="s">
        <v>562</v>
      </c>
      <c r="D417" s="170">
        <v>13</v>
      </c>
      <c r="E417" s="288">
        <v>85</v>
      </c>
      <c r="F417" s="291" t="str">
        <f>VLOOKUP(Calculation!A417,'Descriptor maps'!$A$2:$F$1658,2,0)</f>
        <v>Emergency Planning &amp; Recovery</v>
      </c>
      <c r="G417" s="296"/>
      <c r="H417" s="290"/>
      <c r="I417" s="291"/>
      <c r="J417" s="292" t="e" cm="1">
        <f t="array" ref="J417">INDEX('Descriptor maps'!$I$2:$I$1658,MATCH(1,('Descriptor maps'!$A$2:$A$1658=Calculation!$A417)*('Descriptor maps'!$G$2:$G$1658=Calculation!$G417),0))</f>
        <v>#N/A</v>
      </c>
      <c r="K417" s="226"/>
      <c r="L417" s="293"/>
      <c r="M417" s="293"/>
      <c r="N417" s="293"/>
      <c r="O417" s="293"/>
      <c r="P417" s="293"/>
      <c r="Q417" s="293"/>
      <c r="R417" s="293"/>
      <c r="S417" s="293"/>
      <c r="T417" s="293"/>
      <c r="U417" s="293"/>
      <c r="V417" s="293"/>
      <c r="W417" s="293"/>
      <c r="X417" s="293"/>
      <c r="Y417" s="293"/>
      <c r="Z417" s="293"/>
      <c r="AA417" s="293"/>
      <c r="AB417" s="293"/>
      <c r="AC417" s="293"/>
      <c r="AD417" s="293"/>
      <c r="AE417" s="293"/>
      <c r="AF417" s="293"/>
      <c r="AG417" s="293"/>
      <c r="AH417" s="293"/>
      <c r="AI417" s="293"/>
      <c r="AJ417" s="293"/>
      <c r="AK417" s="293"/>
      <c r="AL417" s="293"/>
      <c r="AM417" s="293"/>
      <c r="AN417" s="293"/>
      <c r="AO417" s="293"/>
      <c r="AP417" s="293"/>
      <c r="AQ417" s="293"/>
      <c r="AR417" s="293"/>
      <c r="AS417" s="293"/>
      <c r="AT417" s="293"/>
      <c r="AU417" s="293"/>
      <c r="AV417" s="293"/>
      <c r="AW417" s="293"/>
      <c r="AX417" s="293"/>
      <c r="AY417" s="293"/>
      <c r="AZ417" s="293"/>
      <c r="BA417" s="293"/>
      <c r="BB417" s="293"/>
      <c r="BC417" s="293"/>
      <c r="BD417" s="293"/>
      <c r="BE417" s="293"/>
      <c r="BF417" s="293"/>
      <c r="BG417" s="293"/>
      <c r="BH417" s="293"/>
      <c r="BI417" s="293"/>
      <c r="BJ417" s="293"/>
      <c r="BK417" s="293"/>
      <c r="BL417" s="293"/>
      <c r="BM417" s="293"/>
      <c r="BN417" s="293"/>
      <c r="BO417" s="293"/>
      <c r="BP417" s="293"/>
      <c r="BQ417" s="293"/>
      <c r="BR417" s="293"/>
      <c r="BS417" s="293"/>
      <c r="BT417" s="293"/>
      <c r="BU417" s="293"/>
      <c r="BV417" s="293"/>
      <c r="BW417" s="293"/>
      <c r="BX417" s="293"/>
      <c r="BY417" s="293"/>
      <c r="BZ417" s="293"/>
      <c r="CA417" s="285"/>
      <c r="CB417" s="286"/>
      <c r="CC417" s="286"/>
      <c r="CD417" s="286"/>
      <c r="CE417" s="286"/>
      <c r="CF417" s="286"/>
      <c r="CG417" s="286"/>
      <c r="CH417" s="286"/>
      <c r="CI417" s="286"/>
      <c r="CJ417" s="286"/>
      <c r="CK417" s="286"/>
      <c r="CL417" s="286"/>
      <c r="CM417" s="286"/>
      <c r="CN417" s="286"/>
      <c r="CO417" s="286"/>
      <c r="CP417" s="286"/>
      <c r="CQ417" s="286"/>
      <c r="CR417" s="286"/>
      <c r="CS417" s="286"/>
      <c r="CT417" s="286"/>
      <c r="CU417" s="286"/>
      <c r="CV417" s="286"/>
      <c r="CW417" s="286"/>
      <c r="CX417" s="286"/>
      <c r="CY417" s="286"/>
      <c r="CZ417" s="286"/>
      <c r="DA417" s="286"/>
      <c r="DB417" s="286"/>
      <c r="DC417" s="286"/>
      <c r="DD417" s="286"/>
      <c r="DE417" s="286"/>
      <c r="DF417" s="286"/>
      <c r="DG417" s="286"/>
      <c r="DH417" s="286"/>
      <c r="DI417" s="286"/>
      <c r="DJ417" s="286"/>
      <c r="DK417" s="286"/>
      <c r="DL417" s="286"/>
      <c r="DM417" s="286"/>
      <c r="DN417" s="286"/>
      <c r="DO417" s="286"/>
      <c r="DP417" s="286"/>
      <c r="DR417" s="58" t="str">
        <f>IF(ISNUMBER(MATCH(#REF!,'Audit Characteristic Mapping'!$B$3:$B$500,0)),"Y","")</f>
        <v/>
      </c>
      <c r="DS417" s="58" t="str">
        <f>IF(ISNUMBER(MATCH(#REF!,'Audit Characteristic Mapping'!$C$3:$C$500,0)),"Y","")</f>
        <v/>
      </c>
      <c r="DT417" s="58" t="str">
        <f>IF(ISNUMBER(MATCH(#REF!,'Audit Characteristic Mapping'!$D$3:$D$500,0)),"Y","")</f>
        <v/>
      </c>
      <c r="DU417" s="58" t="str">
        <f>IF(ISNUMBER(MATCH(#REF!,'Audit Characteristic Mapping'!$E$3:$E$500,0)),"Y","")</f>
        <v/>
      </c>
      <c r="DV417" s="58" t="str">
        <f>IF(ISNUMBER(MATCH(#REF!,'Audit Characteristic Mapping'!$F$3:$F$500,0)),"Y","")</f>
        <v/>
      </c>
      <c r="DW417" s="58" t="str">
        <f>IF(ISNUMBER(MATCH(#REF!,'Audit Characteristic Mapping'!$G$3:$G$500,0)),"Y","")</f>
        <v/>
      </c>
      <c r="DX417" s="58" t="str">
        <f>IF(ISNUMBER(MATCH(#REF!,'Audit Characteristic Mapping'!$H$3:$H$500,0)),"Y","")</f>
        <v/>
      </c>
      <c r="DY417" s="58" t="str">
        <f>IF(ISNUMBER(MATCH(#REF!,'Audit Characteristic Mapping'!$I$3:$I$500,0)),"Y","")</f>
        <v/>
      </c>
      <c r="DZ417" s="58" t="str">
        <f>IF(ISNUMBER(MATCH(#REF!,'Audit Characteristic Mapping'!$J$3:$J$500,0)),"Y","")</f>
        <v/>
      </c>
      <c r="EA417" s="58" t="str">
        <f>IF(ISNUMBER(MATCH(#REF!,'Audit Characteristic Mapping'!$K$3:$K$500,0)),"Y","")</f>
        <v/>
      </c>
      <c r="EB417" s="356"/>
      <c r="EC417" s="356"/>
      <c r="ED417" s="356"/>
    </row>
    <row r="418" spans="1:134" ht="33" hidden="1" thickBot="1" x14ac:dyDescent="0.25">
      <c r="A418" s="288">
        <v>411</v>
      </c>
      <c r="B418" s="287" t="s">
        <v>561</v>
      </c>
      <c r="C418" s="226" t="s">
        <v>562</v>
      </c>
      <c r="D418" s="170">
        <v>13</v>
      </c>
      <c r="E418" s="288">
        <v>85</v>
      </c>
      <c r="F418" s="291" t="str">
        <f>VLOOKUP(Calculation!A418,'Descriptor maps'!$A$2:$F$1658,2,0)</f>
        <v>Emergency Planning &amp; Recovery</v>
      </c>
      <c r="G418" s="296"/>
      <c r="H418" s="290"/>
      <c r="I418" s="291"/>
      <c r="J418" s="292" t="e" cm="1">
        <f t="array" ref="J418">INDEX('Descriptor maps'!$I$2:$I$1658,MATCH(1,('Descriptor maps'!$A$2:$A$1658=Calculation!$A418)*('Descriptor maps'!$G$2:$G$1658=Calculation!$G418),0))</f>
        <v>#N/A</v>
      </c>
      <c r="K418" s="226"/>
      <c r="L418" s="293"/>
      <c r="M418" s="293"/>
      <c r="N418" s="293"/>
      <c r="O418" s="293"/>
      <c r="P418" s="293"/>
      <c r="Q418" s="293"/>
      <c r="R418" s="293"/>
      <c r="S418" s="293"/>
      <c r="T418" s="293"/>
      <c r="U418" s="293"/>
      <c r="V418" s="293"/>
      <c r="W418" s="293"/>
      <c r="X418" s="293"/>
      <c r="Y418" s="293"/>
      <c r="Z418" s="293"/>
      <c r="AA418" s="293"/>
      <c r="AB418" s="293"/>
      <c r="AC418" s="293"/>
      <c r="AD418" s="293"/>
      <c r="AE418" s="293"/>
      <c r="AF418" s="293"/>
      <c r="AG418" s="293"/>
      <c r="AH418" s="293"/>
      <c r="AI418" s="293"/>
      <c r="AJ418" s="293"/>
      <c r="AK418" s="293"/>
      <c r="AL418" s="293"/>
      <c r="AM418" s="293"/>
      <c r="AN418" s="293"/>
      <c r="AO418" s="293"/>
      <c r="AP418" s="293"/>
      <c r="AQ418" s="293"/>
      <c r="AR418" s="293"/>
      <c r="AS418" s="293"/>
      <c r="AT418" s="293"/>
      <c r="AU418" s="293"/>
      <c r="AV418" s="293"/>
      <c r="AW418" s="293"/>
      <c r="AX418" s="293"/>
      <c r="AY418" s="293"/>
      <c r="AZ418" s="293"/>
      <c r="BA418" s="293"/>
      <c r="BB418" s="293"/>
      <c r="BC418" s="293"/>
      <c r="BD418" s="293"/>
      <c r="BE418" s="293"/>
      <c r="BF418" s="293"/>
      <c r="BG418" s="293"/>
      <c r="BH418" s="293"/>
      <c r="BI418" s="293"/>
      <c r="BJ418" s="293"/>
      <c r="BK418" s="293"/>
      <c r="BL418" s="293"/>
      <c r="BM418" s="293"/>
      <c r="BN418" s="293"/>
      <c r="BO418" s="293"/>
      <c r="BP418" s="293"/>
      <c r="BQ418" s="293"/>
      <c r="BR418" s="293"/>
      <c r="BS418" s="293"/>
      <c r="BT418" s="293"/>
      <c r="BU418" s="293"/>
      <c r="BV418" s="293"/>
      <c r="BW418" s="293"/>
      <c r="BX418" s="293"/>
      <c r="BY418" s="293"/>
      <c r="BZ418" s="293"/>
      <c r="CA418" s="285"/>
      <c r="CB418" s="286"/>
      <c r="CC418" s="286"/>
      <c r="CD418" s="286"/>
      <c r="CE418" s="286"/>
      <c r="CF418" s="286"/>
      <c r="CG418" s="286"/>
      <c r="CH418" s="286"/>
      <c r="CI418" s="286"/>
      <c r="CJ418" s="286"/>
      <c r="CK418" s="286"/>
      <c r="CL418" s="286"/>
      <c r="CM418" s="286"/>
      <c r="CN418" s="286"/>
      <c r="CO418" s="286"/>
      <c r="CP418" s="286"/>
      <c r="CQ418" s="286"/>
      <c r="CR418" s="286"/>
      <c r="CS418" s="286"/>
      <c r="CT418" s="286"/>
      <c r="CU418" s="286"/>
      <c r="CV418" s="286"/>
      <c r="CW418" s="286"/>
      <c r="CX418" s="286"/>
      <c r="CY418" s="286"/>
      <c r="CZ418" s="286"/>
      <c r="DA418" s="286"/>
      <c r="DB418" s="286"/>
      <c r="DC418" s="286"/>
      <c r="DD418" s="286"/>
      <c r="DE418" s="286"/>
      <c r="DF418" s="286"/>
      <c r="DG418" s="286"/>
      <c r="DH418" s="286"/>
      <c r="DI418" s="286"/>
      <c r="DJ418" s="286"/>
      <c r="DK418" s="286"/>
      <c r="DL418" s="286"/>
      <c r="DM418" s="286"/>
      <c r="DN418" s="286"/>
      <c r="DO418" s="286"/>
      <c r="DP418" s="286"/>
      <c r="DR418" s="58" t="str">
        <f>IF(ISNUMBER(MATCH(#REF!,'Audit Characteristic Mapping'!$B$3:$B$500,0)),"Y","")</f>
        <v/>
      </c>
      <c r="DS418" s="58" t="str">
        <f>IF(ISNUMBER(MATCH(#REF!,'Audit Characteristic Mapping'!$C$3:$C$500,0)),"Y","")</f>
        <v/>
      </c>
      <c r="DT418" s="58" t="str">
        <f>IF(ISNUMBER(MATCH(#REF!,'Audit Characteristic Mapping'!$D$3:$D$500,0)),"Y","")</f>
        <v/>
      </c>
      <c r="DU418" s="58" t="str">
        <f>IF(ISNUMBER(MATCH(#REF!,'Audit Characteristic Mapping'!$E$3:$E$500,0)),"Y","")</f>
        <v/>
      </c>
      <c r="DV418" s="58" t="str">
        <f>IF(ISNUMBER(MATCH(#REF!,'Audit Characteristic Mapping'!$F$3:$F$500,0)),"Y","")</f>
        <v/>
      </c>
      <c r="DW418" s="58" t="str">
        <f>IF(ISNUMBER(MATCH(#REF!,'Audit Characteristic Mapping'!$G$3:$G$500,0)),"Y","")</f>
        <v/>
      </c>
      <c r="DX418" s="58" t="str">
        <f>IF(ISNUMBER(MATCH(#REF!,'Audit Characteristic Mapping'!$H$3:$H$500,0)),"Y","")</f>
        <v/>
      </c>
      <c r="DY418" s="58" t="str">
        <f>IF(ISNUMBER(MATCH(#REF!,'Audit Characteristic Mapping'!$I$3:$I$500,0)),"Y","")</f>
        <v/>
      </c>
      <c r="DZ418" s="58" t="str">
        <f>IF(ISNUMBER(MATCH(#REF!,'Audit Characteristic Mapping'!$J$3:$J$500,0)),"Y","")</f>
        <v/>
      </c>
      <c r="EA418" s="58" t="str">
        <f>IF(ISNUMBER(MATCH(#REF!,'Audit Characteristic Mapping'!$K$3:$K$500,0)),"Y","")</f>
        <v/>
      </c>
    </row>
    <row r="419" spans="1:134" ht="33" hidden="1" thickBot="1" x14ac:dyDescent="0.25">
      <c r="A419" s="288">
        <v>412</v>
      </c>
      <c r="B419" s="287" t="s">
        <v>561</v>
      </c>
      <c r="C419" s="226" t="s">
        <v>562</v>
      </c>
      <c r="D419" s="170">
        <v>13</v>
      </c>
      <c r="E419" s="288">
        <v>85</v>
      </c>
      <c r="F419" s="291" t="str">
        <f>VLOOKUP(Calculation!A419,'Descriptor maps'!$A$2:$F$1658,2,0)</f>
        <v>Emergency Planning &amp; Recovery</v>
      </c>
      <c r="G419" s="296"/>
      <c r="H419" s="290"/>
      <c r="I419" s="291"/>
      <c r="J419" s="292" t="e" cm="1">
        <f t="array" ref="J419">INDEX('Descriptor maps'!$I$2:$I$1658,MATCH(1,('Descriptor maps'!$A$2:$A$1658=Calculation!$A419)*('Descriptor maps'!$G$2:$G$1658=Calculation!$G419),0))</f>
        <v>#N/A</v>
      </c>
      <c r="K419" s="226"/>
      <c r="L419" s="293"/>
      <c r="M419" s="293"/>
      <c r="N419" s="293"/>
      <c r="O419" s="293"/>
      <c r="P419" s="293"/>
      <c r="Q419" s="293"/>
      <c r="R419" s="293"/>
      <c r="S419" s="293"/>
      <c r="T419" s="293"/>
      <c r="U419" s="293"/>
      <c r="V419" s="293"/>
      <c r="W419" s="293"/>
      <c r="X419" s="293"/>
      <c r="Y419" s="293"/>
      <c r="Z419" s="293"/>
      <c r="AA419" s="293"/>
      <c r="AB419" s="293"/>
      <c r="AC419" s="293"/>
      <c r="AD419" s="293"/>
      <c r="AE419" s="293"/>
      <c r="AF419" s="293"/>
      <c r="AG419" s="293"/>
      <c r="AH419" s="293"/>
      <c r="AI419" s="293"/>
      <c r="AJ419" s="293"/>
      <c r="AK419" s="293"/>
      <c r="AL419" s="293"/>
      <c r="AM419" s="293"/>
      <c r="AN419" s="293"/>
      <c r="AO419" s="293"/>
      <c r="AP419" s="293"/>
      <c r="AQ419" s="293"/>
      <c r="AR419" s="293"/>
      <c r="AS419" s="293"/>
      <c r="AT419" s="293"/>
      <c r="AU419" s="293"/>
      <c r="AV419" s="293"/>
      <c r="AW419" s="293"/>
      <c r="AX419" s="293"/>
      <c r="AY419" s="293"/>
      <c r="AZ419" s="293"/>
      <c r="BA419" s="293"/>
      <c r="BB419" s="293"/>
      <c r="BC419" s="293"/>
      <c r="BD419" s="293"/>
      <c r="BE419" s="293"/>
      <c r="BF419" s="293"/>
      <c r="BG419" s="293"/>
      <c r="BH419" s="293"/>
      <c r="BI419" s="293"/>
      <c r="BJ419" s="293"/>
      <c r="BK419" s="293"/>
      <c r="BL419" s="293"/>
      <c r="BM419" s="293"/>
      <c r="BN419" s="293"/>
      <c r="BO419" s="293"/>
      <c r="BP419" s="293"/>
      <c r="BQ419" s="293"/>
      <c r="BR419" s="293"/>
      <c r="BS419" s="293"/>
      <c r="BT419" s="293"/>
      <c r="BU419" s="293"/>
      <c r="BV419" s="293"/>
      <c r="BW419" s="293"/>
      <c r="BX419" s="293"/>
      <c r="BY419" s="293"/>
      <c r="BZ419" s="293"/>
      <c r="CA419" s="285"/>
      <c r="CB419" s="286"/>
      <c r="CC419" s="286"/>
      <c r="CD419" s="286"/>
      <c r="CE419" s="286"/>
      <c r="CF419" s="286"/>
      <c r="CG419" s="286"/>
      <c r="CH419" s="286"/>
      <c r="CI419" s="286"/>
      <c r="CJ419" s="286"/>
      <c r="CK419" s="286"/>
      <c r="CL419" s="286"/>
      <c r="CM419" s="286"/>
      <c r="CN419" s="286"/>
      <c r="CO419" s="286"/>
      <c r="CP419" s="286"/>
      <c r="CQ419" s="286"/>
      <c r="CR419" s="286"/>
      <c r="CS419" s="286"/>
      <c r="CT419" s="286"/>
      <c r="CU419" s="286"/>
      <c r="CV419" s="286"/>
      <c r="CW419" s="286"/>
      <c r="CX419" s="286"/>
      <c r="CY419" s="286"/>
      <c r="CZ419" s="286"/>
      <c r="DA419" s="286"/>
      <c r="DB419" s="286"/>
      <c r="DC419" s="286"/>
      <c r="DD419" s="286"/>
      <c r="DE419" s="286"/>
      <c r="DF419" s="286"/>
      <c r="DG419" s="286"/>
      <c r="DH419" s="286"/>
      <c r="DI419" s="286"/>
      <c r="DJ419" s="286"/>
      <c r="DK419" s="286"/>
      <c r="DL419" s="286"/>
      <c r="DM419" s="286"/>
      <c r="DN419" s="286"/>
      <c r="DO419" s="286"/>
      <c r="DP419" s="286"/>
      <c r="DR419" s="58" t="str">
        <f>IF(ISNUMBER(MATCH(#REF!,'Audit Characteristic Mapping'!$B$3:$B$500,0)),"Y","")</f>
        <v/>
      </c>
      <c r="DS419" s="58" t="str">
        <f>IF(ISNUMBER(MATCH(#REF!,'Audit Characteristic Mapping'!$C$3:$C$500,0)),"Y","")</f>
        <v/>
      </c>
      <c r="DT419" s="58" t="str">
        <f>IF(ISNUMBER(MATCH(#REF!,'Audit Characteristic Mapping'!$D$3:$D$500,0)),"Y","")</f>
        <v/>
      </c>
      <c r="DU419" s="58" t="str">
        <f>IF(ISNUMBER(MATCH(#REF!,'Audit Characteristic Mapping'!$E$3:$E$500,0)),"Y","")</f>
        <v/>
      </c>
      <c r="DV419" s="58" t="str">
        <f>IF(ISNUMBER(MATCH(#REF!,'Audit Characteristic Mapping'!$F$3:$F$500,0)),"Y","")</f>
        <v/>
      </c>
      <c r="DW419" s="58" t="str">
        <f>IF(ISNUMBER(MATCH(#REF!,'Audit Characteristic Mapping'!$G$3:$G$500,0)),"Y","")</f>
        <v/>
      </c>
      <c r="DX419" s="58" t="str">
        <f>IF(ISNUMBER(MATCH(#REF!,'Audit Characteristic Mapping'!$H$3:$H$500,0)),"Y","")</f>
        <v/>
      </c>
      <c r="DY419" s="58" t="str">
        <f>IF(ISNUMBER(MATCH(#REF!,'Audit Characteristic Mapping'!$I$3:$I$500,0)),"Y","")</f>
        <v/>
      </c>
      <c r="DZ419" s="58" t="str">
        <f>IF(ISNUMBER(MATCH(#REF!,'Audit Characteristic Mapping'!$J$3:$J$500,0)),"Y","")</f>
        <v/>
      </c>
      <c r="EA419" s="58" t="str">
        <f>IF(ISNUMBER(MATCH(#REF!,'Audit Characteristic Mapping'!$K$3:$K$500,0)),"Y","")</f>
        <v/>
      </c>
    </row>
    <row r="420" spans="1:134" ht="33" hidden="1" thickBot="1" x14ac:dyDescent="0.25">
      <c r="A420" s="288">
        <v>413</v>
      </c>
      <c r="B420" s="287" t="s">
        <v>561</v>
      </c>
      <c r="C420" s="226" t="s">
        <v>562</v>
      </c>
      <c r="D420" s="170">
        <v>13</v>
      </c>
      <c r="E420" s="288">
        <v>85</v>
      </c>
      <c r="F420" s="291" t="str">
        <f>VLOOKUP(Calculation!A420,'Descriptor maps'!$A$2:$F$1658,2,0)</f>
        <v>Emergency Planning &amp; Recovery</v>
      </c>
      <c r="G420" s="296"/>
      <c r="H420" s="290"/>
      <c r="I420" s="291"/>
      <c r="J420" s="292" t="e" cm="1">
        <f t="array" ref="J420">INDEX('Descriptor maps'!$I$2:$I$1658,MATCH(1,('Descriptor maps'!$A$2:$A$1658=Calculation!$A420)*('Descriptor maps'!$G$2:$G$1658=Calculation!$G420),0))</f>
        <v>#N/A</v>
      </c>
      <c r="K420" s="226"/>
      <c r="L420" s="293"/>
      <c r="M420" s="293"/>
      <c r="N420" s="293"/>
      <c r="O420" s="293"/>
      <c r="P420" s="293"/>
      <c r="Q420" s="293"/>
      <c r="R420" s="293"/>
      <c r="S420" s="293"/>
      <c r="T420" s="293"/>
      <c r="U420" s="293"/>
      <c r="V420" s="293"/>
      <c r="W420" s="293"/>
      <c r="X420" s="293"/>
      <c r="Y420" s="293"/>
      <c r="Z420" s="293"/>
      <c r="AA420" s="293"/>
      <c r="AB420" s="293"/>
      <c r="AC420" s="293"/>
      <c r="AD420" s="293"/>
      <c r="AE420" s="293"/>
      <c r="AF420" s="293"/>
      <c r="AG420" s="293"/>
      <c r="AH420" s="293"/>
      <c r="AI420" s="293"/>
      <c r="AJ420" s="293"/>
      <c r="AK420" s="293"/>
      <c r="AL420" s="293"/>
      <c r="AM420" s="293"/>
      <c r="AN420" s="293"/>
      <c r="AO420" s="293"/>
      <c r="AP420" s="293"/>
      <c r="AQ420" s="293"/>
      <c r="AR420" s="293"/>
      <c r="AS420" s="293"/>
      <c r="AT420" s="293"/>
      <c r="AU420" s="293"/>
      <c r="AV420" s="293"/>
      <c r="AW420" s="293"/>
      <c r="AX420" s="293"/>
      <c r="AY420" s="293"/>
      <c r="AZ420" s="293"/>
      <c r="BA420" s="293"/>
      <c r="BB420" s="293"/>
      <c r="BC420" s="293"/>
      <c r="BD420" s="293"/>
      <c r="BE420" s="293"/>
      <c r="BF420" s="293"/>
      <c r="BG420" s="293"/>
      <c r="BH420" s="293"/>
      <c r="BI420" s="293"/>
      <c r="BJ420" s="293"/>
      <c r="BK420" s="293"/>
      <c r="BL420" s="293"/>
      <c r="BM420" s="293"/>
      <c r="BN420" s="293"/>
      <c r="BO420" s="293"/>
      <c r="BP420" s="293"/>
      <c r="BQ420" s="293"/>
      <c r="BR420" s="293"/>
      <c r="BS420" s="293"/>
      <c r="BT420" s="293"/>
      <c r="BU420" s="293"/>
      <c r="BV420" s="293"/>
      <c r="BW420" s="293"/>
      <c r="BX420" s="293"/>
      <c r="BY420" s="293"/>
      <c r="BZ420" s="293"/>
      <c r="CA420" s="285"/>
      <c r="CB420" s="286"/>
      <c r="CC420" s="286"/>
      <c r="CD420" s="286"/>
      <c r="CE420" s="286"/>
      <c r="CF420" s="286"/>
      <c r="CG420" s="286"/>
      <c r="CH420" s="286"/>
      <c r="CI420" s="286"/>
      <c r="CJ420" s="286"/>
      <c r="CK420" s="286"/>
      <c r="CL420" s="286"/>
      <c r="CM420" s="286"/>
      <c r="CN420" s="286"/>
      <c r="CO420" s="286"/>
      <c r="CP420" s="286"/>
      <c r="CQ420" s="286"/>
      <c r="CR420" s="286"/>
      <c r="CS420" s="286"/>
      <c r="CT420" s="286"/>
      <c r="CU420" s="286"/>
      <c r="CV420" s="286"/>
      <c r="CW420" s="286"/>
      <c r="CX420" s="286"/>
      <c r="CY420" s="286"/>
      <c r="CZ420" s="286"/>
      <c r="DA420" s="286"/>
      <c r="DB420" s="286"/>
      <c r="DC420" s="286"/>
      <c r="DD420" s="286"/>
      <c r="DE420" s="286"/>
      <c r="DF420" s="286"/>
      <c r="DG420" s="286"/>
      <c r="DH420" s="286"/>
      <c r="DI420" s="286"/>
      <c r="DJ420" s="286"/>
      <c r="DK420" s="286"/>
      <c r="DL420" s="286"/>
      <c r="DM420" s="286"/>
      <c r="DN420" s="286"/>
      <c r="DO420" s="286"/>
      <c r="DP420" s="286"/>
      <c r="DR420" s="58" t="str">
        <f>IF(ISNUMBER(MATCH(#REF!,'Audit Characteristic Mapping'!$B$3:$B$500,0)),"Y","")</f>
        <v/>
      </c>
      <c r="DS420" s="58" t="str">
        <f>IF(ISNUMBER(MATCH(#REF!,'Audit Characteristic Mapping'!$C$3:$C$500,0)),"Y","")</f>
        <v/>
      </c>
      <c r="DT420" s="58" t="str">
        <f>IF(ISNUMBER(MATCH(#REF!,'Audit Characteristic Mapping'!$D$3:$D$500,0)),"Y","")</f>
        <v/>
      </c>
      <c r="DU420" s="58" t="str">
        <f>IF(ISNUMBER(MATCH(#REF!,'Audit Characteristic Mapping'!$E$3:$E$500,0)),"Y","")</f>
        <v/>
      </c>
      <c r="DV420" s="58" t="str">
        <f>IF(ISNUMBER(MATCH(#REF!,'Audit Characteristic Mapping'!$F$3:$F$500,0)),"Y","")</f>
        <v/>
      </c>
      <c r="DW420" s="58" t="str">
        <f>IF(ISNUMBER(MATCH(#REF!,'Audit Characteristic Mapping'!$G$3:$G$500,0)),"Y","")</f>
        <v/>
      </c>
      <c r="DX420" s="58" t="str">
        <f>IF(ISNUMBER(MATCH(#REF!,'Audit Characteristic Mapping'!$H$3:$H$500,0)),"Y","")</f>
        <v/>
      </c>
      <c r="DY420" s="58" t="str">
        <f>IF(ISNUMBER(MATCH(#REF!,'Audit Characteristic Mapping'!$I$3:$I$500,0)),"Y","")</f>
        <v/>
      </c>
      <c r="DZ420" s="58" t="str">
        <f>IF(ISNUMBER(MATCH(#REF!,'Audit Characteristic Mapping'!$J$3:$J$500,0)),"Y","")</f>
        <v/>
      </c>
      <c r="EA420" s="58" t="str">
        <f>IF(ISNUMBER(MATCH(#REF!,'Audit Characteristic Mapping'!$K$3:$K$500,0)),"Y","")</f>
        <v/>
      </c>
    </row>
    <row r="421" spans="1:134" ht="33" hidden="1" thickBot="1" x14ac:dyDescent="0.25">
      <c r="A421" s="288">
        <v>414</v>
      </c>
      <c r="B421" s="287" t="s">
        <v>561</v>
      </c>
      <c r="C421" s="226" t="s">
        <v>562</v>
      </c>
      <c r="D421" s="170">
        <v>13</v>
      </c>
      <c r="E421" s="288">
        <v>85</v>
      </c>
      <c r="F421" s="291" t="str">
        <f>VLOOKUP(Calculation!A421,'Descriptor maps'!$A$2:$F$1658,2,0)</f>
        <v>Emergency Planning &amp; Recovery</v>
      </c>
      <c r="G421" s="296"/>
      <c r="H421" s="290"/>
      <c r="I421" s="291"/>
      <c r="J421" s="292" t="e" cm="1">
        <f t="array" ref="J421">INDEX('Descriptor maps'!$I$2:$I$1658,MATCH(1,('Descriptor maps'!$A$2:$A$1658=Calculation!$A421)*('Descriptor maps'!$G$2:$G$1658=Calculation!$G421),0))</f>
        <v>#N/A</v>
      </c>
      <c r="K421" s="226"/>
      <c r="L421" s="293"/>
      <c r="M421" s="293"/>
      <c r="N421" s="293"/>
      <c r="O421" s="293"/>
      <c r="P421" s="293"/>
      <c r="Q421" s="293"/>
      <c r="R421" s="293"/>
      <c r="S421" s="293"/>
      <c r="T421" s="293"/>
      <c r="U421" s="293"/>
      <c r="V421" s="293"/>
      <c r="W421" s="293"/>
      <c r="X421" s="293"/>
      <c r="Y421" s="293"/>
      <c r="Z421" s="293"/>
      <c r="AA421" s="293"/>
      <c r="AB421" s="293"/>
      <c r="AC421" s="293"/>
      <c r="AD421" s="293"/>
      <c r="AE421" s="293"/>
      <c r="AF421" s="293"/>
      <c r="AG421" s="293"/>
      <c r="AH421" s="293"/>
      <c r="AI421" s="293"/>
      <c r="AJ421" s="293"/>
      <c r="AK421" s="293"/>
      <c r="AL421" s="293"/>
      <c r="AM421" s="293"/>
      <c r="AN421" s="293"/>
      <c r="AO421" s="293"/>
      <c r="AP421" s="293"/>
      <c r="AQ421" s="293"/>
      <c r="AR421" s="293"/>
      <c r="AS421" s="293"/>
      <c r="AT421" s="293"/>
      <c r="AU421" s="293"/>
      <c r="AV421" s="293"/>
      <c r="AW421" s="293"/>
      <c r="AX421" s="293"/>
      <c r="AY421" s="293"/>
      <c r="AZ421" s="293"/>
      <c r="BA421" s="293"/>
      <c r="BB421" s="293"/>
      <c r="BC421" s="293"/>
      <c r="BD421" s="293"/>
      <c r="BE421" s="293"/>
      <c r="BF421" s="293"/>
      <c r="BG421" s="293"/>
      <c r="BH421" s="293"/>
      <c r="BI421" s="293"/>
      <c r="BJ421" s="293"/>
      <c r="BK421" s="293"/>
      <c r="BL421" s="293"/>
      <c r="BM421" s="293"/>
      <c r="BN421" s="293"/>
      <c r="BO421" s="293"/>
      <c r="BP421" s="293"/>
      <c r="BQ421" s="293"/>
      <c r="BR421" s="293"/>
      <c r="BS421" s="293"/>
      <c r="BT421" s="293"/>
      <c r="BU421" s="293"/>
      <c r="BV421" s="293"/>
      <c r="BW421" s="293"/>
      <c r="BX421" s="293"/>
      <c r="BY421" s="293"/>
      <c r="BZ421" s="293"/>
      <c r="CA421" s="285"/>
      <c r="CB421" s="286"/>
      <c r="CC421" s="286"/>
      <c r="CD421" s="286"/>
      <c r="CE421" s="286"/>
      <c r="CF421" s="286"/>
      <c r="CG421" s="286"/>
      <c r="CH421" s="286"/>
      <c r="CI421" s="286"/>
      <c r="CJ421" s="286"/>
      <c r="CK421" s="286"/>
      <c r="CL421" s="286"/>
      <c r="CM421" s="286"/>
      <c r="CN421" s="286"/>
      <c r="CO421" s="286"/>
      <c r="CP421" s="286"/>
      <c r="CQ421" s="286"/>
      <c r="CR421" s="286"/>
      <c r="CS421" s="286"/>
      <c r="CT421" s="286"/>
      <c r="CU421" s="286"/>
      <c r="CV421" s="286"/>
      <c r="CW421" s="286"/>
      <c r="CX421" s="286"/>
      <c r="CY421" s="286"/>
      <c r="CZ421" s="286"/>
      <c r="DA421" s="286"/>
      <c r="DB421" s="286"/>
      <c r="DC421" s="286"/>
      <c r="DD421" s="286"/>
      <c r="DE421" s="286"/>
      <c r="DF421" s="286"/>
      <c r="DG421" s="286"/>
      <c r="DH421" s="286"/>
      <c r="DI421" s="286"/>
      <c r="DJ421" s="286"/>
      <c r="DK421" s="286"/>
      <c r="DL421" s="286"/>
      <c r="DM421" s="286"/>
      <c r="DN421" s="286"/>
      <c r="DO421" s="286"/>
      <c r="DP421" s="286"/>
      <c r="DR421" s="58" t="str">
        <f>IF(ISNUMBER(MATCH(#REF!,'Audit Characteristic Mapping'!$B$3:$B$500,0)),"Y","")</f>
        <v/>
      </c>
      <c r="DS421" s="58" t="str">
        <f>IF(ISNUMBER(MATCH(#REF!,'Audit Characteristic Mapping'!$C$3:$C$500,0)),"Y","")</f>
        <v/>
      </c>
      <c r="DT421" s="58" t="str">
        <f>IF(ISNUMBER(MATCH(#REF!,'Audit Characteristic Mapping'!$D$3:$D$500,0)),"Y","")</f>
        <v/>
      </c>
      <c r="DU421" s="58" t="str">
        <f>IF(ISNUMBER(MATCH(#REF!,'Audit Characteristic Mapping'!$E$3:$E$500,0)),"Y","")</f>
        <v/>
      </c>
      <c r="DV421" s="58" t="str">
        <f>IF(ISNUMBER(MATCH(#REF!,'Audit Characteristic Mapping'!$F$3:$F$500,0)),"Y","")</f>
        <v/>
      </c>
      <c r="DW421" s="58" t="str">
        <f>IF(ISNUMBER(MATCH(#REF!,'Audit Characteristic Mapping'!$G$3:$G$500,0)),"Y","")</f>
        <v/>
      </c>
      <c r="DX421" s="58" t="str">
        <f>IF(ISNUMBER(MATCH(#REF!,'Audit Characteristic Mapping'!$H$3:$H$500,0)),"Y","")</f>
        <v/>
      </c>
      <c r="DY421" s="58" t="str">
        <f>IF(ISNUMBER(MATCH(#REF!,'Audit Characteristic Mapping'!$I$3:$I$500,0)),"Y","")</f>
        <v/>
      </c>
      <c r="DZ421" s="58" t="str">
        <f>IF(ISNUMBER(MATCH(#REF!,'Audit Characteristic Mapping'!$J$3:$J$500,0)),"Y","")</f>
        <v/>
      </c>
      <c r="EA421" s="58" t="str">
        <f>IF(ISNUMBER(MATCH(#REF!,'Audit Characteristic Mapping'!$K$3:$K$500,0)),"Y","")</f>
        <v/>
      </c>
    </row>
    <row r="422" spans="1:134" ht="33" hidden="1" thickBot="1" x14ac:dyDescent="0.25">
      <c r="A422" s="288">
        <v>415</v>
      </c>
      <c r="B422" s="287" t="s">
        <v>561</v>
      </c>
      <c r="C422" s="226" t="s">
        <v>562</v>
      </c>
      <c r="D422" s="170">
        <v>13</v>
      </c>
      <c r="E422" s="288">
        <v>85</v>
      </c>
      <c r="F422" s="291" t="str">
        <f>VLOOKUP(Calculation!A422,'Descriptor maps'!$A$2:$F$1658,2,0)</f>
        <v>Emergency Planning &amp; Recovery</v>
      </c>
      <c r="G422" s="296"/>
      <c r="H422" s="290"/>
      <c r="I422" s="291"/>
      <c r="J422" s="292" t="e" cm="1">
        <f t="array" ref="J422">INDEX('Descriptor maps'!$I$2:$I$1658,MATCH(1,('Descriptor maps'!$A$2:$A$1658=Calculation!$A422)*('Descriptor maps'!$G$2:$G$1658=Calculation!$G422),0))</f>
        <v>#N/A</v>
      </c>
      <c r="K422" s="226"/>
      <c r="L422" s="293"/>
      <c r="M422" s="293"/>
      <c r="N422" s="293"/>
      <c r="O422" s="293"/>
      <c r="P422" s="293"/>
      <c r="Q422" s="293"/>
      <c r="R422" s="293"/>
      <c r="S422" s="293"/>
      <c r="T422" s="293"/>
      <c r="U422" s="293"/>
      <c r="V422" s="293"/>
      <c r="W422" s="293"/>
      <c r="X422" s="293"/>
      <c r="Y422" s="293"/>
      <c r="Z422" s="293"/>
      <c r="AA422" s="293"/>
      <c r="AB422" s="293"/>
      <c r="AC422" s="293"/>
      <c r="AD422" s="293"/>
      <c r="AE422" s="293"/>
      <c r="AF422" s="293"/>
      <c r="AG422" s="293"/>
      <c r="AH422" s="293"/>
      <c r="AI422" s="293"/>
      <c r="AJ422" s="293"/>
      <c r="AK422" s="293"/>
      <c r="AL422" s="293"/>
      <c r="AM422" s="293"/>
      <c r="AN422" s="293"/>
      <c r="AO422" s="293"/>
      <c r="AP422" s="293"/>
      <c r="AQ422" s="293"/>
      <c r="AR422" s="293"/>
      <c r="AS422" s="293"/>
      <c r="AT422" s="293"/>
      <c r="AU422" s="293"/>
      <c r="AV422" s="293"/>
      <c r="AW422" s="293"/>
      <c r="AX422" s="293"/>
      <c r="AY422" s="293"/>
      <c r="AZ422" s="293"/>
      <c r="BA422" s="293"/>
      <c r="BB422" s="293"/>
      <c r="BC422" s="293"/>
      <c r="BD422" s="293"/>
      <c r="BE422" s="293"/>
      <c r="BF422" s="293"/>
      <c r="BG422" s="293"/>
      <c r="BH422" s="293"/>
      <c r="BI422" s="293"/>
      <c r="BJ422" s="293"/>
      <c r="BK422" s="293"/>
      <c r="BL422" s="293"/>
      <c r="BM422" s="293"/>
      <c r="BN422" s="293"/>
      <c r="BO422" s="293"/>
      <c r="BP422" s="293"/>
      <c r="BQ422" s="293"/>
      <c r="BR422" s="293"/>
      <c r="BS422" s="293"/>
      <c r="BT422" s="293"/>
      <c r="BU422" s="293"/>
      <c r="BV422" s="293"/>
      <c r="BW422" s="293"/>
      <c r="BX422" s="293"/>
      <c r="BY422" s="293"/>
      <c r="BZ422" s="293"/>
      <c r="CA422" s="285"/>
      <c r="CB422" s="286"/>
      <c r="CC422" s="286"/>
      <c r="CD422" s="286"/>
      <c r="CE422" s="286"/>
      <c r="CF422" s="286"/>
      <c r="CG422" s="286"/>
      <c r="CH422" s="286"/>
      <c r="CI422" s="286"/>
      <c r="CJ422" s="286"/>
      <c r="CK422" s="286"/>
      <c r="CL422" s="286"/>
      <c r="CM422" s="286"/>
      <c r="CN422" s="286"/>
      <c r="CO422" s="286"/>
      <c r="CP422" s="286"/>
      <c r="CQ422" s="286"/>
      <c r="CR422" s="286"/>
      <c r="CS422" s="286"/>
      <c r="CT422" s="286"/>
      <c r="CU422" s="286"/>
      <c r="CV422" s="286"/>
      <c r="CW422" s="286"/>
      <c r="CX422" s="286"/>
      <c r="CY422" s="286"/>
      <c r="CZ422" s="286"/>
      <c r="DA422" s="286"/>
      <c r="DB422" s="286"/>
      <c r="DC422" s="286"/>
      <c r="DD422" s="286"/>
      <c r="DE422" s="286"/>
      <c r="DF422" s="286"/>
      <c r="DG422" s="286"/>
      <c r="DH422" s="286"/>
      <c r="DI422" s="286"/>
      <c r="DJ422" s="286"/>
      <c r="DK422" s="286"/>
      <c r="DL422" s="286"/>
      <c r="DM422" s="286"/>
      <c r="DN422" s="286"/>
      <c r="DO422" s="286"/>
      <c r="DP422" s="286"/>
      <c r="DR422" s="58" t="str">
        <f>IF(ISNUMBER(MATCH(#REF!,'Audit Characteristic Mapping'!$B$3:$B$500,0)),"Y","")</f>
        <v/>
      </c>
      <c r="DS422" s="58" t="str">
        <f>IF(ISNUMBER(MATCH(#REF!,'Audit Characteristic Mapping'!$C$3:$C$500,0)),"Y","")</f>
        <v/>
      </c>
      <c r="DT422" s="58" t="str">
        <f>IF(ISNUMBER(MATCH(#REF!,'Audit Characteristic Mapping'!$D$3:$D$500,0)),"Y","")</f>
        <v/>
      </c>
      <c r="DU422" s="58" t="str">
        <f>IF(ISNUMBER(MATCH(#REF!,'Audit Characteristic Mapping'!$E$3:$E$500,0)),"Y","")</f>
        <v/>
      </c>
      <c r="DV422" s="58" t="str">
        <f>IF(ISNUMBER(MATCH(#REF!,'Audit Characteristic Mapping'!$F$3:$F$500,0)),"Y","")</f>
        <v/>
      </c>
      <c r="DW422" s="58" t="str">
        <f>IF(ISNUMBER(MATCH(#REF!,'Audit Characteristic Mapping'!$G$3:$G$500,0)),"Y","")</f>
        <v/>
      </c>
      <c r="DX422" s="58" t="str">
        <f>IF(ISNUMBER(MATCH(#REF!,'Audit Characteristic Mapping'!$H$3:$H$500,0)),"Y","")</f>
        <v/>
      </c>
      <c r="DY422" s="58" t="str">
        <f>IF(ISNUMBER(MATCH(#REF!,'Audit Characteristic Mapping'!$I$3:$I$500,0)),"Y","")</f>
        <v/>
      </c>
      <c r="DZ422" s="58" t="str">
        <f>IF(ISNUMBER(MATCH(#REF!,'Audit Characteristic Mapping'!$J$3:$J$500,0)),"Y","")</f>
        <v/>
      </c>
      <c r="EA422" s="58" t="str">
        <f>IF(ISNUMBER(MATCH(#REF!,'Audit Characteristic Mapping'!$K$3:$K$500,0)),"Y","")</f>
        <v/>
      </c>
    </row>
    <row r="423" spans="1:134" ht="33" hidden="1" thickBot="1" x14ac:dyDescent="0.25">
      <c r="A423" s="288">
        <v>416</v>
      </c>
      <c r="B423" s="287" t="s">
        <v>561</v>
      </c>
      <c r="C423" s="226" t="s">
        <v>562</v>
      </c>
      <c r="D423" s="170">
        <v>13</v>
      </c>
      <c r="E423" s="288">
        <v>85</v>
      </c>
      <c r="F423" s="291" t="str">
        <f>VLOOKUP(Calculation!A423,'Descriptor maps'!$A$2:$F$1658,2,0)</f>
        <v>Emergency Planning &amp; Recovery</v>
      </c>
      <c r="G423" s="296"/>
      <c r="H423" s="290"/>
      <c r="I423" s="291"/>
      <c r="J423" s="292" t="e" cm="1">
        <f t="array" ref="J423">INDEX('Descriptor maps'!$I$2:$I$1658,MATCH(1,('Descriptor maps'!$A$2:$A$1658=Calculation!$A423)*('Descriptor maps'!$G$2:$G$1658=Calculation!$G423),0))</f>
        <v>#N/A</v>
      </c>
      <c r="K423" s="226"/>
      <c r="L423" s="293"/>
      <c r="M423" s="293"/>
      <c r="N423" s="293"/>
      <c r="O423" s="293"/>
      <c r="P423" s="293"/>
      <c r="Q423" s="293"/>
      <c r="R423" s="293"/>
      <c r="S423" s="293"/>
      <c r="T423" s="293"/>
      <c r="U423" s="293"/>
      <c r="V423" s="293"/>
      <c r="W423" s="293"/>
      <c r="X423" s="293"/>
      <c r="Y423" s="293"/>
      <c r="Z423" s="293"/>
      <c r="AA423" s="293"/>
      <c r="AB423" s="293"/>
      <c r="AC423" s="293"/>
      <c r="AD423" s="293"/>
      <c r="AE423" s="293"/>
      <c r="AF423" s="293"/>
      <c r="AG423" s="293"/>
      <c r="AH423" s="293"/>
      <c r="AI423" s="293"/>
      <c r="AJ423" s="293"/>
      <c r="AK423" s="293"/>
      <c r="AL423" s="293"/>
      <c r="AM423" s="293"/>
      <c r="AN423" s="293"/>
      <c r="AO423" s="293"/>
      <c r="AP423" s="293"/>
      <c r="AQ423" s="293"/>
      <c r="AR423" s="293"/>
      <c r="AS423" s="293"/>
      <c r="AT423" s="293"/>
      <c r="AU423" s="293"/>
      <c r="AV423" s="293"/>
      <c r="AW423" s="293"/>
      <c r="AX423" s="293"/>
      <c r="AY423" s="293"/>
      <c r="AZ423" s="293"/>
      <c r="BA423" s="293"/>
      <c r="BB423" s="293"/>
      <c r="BC423" s="293"/>
      <c r="BD423" s="293"/>
      <c r="BE423" s="293"/>
      <c r="BF423" s="293"/>
      <c r="BG423" s="293"/>
      <c r="BH423" s="293"/>
      <c r="BI423" s="293"/>
      <c r="BJ423" s="293"/>
      <c r="BK423" s="293"/>
      <c r="BL423" s="293"/>
      <c r="BM423" s="293"/>
      <c r="BN423" s="293"/>
      <c r="BO423" s="293"/>
      <c r="BP423" s="293"/>
      <c r="BQ423" s="293"/>
      <c r="BR423" s="293"/>
      <c r="BS423" s="293"/>
      <c r="BT423" s="293"/>
      <c r="BU423" s="293"/>
      <c r="BV423" s="293"/>
      <c r="BW423" s="293"/>
      <c r="BX423" s="293"/>
      <c r="BY423" s="293"/>
      <c r="BZ423" s="293"/>
      <c r="CA423" s="285"/>
      <c r="CB423" s="286"/>
      <c r="CC423" s="286"/>
      <c r="CD423" s="286"/>
      <c r="CE423" s="286"/>
      <c r="CF423" s="286"/>
      <c r="CG423" s="286"/>
      <c r="CH423" s="286"/>
      <c r="CI423" s="286"/>
      <c r="CJ423" s="286"/>
      <c r="CK423" s="286"/>
      <c r="CL423" s="286"/>
      <c r="CM423" s="286"/>
      <c r="CN423" s="286"/>
      <c r="CO423" s="286"/>
      <c r="CP423" s="286"/>
      <c r="CQ423" s="286"/>
      <c r="CR423" s="286"/>
      <c r="CS423" s="286"/>
      <c r="CT423" s="286"/>
      <c r="CU423" s="286"/>
      <c r="CV423" s="286"/>
      <c r="CW423" s="286"/>
      <c r="CX423" s="286"/>
      <c r="CY423" s="286"/>
      <c r="CZ423" s="286"/>
      <c r="DA423" s="286"/>
      <c r="DB423" s="286"/>
      <c r="DC423" s="286"/>
      <c r="DD423" s="286"/>
      <c r="DE423" s="286"/>
      <c r="DF423" s="286"/>
      <c r="DG423" s="286"/>
      <c r="DH423" s="286"/>
      <c r="DI423" s="286"/>
      <c r="DJ423" s="286"/>
      <c r="DK423" s="286"/>
      <c r="DL423" s="286"/>
      <c r="DM423" s="286"/>
      <c r="DN423" s="286"/>
      <c r="DO423" s="286"/>
      <c r="DP423" s="286"/>
      <c r="DR423" s="58" t="str">
        <f>IF(ISNUMBER(MATCH(#REF!,'Audit Characteristic Mapping'!$B$3:$B$500,0)),"Y","")</f>
        <v/>
      </c>
      <c r="DS423" s="58" t="str">
        <f>IF(ISNUMBER(MATCH(#REF!,'Audit Characteristic Mapping'!$C$3:$C$500,0)),"Y","")</f>
        <v/>
      </c>
      <c r="DT423" s="58" t="str">
        <f>IF(ISNUMBER(MATCH(#REF!,'Audit Characteristic Mapping'!$D$3:$D$500,0)),"Y","")</f>
        <v/>
      </c>
      <c r="DU423" s="58" t="str">
        <f>IF(ISNUMBER(MATCH(#REF!,'Audit Characteristic Mapping'!$E$3:$E$500,0)),"Y","")</f>
        <v/>
      </c>
      <c r="DV423" s="58" t="str">
        <f>IF(ISNUMBER(MATCH(#REF!,'Audit Characteristic Mapping'!$F$3:$F$500,0)),"Y","")</f>
        <v/>
      </c>
      <c r="DW423" s="58" t="str">
        <f>IF(ISNUMBER(MATCH(#REF!,'Audit Characteristic Mapping'!$G$3:$G$500,0)),"Y","")</f>
        <v/>
      </c>
      <c r="DX423" s="58" t="str">
        <f>IF(ISNUMBER(MATCH(#REF!,'Audit Characteristic Mapping'!$H$3:$H$500,0)),"Y","")</f>
        <v/>
      </c>
      <c r="DY423" s="58" t="str">
        <f>IF(ISNUMBER(MATCH(#REF!,'Audit Characteristic Mapping'!$I$3:$I$500,0)),"Y","")</f>
        <v/>
      </c>
      <c r="DZ423" s="58" t="str">
        <f>IF(ISNUMBER(MATCH(#REF!,'Audit Characteristic Mapping'!$J$3:$J$500,0)),"Y","")</f>
        <v/>
      </c>
      <c r="EA423" s="58" t="str">
        <f>IF(ISNUMBER(MATCH(#REF!,'Audit Characteristic Mapping'!$K$3:$K$500,0)),"Y","")</f>
        <v/>
      </c>
    </row>
    <row r="424" spans="1:134" ht="33" hidden="1" thickBot="1" x14ac:dyDescent="0.25">
      <c r="A424" s="288">
        <v>417</v>
      </c>
      <c r="B424" s="287" t="s">
        <v>561</v>
      </c>
      <c r="C424" s="226" t="s">
        <v>562</v>
      </c>
      <c r="D424" s="170">
        <v>13</v>
      </c>
      <c r="E424" s="288">
        <v>85</v>
      </c>
      <c r="F424" s="291" t="str">
        <f>VLOOKUP(Calculation!A424,'Descriptor maps'!$A$2:$F$1658,2,0)</f>
        <v>Emergency Planning &amp; Recovery</v>
      </c>
      <c r="G424" s="296"/>
      <c r="H424" s="290"/>
      <c r="I424" s="291"/>
      <c r="J424" s="292" t="e" cm="1">
        <f t="array" ref="J424">INDEX('Descriptor maps'!$I$2:$I$1658,MATCH(1,('Descriptor maps'!$A$2:$A$1658=Calculation!$A424)*('Descriptor maps'!$G$2:$G$1658=Calculation!$G424),0))</f>
        <v>#N/A</v>
      </c>
      <c r="K424" s="226"/>
      <c r="L424" s="293"/>
      <c r="M424" s="293"/>
      <c r="N424" s="293"/>
      <c r="O424" s="293"/>
      <c r="P424" s="293"/>
      <c r="Q424" s="293"/>
      <c r="R424" s="293"/>
      <c r="S424" s="293"/>
      <c r="T424" s="293"/>
      <c r="U424" s="293"/>
      <c r="V424" s="293"/>
      <c r="W424" s="293"/>
      <c r="X424" s="293"/>
      <c r="Y424" s="293"/>
      <c r="Z424" s="293"/>
      <c r="AA424" s="293"/>
      <c r="AB424" s="293"/>
      <c r="AC424" s="293"/>
      <c r="AD424" s="293"/>
      <c r="AE424" s="293"/>
      <c r="AF424" s="293"/>
      <c r="AG424" s="293"/>
      <c r="AH424" s="293"/>
      <c r="AI424" s="293"/>
      <c r="AJ424" s="293"/>
      <c r="AK424" s="293"/>
      <c r="AL424" s="293"/>
      <c r="AM424" s="293"/>
      <c r="AN424" s="293"/>
      <c r="AO424" s="293"/>
      <c r="AP424" s="293"/>
      <c r="AQ424" s="293"/>
      <c r="AR424" s="293"/>
      <c r="AS424" s="293"/>
      <c r="AT424" s="293"/>
      <c r="AU424" s="293"/>
      <c r="AV424" s="293"/>
      <c r="AW424" s="293"/>
      <c r="AX424" s="293"/>
      <c r="AY424" s="293"/>
      <c r="AZ424" s="293"/>
      <c r="BA424" s="293"/>
      <c r="BB424" s="293"/>
      <c r="BC424" s="293"/>
      <c r="BD424" s="293"/>
      <c r="BE424" s="293"/>
      <c r="BF424" s="293"/>
      <c r="BG424" s="293"/>
      <c r="BH424" s="293"/>
      <c r="BI424" s="293"/>
      <c r="BJ424" s="293"/>
      <c r="BK424" s="293"/>
      <c r="BL424" s="293"/>
      <c r="BM424" s="293"/>
      <c r="BN424" s="293"/>
      <c r="BO424" s="293"/>
      <c r="BP424" s="293"/>
      <c r="BQ424" s="293"/>
      <c r="BR424" s="293"/>
      <c r="BS424" s="293"/>
      <c r="BT424" s="293"/>
      <c r="BU424" s="293"/>
      <c r="BV424" s="293"/>
      <c r="BW424" s="293"/>
      <c r="BX424" s="293"/>
      <c r="BY424" s="293"/>
      <c r="BZ424" s="293"/>
      <c r="CA424" s="285"/>
      <c r="CB424" s="286"/>
      <c r="CC424" s="286"/>
      <c r="CD424" s="286"/>
      <c r="CE424" s="286"/>
      <c r="CF424" s="286"/>
      <c r="CG424" s="286"/>
      <c r="CH424" s="286"/>
      <c r="CI424" s="286"/>
      <c r="CJ424" s="286"/>
      <c r="CK424" s="286"/>
      <c r="CL424" s="286"/>
      <c r="CM424" s="286"/>
      <c r="CN424" s="286"/>
      <c r="CO424" s="286"/>
      <c r="CP424" s="286"/>
      <c r="CQ424" s="286"/>
      <c r="CR424" s="286"/>
      <c r="CS424" s="286"/>
      <c r="CT424" s="286"/>
      <c r="CU424" s="286"/>
      <c r="CV424" s="286"/>
      <c r="CW424" s="286"/>
      <c r="CX424" s="286"/>
      <c r="CY424" s="286"/>
      <c r="CZ424" s="286"/>
      <c r="DA424" s="286"/>
      <c r="DB424" s="286"/>
      <c r="DC424" s="286"/>
      <c r="DD424" s="286"/>
      <c r="DE424" s="286"/>
      <c r="DF424" s="286"/>
      <c r="DG424" s="286"/>
      <c r="DH424" s="286"/>
      <c r="DI424" s="286"/>
      <c r="DJ424" s="286"/>
      <c r="DK424" s="286"/>
      <c r="DL424" s="286"/>
      <c r="DM424" s="286"/>
      <c r="DN424" s="286"/>
      <c r="DO424" s="286"/>
      <c r="DP424" s="286"/>
      <c r="DR424" s="58" t="str">
        <f>IF(ISNUMBER(MATCH(#REF!,'Audit Characteristic Mapping'!$B$3:$B$500,0)),"Y","")</f>
        <v/>
      </c>
      <c r="DS424" s="58" t="str">
        <f>IF(ISNUMBER(MATCH(#REF!,'Audit Characteristic Mapping'!$C$3:$C$500,0)),"Y","")</f>
        <v/>
      </c>
      <c r="DT424" s="58" t="str">
        <f>IF(ISNUMBER(MATCH(#REF!,'Audit Characteristic Mapping'!$D$3:$D$500,0)),"Y","")</f>
        <v/>
      </c>
      <c r="DU424" s="58" t="str">
        <f>IF(ISNUMBER(MATCH(#REF!,'Audit Characteristic Mapping'!$E$3:$E$500,0)),"Y","")</f>
        <v/>
      </c>
      <c r="DV424" s="58" t="str">
        <f>IF(ISNUMBER(MATCH(#REF!,'Audit Characteristic Mapping'!$F$3:$F$500,0)),"Y","")</f>
        <v/>
      </c>
      <c r="DW424" s="58" t="str">
        <f>IF(ISNUMBER(MATCH(#REF!,'Audit Characteristic Mapping'!$G$3:$G$500,0)),"Y","")</f>
        <v/>
      </c>
      <c r="DX424" s="58" t="str">
        <f>IF(ISNUMBER(MATCH(#REF!,'Audit Characteristic Mapping'!$H$3:$H$500,0)),"Y","")</f>
        <v/>
      </c>
      <c r="DY424" s="58" t="str">
        <f>IF(ISNUMBER(MATCH(#REF!,'Audit Characteristic Mapping'!$I$3:$I$500,0)),"Y","")</f>
        <v/>
      </c>
      <c r="DZ424" s="58" t="str">
        <f>IF(ISNUMBER(MATCH(#REF!,'Audit Characteristic Mapping'!$J$3:$J$500,0)),"Y","")</f>
        <v/>
      </c>
      <c r="EA424" s="58" t="str">
        <f>IF(ISNUMBER(MATCH(#REF!,'Audit Characteristic Mapping'!$K$3:$K$500,0)),"Y","")</f>
        <v/>
      </c>
    </row>
    <row r="425" spans="1:134" ht="33" hidden="1" thickBot="1" x14ac:dyDescent="0.25">
      <c r="A425" s="288">
        <v>418</v>
      </c>
      <c r="B425" s="287" t="s">
        <v>561</v>
      </c>
      <c r="C425" s="226" t="s">
        <v>562</v>
      </c>
      <c r="D425" s="170">
        <v>13</v>
      </c>
      <c r="E425" s="288">
        <v>85</v>
      </c>
      <c r="F425" s="291" t="str">
        <f>VLOOKUP(Calculation!A425,'Descriptor maps'!$A$2:$F$1658,2,0)</f>
        <v>Emergency Planning &amp; Recovery</v>
      </c>
      <c r="G425" s="296"/>
      <c r="H425" s="290"/>
      <c r="I425" s="291"/>
      <c r="J425" s="292" t="e" cm="1">
        <f t="array" ref="J425">INDEX('Descriptor maps'!$I$2:$I$1658,MATCH(1,('Descriptor maps'!$A$2:$A$1658=Calculation!$A425)*('Descriptor maps'!$G$2:$G$1658=Calculation!$G425),0))</f>
        <v>#N/A</v>
      </c>
      <c r="K425" s="226"/>
      <c r="L425" s="293"/>
      <c r="M425" s="293"/>
      <c r="N425" s="293"/>
      <c r="O425" s="293"/>
      <c r="P425" s="293"/>
      <c r="Q425" s="293"/>
      <c r="R425" s="293"/>
      <c r="S425" s="293"/>
      <c r="T425" s="293"/>
      <c r="U425" s="293"/>
      <c r="V425" s="293"/>
      <c r="W425" s="293"/>
      <c r="X425" s="293"/>
      <c r="Y425" s="293"/>
      <c r="Z425" s="293"/>
      <c r="AA425" s="293"/>
      <c r="AB425" s="293"/>
      <c r="AC425" s="293"/>
      <c r="AD425" s="293"/>
      <c r="AE425" s="293"/>
      <c r="AF425" s="293"/>
      <c r="AG425" s="293"/>
      <c r="AH425" s="293"/>
      <c r="AI425" s="293"/>
      <c r="AJ425" s="293"/>
      <c r="AK425" s="293"/>
      <c r="AL425" s="293"/>
      <c r="AM425" s="293"/>
      <c r="AN425" s="293"/>
      <c r="AO425" s="293"/>
      <c r="AP425" s="293"/>
      <c r="AQ425" s="293"/>
      <c r="AR425" s="293"/>
      <c r="AS425" s="293"/>
      <c r="AT425" s="293"/>
      <c r="AU425" s="293"/>
      <c r="AV425" s="293"/>
      <c r="AW425" s="293"/>
      <c r="AX425" s="293"/>
      <c r="AY425" s="293"/>
      <c r="AZ425" s="293"/>
      <c r="BA425" s="293"/>
      <c r="BB425" s="293"/>
      <c r="BC425" s="293"/>
      <c r="BD425" s="293"/>
      <c r="BE425" s="293"/>
      <c r="BF425" s="293"/>
      <c r="BG425" s="293"/>
      <c r="BH425" s="293"/>
      <c r="BI425" s="293"/>
      <c r="BJ425" s="293"/>
      <c r="BK425" s="293"/>
      <c r="BL425" s="293"/>
      <c r="BM425" s="293"/>
      <c r="BN425" s="293"/>
      <c r="BO425" s="293"/>
      <c r="BP425" s="293"/>
      <c r="BQ425" s="293"/>
      <c r="BR425" s="293"/>
      <c r="BS425" s="293"/>
      <c r="BT425" s="293"/>
      <c r="BU425" s="293"/>
      <c r="BV425" s="293"/>
      <c r="BW425" s="293"/>
      <c r="BX425" s="293"/>
      <c r="BY425" s="293"/>
      <c r="BZ425" s="293"/>
      <c r="CA425" s="285"/>
      <c r="CB425" s="286"/>
      <c r="CC425" s="286"/>
      <c r="CD425" s="286"/>
      <c r="CE425" s="286"/>
      <c r="CF425" s="286"/>
      <c r="CG425" s="286"/>
      <c r="CH425" s="286"/>
      <c r="CI425" s="286"/>
      <c r="CJ425" s="286"/>
      <c r="CK425" s="286"/>
      <c r="CL425" s="286"/>
      <c r="CM425" s="286"/>
      <c r="CN425" s="286"/>
      <c r="CO425" s="286"/>
      <c r="CP425" s="286"/>
      <c r="CQ425" s="286"/>
      <c r="CR425" s="286"/>
      <c r="CS425" s="286"/>
      <c r="CT425" s="286"/>
      <c r="CU425" s="286"/>
      <c r="CV425" s="286"/>
      <c r="CW425" s="286"/>
      <c r="CX425" s="286"/>
      <c r="CY425" s="286"/>
      <c r="CZ425" s="286"/>
      <c r="DA425" s="286"/>
      <c r="DB425" s="286"/>
      <c r="DC425" s="286"/>
      <c r="DD425" s="286"/>
      <c r="DE425" s="286"/>
      <c r="DF425" s="286"/>
      <c r="DG425" s="286"/>
      <c r="DH425" s="286"/>
      <c r="DI425" s="286"/>
      <c r="DJ425" s="286"/>
      <c r="DK425" s="286"/>
      <c r="DL425" s="286"/>
      <c r="DM425" s="286"/>
      <c r="DN425" s="286"/>
      <c r="DO425" s="286"/>
      <c r="DP425" s="286"/>
      <c r="DR425" s="58" t="str">
        <f>IF(ISNUMBER(MATCH(#REF!,'Audit Characteristic Mapping'!$B$3:$B$500,0)),"Y","")</f>
        <v/>
      </c>
      <c r="DS425" s="58" t="str">
        <f>IF(ISNUMBER(MATCH(#REF!,'Audit Characteristic Mapping'!$C$3:$C$500,0)),"Y","")</f>
        <v/>
      </c>
      <c r="DT425" s="58" t="str">
        <f>IF(ISNUMBER(MATCH(#REF!,'Audit Characteristic Mapping'!$D$3:$D$500,0)),"Y","")</f>
        <v/>
      </c>
      <c r="DU425" s="58" t="str">
        <f>IF(ISNUMBER(MATCH(#REF!,'Audit Characteristic Mapping'!$E$3:$E$500,0)),"Y","")</f>
        <v/>
      </c>
      <c r="DV425" s="58" t="str">
        <f>IF(ISNUMBER(MATCH(#REF!,'Audit Characteristic Mapping'!$F$3:$F$500,0)),"Y","")</f>
        <v/>
      </c>
      <c r="DW425" s="58" t="str">
        <f>IF(ISNUMBER(MATCH(#REF!,'Audit Characteristic Mapping'!$G$3:$G$500,0)),"Y","")</f>
        <v/>
      </c>
      <c r="DX425" s="58" t="str">
        <f>IF(ISNUMBER(MATCH(#REF!,'Audit Characteristic Mapping'!$H$3:$H$500,0)),"Y","")</f>
        <v/>
      </c>
      <c r="DY425" s="58" t="str">
        <f>IF(ISNUMBER(MATCH(#REF!,'Audit Characteristic Mapping'!$I$3:$I$500,0)),"Y","")</f>
        <v/>
      </c>
      <c r="DZ425" s="58" t="str">
        <f>IF(ISNUMBER(MATCH(#REF!,'Audit Characteristic Mapping'!$J$3:$J$500,0)),"Y","")</f>
        <v/>
      </c>
      <c r="EA425" s="58" t="str">
        <f>IF(ISNUMBER(MATCH(#REF!,'Audit Characteristic Mapping'!$K$3:$K$500,0)),"Y","")</f>
        <v/>
      </c>
    </row>
    <row r="426" spans="1:134" ht="33" hidden="1" thickBot="1" x14ac:dyDescent="0.25">
      <c r="A426" s="288">
        <v>419</v>
      </c>
      <c r="B426" s="287" t="s">
        <v>561</v>
      </c>
      <c r="C426" s="226" t="s">
        <v>562</v>
      </c>
      <c r="D426" s="170">
        <v>13</v>
      </c>
      <c r="E426" s="288">
        <v>85</v>
      </c>
      <c r="F426" s="291" t="str">
        <f>VLOOKUP(Calculation!A426,'Descriptor maps'!$A$2:$F$1658,2,0)</f>
        <v>Emergency Planning &amp; Recovery</v>
      </c>
      <c r="G426" s="296"/>
      <c r="H426" s="290"/>
      <c r="I426" s="291"/>
      <c r="J426" s="292" t="e" cm="1">
        <f t="array" ref="J426">INDEX('Descriptor maps'!$I$2:$I$1658,MATCH(1,('Descriptor maps'!$A$2:$A$1658=Calculation!$A426)*('Descriptor maps'!$G$2:$G$1658=Calculation!$G426),0))</f>
        <v>#N/A</v>
      </c>
      <c r="K426" s="226"/>
      <c r="L426" s="293"/>
      <c r="M426" s="293"/>
      <c r="N426" s="293"/>
      <c r="O426" s="293"/>
      <c r="P426" s="293"/>
      <c r="Q426" s="293"/>
      <c r="R426" s="293"/>
      <c r="S426" s="293"/>
      <c r="T426" s="293"/>
      <c r="U426" s="293"/>
      <c r="V426" s="293"/>
      <c r="W426" s="293"/>
      <c r="X426" s="293"/>
      <c r="Y426" s="293"/>
      <c r="Z426" s="293"/>
      <c r="AA426" s="293"/>
      <c r="AB426" s="293"/>
      <c r="AC426" s="293"/>
      <c r="AD426" s="293"/>
      <c r="AE426" s="293"/>
      <c r="AF426" s="293"/>
      <c r="AG426" s="293"/>
      <c r="AH426" s="293"/>
      <c r="AI426" s="293"/>
      <c r="AJ426" s="293"/>
      <c r="AK426" s="293"/>
      <c r="AL426" s="293"/>
      <c r="AM426" s="293"/>
      <c r="AN426" s="293"/>
      <c r="AO426" s="293"/>
      <c r="AP426" s="293"/>
      <c r="AQ426" s="293"/>
      <c r="AR426" s="293"/>
      <c r="AS426" s="293"/>
      <c r="AT426" s="293"/>
      <c r="AU426" s="293"/>
      <c r="AV426" s="293"/>
      <c r="AW426" s="293"/>
      <c r="AX426" s="293"/>
      <c r="AY426" s="293"/>
      <c r="AZ426" s="293"/>
      <c r="BA426" s="293"/>
      <c r="BB426" s="293"/>
      <c r="BC426" s="293"/>
      <c r="BD426" s="293"/>
      <c r="BE426" s="293"/>
      <c r="BF426" s="293"/>
      <c r="BG426" s="293"/>
      <c r="BH426" s="293"/>
      <c r="BI426" s="293"/>
      <c r="BJ426" s="293"/>
      <c r="BK426" s="293"/>
      <c r="BL426" s="293"/>
      <c r="BM426" s="293"/>
      <c r="BN426" s="293"/>
      <c r="BO426" s="293"/>
      <c r="BP426" s="293"/>
      <c r="BQ426" s="293"/>
      <c r="BR426" s="293"/>
      <c r="BS426" s="293"/>
      <c r="BT426" s="293"/>
      <c r="BU426" s="293"/>
      <c r="BV426" s="293"/>
      <c r="BW426" s="293"/>
      <c r="BX426" s="293"/>
      <c r="BY426" s="293"/>
      <c r="BZ426" s="293"/>
      <c r="CA426" s="285"/>
      <c r="CB426" s="286"/>
      <c r="CC426" s="286"/>
      <c r="CD426" s="286"/>
      <c r="CE426" s="286"/>
      <c r="CF426" s="286"/>
      <c r="CG426" s="286"/>
      <c r="CH426" s="286"/>
      <c r="CI426" s="286"/>
      <c r="CJ426" s="286"/>
      <c r="CK426" s="286"/>
      <c r="CL426" s="286"/>
      <c r="CM426" s="286"/>
      <c r="CN426" s="286"/>
      <c r="CO426" s="286"/>
      <c r="CP426" s="286"/>
      <c r="CQ426" s="286"/>
      <c r="CR426" s="286"/>
      <c r="CS426" s="286"/>
      <c r="CT426" s="286"/>
      <c r="CU426" s="286"/>
      <c r="CV426" s="286"/>
      <c r="CW426" s="286"/>
      <c r="CX426" s="286"/>
      <c r="CY426" s="286"/>
      <c r="CZ426" s="286"/>
      <c r="DA426" s="286"/>
      <c r="DB426" s="286"/>
      <c r="DC426" s="286"/>
      <c r="DD426" s="286"/>
      <c r="DE426" s="286"/>
      <c r="DF426" s="286"/>
      <c r="DG426" s="286"/>
      <c r="DH426" s="286"/>
      <c r="DI426" s="286"/>
      <c r="DJ426" s="286"/>
      <c r="DK426" s="286"/>
      <c r="DL426" s="286"/>
      <c r="DM426" s="286"/>
      <c r="DN426" s="286"/>
      <c r="DO426" s="286"/>
      <c r="DP426" s="286"/>
      <c r="DR426" s="58" t="str">
        <f>IF(ISNUMBER(MATCH(#REF!,'Audit Characteristic Mapping'!$B$3:$B$500,0)),"Y","")</f>
        <v/>
      </c>
      <c r="DS426" s="58" t="str">
        <f>IF(ISNUMBER(MATCH(#REF!,'Audit Characteristic Mapping'!$C$3:$C$500,0)),"Y","")</f>
        <v/>
      </c>
      <c r="DT426" s="58" t="str">
        <f>IF(ISNUMBER(MATCH(#REF!,'Audit Characteristic Mapping'!$D$3:$D$500,0)),"Y","")</f>
        <v/>
      </c>
      <c r="DU426" s="58" t="str">
        <f>IF(ISNUMBER(MATCH(#REF!,'Audit Characteristic Mapping'!$E$3:$E$500,0)),"Y","")</f>
        <v/>
      </c>
      <c r="DV426" s="58" t="str">
        <f>IF(ISNUMBER(MATCH(#REF!,'Audit Characteristic Mapping'!$F$3:$F$500,0)),"Y","")</f>
        <v/>
      </c>
      <c r="DW426" s="58" t="str">
        <f>IF(ISNUMBER(MATCH(#REF!,'Audit Characteristic Mapping'!$G$3:$G$500,0)),"Y","")</f>
        <v/>
      </c>
      <c r="DX426" s="58" t="str">
        <f>IF(ISNUMBER(MATCH(#REF!,'Audit Characteristic Mapping'!$H$3:$H$500,0)),"Y","")</f>
        <v/>
      </c>
      <c r="DY426" s="58" t="str">
        <f>IF(ISNUMBER(MATCH(#REF!,'Audit Characteristic Mapping'!$I$3:$I$500,0)),"Y","")</f>
        <v/>
      </c>
      <c r="DZ426" s="58" t="str">
        <f>IF(ISNUMBER(MATCH(#REF!,'Audit Characteristic Mapping'!$J$3:$J$500,0)),"Y","")</f>
        <v/>
      </c>
      <c r="EA426" s="58" t="str">
        <f>IF(ISNUMBER(MATCH(#REF!,'Audit Characteristic Mapping'!$K$3:$K$500,0)),"Y","")</f>
        <v/>
      </c>
    </row>
    <row r="427" spans="1:134" ht="33" hidden="1" thickBot="1" x14ac:dyDescent="0.25">
      <c r="A427" s="288">
        <v>420</v>
      </c>
      <c r="B427" s="287" t="s">
        <v>561</v>
      </c>
      <c r="C427" s="226" t="s">
        <v>576</v>
      </c>
      <c r="D427" s="170">
        <v>13</v>
      </c>
      <c r="E427" s="288">
        <v>86</v>
      </c>
      <c r="F427" s="291" t="str">
        <f>VLOOKUP(Calculation!A427,'Descriptor maps'!$A$2:$F$1658,2,0)</f>
        <v>Emergency Planning &amp; Recovery</v>
      </c>
      <c r="G427" s="296"/>
      <c r="H427" s="290"/>
      <c r="I427" s="291"/>
      <c r="J427" s="292" t="e" cm="1">
        <f t="array" ref="J427">INDEX('Descriptor maps'!$I$2:$I$1658,MATCH(1,('Descriptor maps'!$A$2:$A$1658=Calculation!$A427)*('Descriptor maps'!$G$2:$G$1658=Calculation!$G427),0))</f>
        <v>#N/A</v>
      </c>
      <c r="K427" s="226"/>
      <c r="L427" s="293"/>
      <c r="M427" s="293"/>
      <c r="N427" s="293"/>
      <c r="O427" s="293"/>
      <c r="P427" s="293"/>
      <c r="Q427" s="293"/>
      <c r="R427" s="293"/>
      <c r="S427" s="293"/>
      <c r="T427" s="293"/>
      <c r="U427" s="293"/>
      <c r="V427" s="293"/>
      <c r="W427" s="293"/>
      <c r="X427" s="293"/>
      <c r="Y427" s="293"/>
      <c r="Z427" s="293"/>
      <c r="AA427" s="293"/>
      <c r="AB427" s="293"/>
      <c r="AC427" s="293"/>
      <c r="AD427" s="293"/>
      <c r="AE427" s="293"/>
      <c r="AF427" s="293"/>
      <c r="AG427" s="293"/>
      <c r="AH427" s="293"/>
      <c r="AI427" s="293"/>
      <c r="AJ427" s="293"/>
      <c r="AK427" s="293"/>
      <c r="AL427" s="293"/>
      <c r="AM427" s="293"/>
      <c r="AN427" s="293"/>
      <c r="AO427" s="293"/>
      <c r="AP427" s="293"/>
      <c r="AQ427" s="293"/>
      <c r="AR427" s="293"/>
      <c r="AS427" s="293"/>
      <c r="AT427" s="293"/>
      <c r="AU427" s="293"/>
      <c r="AV427" s="293"/>
      <c r="AW427" s="293"/>
      <c r="AX427" s="293"/>
      <c r="AY427" s="293"/>
      <c r="AZ427" s="293"/>
      <c r="BA427" s="293"/>
      <c r="BB427" s="293"/>
      <c r="BC427" s="293"/>
      <c r="BD427" s="293"/>
      <c r="BE427" s="293"/>
      <c r="BF427" s="293"/>
      <c r="BG427" s="293"/>
      <c r="BH427" s="293"/>
      <c r="BI427" s="293"/>
      <c r="BJ427" s="293"/>
      <c r="BK427" s="293"/>
      <c r="BL427" s="293"/>
      <c r="BM427" s="293"/>
      <c r="BN427" s="293"/>
      <c r="BO427" s="293"/>
      <c r="BP427" s="293"/>
      <c r="BQ427" s="293"/>
      <c r="BR427" s="293"/>
      <c r="BS427" s="293"/>
      <c r="BT427" s="293"/>
      <c r="BU427" s="293"/>
      <c r="BV427" s="293"/>
      <c r="BW427" s="293"/>
      <c r="BX427" s="293"/>
      <c r="BY427" s="293"/>
      <c r="BZ427" s="293"/>
      <c r="CA427" s="285"/>
      <c r="CB427" s="286"/>
      <c r="CC427" s="286"/>
      <c r="CD427" s="286"/>
      <c r="CE427" s="286"/>
      <c r="CF427" s="286"/>
      <c r="CG427" s="286"/>
      <c r="CH427" s="286"/>
      <c r="CI427" s="286"/>
      <c r="CJ427" s="286"/>
      <c r="CK427" s="286"/>
      <c r="CL427" s="286"/>
      <c r="CM427" s="286"/>
      <c r="CN427" s="286"/>
      <c r="CO427" s="286"/>
      <c r="CP427" s="286"/>
      <c r="CQ427" s="286"/>
      <c r="CR427" s="286"/>
      <c r="CS427" s="286"/>
      <c r="CT427" s="286"/>
      <c r="CU427" s="286"/>
      <c r="CV427" s="286"/>
      <c r="CW427" s="286"/>
      <c r="CX427" s="286"/>
      <c r="CY427" s="286"/>
      <c r="CZ427" s="286"/>
      <c r="DA427" s="286"/>
      <c r="DB427" s="286"/>
      <c r="DC427" s="286"/>
      <c r="DD427" s="286"/>
      <c r="DE427" s="286"/>
      <c r="DF427" s="286"/>
      <c r="DG427" s="286"/>
      <c r="DH427" s="286"/>
      <c r="DI427" s="286"/>
      <c r="DJ427" s="286"/>
      <c r="DK427" s="286"/>
      <c r="DL427" s="286"/>
      <c r="DM427" s="286"/>
      <c r="DN427" s="286"/>
      <c r="DO427" s="286"/>
      <c r="DP427" s="286"/>
      <c r="DR427" s="58" t="str">
        <f>IF(ISNUMBER(MATCH(#REF!,'Audit Characteristic Mapping'!$B$3:$B$500,0)),"Y","")</f>
        <v/>
      </c>
      <c r="DS427" s="58" t="str">
        <f>IF(ISNUMBER(MATCH(#REF!,'Audit Characteristic Mapping'!$C$3:$C$500,0)),"Y","")</f>
        <v/>
      </c>
      <c r="DT427" s="58" t="str">
        <f>IF(ISNUMBER(MATCH(#REF!,'Audit Characteristic Mapping'!$D$3:$D$500,0)),"Y","")</f>
        <v/>
      </c>
      <c r="DU427" s="58" t="str">
        <f>IF(ISNUMBER(MATCH(#REF!,'Audit Characteristic Mapping'!$E$3:$E$500,0)),"Y","")</f>
        <v/>
      </c>
      <c r="DV427" s="58" t="str">
        <f>IF(ISNUMBER(MATCH(#REF!,'Audit Characteristic Mapping'!$F$3:$F$500,0)),"Y","")</f>
        <v/>
      </c>
      <c r="DW427" s="58" t="str">
        <f>IF(ISNUMBER(MATCH(#REF!,'Audit Characteristic Mapping'!$G$3:$G$500,0)),"Y","")</f>
        <v/>
      </c>
      <c r="DX427" s="58" t="str">
        <f>IF(ISNUMBER(MATCH(#REF!,'Audit Characteristic Mapping'!$H$3:$H$500,0)),"Y","")</f>
        <v/>
      </c>
      <c r="DY427" s="58" t="str">
        <f>IF(ISNUMBER(MATCH(#REF!,'Audit Characteristic Mapping'!$I$3:$I$500,0)),"Y","")</f>
        <v/>
      </c>
      <c r="DZ427" s="58" t="str">
        <f>IF(ISNUMBER(MATCH(#REF!,'Audit Characteristic Mapping'!$J$3:$J$500,0)),"Y","")</f>
        <v/>
      </c>
      <c r="EA427" s="58" t="str">
        <f>IF(ISNUMBER(MATCH(#REF!,'Audit Characteristic Mapping'!$K$3:$K$500,0)),"Y","")</f>
        <v/>
      </c>
    </row>
    <row r="428" spans="1:134" ht="33" hidden="1" thickBot="1" x14ac:dyDescent="0.25">
      <c r="A428" s="288">
        <v>421</v>
      </c>
      <c r="B428" s="287" t="s">
        <v>561</v>
      </c>
      <c r="C428" s="226" t="s">
        <v>576</v>
      </c>
      <c r="D428" s="170">
        <v>13</v>
      </c>
      <c r="E428" s="288">
        <v>86</v>
      </c>
      <c r="F428" s="291" t="str">
        <f>VLOOKUP(Calculation!A428,'Descriptor maps'!$A$2:$F$1658,2,0)</f>
        <v>Emergency Planning &amp; Recovery</v>
      </c>
      <c r="G428" s="296"/>
      <c r="H428" s="290"/>
      <c r="I428" s="291"/>
      <c r="J428" s="292" t="e" cm="1">
        <f t="array" ref="J428">INDEX('Descriptor maps'!$I$2:$I$1658,MATCH(1,('Descriptor maps'!$A$2:$A$1658=Calculation!$A428)*('Descriptor maps'!$G$2:$G$1658=Calculation!$G428),0))</f>
        <v>#N/A</v>
      </c>
      <c r="K428" s="226"/>
      <c r="L428" s="293"/>
      <c r="M428" s="293"/>
      <c r="N428" s="293"/>
      <c r="O428" s="293"/>
      <c r="P428" s="293"/>
      <c r="Q428" s="293"/>
      <c r="R428" s="293"/>
      <c r="S428" s="293"/>
      <c r="T428" s="293"/>
      <c r="U428" s="293"/>
      <c r="V428" s="293"/>
      <c r="W428" s="293"/>
      <c r="X428" s="293"/>
      <c r="Y428" s="293"/>
      <c r="Z428" s="293"/>
      <c r="AA428" s="293"/>
      <c r="AB428" s="293"/>
      <c r="AC428" s="293"/>
      <c r="AD428" s="293"/>
      <c r="AE428" s="293"/>
      <c r="AF428" s="293"/>
      <c r="AG428" s="293"/>
      <c r="AH428" s="293"/>
      <c r="AI428" s="293"/>
      <c r="AJ428" s="293"/>
      <c r="AK428" s="293"/>
      <c r="AL428" s="293"/>
      <c r="AM428" s="293"/>
      <c r="AN428" s="293"/>
      <c r="AO428" s="293"/>
      <c r="AP428" s="293"/>
      <c r="AQ428" s="293"/>
      <c r="AR428" s="293"/>
      <c r="AS428" s="293"/>
      <c r="AT428" s="293"/>
      <c r="AU428" s="293"/>
      <c r="AV428" s="293"/>
      <c r="AW428" s="293"/>
      <c r="AX428" s="293"/>
      <c r="AY428" s="293"/>
      <c r="AZ428" s="293"/>
      <c r="BA428" s="293"/>
      <c r="BB428" s="293"/>
      <c r="BC428" s="293"/>
      <c r="BD428" s="293"/>
      <c r="BE428" s="293"/>
      <c r="BF428" s="293"/>
      <c r="BG428" s="293"/>
      <c r="BH428" s="293"/>
      <c r="BI428" s="293"/>
      <c r="BJ428" s="293"/>
      <c r="BK428" s="293"/>
      <c r="BL428" s="293"/>
      <c r="BM428" s="293"/>
      <c r="BN428" s="293"/>
      <c r="BO428" s="293"/>
      <c r="BP428" s="293"/>
      <c r="BQ428" s="293"/>
      <c r="BR428" s="293"/>
      <c r="BS428" s="293"/>
      <c r="BT428" s="293"/>
      <c r="BU428" s="293"/>
      <c r="BV428" s="293"/>
      <c r="BW428" s="293"/>
      <c r="BX428" s="293"/>
      <c r="BY428" s="293"/>
      <c r="BZ428" s="293"/>
      <c r="CA428" s="285"/>
      <c r="CB428" s="286"/>
      <c r="CC428" s="286"/>
      <c r="CD428" s="286"/>
      <c r="CE428" s="286"/>
      <c r="CF428" s="286"/>
      <c r="CG428" s="286"/>
      <c r="CH428" s="286"/>
      <c r="CI428" s="286"/>
      <c r="CJ428" s="286"/>
      <c r="CK428" s="286"/>
      <c r="CL428" s="286"/>
      <c r="CM428" s="286"/>
      <c r="CN428" s="286"/>
      <c r="CO428" s="286"/>
      <c r="CP428" s="286"/>
      <c r="CQ428" s="286"/>
      <c r="CR428" s="286"/>
      <c r="CS428" s="286"/>
      <c r="CT428" s="286"/>
      <c r="CU428" s="286"/>
      <c r="CV428" s="286"/>
      <c r="CW428" s="286"/>
      <c r="CX428" s="286"/>
      <c r="CY428" s="286"/>
      <c r="CZ428" s="286"/>
      <c r="DA428" s="286"/>
      <c r="DB428" s="286"/>
      <c r="DC428" s="286"/>
      <c r="DD428" s="286"/>
      <c r="DE428" s="286"/>
      <c r="DF428" s="286"/>
      <c r="DG428" s="286"/>
      <c r="DH428" s="286"/>
      <c r="DI428" s="286"/>
      <c r="DJ428" s="286"/>
      <c r="DK428" s="286"/>
      <c r="DL428" s="286"/>
      <c r="DM428" s="286"/>
      <c r="DN428" s="286"/>
      <c r="DO428" s="286"/>
      <c r="DP428" s="286"/>
      <c r="DR428" s="58" t="str">
        <f>IF(ISNUMBER(MATCH(#REF!,'Audit Characteristic Mapping'!$B$3:$B$500,0)),"Y","")</f>
        <v/>
      </c>
      <c r="DS428" s="58" t="str">
        <f>IF(ISNUMBER(MATCH(#REF!,'Audit Characteristic Mapping'!$C$3:$C$500,0)),"Y","")</f>
        <v/>
      </c>
      <c r="DT428" s="58" t="str">
        <f>IF(ISNUMBER(MATCH(#REF!,'Audit Characteristic Mapping'!$D$3:$D$500,0)),"Y","")</f>
        <v/>
      </c>
      <c r="DU428" s="58" t="str">
        <f>IF(ISNUMBER(MATCH(#REF!,'Audit Characteristic Mapping'!$E$3:$E$500,0)),"Y","")</f>
        <v/>
      </c>
      <c r="DV428" s="58" t="str">
        <f>IF(ISNUMBER(MATCH(#REF!,'Audit Characteristic Mapping'!$F$3:$F$500,0)),"Y","")</f>
        <v/>
      </c>
      <c r="DW428" s="58" t="str">
        <f>IF(ISNUMBER(MATCH(#REF!,'Audit Characteristic Mapping'!$G$3:$G$500,0)),"Y","")</f>
        <v/>
      </c>
      <c r="DX428" s="58" t="str">
        <f>IF(ISNUMBER(MATCH(#REF!,'Audit Characteristic Mapping'!$H$3:$H$500,0)),"Y","")</f>
        <v/>
      </c>
      <c r="DY428" s="58" t="str">
        <f>IF(ISNUMBER(MATCH(#REF!,'Audit Characteristic Mapping'!$I$3:$I$500,0)),"Y","")</f>
        <v/>
      </c>
      <c r="DZ428" s="58" t="str">
        <f>IF(ISNUMBER(MATCH(#REF!,'Audit Characteristic Mapping'!$J$3:$J$500,0)),"Y","")</f>
        <v/>
      </c>
      <c r="EA428" s="58" t="str">
        <f>IF(ISNUMBER(MATCH(#REF!,'Audit Characteristic Mapping'!$K$3:$K$500,0)),"Y","")</f>
        <v/>
      </c>
    </row>
    <row r="429" spans="1:134" ht="33" hidden="1" thickBot="1" x14ac:dyDescent="0.25">
      <c r="A429" s="288">
        <v>422</v>
      </c>
      <c r="B429" s="287" t="s">
        <v>561</v>
      </c>
      <c r="C429" s="226" t="s">
        <v>576</v>
      </c>
      <c r="D429" s="170">
        <v>13</v>
      </c>
      <c r="E429" s="288">
        <v>86</v>
      </c>
      <c r="F429" s="291" t="str">
        <f>VLOOKUP(Calculation!A429,'Descriptor maps'!$A$2:$F$1658,2,0)</f>
        <v>Emergency Planning &amp; Recovery</v>
      </c>
      <c r="G429" s="296"/>
      <c r="H429" s="290"/>
      <c r="I429" s="291"/>
      <c r="J429" s="292" t="e" cm="1">
        <f t="array" ref="J429">INDEX('Descriptor maps'!$I$2:$I$1658,MATCH(1,('Descriptor maps'!$A$2:$A$1658=Calculation!$A429)*('Descriptor maps'!$G$2:$G$1658=Calculation!$G429),0))</f>
        <v>#N/A</v>
      </c>
      <c r="K429" s="226"/>
      <c r="L429" s="293"/>
      <c r="M429" s="293"/>
      <c r="N429" s="293"/>
      <c r="O429" s="293"/>
      <c r="P429" s="293"/>
      <c r="Q429" s="293"/>
      <c r="R429" s="293"/>
      <c r="S429" s="293"/>
      <c r="T429" s="293"/>
      <c r="U429" s="293"/>
      <c r="V429" s="293"/>
      <c r="W429" s="293"/>
      <c r="X429" s="293"/>
      <c r="Y429" s="293"/>
      <c r="Z429" s="293"/>
      <c r="AA429" s="293"/>
      <c r="AB429" s="293"/>
      <c r="AC429" s="293"/>
      <c r="AD429" s="293"/>
      <c r="AE429" s="293"/>
      <c r="AF429" s="293"/>
      <c r="AG429" s="293"/>
      <c r="AH429" s="293"/>
      <c r="AI429" s="293"/>
      <c r="AJ429" s="293"/>
      <c r="AK429" s="293"/>
      <c r="AL429" s="293"/>
      <c r="AM429" s="293"/>
      <c r="AN429" s="293"/>
      <c r="AO429" s="293"/>
      <c r="AP429" s="293"/>
      <c r="AQ429" s="293"/>
      <c r="AR429" s="293"/>
      <c r="AS429" s="293"/>
      <c r="AT429" s="293"/>
      <c r="AU429" s="293"/>
      <c r="AV429" s="293"/>
      <c r="AW429" s="293"/>
      <c r="AX429" s="293"/>
      <c r="AY429" s="293"/>
      <c r="AZ429" s="293"/>
      <c r="BA429" s="293"/>
      <c r="BB429" s="293"/>
      <c r="BC429" s="293"/>
      <c r="BD429" s="293"/>
      <c r="BE429" s="293"/>
      <c r="BF429" s="293"/>
      <c r="BG429" s="293"/>
      <c r="BH429" s="293"/>
      <c r="BI429" s="293"/>
      <c r="BJ429" s="293"/>
      <c r="BK429" s="293"/>
      <c r="BL429" s="293"/>
      <c r="BM429" s="293"/>
      <c r="BN429" s="293"/>
      <c r="BO429" s="293"/>
      <c r="BP429" s="293"/>
      <c r="BQ429" s="293"/>
      <c r="BR429" s="293"/>
      <c r="BS429" s="293"/>
      <c r="BT429" s="293"/>
      <c r="BU429" s="293"/>
      <c r="BV429" s="293"/>
      <c r="BW429" s="293"/>
      <c r="BX429" s="293"/>
      <c r="BY429" s="293"/>
      <c r="BZ429" s="293"/>
      <c r="CA429" s="285"/>
      <c r="CB429" s="286"/>
      <c r="CC429" s="286"/>
      <c r="CD429" s="286"/>
      <c r="CE429" s="286"/>
      <c r="CF429" s="286"/>
      <c r="CG429" s="286"/>
      <c r="CH429" s="286"/>
      <c r="CI429" s="286"/>
      <c r="CJ429" s="286"/>
      <c r="CK429" s="286"/>
      <c r="CL429" s="286"/>
      <c r="CM429" s="286"/>
      <c r="CN429" s="286"/>
      <c r="CO429" s="286"/>
      <c r="CP429" s="286"/>
      <c r="CQ429" s="286"/>
      <c r="CR429" s="286"/>
      <c r="CS429" s="286"/>
      <c r="CT429" s="286"/>
      <c r="CU429" s="286"/>
      <c r="CV429" s="286"/>
      <c r="CW429" s="286"/>
      <c r="CX429" s="286"/>
      <c r="CY429" s="286"/>
      <c r="CZ429" s="286"/>
      <c r="DA429" s="286"/>
      <c r="DB429" s="286"/>
      <c r="DC429" s="286"/>
      <c r="DD429" s="286"/>
      <c r="DE429" s="286"/>
      <c r="DF429" s="286"/>
      <c r="DG429" s="286"/>
      <c r="DH429" s="286"/>
      <c r="DI429" s="286"/>
      <c r="DJ429" s="286"/>
      <c r="DK429" s="286"/>
      <c r="DL429" s="286"/>
      <c r="DM429" s="286"/>
      <c r="DN429" s="286"/>
      <c r="DO429" s="286"/>
      <c r="DP429" s="286"/>
      <c r="DR429" s="58" t="str">
        <f>IF(ISNUMBER(MATCH(#REF!,'Audit Characteristic Mapping'!$B$3:$B$500,0)),"Y","")</f>
        <v/>
      </c>
      <c r="DS429" s="58" t="str">
        <f>IF(ISNUMBER(MATCH(#REF!,'Audit Characteristic Mapping'!$C$3:$C$500,0)),"Y","")</f>
        <v/>
      </c>
      <c r="DT429" s="58" t="str">
        <f>IF(ISNUMBER(MATCH(#REF!,'Audit Characteristic Mapping'!$D$3:$D$500,0)),"Y","")</f>
        <v/>
      </c>
      <c r="DU429" s="58" t="str">
        <f>IF(ISNUMBER(MATCH(#REF!,'Audit Characteristic Mapping'!$E$3:$E$500,0)),"Y","")</f>
        <v/>
      </c>
      <c r="DV429" s="58" t="str">
        <f>IF(ISNUMBER(MATCH(#REF!,'Audit Characteristic Mapping'!$F$3:$F$500,0)),"Y","")</f>
        <v/>
      </c>
      <c r="DW429" s="58" t="str">
        <f>IF(ISNUMBER(MATCH(#REF!,'Audit Characteristic Mapping'!$G$3:$G$500,0)),"Y","")</f>
        <v/>
      </c>
      <c r="DX429" s="58" t="str">
        <f>IF(ISNUMBER(MATCH(#REF!,'Audit Characteristic Mapping'!$H$3:$H$500,0)),"Y","")</f>
        <v/>
      </c>
      <c r="DY429" s="58" t="str">
        <f>IF(ISNUMBER(MATCH(#REF!,'Audit Characteristic Mapping'!$I$3:$I$500,0)),"Y","")</f>
        <v/>
      </c>
      <c r="DZ429" s="58" t="str">
        <f>IF(ISNUMBER(MATCH(#REF!,'Audit Characteristic Mapping'!$J$3:$J$500,0)),"Y","")</f>
        <v/>
      </c>
      <c r="EA429" s="58" t="str">
        <f>IF(ISNUMBER(MATCH(#REF!,'Audit Characteristic Mapping'!$K$3:$K$500,0)),"Y","")</f>
        <v/>
      </c>
    </row>
    <row r="430" spans="1:134" ht="33" hidden="1" thickBot="1" x14ac:dyDescent="0.25">
      <c r="A430" s="288">
        <v>423</v>
      </c>
      <c r="B430" s="287" t="s">
        <v>561</v>
      </c>
      <c r="C430" s="226" t="s">
        <v>576</v>
      </c>
      <c r="D430" s="170">
        <v>13</v>
      </c>
      <c r="E430" s="288">
        <v>86</v>
      </c>
      <c r="F430" s="291" t="str">
        <f>VLOOKUP(Calculation!A430,'Descriptor maps'!$A$2:$F$1658,2,0)</f>
        <v>Emergency Planning &amp; Recovery</v>
      </c>
      <c r="G430" s="296"/>
      <c r="H430" s="290"/>
      <c r="I430" s="291"/>
      <c r="J430" s="292" t="e" cm="1">
        <f t="array" ref="J430">INDEX('Descriptor maps'!$I$2:$I$1658,MATCH(1,('Descriptor maps'!$A$2:$A$1658=Calculation!$A430)*('Descriptor maps'!$G$2:$G$1658=Calculation!$G430),0))</f>
        <v>#N/A</v>
      </c>
      <c r="K430" s="226"/>
      <c r="L430" s="293"/>
      <c r="M430" s="293"/>
      <c r="N430" s="293"/>
      <c r="O430" s="293"/>
      <c r="P430" s="293"/>
      <c r="Q430" s="293"/>
      <c r="R430" s="293"/>
      <c r="S430" s="293"/>
      <c r="T430" s="293"/>
      <c r="U430" s="293"/>
      <c r="V430" s="293"/>
      <c r="W430" s="293"/>
      <c r="X430" s="293"/>
      <c r="Y430" s="293"/>
      <c r="Z430" s="293"/>
      <c r="AA430" s="293"/>
      <c r="AB430" s="293"/>
      <c r="AC430" s="293"/>
      <c r="AD430" s="293"/>
      <c r="AE430" s="293"/>
      <c r="AF430" s="293"/>
      <c r="AG430" s="293"/>
      <c r="AH430" s="293"/>
      <c r="AI430" s="293"/>
      <c r="AJ430" s="293"/>
      <c r="AK430" s="293"/>
      <c r="AL430" s="293"/>
      <c r="AM430" s="293"/>
      <c r="AN430" s="293"/>
      <c r="AO430" s="293"/>
      <c r="AP430" s="293"/>
      <c r="AQ430" s="293"/>
      <c r="AR430" s="293"/>
      <c r="AS430" s="293"/>
      <c r="AT430" s="293"/>
      <c r="AU430" s="293"/>
      <c r="AV430" s="293"/>
      <c r="AW430" s="293"/>
      <c r="AX430" s="293"/>
      <c r="AY430" s="293"/>
      <c r="AZ430" s="293"/>
      <c r="BA430" s="293"/>
      <c r="BB430" s="293"/>
      <c r="BC430" s="293"/>
      <c r="BD430" s="293"/>
      <c r="BE430" s="293"/>
      <c r="BF430" s="293"/>
      <c r="BG430" s="293"/>
      <c r="BH430" s="293"/>
      <c r="BI430" s="293"/>
      <c r="BJ430" s="293"/>
      <c r="BK430" s="293"/>
      <c r="BL430" s="293"/>
      <c r="BM430" s="293"/>
      <c r="BN430" s="293"/>
      <c r="BO430" s="293"/>
      <c r="BP430" s="293"/>
      <c r="BQ430" s="293"/>
      <c r="BR430" s="293"/>
      <c r="BS430" s="293"/>
      <c r="BT430" s="293"/>
      <c r="BU430" s="293"/>
      <c r="BV430" s="293"/>
      <c r="BW430" s="293"/>
      <c r="BX430" s="293"/>
      <c r="BY430" s="293"/>
      <c r="BZ430" s="293"/>
      <c r="CA430" s="285"/>
      <c r="CB430" s="286"/>
      <c r="CC430" s="286"/>
      <c r="CD430" s="286"/>
      <c r="CE430" s="286"/>
      <c r="CF430" s="286"/>
      <c r="CG430" s="286"/>
      <c r="CH430" s="286"/>
      <c r="CI430" s="286"/>
      <c r="CJ430" s="286"/>
      <c r="CK430" s="286"/>
      <c r="CL430" s="286"/>
      <c r="CM430" s="286"/>
      <c r="CN430" s="286"/>
      <c r="CO430" s="286"/>
      <c r="CP430" s="286"/>
      <c r="CQ430" s="286"/>
      <c r="CR430" s="286"/>
      <c r="CS430" s="286"/>
      <c r="CT430" s="286"/>
      <c r="CU430" s="286"/>
      <c r="CV430" s="286"/>
      <c r="CW430" s="286"/>
      <c r="CX430" s="286"/>
      <c r="CY430" s="286"/>
      <c r="CZ430" s="286"/>
      <c r="DA430" s="286"/>
      <c r="DB430" s="286"/>
      <c r="DC430" s="286"/>
      <c r="DD430" s="286"/>
      <c r="DE430" s="286"/>
      <c r="DF430" s="286"/>
      <c r="DG430" s="286"/>
      <c r="DH430" s="286"/>
      <c r="DI430" s="286"/>
      <c r="DJ430" s="286"/>
      <c r="DK430" s="286"/>
      <c r="DL430" s="286"/>
      <c r="DM430" s="286"/>
      <c r="DN430" s="286"/>
      <c r="DO430" s="286"/>
      <c r="DP430" s="286"/>
      <c r="DR430" s="58" t="str">
        <f>IF(ISNUMBER(MATCH(#REF!,'Audit Characteristic Mapping'!$B$3:$B$500,0)),"Y","")</f>
        <v/>
      </c>
      <c r="DS430" s="58" t="str">
        <f>IF(ISNUMBER(MATCH(#REF!,'Audit Characteristic Mapping'!$C$3:$C$500,0)),"Y","")</f>
        <v/>
      </c>
      <c r="DT430" s="58" t="str">
        <f>IF(ISNUMBER(MATCH(#REF!,'Audit Characteristic Mapping'!$D$3:$D$500,0)),"Y","")</f>
        <v/>
      </c>
      <c r="DU430" s="58" t="str">
        <f>IF(ISNUMBER(MATCH(#REF!,'Audit Characteristic Mapping'!$E$3:$E$500,0)),"Y","")</f>
        <v/>
      </c>
      <c r="DV430" s="58" t="str">
        <f>IF(ISNUMBER(MATCH(#REF!,'Audit Characteristic Mapping'!$F$3:$F$500,0)),"Y","")</f>
        <v/>
      </c>
      <c r="DW430" s="58" t="str">
        <f>IF(ISNUMBER(MATCH(#REF!,'Audit Characteristic Mapping'!$G$3:$G$500,0)),"Y","")</f>
        <v/>
      </c>
      <c r="DX430" s="58" t="str">
        <f>IF(ISNUMBER(MATCH(#REF!,'Audit Characteristic Mapping'!$H$3:$H$500,0)),"Y","")</f>
        <v/>
      </c>
      <c r="DY430" s="58" t="str">
        <f>IF(ISNUMBER(MATCH(#REF!,'Audit Characteristic Mapping'!$I$3:$I$500,0)),"Y","")</f>
        <v/>
      </c>
      <c r="DZ430" s="58" t="str">
        <f>IF(ISNUMBER(MATCH(#REF!,'Audit Characteristic Mapping'!$J$3:$J$500,0)),"Y","")</f>
        <v/>
      </c>
      <c r="EA430" s="58" t="str">
        <f>IF(ISNUMBER(MATCH(#REF!,'Audit Characteristic Mapping'!$K$3:$K$500,0)),"Y","")</f>
        <v/>
      </c>
    </row>
    <row r="431" spans="1:134" ht="33" hidden="1" thickBot="1" x14ac:dyDescent="0.25">
      <c r="A431" s="288">
        <v>424</v>
      </c>
      <c r="B431" s="287" t="s">
        <v>561</v>
      </c>
      <c r="C431" s="226" t="s">
        <v>576</v>
      </c>
      <c r="D431" s="170">
        <v>13</v>
      </c>
      <c r="E431" s="288">
        <v>86</v>
      </c>
      <c r="F431" s="291" t="str">
        <f>VLOOKUP(Calculation!A431,'Descriptor maps'!$A$2:$F$1658,2,0)</f>
        <v>Emergency Planning &amp; Recovery</v>
      </c>
      <c r="G431" s="296"/>
      <c r="H431" s="290"/>
      <c r="I431" s="291"/>
      <c r="J431" s="292" t="e" cm="1">
        <f t="array" ref="J431">INDEX('Descriptor maps'!$I$2:$I$1658,MATCH(1,('Descriptor maps'!$A$2:$A$1658=Calculation!$A431)*('Descriptor maps'!$G$2:$G$1658=Calculation!$G431),0))</f>
        <v>#N/A</v>
      </c>
      <c r="K431" s="226"/>
      <c r="L431" s="293"/>
      <c r="M431" s="293"/>
      <c r="N431" s="293"/>
      <c r="O431" s="293"/>
      <c r="P431" s="293"/>
      <c r="Q431" s="293"/>
      <c r="R431" s="293"/>
      <c r="S431" s="293"/>
      <c r="T431" s="293"/>
      <c r="U431" s="293"/>
      <c r="V431" s="293"/>
      <c r="W431" s="293"/>
      <c r="X431" s="293"/>
      <c r="Y431" s="293"/>
      <c r="Z431" s="293"/>
      <c r="AA431" s="293"/>
      <c r="AB431" s="293"/>
      <c r="AC431" s="293"/>
      <c r="AD431" s="293"/>
      <c r="AE431" s="293"/>
      <c r="AF431" s="293"/>
      <c r="AG431" s="293"/>
      <c r="AH431" s="293"/>
      <c r="AI431" s="293"/>
      <c r="AJ431" s="293"/>
      <c r="AK431" s="293"/>
      <c r="AL431" s="293"/>
      <c r="AM431" s="293"/>
      <c r="AN431" s="293"/>
      <c r="AO431" s="293"/>
      <c r="AP431" s="293"/>
      <c r="AQ431" s="293"/>
      <c r="AR431" s="293"/>
      <c r="AS431" s="293"/>
      <c r="AT431" s="293"/>
      <c r="AU431" s="293"/>
      <c r="AV431" s="293"/>
      <c r="AW431" s="293"/>
      <c r="AX431" s="293"/>
      <c r="AY431" s="293"/>
      <c r="AZ431" s="293"/>
      <c r="BA431" s="293"/>
      <c r="BB431" s="293"/>
      <c r="BC431" s="293"/>
      <c r="BD431" s="293"/>
      <c r="BE431" s="293"/>
      <c r="BF431" s="293"/>
      <c r="BG431" s="293"/>
      <c r="BH431" s="293"/>
      <c r="BI431" s="293"/>
      <c r="BJ431" s="293"/>
      <c r="BK431" s="293"/>
      <c r="BL431" s="293"/>
      <c r="BM431" s="293"/>
      <c r="BN431" s="293"/>
      <c r="BO431" s="293"/>
      <c r="BP431" s="293"/>
      <c r="BQ431" s="293"/>
      <c r="BR431" s="293"/>
      <c r="BS431" s="293"/>
      <c r="BT431" s="293"/>
      <c r="BU431" s="293"/>
      <c r="BV431" s="293"/>
      <c r="BW431" s="293"/>
      <c r="BX431" s="293"/>
      <c r="BY431" s="293"/>
      <c r="BZ431" s="293"/>
      <c r="CA431" s="285"/>
      <c r="CB431" s="286"/>
      <c r="CC431" s="286"/>
      <c r="CD431" s="286"/>
      <c r="CE431" s="286"/>
      <c r="CF431" s="286"/>
      <c r="CG431" s="286"/>
      <c r="CH431" s="286"/>
      <c r="CI431" s="286"/>
      <c r="CJ431" s="286"/>
      <c r="CK431" s="286"/>
      <c r="CL431" s="286"/>
      <c r="CM431" s="286"/>
      <c r="CN431" s="286"/>
      <c r="CO431" s="286"/>
      <c r="CP431" s="286"/>
      <c r="CQ431" s="286"/>
      <c r="CR431" s="286"/>
      <c r="CS431" s="286"/>
      <c r="CT431" s="286"/>
      <c r="CU431" s="286"/>
      <c r="CV431" s="286"/>
      <c r="CW431" s="286"/>
      <c r="CX431" s="286"/>
      <c r="CY431" s="286"/>
      <c r="CZ431" s="286"/>
      <c r="DA431" s="286"/>
      <c r="DB431" s="286"/>
      <c r="DC431" s="286"/>
      <c r="DD431" s="286"/>
      <c r="DE431" s="286"/>
      <c r="DF431" s="286"/>
      <c r="DG431" s="286"/>
      <c r="DH431" s="286"/>
      <c r="DI431" s="286"/>
      <c r="DJ431" s="286"/>
      <c r="DK431" s="286"/>
      <c r="DL431" s="286"/>
      <c r="DM431" s="286"/>
      <c r="DN431" s="286"/>
      <c r="DO431" s="286"/>
      <c r="DP431" s="286"/>
      <c r="DR431" s="58" t="str">
        <f>IF(ISNUMBER(MATCH(#REF!,'Audit Characteristic Mapping'!$B$3:$B$500,0)),"Y","")</f>
        <v/>
      </c>
      <c r="DS431" s="58" t="str">
        <f>IF(ISNUMBER(MATCH(#REF!,'Audit Characteristic Mapping'!$C$3:$C$500,0)),"Y","")</f>
        <v/>
      </c>
      <c r="DT431" s="58" t="str">
        <f>IF(ISNUMBER(MATCH(#REF!,'Audit Characteristic Mapping'!$D$3:$D$500,0)),"Y","")</f>
        <v/>
      </c>
      <c r="DU431" s="58" t="str">
        <f>IF(ISNUMBER(MATCH(#REF!,'Audit Characteristic Mapping'!$E$3:$E$500,0)),"Y","")</f>
        <v/>
      </c>
      <c r="DV431" s="58" t="str">
        <f>IF(ISNUMBER(MATCH(#REF!,'Audit Characteristic Mapping'!$F$3:$F$500,0)),"Y","")</f>
        <v/>
      </c>
      <c r="DW431" s="58" t="str">
        <f>IF(ISNUMBER(MATCH(#REF!,'Audit Characteristic Mapping'!$G$3:$G$500,0)),"Y","")</f>
        <v/>
      </c>
      <c r="DX431" s="58" t="str">
        <f>IF(ISNUMBER(MATCH(#REF!,'Audit Characteristic Mapping'!$H$3:$H$500,0)),"Y","")</f>
        <v/>
      </c>
      <c r="DY431" s="58" t="str">
        <f>IF(ISNUMBER(MATCH(#REF!,'Audit Characteristic Mapping'!$I$3:$I$500,0)),"Y","")</f>
        <v/>
      </c>
      <c r="DZ431" s="58" t="str">
        <f>IF(ISNUMBER(MATCH(#REF!,'Audit Characteristic Mapping'!$J$3:$J$500,0)),"Y","")</f>
        <v/>
      </c>
      <c r="EA431" s="58" t="str">
        <f>IF(ISNUMBER(MATCH(#REF!,'Audit Characteristic Mapping'!$K$3:$K$500,0)),"Y","")</f>
        <v/>
      </c>
    </row>
    <row r="432" spans="1:134" ht="33" hidden="1" thickBot="1" x14ac:dyDescent="0.25">
      <c r="A432" s="288">
        <v>425</v>
      </c>
      <c r="B432" s="287" t="s">
        <v>582</v>
      </c>
      <c r="C432" s="226" t="s">
        <v>583</v>
      </c>
      <c r="D432" s="170">
        <v>14</v>
      </c>
      <c r="E432" s="288">
        <v>87</v>
      </c>
      <c r="F432" s="291" t="str">
        <f>VLOOKUP(Calculation!A432,'Descriptor maps'!$A$2:$F$1658,2,0)</f>
        <v>Lessons learned and implementation</v>
      </c>
      <c r="G432" s="296"/>
      <c r="H432" s="290"/>
      <c r="I432" s="291"/>
      <c r="J432" s="292" t="e" cm="1">
        <f t="array" ref="J432">INDEX('Descriptor maps'!$I$2:$I$1658,MATCH(1,('Descriptor maps'!$A$2:$A$1658=Calculation!$A432)*('Descriptor maps'!$G$2:$G$1658=Calculation!$G432),0))</f>
        <v>#N/A</v>
      </c>
      <c r="K432" s="226"/>
      <c r="L432" s="293"/>
      <c r="M432" s="293"/>
      <c r="N432" s="293"/>
      <c r="O432" s="293"/>
      <c r="P432" s="293"/>
      <c r="Q432" s="293"/>
      <c r="R432" s="293"/>
      <c r="S432" s="293"/>
      <c r="T432" s="293"/>
      <c r="U432" s="293"/>
      <c r="V432" s="293"/>
      <c r="W432" s="293"/>
      <c r="X432" s="293"/>
      <c r="Y432" s="293"/>
      <c r="Z432" s="293"/>
      <c r="AA432" s="293"/>
      <c r="AB432" s="293"/>
      <c r="AC432" s="293"/>
      <c r="AD432" s="293"/>
      <c r="AE432" s="293"/>
      <c r="AF432" s="293"/>
      <c r="AG432" s="293"/>
      <c r="AH432" s="293"/>
      <c r="AI432" s="293"/>
      <c r="AJ432" s="293"/>
      <c r="AK432" s="293"/>
      <c r="AL432" s="293"/>
      <c r="AM432" s="293"/>
      <c r="AN432" s="293"/>
      <c r="AO432" s="293"/>
      <c r="AP432" s="293"/>
      <c r="AQ432" s="293"/>
      <c r="AR432" s="293"/>
      <c r="AS432" s="293"/>
      <c r="AT432" s="293"/>
      <c r="AU432" s="293"/>
      <c r="AV432" s="293"/>
      <c r="AW432" s="293"/>
      <c r="AX432" s="293"/>
      <c r="AY432" s="293"/>
      <c r="AZ432" s="293"/>
      <c r="BA432" s="293"/>
      <c r="BB432" s="293"/>
      <c r="BC432" s="293"/>
      <c r="BD432" s="293"/>
      <c r="BE432" s="293"/>
      <c r="BF432" s="293"/>
      <c r="BG432" s="293"/>
      <c r="BH432" s="293"/>
      <c r="BI432" s="293"/>
      <c r="BJ432" s="293"/>
      <c r="BK432" s="293"/>
      <c r="BL432" s="293"/>
      <c r="BM432" s="293"/>
      <c r="BN432" s="293"/>
      <c r="BO432" s="293"/>
      <c r="BP432" s="293"/>
      <c r="BQ432" s="293"/>
      <c r="BR432" s="293"/>
      <c r="BS432" s="293"/>
      <c r="BT432" s="293"/>
      <c r="BU432" s="293"/>
      <c r="BV432" s="293"/>
      <c r="BW432" s="293"/>
      <c r="BX432" s="293"/>
      <c r="BY432" s="293"/>
      <c r="BZ432" s="293"/>
      <c r="CA432" s="285"/>
      <c r="CB432" s="286"/>
      <c r="CC432" s="286"/>
      <c r="CD432" s="286"/>
      <c r="CE432" s="286"/>
      <c r="CF432" s="286"/>
      <c r="CG432" s="286"/>
      <c r="CH432" s="286"/>
      <c r="CI432" s="286"/>
      <c r="CJ432" s="286"/>
      <c r="CK432" s="286"/>
      <c r="CL432" s="286"/>
      <c r="CM432" s="286"/>
      <c r="CN432" s="286"/>
      <c r="CO432" s="286"/>
      <c r="CP432" s="286"/>
      <c r="CQ432" s="286"/>
      <c r="CR432" s="286"/>
      <c r="CS432" s="286"/>
      <c r="CT432" s="286"/>
      <c r="CU432" s="286"/>
      <c r="CV432" s="286"/>
      <c r="CW432" s="286"/>
      <c r="CX432" s="286"/>
      <c r="CY432" s="286"/>
      <c r="CZ432" s="286"/>
      <c r="DA432" s="286"/>
      <c r="DB432" s="286"/>
      <c r="DC432" s="286"/>
      <c r="DD432" s="286"/>
      <c r="DE432" s="286"/>
      <c r="DF432" s="286"/>
      <c r="DG432" s="286"/>
      <c r="DH432" s="286"/>
      <c r="DI432" s="286"/>
      <c r="DJ432" s="286"/>
      <c r="DK432" s="286"/>
      <c r="DL432" s="286"/>
      <c r="DM432" s="286"/>
      <c r="DN432" s="286"/>
      <c r="DO432" s="286"/>
      <c r="DP432" s="286"/>
      <c r="DR432" s="58" t="str">
        <f>IF(ISNUMBER(MATCH(#REF!,'Audit Characteristic Mapping'!$B$3:$B$500,0)),"Y","")</f>
        <v/>
      </c>
      <c r="DS432" s="58" t="str">
        <f>IF(ISNUMBER(MATCH(#REF!,'Audit Characteristic Mapping'!$C$3:$C$500,0)),"Y","")</f>
        <v/>
      </c>
      <c r="DT432" s="58" t="str">
        <f>IF(ISNUMBER(MATCH(#REF!,'Audit Characteristic Mapping'!$D$3:$D$500,0)),"Y","")</f>
        <v/>
      </c>
      <c r="DU432" s="58" t="str">
        <f>IF(ISNUMBER(MATCH(#REF!,'Audit Characteristic Mapping'!$E$3:$E$500,0)),"Y","")</f>
        <v/>
      </c>
      <c r="DV432" s="58" t="str">
        <f>IF(ISNUMBER(MATCH(#REF!,'Audit Characteristic Mapping'!$F$3:$F$500,0)),"Y","")</f>
        <v/>
      </c>
      <c r="DW432" s="58" t="str">
        <f>IF(ISNUMBER(MATCH(#REF!,'Audit Characteristic Mapping'!$G$3:$G$500,0)),"Y","")</f>
        <v/>
      </c>
      <c r="DX432" s="58" t="str">
        <f>IF(ISNUMBER(MATCH(#REF!,'Audit Characteristic Mapping'!$H$3:$H$500,0)),"Y","")</f>
        <v/>
      </c>
      <c r="DY432" s="58" t="str">
        <f>IF(ISNUMBER(MATCH(#REF!,'Audit Characteristic Mapping'!$I$3:$I$500,0)),"Y","")</f>
        <v/>
      </c>
      <c r="DZ432" s="58" t="str">
        <f>IF(ISNUMBER(MATCH(#REF!,'Audit Characteristic Mapping'!$J$3:$J$500,0)),"Y","")</f>
        <v/>
      </c>
      <c r="EA432" s="58" t="str">
        <f>IF(ISNUMBER(MATCH(#REF!,'Audit Characteristic Mapping'!$K$3:$K$500,0)),"Y","")</f>
        <v/>
      </c>
    </row>
    <row r="433" spans="1:131" ht="33" hidden="1" thickBot="1" x14ac:dyDescent="0.25">
      <c r="A433" s="288">
        <v>426</v>
      </c>
      <c r="B433" s="287" t="s">
        <v>582</v>
      </c>
      <c r="C433" s="226" t="s">
        <v>583</v>
      </c>
      <c r="D433" s="170">
        <v>14</v>
      </c>
      <c r="E433" s="288">
        <v>87</v>
      </c>
      <c r="F433" s="291" t="str">
        <f>VLOOKUP(Calculation!A433,'Descriptor maps'!$A$2:$F$1658,2,0)</f>
        <v>Lessons learned and implementation</v>
      </c>
      <c r="G433" s="296"/>
      <c r="H433" s="290"/>
      <c r="I433" s="291"/>
      <c r="J433" s="292" t="e" cm="1">
        <f t="array" ref="J433">INDEX('Descriptor maps'!$I$2:$I$1658,MATCH(1,('Descriptor maps'!$A$2:$A$1658=Calculation!$A433)*('Descriptor maps'!$G$2:$G$1658=Calculation!$G433),0))</f>
        <v>#N/A</v>
      </c>
      <c r="K433" s="226"/>
      <c r="L433" s="293"/>
      <c r="M433" s="293"/>
      <c r="N433" s="293"/>
      <c r="O433" s="293"/>
      <c r="P433" s="293"/>
      <c r="Q433" s="293"/>
      <c r="R433" s="293"/>
      <c r="S433" s="293"/>
      <c r="T433" s="293"/>
      <c r="U433" s="293"/>
      <c r="V433" s="293"/>
      <c r="W433" s="293"/>
      <c r="X433" s="293"/>
      <c r="Y433" s="293"/>
      <c r="Z433" s="293"/>
      <c r="AA433" s="293"/>
      <c r="AB433" s="293"/>
      <c r="AC433" s="293"/>
      <c r="AD433" s="293"/>
      <c r="AE433" s="293"/>
      <c r="AF433" s="293"/>
      <c r="AG433" s="293"/>
      <c r="AH433" s="293"/>
      <c r="AI433" s="293"/>
      <c r="AJ433" s="293"/>
      <c r="AK433" s="293"/>
      <c r="AL433" s="293"/>
      <c r="AM433" s="293"/>
      <c r="AN433" s="293"/>
      <c r="AO433" s="293"/>
      <c r="AP433" s="293"/>
      <c r="AQ433" s="293"/>
      <c r="AR433" s="293"/>
      <c r="AS433" s="293"/>
      <c r="AT433" s="293"/>
      <c r="AU433" s="293"/>
      <c r="AV433" s="293"/>
      <c r="AW433" s="293"/>
      <c r="AX433" s="293"/>
      <c r="AY433" s="293"/>
      <c r="AZ433" s="293"/>
      <c r="BA433" s="293"/>
      <c r="BB433" s="293"/>
      <c r="BC433" s="293"/>
      <c r="BD433" s="293"/>
      <c r="BE433" s="293"/>
      <c r="BF433" s="293"/>
      <c r="BG433" s="293"/>
      <c r="BH433" s="293"/>
      <c r="BI433" s="293"/>
      <c r="BJ433" s="293"/>
      <c r="BK433" s="293"/>
      <c r="BL433" s="293"/>
      <c r="BM433" s="293"/>
      <c r="BN433" s="293"/>
      <c r="BO433" s="293"/>
      <c r="BP433" s="293"/>
      <c r="BQ433" s="293"/>
      <c r="BR433" s="293"/>
      <c r="BS433" s="293"/>
      <c r="BT433" s="293"/>
      <c r="BU433" s="293"/>
      <c r="BV433" s="293"/>
      <c r="BW433" s="293"/>
      <c r="BX433" s="293"/>
      <c r="BY433" s="293"/>
      <c r="BZ433" s="293"/>
      <c r="CA433" s="285"/>
      <c r="CB433" s="286"/>
      <c r="CC433" s="286"/>
      <c r="CD433" s="286"/>
      <c r="CE433" s="286"/>
      <c r="CF433" s="286"/>
      <c r="CG433" s="286"/>
      <c r="CH433" s="286"/>
      <c r="CI433" s="286"/>
      <c r="CJ433" s="286"/>
      <c r="CK433" s="286"/>
      <c r="CL433" s="286"/>
      <c r="CM433" s="286"/>
      <c r="CN433" s="286"/>
      <c r="CO433" s="286"/>
      <c r="CP433" s="286"/>
      <c r="CQ433" s="286"/>
      <c r="CR433" s="286"/>
      <c r="CS433" s="286"/>
      <c r="CT433" s="286"/>
      <c r="CU433" s="286"/>
      <c r="CV433" s="286"/>
      <c r="CW433" s="286"/>
      <c r="CX433" s="286"/>
      <c r="CY433" s="286"/>
      <c r="CZ433" s="286"/>
      <c r="DA433" s="286"/>
      <c r="DB433" s="286"/>
      <c r="DC433" s="286"/>
      <c r="DD433" s="286"/>
      <c r="DE433" s="286"/>
      <c r="DF433" s="286"/>
      <c r="DG433" s="286"/>
      <c r="DH433" s="286"/>
      <c r="DI433" s="286"/>
      <c r="DJ433" s="286"/>
      <c r="DK433" s="286"/>
      <c r="DL433" s="286"/>
      <c r="DM433" s="286"/>
      <c r="DN433" s="286"/>
      <c r="DO433" s="286"/>
      <c r="DP433" s="286"/>
      <c r="DR433" s="58" t="str">
        <f>IF(ISNUMBER(MATCH(#REF!,'Audit Characteristic Mapping'!$B$3:$B$500,0)),"Y","")</f>
        <v/>
      </c>
      <c r="DS433" s="58" t="str">
        <f>IF(ISNUMBER(MATCH(#REF!,'Audit Characteristic Mapping'!$C$3:$C$500,0)),"Y","")</f>
        <v/>
      </c>
      <c r="DT433" s="58" t="str">
        <f>IF(ISNUMBER(MATCH(#REF!,'Audit Characteristic Mapping'!$D$3:$D$500,0)),"Y","")</f>
        <v/>
      </c>
      <c r="DU433" s="58" t="str">
        <f>IF(ISNUMBER(MATCH(#REF!,'Audit Characteristic Mapping'!$E$3:$E$500,0)),"Y","")</f>
        <v/>
      </c>
      <c r="DV433" s="58" t="str">
        <f>IF(ISNUMBER(MATCH(#REF!,'Audit Characteristic Mapping'!$F$3:$F$500,0)),"Y","")</f>
        <v/>
      </c>
      <c r="DW433" s="58" t="str">
        <f>IF(ISNUMBER(MATCH(#REF!,'Audit Characteristic Mapping'!$G$3:$G$500,0)),"Y","")</f>
        <v/>
      </c>
      <c r="DX433" s="58" t="str">
        <f>IF(ISNUMBER(MATCH(#REF!,'Audit Characteristic Mapping'!$H$3:$H$500,0)),"Y","")</f>
        <v/>
      </c>
      <c r="DY433" s="58" t="str">
        <f>IF(ISNUMBER(MATCH(#REF!,'Audit Characteristic Mapping'!$I$3:$I$500,0)),"Y","")</f>
        <v/>
      </c>
      <c r="DZ433" s="58" t="str">
        <f>IF(ISNUMBER(MATCH(#REF!,'Audit Characteristic Mapping'!$J$3:$J$500,0)),"Y","")</f>
        <v/>
      </c>
      <c r="EA433" s="58" t="str">
        <f>IF(ISNUMBER(MATCH(#REF!,'Audit Characteristic Mapping'!$K$3:$K$500,0)),"Y","")</f>
        <v/>
      </c>
    </row>
    <row r="434" spans="1:131" ht="33" hidden="1" thickBot="1" x14ac:dyDescent="0.25">
      <c r="A434" s="288">
        <v>427</v>
      </c>
      <c r="B434" s="287" t="s">
        <v>582</v>
      </c>
      <c r="C434" s="226" t="s">
        <v>586</v>
      </c>
      <c r="D434" s="170">
        <v>14</v>
      </c>
      <c r="E434" s="288">
        <v>88</v>
      </c>
      <c r="F434" s="291" t="str">
        <f>VLOOKUP(Calculation!A434,'Descriptor maps'!$A$2:$F$1658,2,0)</f>
        <v>Lessons learned and implementation</v>
      </c>
      <c r="G434" s="296"/>
      <c r="H434" s="290"/>
      <c r="I434" s="291"/>
      <c r="J434" s="292" t="e" cm="1">
        <f t="array" ref="J434">INDEX('Descriptor maps'!$I$2:$I$1658,MATCH(1,('Descriptor maps'!$A$2:$A$1658=Calculation!$A434)*('Descriptor maps'!$G$2:$G$1658=Calculation!$G434),0))</f>
        <v>#N/A</v>
      </c>
      <c r="K434" s="226"/>
      <c r="L434" s="293"/>
      <c r="M434" s="293"/>
      <c r="N434" s="293"/>
      <c r="O434" s="293"/>
      <c r="P434" s="293"/>
      <c r="Q434" s="293"/>
      <c r="R434" s="293"/>
      <c r="S434" s="293"/>
      <c r="T434" s="293"/>
      <c r="U434" s="293"/>
      <c r="V434" s="293"/>
      <c r="W434" s="293"/>
      <c r="X434" s="293"/>
      <c r="Y434" s="293"/>
      <c r="Z434" s="293"/>
      <c r="AA434" s="293"/>
      <c r="AB434" s="293"/>
      <c r="AC434" s="293"/>
      <c r="AD434" s="293"/>
      <c r="AE434" s="293"/>
      <c r="AF434" s="293"/>
      <c r="AG434" s="293"/>
      <c r="AH434" s="293"/>
      <c r="AI434" s="293"/>
      <c r="AJ434" s="293"/>
      <c r="AK434" s="293"/>
      <c r="AL434" s="293"/>
      <c r="AM434" s="293"/>
      <c r="AN434" s="293"/>
      <c r="AO434" s="293"/>
      <c r="AP434" s="293"/>
      <c r="AQ434" s="293"/>
      <c r="AR434" s="293"/>
      <c r="AS434" s="293"/>
      <c r="AT434" s="293"/>
      <c r="AU434" s="293"/>
      <c r="AV434" s="293"/>
      <c r="AW434" s="293"/>
      <c r="AX434" s="293"/>
      <c r="AY434" s="293"/>
      <c r="AZ434" s="293"/>
      <c r="BA434" s="293"/>
      <c r="BB434" s="293"/>
      <c r="BC434" s="293"/>
      <c r="BD434" s="293"/>
      <c r="BE434" s="293"/>
      <c r="BF434" s="293"/>
      <c r="BG434" s="293"/>
      <c r="BH434" s="293"/>
      <c r="BI434" s="293"/>
      <c r="BJ434" s="293"/>
      <c r="BK434" s="293"/>
      <c r="BL434" s="293"/>
      <c r="BM434" s="293"/>
      <c r="BN434" s="293"/>
      <c r="BO434" s="293"/>
      <c r="BP434" s="293"/>
      <c r="BQ434" s="293"/>
      <c r="BR434" s="293"/>
      <c r="BS434" s="293"/>
      <c r="BT434" s="293"/>
      <c r="BU434" s="293"/>
      <c r="BV434" s="293"/>
      <c r="BW434" s="293"/>
      <c r="BX434" s="293"/>
      <c r="BY434" s="293"/>
      <c r="BZ434" s="293"/>
      <c r="CA434" s="285"/>
      <c r="CB434" s="286"/>
      <c r="CC434" s="286"/>
      <c r="CD434" s="286"/>
      <c r="CE434" s="286"/>
      <c r="CF434" s="286"/>
      <c r="CG434" s="286"/>
      <c r="CH434" s="286"/>
      <c r="CI434" s="286"/>
      <c r="CJ434" s="286"/>
      <c r="CK434" s="286"/>
      <c r="CL434" s="286"/>
      <c r="CM434" s="286"/>
      <c r="CN434" s="286"/>
      <c r="CO434" s="286"/>
      <c r="CP434" s="286"/>
      <c r="CQ434" s="286"/>
      <c r="CR434" s="286"/>
      <c r="CS434" s="286"/>
      <c r="CT434" s="286"/>
      <c r="CU434" s="286"/>
      <c r="CV434" s="286"/>
      <c r="CW434" s="286"/>
      <c r="CX434" s="286"/>
      <c r="CY434" s="286"/>
      <c r="CZ434" s="286"/>
      <c r="DA434" s="286"/>
      <c r="DB434" s="286"/>
      <c r="DC434" s="286"/>
      <c r="DD434" s="286"/>
      <c r="DE434" s="286"/>
      <c r="DF434" s="286"/>
      <c r="DG434" s="286"/>
      <c r="DH434" s="286"/>
      <c r="DI434" s="286"/>
      <c r="DJ434" s="286"/>
      <c r="DK434" s="286"/>
      <c r="DL434" s="286"/>
      <c r="DM434" s="286"/>
      <c r="DN434" s="286"/>
      <c r="DO434" s="286"/>
      <c r="DP434" s="286"/>
      <c r="DR434" s="58" t="str">
        <f>IF(ISNUMBER(MATCH(#REF!,'Audit Characteristic Mapping'!$B$3:$B$500,0)),"Y","")</f>
        <v/>
      </c>
      <c r="DS434" s="58" t="str">
        <f>IF(ISNUMBER(MATCH(#REF!,'Audit Characteristic Mapping'!$C$3:$C$500,0)),"Y","")</f>
        <v/>
      </c>
      <c r="DT434" s="58" t="str">
        <f>IF(ISNUMBER(MATCH(#REF!,'Audit Characteristic Mapping'!$D$3:$D$500,0)),"Y","")</f>
        <v/>
      </c>
      <c r="DU434" s="58" t="str">
        <f>IF(ISNUMBER(MATCH(#REF!,'Audit Characteristic Mapping'!$E$3:$E$500,0)),"Y","")</f>
        <v/>
      </c>
      <c r="DV434" s="58" t="str">
        <f>IF(ISNUMBER(MATCH(#REF!,'Audit Characteristic Mapping'!$F$3:$F$500,0)),"Y","")</f>
        <v/>
      </c>
      <c r="DW434" s="58" t="str">
        <f>IF(ISNUMBER(MATCH(#REF!,'Audit Characteristic Mapping'!$G$3:$G$500,0)),"Y","")</f>
        <v/>
      </c>
      <c r="DX434" s="58" t="str">
        <f>IF(ISNUMBER(MATCH(#REF!,'Audit Characteristic Mapping'!$H$3:$H$500,0)),"Y","")</f>
        <v/>
      </c>
      <c r="DY434" s="58" t="str">
        <f>IF(ISNUMBER(MATCH(#REF!,'Audit Characteristic Mapping'!$I$3:$I$500,0)),"Y","")</f>
        <v/>
      </c>
      <c r="DZ434" s="58" t="str">
        <f>IF(ISNUMBER(MATCH(#REF!,'Audit Characteristic Mapping'!$J$3:$J$500,0)),"Y","")</f>
        <v/>
      </c>
      <c r="EA434" s="58" t="str">
        <f>IF(ISNUMBER(MATCH(#REF!,'Audit Characteristic Mapping'!$K$3:$K$500,0)),"Y","")</f>
        <v/>
      </c>
    </row>
    <row r="435" spans="1:131" ht="33" hidden="1" thickBot="1" x14ac:dyDescent="0.25">
      <c r="A435" s="288">
        <v>428</v>
      </c>
      <c r="B435" s="287" t="s">
        <v>582</v>
      </c>
      <c r="C435" s="226" t="s">
        <v>586</v>
      </c>
      <c r="D435" s="170">
        <v>14</v>
      </c>
      <c r="E435" s="288">
        <v>88</v>
      </c>
      <c r="F435" s="291" t="str">
        <f>VLOOKUP(Calculation!A435,'Descriptor maps'!$A$2:$F$1658,2,0)</f>
        <v>Lessons learned and implementation</v>
      </c>
      <c r="G435" s="296"/>
      <c r="H435" s="290"/>
      <c r="I435" s="291"/>
      <c r="J435" s="292" t="e" cm="1">
        <f t="array" ref="J435">INDEX('Descriptor maps'!$I$2:$I$1658,MATCH(1,('Descriptor maps'!$A$2:$A$1658=Calculation!$A435)*('Descriptor maps'!$G$2:$G$1658=Calculation!$G435),0))</f>
        <v>#N/A</v>
      </c>
      <c r="K435" s="226"/>
      <c r="L435" s="293"/>
      <c r="M435" s="293"/>
      <c r="N435" s="293"/>
      <c r="O435" s="293"/>
      <c r="P435" s="293"/>
      <c r="Q435" s="293"/>
      <c r="R435" s="293"/>
      <c r="S435" s="293"/>
      <c r="T435" s="293"/>
      <c r="U435" s="293"/>
      <c r="V435" s="293"/>
      <c r="W435" s="293"/>
      <c r="X435" s="293"/>
      <c r="Y435" s="293"/>
      <c r="Z435" s="293"/>
      <c r="AA435" s="293"/>
      <c r="AB435" s="293"/>
      <c r="AC435" s="293"/>
      <c r="AD435" s="293"/>
      <c r="AE435" s="293"/>
      <c r="AF435" s="293"/>
      <c r="AG435" s="293"/>
      <c r="AH435" s="293"/>
      <c r="AI435" s="293"/>
      <c r="AJ435" s="293"/>
      <c r="AK435" s="293"/>
      <c r="AL435" s="293"/>
      <c r="AM435" s="293"/>
      <c r="AN435" s="293"/>
      <c r="AO435" s="293"/>
      <c r="AP435" s="293"/>
      <c r="AQ435" s="293"/>
      <c r="AR435" s="293"/>
      <c r="AS435" s="293"/>
      <c r="AT435" s="293"/>
      <c r="AU435" s="293"/>
      <c r="AV435" s="293"/>
      <c r="AW435" s="293"/>
      <c r="AX435" s="293"/>
      <c r="AY435" s="293"/>
      <c r="AZ435" s="293"/>
      <c r="BA435" s="293"/>
      <c r="BB435" s="293"/>
      <c r="BC435" s="293"/>
      <c r="BD435" s="293"/>
      <c r="BE435" s="293"/>
      <c r="BF435" s="293"/>
      <c r="BG435" s="293"/>
      <c r="BH435" s="293"/>
      <c r="BI435" s="293"/>
      <c r="BJ435" s="293"/>
      <c r="BK435" s="293"/>
      <c r="BL435" s="293"/>
      <c r="BM435" s="293"/>
      <c r="BN435" s="293"/>
      <c r="BO435" s="293"/>
      <c r="BP435" s="293"/>
      <c r="BQ435" s="293"/>
      <c r="BR435" s="293"/>
      <c r="BS435" s="293"/>
      <c r="BT435" s="293"/>
      <c r="BU435" s="293"/>
      <c r="BV435" s="293"/>
      <c r="BW435" s="293"/>
      <c r="BX435" s="293"/>
      <c r="BY435" s="293"/>
      <c r="BZ435" s="293"/>
      <c r="CA435" s="285"/>
      <c r="CB435" s="286"/>
      <c r="CC435" s="286"/>
      <c r="CD435" s="286"/>
      <c r="CE435" s="286"/>
      <c r="CF435" s="286"/>
      <c r="CG435" s="286"/>
      <c r="CH435" s="286"/>
      <c r="CI435" s="286"/>
      <c r="CJ435" s="286"/>
      <c r="CK435" s="286"/>
      <c r="CL435" s="286"/>
      <c r="CM435" s="286"/>
      <c r="CN435" s="286"/>
      <c r="CO435" s="286"/>
      <c r="CP435" s="286"/>
      <c r="CQ435" s="286"/>
      <c r="CR435" s="286"/>
      <c r="CS435" s="286"/>
      <c r="CT435" s="286"/>
      <c r="CU435" s="286"/>
      <c r="CV435" s="286"/>
      <c r="CW435" s="286"/>
      <c r="CX435" s="286"/>
      <c r="CY435" s="286"/>
      <c r="CZ435" s="286"/>
      <c r="DA435" s="286"/>
      <c r="DB435" s="286"/>
      <c r="DC435" s="286"/>
      <c r="DD435" s="286"/>
      <c r="DE435" s="286"/>
      <c r="DF435" s="286"/>
      <c r="DG435" s="286"/>
      <c r="DH435" s="286"/>
      <c r="DI435" s="286"/>
      <c r="DJ435" s="286"/>
      <c r="DK435" s="286"/>
      <c r="DL435" s="286"/>
      <c r="DM435" s="286"/>
      <c r="DN435" s="286"/>
      <c r="DO435" s="286"/>
      <c r="DP435" s="286"/>
      <c r="DR435" s="58" t="str">
        <f>IF(ISNUMBER(MATCH(#REF!,'Audit Characteristic Mapping'!$B$3:$B$500,0)),"Y","")</f>
        <v/>
      </c>
      <c r="DS435" s="58" t="str">
        <f>IF(ISNUMBER(MATCH(#REF!,'Audit Characteristic Mapping'!$C$3:$C$500,0)),"Y","")</f>
        <v/>
      </c>
      <c r="DT435" s="58" t="str">
        <f>IF(ISNUMBER(MATCH(#REF!,'Audit Characteristic Mapping'!$D$3:$D$500,0)),"Y","")</f>
        <v/>
      </c>
      <c r="DU435" s="58" t="str">
        <f>IF(ISNUMBER(MATCH(#REF!,'Audit Characteristic Mapping'!$E$3:$E$500,0)),"Y","")</f>
        <v/>
      </c>
      <c r="DV435" s="58" t="str">
        <f>IF(ISNUMBER(MATCH(#REF!,'Audit Characteristic Mapping'!$F$3:$F$500,0)),"Y","")</f>
        <v/>
      </c>
      <c r="DW435" s="58" t="str">
        <f>IF(ISNUMBER(MATCH(#REF!,'Audit Characteristic Mapping'!$G$3:$G$500,0)),"Y","")</f>
        <v/>
      </c>
      <c r="DX435" s="58" t="str">
        <f>IF(ISNUMBER(MATCH(#REF!,'Audit Characteristic Mapping'!$H$3:$H$500,0)),"Y","")</f>
        <v/>
      </c>
      <c r="DY435" s="58" t="str">
        <f>IF(ISNUMBER(MATCH(#REF!,'Audit Characteristic Mapping'!$I$3:$I$500,0)),"Y","")</f>
        <v/>
      </c>
      <c r="DZ435" s="58" t="str">
        <f>IF(ISNUMBER(MATCH(#REF!,'Audit Characteristic Mapping'!$J$3:$J$500,0)),"Y","")</f>
        <v/>
      </c>
      <c r="EA435" s="58" t="str">
        <f>IF(ISNUMBER(MATCH(#REF!,'Audit Characteristic Mapping'!$K$3:$K$500,0)),"Y","")</f>
        <v/>
      </c>
    </row>
    <row r="436" spans="1:131" ht="33" hidden="1" thickBot="1" x14ac:dyDescent="0.25">
      <c r="A436" s="288">
        <v>429</v>
      </c>
      <c r="B436" s="287" t="s">
        <v>582</v>
      </c>
      <c r="C436" s="226" t="s">
        <v>589</v>
      </c>
      <c r="D436" s="170">
        <v>14</v>
      </c>
      <c r="E436" s="288">
        <v>89</v>
      </c>
      <c r="F436" s="291" t="str">
        <f>VLOOKUP(Calculation!A436,'Descriptor maps'!$A$2:$F$1658,2,0)</f>
        <v>Lessons learned and implementation</v>
      </c>
      <c r="G436" s="296"/>
      <c r="H436" s="290"/>
      <c r="I436" s="291"/>
      <c r="J436" s="292" t="e" cm="1">
        <f t="array" ref="J436">INDEX('Descriptor maps'!$I$2:$I$1658,MATCH(1,('Descriptor maps'!$A$2:$A$1658=Calculation!$A436)*('Descriptor maps'!$G$2:$G$1658=Calculation!$G436),0))</f>
        <v>#N/A</v>
      </c>
      <c r="K436" s="226"/>
      <c r="L436" s="293"/>
      <c r="M436" s="293"/>
      <c r="N436" s="293"/>
      <c r="O436" s="293"/>
      <c r="P436" s="293"/>
      <c r="Q436" s="293"/>
      <c r="R436" s="293"/>
      <c r="S436" s="293"/>
      <c r="T436" s="293"/>
      <c r="U436" s="293"/>
      <c r="V436" s="293"/>
      <c r="W436" s="293"/>
      <c r="X436" s="293"/>
      <c r="Y436" s="293"/>
      <c r="Z436" s="293"/>
      <c r="AA436" s="293"/>
      <c r="AB436" s="293"/>
      <c r="AC436" s="293"/>
      <c r="AD436" s="293"/>
      <c r="AE436" s="293"/>
      <c r="AF436" s="293"/>
      <c r="AG436" s="293"/>
      <c r="AH436" s="293"/>
      <c r="AI436" s="293"/>
      <c r="AJ436" s="293"/>
      <c r="AK436" s="293"/>
      <c r="AL436" s="293"/>
      <c r="AM436" s="293"/>
      <c r="AN436" s="293"/>
      <c r="AO436" s="293"/>
      <c r="AP436" s="293"/>
      <c r="AQ436" s="293"/>
      <c r="AR436" s="293"/>
      <c r="AS436" s="293"/>
      <c r="AT436" s="293"/>
      <c r="AU436" s="293"/>
      <c r="AV436" s="293"/>
      <c r="AW436" s="293"/>
      <c r="AX436" s="293"/>
      <c r="AY436" s="293"/>
      <c r="AZ436" s="293"/>
      <c r="BA436" s="293"/>
      <c r="BB436" s="293"/>
      <c r="BC436" s="293"/>
      <c r="BD436" s="293"/>
      <c r="BE436" s="293"/>
      <c r="BF436" s="293"/>
      <c r="BG436" s="293"/>
      <c r="BH436" s="293"/>
      <c r="BI436" s="293"/>
      <c r="BJ436" s="293"/>
      <c r="BK436" s="293"/>
      <c r="BL436" s="293"/>
      <c r="BM436" s="293"/>
      <c r="BN436" s="293"/>
      <c r="BO436" s="293"/>
      <c r="BP436" s="293"/>
      <c r="BQ436" s="293"/>
      <c r="BR436" s="293"/>
      <c r="BS436" s="293"/>
      <c r="BT436" s="293"/>
      <c r="BU436" s="293"/>
      <c r="BV436" s="293"/>
      <c r="BW436" s="293"/>
      <c r="BX436" s="293"/>
      <c r="BY436" s="293"/>
      <c r="BZ436" s="293"/>
      <c r="CA436" s="285"/>
      <c r="CB436" s="286"/>
      <c r="CC436" s="286"/>
      <c r="CD436" s="286"/>
      <c r="CE436" s="286"/>
      <c r="CF436" s="286"/>
      <c r="CG436" s="286"/>
      <c r="CH436" s="286"/>
      <c r="CI436" s="286"/>
      <c r="CJ436" s="286"/>
      <c r="CK436" s="286"/>
      <c r="CL436" s="286"/>
      <c r="CM436" s="286"/>
      <c r="CN436" s="286"/>
      <c r="CO436" s="286"/>
      <c r="CP436" s="286"/>
      <c r="CQ436" s="286"/>
      <c r="CR436" s="286"/>
      <c r="CS436" s="286"/>
      <c r="CT436" s="286"/>
      <c r="CU436" s="286"/>
      <c r="CV436" s="286"/>
      <c r="CW436" s="286"/>
      <c r="CX436" s="286"/>
      <c r="CY436" s="286"/>
      <c r="CZ436" s="286"/>
      <c r="DA436" s="286"/>
      <c r="DB436" s="286"/>
      <c r="DC436" s="286"/>
      <c r="DD436" s="286"/>
      <c r="DE436" s="286"/>
      <c r="DF436" s="286"/>
      <c r="DG436" s="286"/>
      <c r="DH436" s="286"/>
      <c r="DI436" s="286"/>
      <c r="DJ436" s="286"/>
      <c r="DK436" s="286"/>
      <c r="DL436" s="286"/>
      <c r="DM436" s="286"/>
      <c r="DN436" s="286"/>
      <c r="DO436" s="286"/>
      <c r="DP436" s="286"/>
      <c r="DR436" s="58" t="str">
        <f>IF(ISNUMBER(MATCH(#REF!,'Audit Characteristic Mapping'!$B$3:$B$500,0)),"Y","")</f>
        <v/>
      </c>
      <c r="DS436" s="58" t="str">
        <f>IF(ISNUMBER(MATCH(#REF!,'Audit Characteristic Mapping'!$C$3:$C$500,0)),"Y","")</f>
        <v/>
      </c>
      <c r="DT436" s="58" t="str">
        <f>IF(ISNUMBER(MATCH(#REF!,'Audit Characteristic Mapping'!$D$3:$D$500,0)),"Y","")</f>
        <v/>
      </c>
      <c r="DU436" s="58" t="str">
        <f>IF(ISNUMBER(MATCH(#REF!,'Audit Characteristic Mapping'!$E$3:$E$500,0)),"Y","")</f>
        <v/>
      </c>
      <c r="DV436" s="58" t="str">
        <f>IF(ISNUMBER(MATCH(#REF!,'Audit Characteristic Mapping'!$F$3:$F$500,0)),"Y","")</f>
        <v/>
      </c>
      <c r="DW436" s="58" t="str">
        <f>IF(ISNUMBER(MATCH(#REF!,'Audit Characteristic Mapping'!$G$3:$G$500,0)),"Y","")</f>
        <v/>
      </c>
      <c r="DX436" s="58" t="str">
        <f>IF(ISNUMBER(MATCH(#REF!,'Audit Characteristic Mapping'!$H$3:$H$500,0)),"Y","")</f>
        <v/>
      </c>
      <c r="DY436" s="58" t="str">
        <f>IF(ISNUMBER(MATCH(#REF!,'Audit Characteristic Mapping'!$I$3:$I$500,0)),"Y","")</f>
        <v/>
      </c>
      <c r="DZ436" s="58" t="str">
        <f>IF(ISNUMBER(MATCH(#REF!,'Audit Characteristic Mapping'!$J$3:$J$500,0)),"Y","")</f>
        <v/>
      </c>
      <c r="EA436" s="58" t="str">
        <f>IF(ISNUMBER(MATCH(#REF!,'Audit Characteristic Mapping'!$K$3:$K$500,0)),"Y","")</f>
        <v/>
      </c>
    </row>
    <row r="437" spans="1:131" ht="33" hidden="1" thickBot="1" x14ac:dyDescent="0.25">
      <c r="A437" s="288">
        <v>430</v>
      </c>
      <c r="B437" s="287" t="s">
        <v>582</v>
      </c>
      <c r="C437" s="226" t="s">
        <v>589</v>
      </c>
      <c r="D437" s="170">
        <v>14</v>
      </c>
      <c r="E437" s="288">
        <v>89</v>
      </c>
      <c r="F437" s="291" t="str">
        <f>VLOOKUP(Calculation!A437,'Descriptor maps'!$A$2:$F$1658,2,0)</f>
        <v>Lessons learned and implementation</v>
      </c>
      <c r="G437" s="296"/>
      <c r="H437" s="290"/>
      <c r="I437" s="291"/>
      <c r="J437" s="292" t="e" cm="1">
        <f t="array" ref="J437">INDEX('Descriptor maps'!$I$2:$I$1658,MATCH(1,('Descriptor maps'!$A$2:$A$1658=Calculation!$A437)*('Descriptor maps'!$G$2:$G$1658=Calculation!$G437),0))</f>
        <v>#N/A</v>
      </c>
      <c r="K437" s="226"/>
      <c r="L437" s="293"/>
      <c r="M437" s="293"/>
      <c r="N437" s="293"/>
      <c r="O437" s="293"/>
      <c r="P437" s="293"/>
      <c r="Q437" s="293"/>
      <c r="R437" s="293"/>
      <c r="S437" s="293"/>
      <c r="T437" s="293"/>
      <c r="U437" s="293"/>
      <c r="V437" s="293"/>
      <c r="W437" s="293"/>
      <c r="X437" s="293"/>
      <c r="Y437" s="293"/>
      <c r="Z437" s="293"/>
      <c r="AA437" s="293"/>
      <c r="AB437" s="293"/>
      <c r="AC437" s="293"/>
      <c r="AD437" s="293"/>
      <c r="AE437" s="293"/>
      <c r="AF437" s="293"/>
      <c r="AG437" s="293"/>
      <c r="AH437" s="293"/>
      <c r="AI437" s="293"/>
      <c r="AJ437" s="293"/>
      <c r="AK437" s="293"/>
      <c r="AL437" s="293"/>
      <c r="AM437" s="293"/>
      <c r="AN437" s="293"/>
      <c r="AO437" s="293"/>
      <c r="AP437" s="293"/>
      <c r="AQ437" s="293"/>
      <c r="AR437" s="293"/>
      <c r="AS437" s="293"/>
      <c r="AT437" s="293"/>
      <c r="AU437" s="293"/>
      <c r="AV437" s="293"/>
      <c r="AW437" s="293"/>
      <c r="AX437" s="293"/>
      <c r="AY437" s="293"/>
      <c r="AZ437" s="293"/>
      <c r="BA437" s="293"/>
      <c r="BB437" s="293"/>
      <c r="BC437" s="293"/>
      <c r="BD437" s="293"/>
      <c r="BE437" s="293"/>
      <c r="BF437" s="293"/>
      <c r="BG437" s="293"/>
      <c r="BH437" s="293"/>
      <c r="BI437" s="293"/>
      <c r="BJ437" s="293"/>
      <c r="BK437" s="293"/>
      <c r="BL437" s="293"/>
      <c r="BM437" s="293"/>
      <c r="BN437" s="293"/>
      <c r="BO437" s="293"/>
      <c r="BP437" s="293"/>
      <c r="BQ437" s="293"/>
      <c r="BR437" s="293"/>
      <c r="BS437" s="293"/>
      <c r="BT437" s="293"/>
      <c r="BU437" s="293"/>
      <c r="BV437" s="293"/>
      <c r="BW437" s="293"/>
      <c r="BX437" s="293"/>
      <c r="BY437" s="293"/>
      <c r="BZ437" s="293"/>
      <c r="CA437" s="285"/>
      <c r="CB437" s="286"/>
      <c r="CC437" s="286"/>
      <c r="CD437" s="286"/>
      <c r="CE437" s="286"/>
      <c r="CF437" s="286"/>
      <c r="CG437" s="286"/>
      <c r="CH437" s="286"/>
      <c r="CI437" s="286"/>
      <c r="CJ437" s="286"/>
      <c r="CK437" s="286"/>
      <c r="CL437" s="286"/>
      <c r="CM437" s="286"/>
      <c r="CN437" s="286"/>
      <c r="CO437" s="286"/>
      <c r="CP437" s="286"/>
      <c r="CQ437" s="286"/>
      <c r="CR437" s="286"/>
      <c r="CS437" s="286"/>
      <c r="CT437" s="286"/>
      <c r="CU437" s="286"/>
      <c r="CV437" s="286"/>
      <c r="CW437" s="286"/>
      <c r="CX437" s="286"/>
      <c r="CY437" s="286"/>
      <c r="CZ437" s="286"/>
      <c r="DA437" s="286"/>
      <c r="DB437" s="286"/>
      <c r="DC437" s="286"/>
      <c r="DD437" s="286"/>
      <c r="DE437" s="286"/>
      <c r="DF437" s="286"/>
      <c r="DG437" s="286"/>
      <c r="DH437" s="286"/>
      <c r="DI437" s="286"/>
      <c r="DJ437" s="286"/>
      <c r="DK437" s="286"/>
      <c r="DL437" s="286"/>
      <c r="DM437" s="286"/>
      <c r="DN437" s="286"/>
      <c r="DO437" s="286"/>
      <c r="DP437" s="286"/>
      <c r="DR437" s="58" t="str">
        <f>IF(ISNUMBER(MATCH(#REF!,'Audit Characteristic Mapping'!$B$3:$B$500,0)),"Y","")</f>
        <v/>
      </c>
      <c r="DS437" s="58" t="str">
        <f>IF(ISNUMBER(MATCH(#REF!,'Audit Characteristic Mapping'!$C$3:$C$500,0)),"Y","")</f>
        <v/>
      </c>
      <c r="DT437" s="58" t="str">
        <f>IF(ISNUMBER(MATCH(#REF!,'Audit Characteristic Mapping'!$D$3:$D$500,0)),"Y","")</f>
        <v/>
      </c>
      <c r="DU437" s="58" t="str">
        <f>IF(ISNUMBER(MATCH(#REF!,'Audit Characteristic Mapping'!$E$3:$E$500,0)),"Y","")</f>
        <v/>
      </c>
      <c r="DV437" s="58" t="str">
        <f>IF(ISNUMBER(MATCH(#REF!,'Audit Characteristic Mapping'!$F$3:$F$500,0)),"Y","")</f>
        <v/>
      </c>
      <c r="DW437" s="58" t="str">
        <f>IF(ISNUMBER(MATCH(#REF!,'Audit Characteristic Mapping'!$G$3:$G$500,0)),"Y","")</f>
        <v/>
      </c>
      <c r="DX437" s="58" t="str">
        <f>IF(ISNUMBER(MATCH(#REF!,'Audit Characteristic Mapping'!$H$3:$H$500,0)),"Y","")</f>
        <v/>
      </c>
      <c r="DY437" s="58" t="str">
        <f>IF(ISNUMBER(MATCH(#REF!,'Audit Characteristic Mapping'!$I$3:$I$500,0)),"Y","")</f>
        <v/>
      </c>
      <c r="DZ437" s="58" t="str">
        <f>IF(ISNUMBER(MATCH(#REF!,'Audit Characteristic Mapping'!$J$3:$J$500,0)),"Y","")</f>
        <v/>
      </c>
      <c r="EA437" s="58" t="str">
        <f>IF(ISNUMBER(MATCH(#REF!,'Audit Characteristic Mapping'!$K$3:$K$500,0)),"Y","")</f>
        <v/>
      </c>
    </row>
    <row r="438" spans="1:131" ht="33" hidden="1" thickBot="1" x14ac:dyDescent="0.25">
      <c r="A438" s="288">
        <v>431</v>
      </c>
      <c r="B438" s="287" t="s">
        <v>582</v>
      </c>
      <c r="C438" s="226" t="s">
        <v>589</v>
      </c>
      <c r="D438" s="170">
        <v>14</v>
      </c>
      <c r="E438" s="288">
        <v>89</v>
      </c>
      <c r="F438" s="291" t="str">
        <f>VLOOKUP(Calculation!A438,'Descriptor maps'!$A$2:$F$1658,2,0)</f>
        <v>Lessons learned and implementation</v>
      </c>
      <c r="G438" s="296"/>
      <c r="H438" s="290"/>
      <c r="I438" s="291"/>
      <c r="J438" s="292" t="e" cm="1">
        <f t="array" ref="J438">INDEX('Descriptor maps'!$I$2:$I$1658,MATCH(1,('Descriptor maps'!$A$2:$A$1658=Calculation!$A438)*('Descriptor maps'!$G$2:$G$1658=Calculation!$G438),0))</f>
        <v>#N/A</v>
      </c>
      <c r="K438" s="226"/>
      <c r="L438" s="293"/>
      <c r="M438" s="293"/>
      <c r="N438" s="293"/>
      <c r="O438" s="293"/>
      <c r="P438" s="293"/>
      <c r="Q438" s="293"/>
      <c r="R438" s="293"/>
      <c r="S438" s="293"/>
      <c r="T438" s="293"/>
      <c r="U438" s="293"/>
      <c r="V438" s="293"/>
      <c r="W438" s="293"/>
      <c r="X438" s="293"/>
      <c r="Y438" s="293"/>
      <c r="Z438" s="293"/>
      <c r="AA438" s="293"/>
      <c r="AB438" s="293"/>
      <c r="AC438" s="293"/>
      <c r="AD438" s="293"/>
      <c r="AE438" s="293"/>
      <c r="AF438" s="293"/>
      <c r="AG438" s="293"/>
      <c r="AH438" s="293"/>
      <c r="AI438" s="293"/>
      <c r="AJ438" s="293"/>
      <c r="AK438" s="293"/>
      <c r="AL438" s="293"/>
      <c r="AM438" s="293"/>
      <c r="AN438" s="293"/>
      <c r="AO438" s="293"/>
      <c r="AP438" s="293"/>
      <c r="AQ438" s="293"/>
      <c r="AR438" s="293"/>
      <c r="AS438" s="293"/>
      <c r="AT438" s="293"/>
      <c r="AU438" s="293"/>
      <c r="AV438" s="293"/>
      <c r="AW438" s="293"/>
      <c r="AX438" s="293"/>
      <c r="AY438" s="293"/>
      <c r="AZ438" s="293"/>
      <c r="BA438" s="293"/>
      <c r="BB438" s="293"/>
      <c r="BC438" s="293"/>
      <c r="BD438" s="293"/>
      <c r="BE438" s="293"/>
      <c r="BF438" s="293"/>
      <c r="BG438" s="293"/>
      <c r="BH438" s="293"/>
      <c r="BI438" s="293"/>
      <c r="BJ438" s="293"/>
      <c r="BK438" s="293"/>
      <c r="BL438" s="293"/>
      <c r="BM438" s="293"/>
      <c r="BN438" s="293"/>
      <c r="BO438" s="293"/>
      <c r="BP438" s="293"/>
      <c r="BQ438" s="293"/>
      <c r="BR438" s="293"/>
      <c r="BS438" s="293"/>
      <c r="BT438" s="293"/>
      <c r="BU438" s="293"/>
      <c r="BV438" s="293"/>
      <c r="BW438" s="293"/>
      <c r="BX438" s="293"/>
      <c r="BY438" s="293"/>
      <c r="BZ438" s="293"/>
      <c r="CA438" s="285"/>
      <c r="CB438" s="286"/>
      <c r="CC438" s="286"/>
      <c r="CD438" s="286"/>
      <c r="CE438" s="286"/>
      <c r="CF438" s="286"/>
      <c r="CG438" s="286"/>
      <c r="CH438" s="286"/>
      <c r="CI438" s="286"/>
      <c r="CJ438" s="286"/>
      <c r="CK438" s="286"/>
      <c r="CL438" s="286"/>
      <c r="CM438" s="286"/>
      <c r="CN438" s="286"/>
      <c r="CO438" s="286"/>
      <c r="CP438" s="286"/>
      <c r="CQ438" s="286"/>
      <c r="CR438" s="286"/>
      <c r="CS438" s="286"/>
      <c r="CT438" s="286"/>
      <c r="CU438" s="286"/>
      <c r="CV438" s="286"/>
      <c r="CW438" s="286"/>
      <c r="CX438" s="286"/>
      <c r="CY438" s="286"/>
      <c r="CZ438" s="286"/>
      <c r="DA438" s="286"/>
      <c r="DB438" s="286"/>
      <c r="DC438" s="286"/>
      <c r="DD438" s="286"/>
      <c r="DE438" s="286"/>
      <c r="DF438" s="286"/>
      <c r="DG438" s="286"/>
      <c r="DH438" s="286"/>
      <c r="DI438" s="286"/>
      <c r="DJ438" s="286"/>
      <c r="DK438" s="286"/>
      <c r="DL438" s="286"/>
      <c r="DM438" s="286"/>
      <c r="DN438" s="286"/>
      <c r="DO438" s="286"/>
      <c r="DP438" s="286"/>
      <c r="DR438" s="58" t="str">
        <f>IF(ISNUMBER(MATCH(#REF!,'Audit Characteristic Mapping'!$B$3:$B$500,0)),"Y","")</f>
        <v/>
      </c>
      <c r="DS438" s="58" t="str">
        <f>IF(ISNUMBER(MATCH(#REF!,'Audit Characteristic Mapping'!$C$3:$C$500,0)),"Y","")</f>
        <v/>
      </c>
      <c r="DT438" s="58" t="str">
        <f>IF(ISNUMBER(MATCH(#REF!,'Audit Characteristic Mapping'!$D$3:$D$500,0)),"Y","")</f>
        <v/>
      </c>
      <c r="DU438" s="58" t="str">
        <f>IF(ISNUMBER(MATCH(#REF!,'Audit Characteristic Mapping'!$E$3:$E$500,0)),"Y","")</f>
        <v/>
      </c>
      <c r="DV438" s="58" t="str">
        <f>IF(ISNUMBER(MATCH(#REF!,'Audit Characteristic Mapping'!$F$3:$F$500,0)),"Y","")</f>
        <v/>
      </c>
      <c r="DW438" s="58" t="str">
        <f>IF(ISNUMBER(MATCH(#REF!,'Audit Characteristic Mapping'!$G$3:$G$500,0)),"Y","")</f>
        <v/>
      </c>
      <c r="DX438" s="58" t="str">
        <f>IF(ISNUMBER(MATCH(#REF!,'Audit Characteristic Mapping'!$H$3:$H$500,0)),"Y","")</f>
        <v/>
      </c>
      <c r="DY438" s="58" t="str">
        <f>IF(ISNUMBER(MATCH(#REF!,'Audit Characteristic Mapping'!$I$3:$I$500,0)),"Y","")</f>
        <v/>
      </c>
      <c r="DZ438" s="58" t="str">
        <f>IF(ISNUMBER(MATCH(#REF!,'Audit Characteristic Mapping'!$J$3:$J$500,0)),"Y","")</f>
        <v/>
      </c>
      <c r="EA438" s="58" t="str">
        <f>IF(ISNUMBER(MATCH(#REF!,'Audit Characteristic Mapping'!$K$3:$K$500,0)),"Y","")</f>
        <v/>
      </c>
    </row>
    <row r="439" spans="1:131" ht="33" hidden="1" thickBot="1" x14ac:dyDescent="0.25">
      <c r="A439" s="288">
        <v>432</v>
      </c>
      <c r="B439" s="287" t="s">
        <v>582</v>
      </c>
      <c r="C439" s="226" t="s">
        <v>589</v>
      </c>
      <c r="D439" s="170">
        <v>14</v>
      </c>
      <c r="E439" s="288">
        <v>89</v>
      </c>
      <c r="F439" s="291" t="str">
        <f>VLOOKUP(Calculation!A439,'Descriptor maps'!$A$2:$F$1658,2,0)</f>
        <v>Lessons learned and implementation</v>
      </c>
      <c r="G439" s="296"/>
      <c r="H439" s="290"/>
      <c r="I439" s="291"/>
      <c r="J439" s="292" t="e" cm="1">
        <f t="array" ref="J439">INDEX('Descriptor maps'!$I$2:$I$1658,MATCH(1,('Descriptor maps'!$A$2:$A$1658=Calculation!$A439)*('Descriptor maps'!$G$2:$G$1658=Calculation!$G439),0))</f>
        <v>#N/A</v>
      </c>
      <c r="K439" s="226"/>
      <c r="L439" s="293"/>
      <c r="M439" s="293"/>
      <c r="N439" s="293"/>
      <c r="O439" s="293"/>
      <c r="P439" s="293"/>
      <c r="Q439" s="293"/>
      <c r="R439" s="293"/>
      <c r="S439" s="293"/>
      <c r="T439" s="293"/>
      <c r="U439" s="293"/>
      <c r="V439" s="293"/>
      <c r="W439" s="293"/>
      <c r="X439" s="293"/>
      <c r="Y439" s="293"/>
      <c r="Z439" s="293"/>
      <c r="AA439" s="293"/>
      <c r="AB439" s="293"/>
      <c r="AC439" s="293"/>
      <c r="AD439" s="293"/>
      <c r="AE439" s="293"/>
      <c r="AF439" s="293"/>
      <c r="AG439" s="293"/>
      <c r="AH439" s="293"/>
      <c r="AI439" s="293"/>
      <c r="AJ439" s="293"/>
      <c r="AK439" s="293"/>
      <c r="AL439" s="293"/>
      <c r="AM439" s="293"/>
      <c r="AN439" s="293"/>
      <c r="AO439" s="293"/>
      <c r="AP439" s="293"/>
      <c r="AQ439" s="293"/>
      <c r="AR439" s="293"/>
      <c r="AS439" s="293"/>
      <c r="AT439" s="293"/>
      <c r="AU439" s="293"/>
      <c r="AV439" s="293"/>
      <c r="AW439" s="293"/>
      <c r="AX439" s="293"/>
      <c r="AY439" s="293"/>
      <c r="AZ439" s="293"/>
      <c r="BA439" s="293"/>
      <c r="BB439" s="293"/>
      <c r="BC439" s="293"/>
      <c r="BD439" s="293"/>
      <c r="BE439" s="293"/>
      <c r="BF439" s="293"/>
      <c r="BG439" s="293"/>
      <c r="BH439" s="293"/>
      <c r="BI439" s="293"/>
      <c r="BJ439" s="293"/>
      <c r="BK439" s="293"/>
      <c r="BL439" s="293"/>
      <c r="BM439" s="293"/>
      <c r="BN439" s="293"/>
      <c r="BO439" s="293"/>
      <c r="BP439" s="293"/>
      <c r="BQ439" s="293"/>
      <c r="BR439" s="293"/>
      <c r="BS439" s="293"/>
      <c r="BT439" s="293"/>
      <c r="BU439" s="293"/>
      <c r="BV439" s="293"/>
      <c r="BW439" s="293"/>
      <c r="BX439" s="293"/>
      <c r="BY439" s="293"/>
      <c r="BZ439" s="293"/>
      <c r="CA439" s="285"/>
      <c r="CB439" s="286"/>
      <c r="CC439" s="286"/>
      <c r="CD439" s="286"/>
      <c r="CE439" s="286"/>
      <c r="CF439" s="286"/>
      <c r="CG439" s="286"/>
      <c r="CH439" s="286"/>
      <c r="CI439" s="286"/>
      <c r="CJ439" s="286"/>
      <c r="CK439" s="286"/>
      <c r="CL439" s="286"/>
      <c r="CM439" s="286"/>
      <c r="CN439" s="286"/>
      <c r="CO439" s="286"/>
      <c r="CP439" s="286"/>
      <c r="CQ439" s="286"/>
      <c r="CR439" s="286"/>
      <c r="CS439" s="286"/>
      <c r="CT439" s="286"/>
      <c r="CU439" s="286"/>
      <c r="CV439" s="286"/>
      <c r="CW439" s="286"/>
      <c r="CX439" s="286"/>
      <c r="CY439" s="286"/>
      <c r="CZ439" s="286"/>
      <c r="DA439" s="286"/>
      <c r="DB439" s="286"/>
      <c r="DC439" s="286"/>
      <c r="DD439" s="286"/>
      <c r="DE439" s="286"/>
      <c r="DF439" s="286"/>
      <c r="DG439" s="286"/>
      <c r="DH439" s="286"/>
      <c r="DI439" s="286"/>
      <c r="DJ439" s="286"/>
      <c r="DK439" s="286"/>
      <c r="DL439" s="286"/>
      <c r="DM439" s="286"/>
      <c r="DN439" s="286"/>
      <c r="DO439" s="286"/>
      <c r="DP439" s="286"/>
      <c r="DR439" s="58" t="str">
        <f>IF(ISNUMBER(MATCH(#REF!,'Audit Characteristic Mapping'!$B$3:$B$500,0)),"Y","")</f>
        <v/>
      </c>
      <c r="DS439" s="58" t="str">
        <f>IF(ISNUMBER(MATCH(#REF!,'Audit Characteristic Mapping'!$C$3:$C$500,0)),"Y","")</f>
        <v/>
      </c>
      <c r="DT439" s="58" t="str">
        <f>IF(ISNUMBER(MATCH(#REF!,'Audit Characteristic Mapping'!$D$3:$D$500,0)),"Y","")</f>
        <v/>
      </c>
      <c r="DU439" s="58" t="str">
        <f>IF(ISNUMBER(MATCH(#REF!,'Audit Characteristic Mapping'!$E$3:$E$500,0)),"Y","")</f>
        <v/>
      </c>
      <c r="DV439" s="58" t="str">
        <f>IF(ISNUMBER(MATCH(#REF!,'Audit Characteristic Mapping'!$F$3:$F$500,0)),"Y","")</f>
        <v/>
      </c>
      <c r="DW439" s="58" t="str">
        <f>IF(ISNUMBER(MATCH(#REF!,'Audit Characteristic Mapping'!$G$3:$G$500,0)),"Y","")</f>
        <v/>
      </c>
      <c r="DX439" s="58" t="str">
        <f>IF(ISNUMBER(MATCH(#REF!,'Audit Characteristic Mapping'!$H$3:$H$500,0)),"Y","")</f>
        <v/>
      </c>
      <c r="DY439" s="58" t="str">
        <f>IF(ISNUMBER(MATCH(#REF!,'Audit Characteristic Mapping'!$I$3:$I$500,0)),"Y","")</f>
        <v/>
      </c>
      <c r="DZ439" s="58" t="str">
        <f>IF(ISNUMBER(MATCH(#REF!,'Audit Characteristic Mapping'!$J$3:$J$500,0)),"Y","")</f>
        <v/>
      </c>
      <c r="EA439" s="58" t="str">
        <f>IF(ISNUMBER(MATCH(#REF!,'Audit Characteristic Mapping'!$K$3:$K$500,0)),"Y","")</f>
        <v/>
      </c>
    </row>
    <row r="440" spans="1:131" ht="17" hidden="1" thickBot="1" x14ac:dyDescent="0.25">
      <c r="A440" s="288">
        <v>433</v>
      </c>
      <c r="B440" s="287" t="s">
        <v>594</v>
      </c>
      <c r="C440" s="226" t="s">
        <v>595</v>
      </c>
      <c r="D440" s="170">
        <v>15</v>
      </c>
      <c r="E440" s="288">
        <v>90</v>
      </c>
      <c r="F440" s="291" t="str">
        <f>VLOOKUP(Calculation!A440,'Descriptor maps'!$A$2:$F$1658,2,0)</f>
        <v>HSE</v>
      </c>
      <c r="G440" s="296"/>
      <c r="H440" s="290"/>
      <c r="I440" s="291"/>
      <c r="J440" s="292" t="e" cm="1">
        <f t="array" ref="J440">INDEX('Descriptor maps'!$I$2:$I$1658,MATCH(1,('Descriptor maps'!$A$2:$A$1658=Calculation!$A440)*('Descriptor maps'!$G$2:$G$1658=Calculation!$G440),0))</f>
        <v>#N/A</v>
      </c>
      <c r="K440" s="226"/>
      <c r="L440" s="293"/>
      <c r="M440" s="293"/>
      <c r="N440" s="293"/>
      <c r="O440" s="293"/>
      <c r="P440" s="293"/>
      <c r="Q440" s="293"/>
      <c r="R440" s="293"/>
      <c r="S440" s="293"/>
      <c r="T440" s="293"/>
      <c r="U440" s="293"/>
      <c r="V440" s="293"/>
      <c r="W440" s="293"/>
      <c r="X440" s="293"/>
      <c r="Y440" s="293"/>
      <c r="Z440" s="293"/>
      <c r="AA440" s="293"/>
      <c r="AB440" s="293"/>
      <c r="AC440" s="293"/>
      <c r="AD440" s="293"/>
      <c r="AE440" s="293"/>
      <c r="AF440" s="293"/>
      <c r="AG440" s="293"/>
      <c r="AH440" s="293"/>
      <c r="AI440" s="293"/>
      <c r="AJ440" s="293"/>
      <c r="AK440" s="293"/>
      <c r="AL440" s="293"/>
      <c r="AM440" s="293"/>
      <c r="AN440" s="293"/>
      <c r="AO440" s="293"/>
      <c r="AP440" s="293"/>
      <c r="AQ440" s="293"/>
      <c r="AR440" s="293"/>
      <c r="AS440" s="293"/>
      <c r="AT440" s="293"/>
      <c r="AU440" s="293"/>
      <c r="AV440" s="293"/>
      <c r="AW440" s="293"/>
      <c r="AX440" s="293"/>
      <c r="AY440" s="293"/>
      <c r="AZ440" s="293"/>
      <c r="BA440" s="293"/>
      <c r="BB440" s="293"/>
      <c r="BC440" s="293"/>
      <c r="BD440" s="293"/>
      <c r="BE440" s="293"/>
      <c r="BF440" s="293"/>
      <c r="BG440" s="293"/>
      <c r="BH440" s="293"/>
      <c r="BI440" s="293"/>
      <c r="BJ440" s="293"/>
      <c r="BK440" s="293"/>
      <c r="BL440" s="293"/>
      <c r="BM440" s="293"/>
      <c r="BN440" s="293"/>
      <c r="BO440" s="293"/>
      <c r="BP440" s="293"/>
      <c r="BQ440" s="293"/>
      <c r="BR440" s="293"/>
      <c r="BS440" s="293"/>
      <c r="BT440" s="293"/>
      <c r="BU440" s="293"/>
      <c r="BV440" s="293"/>
      <c r="BW440" s="293"/>
      <c r="BX440" s="293"/>
      <c r="BY440" s="293"/>
      <c r="BZ440" s="293"/>
      <c r="CA440" s="285"/>
      <c r="CB440" s="286"/>
      <c r="CC440" s="286"/>
      <c r="CD440" s="286"/>
      <c r="CE440" s="286"/>
      <c r="CF440" s="286"/>
      <c r="CG440" s="286"/>
      <c r="CH440" s="286"/>
      <c r="CI440" s="286"/>
      <c r="CJ440" s="286"/>
      <c r="CK440" s="286"/>
      <c r="CL440" s="286"/>
      <c r="CM440" s="286"/>
      <c r="CN440" s="286"/>
      <c r="CO440" s="286"/>
      <c r="CP440" s="286"/>
      <c r="CQ440" s="286"/>
      <c r="CR440" s="286"/>
      <c r="CS440" s="286"/>
      <c r="CT440" s="286"/>
      <c r="CU440" s="286"/>
      <c r="CV440" s="286"/>
      <c r="CW440" s="286"/>
      <c r="CX440" s="286"/>
      <c r="CY440" s="286"/>
      <c r="CZ440" s="286"/>
      <c r="DA440" s="286"/>
      <c r="DB440" s="286"/>
      <c r="DC440" s="286"/>
      <c r="DD440" s="286"/>
      <c r="DE440" s="286"/>
      <c r="DF440" s="286"/>
      <c r="DG440" s="286"/>
      <c r="DH440" s="286"/>
      <c r="DI440" s="286"/>
      <c r="DJ440" s="286"/>
      <c r="DK440" s="286"/>
      <c r="DL440" s="286"/>
      <c r="DM440" s="286"/>
      <c r="DN440" s="286"/>
      <c r="DO440" s="286"/>
      <c r="DP440" s="286"/>
      <c r="DR440" s="58" t="str">
        <f>IF(ISNUMBER(MATCH(#REF!,'Audit Characteristic Mapping'!$B$3:$B$500,0)),"Y","")</f>
        <v/>
      </c>
      <c r="DS440" s="58" t="str">
        <f>IF(ISNUMBER(MATCH(#REF!,'Audit Characteristic Mapping'!$C$3:$C$500,0)),"Y","")</f>
        <v/>
      </c>
      <c r="DT440" s="58" t="str">
        <f>IF(ISNUMBER(MATCH(#REF!,'Audit Characteristic Mapping'!$D$3:$D$500,0)),"Y","")</f>
        <v/>
      </c>
      <c r="DU440" s="58" t="str">
        <f>IF(ISNUMBER(MATCH(#REF!,'Audit Characteristic Mapping'!$E$3:$E$500,0)),"Y","")</f>
        <v/>
      </c>
      <c r="DV440" s="58" t="str">
        <f>IF(ISNUMBER(MATCH(#REF!,'Audit Characteristic Mapping'!$F$3:$F$500,0)),"Y","")</f>
        <v/>
      </c>
      <c r="DW440" s="58" t="str">
        <f>IF(ISNUMBER(MATCH(#REF!,'Audit Characteristic Mapping'!$G$3:$G$500,0)),"Y","")</f>
        <v/>
      </c>
      <c r="DX440" s="58" t="str">
        <f>IF(ISNUMBER(MATCH(#REF!,'Audit Characteristic Mapping'!$H$3:$H$500,0)),"Y","")</f>
        <v/>
      </c>
      <c r="DY440" s="58" t="str">
        <f>IF(ISNUMBER(MATCH(#REF!,'Audit Characteristic Mapping'!$I$3:$I$500,0)),"Y","")</f>
        <v/>
      </c>
      <c r="DZ440" s="58" t="str">
        <f>IF(ISNUMBER(MATCH(#REF!,'Audit Characteristic Mapping'!$J$3:$J$500,0)),"Y","")</f>
        <v/>
      </c>
      <c r="EA440" s="58" t="str">
        <f>IF(ISNUMBER(MATCH(#REF!,'Audit Characteristic Mapping'!$K$3:$K$500,0)),"Y","")</f>
        <v/>
      </c>
    </row>
    <row r="441" spans="1:131" ht="17" hidden="1" thickBot="1" x14ac:dyDescent="0.25">
      <c r="A441" s="288">
        <v>434</v>
      </c>
      <c r="B441" s="287" t="s">
        <v>594</v>
      </c>
      <c r="C441" s="226" t="s">
        <v>595</v>
      </c>
      <c r="D441" s="170">
        <v>15</v>
      </c>
      <c r="E441" s="288">
        <v>90</v>
      </c>
      <c r="F441" s="291" t="str">
        <f>VLOOKUP(Calculation!A441,'Descriptor maps'!$A$2:$F$1658,2,0)</f>
        <v>HSE</v>
      </c>
      <c r="G441" s="296"/>
      <c r="H441" s="290"/>
      <c r="I441" s="291"/>
      <c r="J441" s="292" t="e" cm="1">
        <f t="array" ref="J441">INDEX('Descriptor maps'!$I$2:$I$1658,MATCH(1,('Descriptor maps'!$A$2:$A$1658=Calculation!$A441)*('Descriptor maps'!$G$2:$G$1658=Calculation!$G441),0))</f>
        <v>#N/A</v>
      </c>
      <c r="K441" s="226"/>
      <c r="L441" s="293"/>
      <c r="M441" s="293"/>
      <c r="N441" s="293"/>
      <c r="O441" s="293"/>
      <c r="P441" s="293"/>
      <c r="Q441" s="293"/>
      <c r="R441" s="293"/>
      <c r="S441" s="293"/>
      <c r="T441" s="293"/>
      <c r="U441" s="293"/>
      <c r="V441" s="293"/>
      <c r="W441" s="293"/>
      <c r="X441" s="293"/>
      <c r="Y441" s="293"/>
      <c r="Z441" s="293"/>
      <c r="AA441" s="293"/>
      <c r="AB441" s="293"/>
      <c r="AC441" s="293"/>
      <c r="AD441" s="293"/>
      <c r="AE441" s="293"/>
      <c r="AF441" s="293"/>
      <c r="AG441" s="293"/>
      <c r="AH441" s="293"/>
      <c r="AI441" s="293"/>
      <c r="AJ441" s="293"/>
      <c r="AK441" s="293"/>
      <c r="AL441" s="293"/>
      <c r="AM441" s="293"/>
      <c r="AN441" s="293"/>
      <c r="AO441" s="293"/>
      <c r="AP441" s="293"/>
      <c r="AQ441" s="293"/>
      <c r="AR441" s="293"/>
      <c r="AS441" s="293"/>
      <c r="AT441" s="293"/>
      <c r="AU441" s="293"/>
      <c r="AV441" s="293"/>
      <c r="AW441" s="293"/>
      <c r="AX441" s="293"/>
      <c r="AY441" s="293"/>
      <c r="AZ441" s="293"/>
      <c r="BA441" s="293"/>
      <c r="BB441" s="293"/>
      <c r="BC441" s="293"/>
      <c r="BD441" s="293"/>
      <c r="BE441" s="293"/>
      <c r="BF441" s="293"/>
      <c r="BG441" s="293"/>
      <c r="BH441" s="293"/>
      <c r="BI441" s="293"/>
      <c r="BJ441" s="293"/>
      <c r="BK441" s="293"/>
      <c r="BL441" s="293"/>
      <c r="BM441" s="293"/>
      <c r="BN441" s="293"/>
      <c r="BO441" s="293"/>
      <c r="BP441" s="293"/>
      <c r="BQ441" s="293"/>
      <c r="BR441" s="293"/>
      <c r="BS441" s="293"/>
      <c r="BT441" s="293"/>
      <c r="BU441" s="293"/>
      <c r="BV441" s="293"/>
      <c r="BW441" s="293"/>
      <c r="BX441" s="293"/>
      <c r="BY441" s="293"/>
      <c r="BZ441" s="293"/>
      <c r="CA441" s="285"/>
      <c r="CB441" s="286"/>
      <c r="CC441" s="286"/>
      <c r="CD441" s="286"/>
      <c r="CE441" s="286"/>
      <c r="CF441" s="286"/>
      <c r="CG441" s="286"/>
      <c r="CH441" s="286"/>
      <c r="CI441" s="286"/>
      <c r="CJ441" s="286"/>
      <c r="CK441" s="286"/>
      <c r="CL441" s="286"/>
      <c r="CM441" s="286"/>
      <c r="CN441" s="286"/>
      <c r="CO441" s="286"/>
      <c r="CP441" s="286"/>
      <c r="CQ441" s="286"/>
      <c r="CR441" s="286"/>
      <c r="CS441" s="286"/>
      <c r="CT441" s="286"/>
      <c r="CU441" s="286"/>
      <c r="CV441" s="286"/>
      <c r="CW441" s="286"/>
      <c r="CX441" s="286"/>
      <c r="CY441" s="286"/>
      <c r="CZ441" s="286"/>
      <c r="DA441" s="286"/>
      <c r="DB441" s="286"/>
      <c r="DC441" s="286"/>
      <c r="DD441" s="286"/>
      <c r="DE441" s="286"/>
      <c r="DF441" s="286"/>
      <c r="DG441" s="286"/>
      <c r="DH441" s="286"/>
      <c r="DI441" s="286"/>
      <c r="DJ441" s="286"/>
      <c r="DK441" s="286"/>
      <c r="DL441" s="286"/>
      <c r="DM441" s="286"/>
      <c r="DN441" s="286"/>
      <c r="DO441" s="286"/>
      <c r="DP441" s="286"/>
      <c r="DR441" s="58" t="str">
        <f>IF(ISNUMBER(MATCH(#REF!,'Audit Characteristic Mapping'!$B$3:$B$500,0)),"Y","")</f>
        <v/>
      </c>
      <c r="DS441" s="58" t="str">
        <f>IF(ISNUMBER(MATCH(#REF!,'Audit Characteristic Mapping'!$C$3:$C$500,0)),"Y","")</f>
        <v/>
      </c>
      <c r="DT441" s="58" t="str">
        <f>IF(ISNUMBER(MATCH(#REF!,'Audit Characteristic Mapping'!$D$3:$D$500,0)),"Y","")</f>
        <v/>
      </c>
      <c r="DU441" s="58" t="str">
        <f>IF(ISNUMBER(MATCH(#REF!,'Audit Characteristic Mapping'!$E$3:$E$500,0)),"Y","")</f>
        <v/>
      </c>
      <c r="DV441" s="58" t="str">
        <f>IF(ISNUMBER(MATCH(#REF!,'Audit Characteristic Mapping'!$F$3:$F$500,0)),"Y","")</f>
        <v/>
      </c>
      <c r="DW441" s="58" t="str">
        <f>IF(ISNUMBER(MATCH(#REF!,'Audit Characteristic Mapping'!$G$3:$G$500,0)),"Y","")</f>
        <v/>
      </c>
      <c r="DX441" s="58" t="str">
        <f>IF(ISNUMBER(MATCH(#REF!,'Audit Characteristic Mapping'!$H$3:$H$500,0)),"Y","")</f>
        <v/>
      </c>
      <c r="DY441" s="58" t="str">
        <f>IF(ISNUMBER(MATCH(#REF!,'Audit Characteristic Mapping'!$I$3:$I$500,0)),"Y","")</f>
        <v/>
      </c>
      <c r="DZ441" s="58" t="str">
        <f>IF(ISNUMBER(MATCH(#REF!,'Audit Characteristic Mapping'!$J$3:$J$500,0)),"Y","")</f>
        <v/>
      </c>
      <c r="EA441" s="58" t="str">
        <f>IF(ISNUMBER(MATCH(#REF!,'Audit Characteristic Mapping'!$K$3:$K$500,0)),"Y","")</f>
        <v/>
      </c>
    </row>
    <row r="442" spans="1:131" ht="17" hidden="1" thickBot="1" x14ac:dyDescent="0.25">
      <c r="A442" s="288">
        <v>435</v>
      </c>
      <c r="B442" s="287" t="s">
        <v>594</v>
      </c>
      <c r="C442" s="226" t="s">
        <v>598</v>
      </c>
      <c r="D442" s="170">
        <v>15</v>
      </c>
      <c r="E442" s="288">
        <v>91</v>
      </c>
      <c r="F442" s="291" t="str">
        <f>VLOOKUP(Calculation!A442,'Descriptor maps'!$A$2:$F$1658,2,0)</f>
        <v>HSE</v>
      </c>
      <c r="G442" s="296"/>
      <c r="H442" s="290"/>
      <c r="I442" s="291"/>
      <c r="J442" s="292" t="e" cm="1">
        <f t="array" ref="J442">INDEX('Descriptor maps'!$I$2:$I$1658,MATCH(1,('Descriptor maps'!$A$2:$A$1658=Calculation!$A442)*('Descriptor maps'!$G$2:$G$1658=Calculation!$G442),0))</f>
        <v>#N/A</v>
      </c>
      <c r="K442" s="226"/>
      <c r="L442" s="293"/>
      <c r="M442" s="293"/>
      <c r="N442" s="293"/>
      <c r="O442" s="293"/>
      <c r="P442" s="293"/>
      <c r="Q442" s="293"/>
      <c r="R442" s="293"/>
      <c r="S442" s="293"/>
      <c r="T442" s="293"/>
      <c r="U442" s="293"/>
      <c r="V442" s="293"/>
      <c r="W442" s="293"/>
      <c r="X442" s="293"/>
      <c r="Y442" s="293"/>
      <c r="Z442" s="293"/>
      <c r="AA442" s="293"/>
      <c r="AB442" s="293"/>
      <c r="AC442" s="293"/>
      <c r="AD442" s="293"/>
      <c r="AE442" s="293"/>
      <c r="AF442" s="293"/>
      <c r="AG442" s="293"/>
      <c r="AH442" s="293"/>
      <c r="AI442" s="293"/>
      <c r="AJ442" s="293"/>
      <c r="AK442" s="293"/>
      <c r="AL442" s="293"/>
      <c r="AM442" s="293"/>
      <c r="AN442" s="293"/>
      <c r="AO442" s="293"/>
      <c r="AP442" s="293"/>
      <c r="AQ442" s="293"/>
      <c r="AR442" s="293"/>
      <c r="AS442" s="293"/>
      <c r="AT442" s="293"/>
      <c r="AU442" s="293"/>
      <c r="AV442" s="293"/>
      <c r="AW442" s="293"/>
      <c r="AX442" s="293"/>
      <c r="AY442" s="293"/>
      <c r="AZ442" s="293"/>
      <c r="BA442" s="293"/>
      <c r="BB442" s="293"/>
      <c r="BC442" s="293"/>
      <c r="BD442" s="293"/>
      <c r="BE442" s="293"/>
      <c r="BF442" s="293"/>
      <c r="BG442" s="293"/>
      <c r="BH442" s="293"/>
      <c r="BI442" s="293"/>
      <c r="BJ442" s="293"/>
      <c r="BK442" s="293"/>
      <c r="BL442" s="293"/>
      <c r="BM442" s="293"/>
      <c r="BN442" s="293"/>
      <c r="BO442" s="293"/>
      <c r="BP442" s="293"/>
      <c r="BQ442" s="293"/>
      <c r="BR442" s="293"/>
      <c r="BS442" s="293"/>
      <c r="BT442" s="293"/>
      <c r="BU442" s="293"/>
      <c r="BV442" s="293"/>
      <c r="BW442" s="293"/>
      <c r="BX442" s="293"/>
      <c r="BY442" s="293"/>
      <c r="BZ442" s="293"/>
      <c r="CA442" s="285"/>
      <c r="CB442" s="286"/>
      <c r="CC442" s="286"/>
      <c r="CD442" s="286"/>
      <c r="CE442" s="286"/>
      <c r="CF442" s="286"/>
      <c r="CG442" s="286"/>
      <c r="CH442" s="286"/>
      <c r="CI442" s="286"/>
      <c r="CJ442" s="286"/>
      <c r="CK442" s="286"/>
      <c r="CL442" s="286"/>
      <c r="CM442" s="286"/>
      <c r="CN442" s="286"/>
      <c r="CO442" s="286"/>
      <c r="CP442" s="286"/>
      <c r="CQ442" s="286"/>
      <c r="CR442" s="286"/>
      <c r="CS442" s="286"/>
      <c r="CT442" s="286"/>
      <c r="CU442" s="286"/>
      <c r="CV442" s="286"/>
      <c r="CW442" s="286"/>
      <c r="CX442" s="286"/>
      <c r="CY442" s="286"/>
      <c r="CZ442" s="286"/>
      <c r="DA442" s="286"/>
      <c r="DB442" s="286"/>
      <c r="DC442" s="286"/>
      <c r="DD442" s="286"/>
      <c r="DE442" s="286"/>
      <c r="DF442" s="286"/>
      <c r="DG442" s="286"/>
      <c r="DH442" s="286"/>
      <c r="DI442" s="286"/>
      <c r="DJ442" s="286"/>
      <c r="DK442" s="286"/>
      <c r="DL442" s="286"/>
      <c r="DM442" s="286"/>
      <c r="DN442" s="286"/>
      <c r="DO442" s="286"/>
      <c r="DP442" s="286"/>
      <c r="DR442" s="58" t="str">
        <f>IF(ISNUMBER(MATCH(#REF!,'Audit Characteristic Mapping'!$B$3:$B$500,0)),"Y","")</f>
        <v/>
      </c>
      <c r="DS442" s="58" t="str">
        <f>IF(ISNUMBER(MATCH(#REF!,'Audit Characteristic Mapping'!$C$3:$C$500,0)),"Y","")</f>
        <v/>
      </c>
      <c r="DT442" s="58" t="str">
        <f>IF(ISNUMBER(MATCH(#REF!,'Audit Characteristic Mapping'!$D$3:$D$500,0)),"Y","")</f>
        <v/>
      </c>
      <c r="DU442" s="58" t="str">
        <f>IF(ISNUMBER(MATCH(#REF!,'Audit Characteristic Mapping'!$E$3:$E$500,0)),"Y","")</f>
        <v/>
      </c>
      <c r="DV442" s="58" t="str">
        <f>IF(ISNUMBER(MATCH(#REF!,'Audit Characteristic Mapping'!$F$3:$F$500,0)),"Y","")</f>
        <v/>
      </c>
      <c r="DW442" s="58" t="str">
        <f>IF(ISNUMBER(MATCH(#REF!,'Audit Characteristic Mapping'!$G$3:$G$500,0)),"Y","")</f>
        <v/>
      </c>
      <c r="DX442" s="58" t="str">
        <f>IF(ISNUMBER(MATCH(#REF!,'Audit Characteristic Mapping'!$H$3:$H$500,0)),"Y","")</f>
        <v/>
      </c>
      <c r="DY442" s="58" t="str">
        <f>IF(ISNUMBER(MATCH(#REF!,'Audit Characteristic Mapping'!$I$3:$I$500,0)),"Y","")</f>
        <v/>
      </c>
      <c r="DZ442" s="58" t="str">
        <f>IF(ISNUMBER(MATCH(#REF!,'Audit Characteristic Mapping'!$J$3:$J$500,0)),"Y","")</f>
        <v/>
      </c>
      <c r="EA442" s="58" t="str">
        <f>IF(ISNUMBER(MATCH(#REF!,'Audit Characteristic Mapping'!$K$3:$K$500,0)),"Y","")</f>
        <v/>
      </c>
    </row>
    <row r="443" spans="1:131" ht="17" hidden="1" thickBot="1" x14ac:dyDescent="0.25">
      <c r="A443" s="288">
        <v>436</v>
      </c>
      <c r="B443" s="287" t="s">
        <v>594</v>
      </c>
      <c r="C443" s="226" t="s">
        <v>598</v>
      </c>
      <c r="D443" s="170">
        <v>15</v>
      </c>
      <c r="E443" s="288">
        <v>91</v>
      </c>
      <c r="F443" s="291" t="str">
        <f>VLOOKUP(Calculation!A443,'Descriptor maps'!$A$2:$F$1658,2,0)</f>
        <v>HSE</v>
      </c>
      <c r="G443" s="296"/>
      <c r="H443" s="290"/>
      <c r="I443" s="291"/>
      <c r="J443" s="292" t="e" cm="1">
        <f t="array" ref="J443">INDEX('Descriptor maps'!$I$2:$I$1658,MATCH(1,('Descriptor maps'!$A$2:$A$1658=Calculation!$A443)*('Descriptor maps'!$G$2:$G$1658=Calculation!$G443),0))</f>
        <v>#N/A</v>
      </c>
      <c r="K443" s="226"/>
      <c r="L443" s="293"/>
      <c r="M443" s="293"/>
      <c r="N443" s="293"/>
      <c r="O443" s="293"/>
      <c r="P443" s="293"/>
      <c r="Q443" s="293"/>
      <c r="R443" s="293"/>
      <c r="S443" s="293"/>
      <c r="T443" s="293"/>
      <c r="U443" s="293"/>
      <c r="V443" s="293"/>
      <c r="W443" s="293"/>
      <c r="X443" s="293"/>
      <c r="Y443" s="293"/>
      <c r="Z443" s="293"/>
      <c r="AA443" s="293"/>
      <c r="AB443" s="293"/>
      <c r="AC443" s="293"/>
      <c r="AD443" s="293"/>
      <c r="AE443" s="293"/>
      <c r="AF443" s="293"/>
      <c r="AG443" s="293"/>
      <c r="AH443" s="293"/>
      <c r="AI443" s="293"/>
      <c r="AJ443" s="293"/>
      <c r="AK443" s="293"/>
      <c r="AL443" s="293"/>
      <c r="AM443" s="293"/>
      <c r="AN443" s="293"/>
      <c r="AO443" s="293"/>
      <c r="AP443" s="293"/>
      <c r="AQ443" s="293"/>
      <c r="AR443" s="293"/>
      <c r="AS443" s="293"/>
      <c r="AT443" s="293"/>
      <c r="AU443" s="293"/>
      <c r="AV443" s="293"/>
      <c r="AW443" s="293"/>
      <c r="AX443" s="293"/>
      <c r="AY443" s="293"/>
      <c r="AZ443" s="293"/>
      <c r="BA443" s="293"/>
      <c r="BB443" s="293"/>
      <c r="BC443" s="293"/>
      <c r="BD443" s="293"/>
      <c r="BE443" s="293"/>
      <c r="BF443" s="293"/>
      <c r="BG443" s="293"/>
      <c r="BH443" s="293"/>
      <c r="BI443" s="293"/>
      <c r="BJ443" s="293"/>
      <c r="BK443" s="293"/>
      <c r="BL443" s="293"/>
      <c r="BM443" s="293"/>
      <c r="BN443" s="293"/>
      <c r="BO443" s="293"/>
      <c r="BP443" s="293"/>
      <c r="BQ443" s="293"/>
      <c r="BR443" s="293"/>
      <c r="BS443" s="293"/>
      <c r="BT443" s="293"/>
      <c r="BU443" s="293"/>
      <c r="BV443" s="293"/>
      <c r="BW443" s="293"/>
      <c r="BX443" s="293"/>
      <c r="BY443" s="293"/>
      <c r="BZ443" s="293"/>
      <c r="CA443" s="285"/>
      <c r="CB443" s="286"/>
      <c r="CC443" s="286"/>
      <c r="CD443" s="286"/>
      <c r="CE443" s="286"/>
      <c r="CF443" s="286"/>
      <c r="CG443" s="286"/>
      <c r="CH443" s="286"/>
      <c r="CI443" s="286"/>
      <c r="CJ443" s="286"/>
      <c r="CK443" s="286"/>
      <c r="CL443" s="286"/>
      <c r="CM443" s="286"/>
      <c r="CN443" s="286"/>
      <c r="CO443" s="286"/>
      <c r="CP443" s="286"/>
      <c r="CQ443" s="286"/>
      <c r="CR443" s="286"/>
      <c r="CS443" s="286"/>
      <c r="CT443" s="286"/>
      <c r="CU443" s="286"/>
      <c r="CV443" s="286"/>
      <c r="CW443" s="286"/>
      <c r="CX443" s="286"/>
      <c r="CY443" s="286"/>
      <c r="CZ443" s="286"/>
      <c r="DA443" s="286"/>
      <c r="DB443" s="286"/>
      <c r="DC443" s="286"/>
      <c r="DD443" s="286"/>
      <c r="DE443" s="286"/>
      <c r="DF443" s="286"/>
      <c r="DG443" s="286"/>
      <c r="DH443" s="286"/>
      <c r="DI443" s="286"/>
      <c r="DJ443" s="286"/>
      <c r="DK443" s="286"/>
      <c r="DL443" s="286"/>
      <c r="DM443" s="286"/>
      <c r="DN443" s="286"/>
      <c r="DO443" s="286"/>
      <c r="DP443" s="286"/>
      <c r="DR443" s="58" t="str">
        <f>IF(ISNUMBER(MATCH(#REF!,'Audit Characteristic Mapping'!$B$3:$B$500,0)),"Y","")</f>
        <v/>
      </c>
      <c r="DS443" s="58" t="str">
        <f>IF(ISNUMBER(MATCH(#REF!,'Audit Characteristic Mapping'!$C$3:$C$500,0)),"Y","")</f>
        <v/>
      </c>
      <c r="DT443" s="58" t="str">
        <f>IF(ISNUMBER(MATCH(#REF!,'Audit Characteristic Mapping'!$D$3:$D$500,0)),"Y","")</f>
        <v/>
      </c>
      <c r="DU443" s="58" t="str">
        <f>IF(ISNUMBER(MATCH(#REF!,'Audit Characteristic Mapping'!$E$3:$E$500,0)),"Y","")</f>
        <v/>
      </c>
      <c r="DV443" s="58" t="str">
        <f>IF(ISNUMBER(MATCH(#REF!,'Audit Characteristic Mapping'!$F$3:$F$500,0)),"Y","")</f>
        <v/>
      </c>
      <c r="DW443" s="58" t="str">
        <f>IF(ISNUMBER(MATCH(#REF!,'Audit Characteristic Mapping'!$G$3:$G$500,0)),"Y","")</f>
        <v/>
      </c>
      <c r="DX443" s="58" t="str">
        <f>IF(ISNUMBER(MATCH(#REF!,'Audit Characteristic Mapping'!$H$3:$H$500,0)),"Y","")</f>
        <v/>
      </c>
      <c r="DY443" s="58" t="str">
        <f>IF(ISNUMBER(MATCH(#REF!,'Audit Characteristic Mapping'!$I$3:$I$500,0)),"Y","")</f>
        <v/>
      </c>
      <c r="DZ443" s="58" t="str">
        <f>IF(ISNUMBER(MATCH(#REF!,'Audit Characteristic Mapping'!$J$3:$J$500,0)),"Y","")</f>
        <v/>
      </c>
      <c r="EA443" s="58" t="str">
        <f>IF(ISNUMBER(MATCH(#REF!,'Audit Characteristic Mapping'!$K$3:$K$500,0)),"Y","")</f>
        <v/>
      </c>
    </row>
    <row r="444" spans="1:131" ht="33" hidden="1" thickBot="1" x14ac:dyDescent="0.25">
      <c r="A444" s="288">
        <v>437</v>
      </c>
      <c r="B444" s="287" t="s">
        <v>594</v>
      </c>
      <c r="C444" s="226" t="s">
        <v>601</v>
      </c>
      <c r="D444" s="170">
        <v>15</v>
      </c>
      <c r="E444" s="288">
        <v>92</v>
      </c>
      <c r="F444" s="291" t="str">
        <f>VLOOKUP(Calculation!A444,'Descriptor maps'!$A$2:$F$1658,2,0)</f>
        <v>HSE</v>
      </c>
      <c r="G444" s="296"/>
      <c r="H444" s="290"/>
      <c r="I444" s="291"/>
      <c r="J444" s="292" t="e" cm="1">
        <f t="array" ref="J444">INDEX('Descriptor maps'!$I$2:$I$1658,MATCH(1,('Descriptor maps'!$A$2:$A$1658=Calculation!$A444)*('Descriptor maps'!$G$2:$G$1658=Calculation!$G444),0))</f>
        <v>#N/A</v>
      </c>
      <c r="K444" s="226"/>
      <c r="L444" s="293"/>
      <c r="M444" s="293"/>
      <c r="N444" s="293"/>
      <c r="O444" s="293"/>
      <c r="P444" s="293"/>
      <c r="Q444" s="293"/>
      <c r="R444" s="293"/>
      <c r="S444" s="293"/>
      <c r="T444" s="293"/>
      <c r="U444" s="293"/>
      <c r="V444" s="293"/>
      <c r="W444" s="293"/>
      <c r="X444" s="293"/>
      <c r="Y444" s="293"/>
      <c r="Z444" s="293"/>
      <c r="AA444" s="293"/>
      <c r="AB444" s="293"/>
      <c r="AC444" s="293"/>
      <c r="AD444" s="293"/>
      <c r="AE444" s="293"/>
      <c r="AF444" s="293"/>
      <c r="AG444" s="293"/>
      <c r="AH444" s="293"/>
      <c r="AI444" s="293"/>
      <c r="AJ444" s="293"/>
      <c r="AK444" s="293"/>
      <c r="AL444" s="293"/>
      <c r="AM444" s="293"/>
      <c r="AN444" s="293"/>
      <c r="AO444" s="293"/>
      <c r="AP444" s="293"/>
      <c r="AQ444" s="293"/>
      <c r="AR444" s="293"/>
      <c r="AS444" s="293"/>
      <c r="AT444" s="293"/>
      <c r="AU444" s="293"/>
      <c r="AV444" s="293"/>
      <c r="AW444" s="293"/>
      <c r="AX444" s="293"/>
      <c r="AY444" s="293"/>
      <c r="AZ444" s="293"/>
      <c r="BA444" s="293"/>
      <c r="BB444" s="293"/>
      <c r="BC444" s="293"/>
      <c r="BD444" s="293"/>
      <c r="BE444" s="293"/>
      <c r="BF444" s="293"/>
      <c r="BG444" s="293"/>
      <c r="BH444" s="293"/>
      <c r="BI444" s="293"/>
      <c r="BJ444" s="293"/>
      <c r="BK444" s="293"/>
      <c r="BL444" s="293"/>
      <c r="BM444" s="293"/>
      <c r="BN444" s="293"/>
      <c r="BO444" s="293"/>
      <c r="BP444" s="293"/>
      <c r="BQ444" s="293"/>
      <c r="BR444" s="293"/>
      <c r="BS444" s="293"/>
      <c r="BT444" s="293"/>
      <c r="BU444" s="293"/>
      <c r="BV444" s="293"/>
      <c r="BW444" s="293"/>
      <c r="BX444" s="293"/>
      <c r="BY444" s="293"/>
      <c r="BZ444" s="293"/>
      <c r="CA444" s="285"/>
      <c r="CB444" s="286"/>
      <c r="CC444" s="286"/>
      <c r="CD444" s="286"/>
      <c r="CE444" s="286"/>
      <c r="CF444" s="286"/>
      <c r="CG444" s="286"/>
      <c r="CH444" s="286"/>
      <c r="CI444" s="286"/>
      <c r="CJ444" s="286"/>
      <c r="CK444" s="286"/>
      <c r="CL444" s="286"/>
      <c r="CM444" s="286"/>
      <c r="CN444" s="286"/>
      <c r="CO444" s="286"/>
      <c r="CP444" s="286"/>
      <c r="CQ444" s="286"/>
      <c r="CR444" s="286"/>
      <c r="CS444" s="286"/>
      <c r="CT444" s="286"/>
      <c r="CU444" s="286"/>
      <c r="CV444" s="286"/>
      <c r="CW444" s="286"/>
      <c r="CX444" s="286"/>
      <c r="CY444" s="286"/>
      <c r="CZ444" s="286"/>
      <c r="DA444" s="286"/>
      <c r="DB444" s="286"/>
      <c r="DC444" s="286"/>
      <c r="DD444" s="286"/>
      <c r="DE444" s="286"/>
      <c r="DF444" s="286"/>
      <c r="DG444" s="286"/>
      <c r="DH444" s="286"/>
      <c r="DI444" s="286"/>
      <c r="DJ444" s="286"/>
      <c r="DK444" s="286"/>
      <c r="DL444" s="286"/>
      <c r="DM444" s="286"/>
      <c r="DN444" s="286"/>
      <c r="DO444" s="286"/>
      <c r="DP444" s="286"/>
      <c r="DR444" s="58" t="str">
        <f>IF(ISNUMBER(MATCH(#REF!,'Audit Characteristic Mapping'!$B$3:$B$500,0)),"Y","")</f>
        <v/>
      </c>
      <c r="DS444" s="58" t="str">
        <f>IF(ISNUMBER(MATCH(#REF!,'Audit Characteristic Mapping'!$C$3:$C$500,0)),"Y","")</f>
        <v/>
      </c>
      <c r="DT444" s="58" t="str">
        <f>IF(ISNUMBER(MATCH(#REF!,'Audit Characteristic Mapping'!$D$3:$D$500,0)),"Y","")</f>
        <v/>
      </c>
      <c r="DU444" s="58" t="str">
        <f>IF(ISNUMBER(MATCH(#REF!,'Audit Characteristic Mapping'!$E$3:$E$500,0)),"Y","")</f>
        <v/>
      </c>
      <c r="DV444" s="58" t="str">
        <f>IF(ISNUMBER(MATCH(#REF!,'Audit Characteristic Mapping'!$F$3:$F$500,0)),"Y","")</f>
        <v/>
      </c>
      <c r="DW444" s="58" t="str">
        <f>IF(ISNUMBER(MATCH(#REF!,'Audit Characteristic Mapping'!$G$3:$G$500,0)),"Y","")</f>
        <v/>
      </c>
      <c r="DX444" s="58" t="str">
        <f>IF(ISNUMBER(MATCH(#REF!,'Audit Characteristic Mapping'!$H$3:$H$500,0)),"Y","")</f>
        <v/>
      </c>
      <c r="DY444" s="58" t="str">
        <f>IF(ISNUMBER(MATCH(#REF!,'Audit Characteristic Mapping'!$I$3:$I$500,0)),"Y","")</f>
        <v/>
      </c>
      <c r="DZ444" s="58" t="str">
        <f>IF(ISNUMBER(MATCH(#REF!,'Audit Characteristic Mapping'!$J$3:$J$500,0)),"Y","")</f>
        <v/>
      </c>
      <c r="EA444" s="58" t="str">
        <f>IF(ISNUMBER(MATCH(#REF!,'Audit Characteristic Mapping'!$K$3:$K$500,0)),"Y","")</f>
        <v/>
      </c>
    </row>
    <row r="445" spans="1:131" ht="33" hidden="1" thickBot="1" x14ac:dyDescent="0.25">
      <c r="A445" s="288">
        <v>438</v>
      </c>
      <c r="B445" s="287" t="s">
        <v>594</v>
      </c>
      <c r="C445" s="226" t="s">
        <v>601</v>
      </c>
      <c r="D445" s="170">
        <v>15</v>
      </c>
      <c r="E445" s="288">
        <v>92</v>
      </c>
      <c r="F445" s="291" t="str">
        <f>VLOOKUP(Calculation!A445,'Descriptor maps'!$A$2:$F$1658,2,0)</f>
        <v>HSE</v>
      </c>
      <c r="G445" s="296"/>
      <c r="H445" s="290"/>
      <c r="I445" s="291"/>
      <c r="J445" s="292" t="e" cm="1">
        <f t="array" ref="J445">INDEX('Descriptor maps'!$I$2:$I$1658,MATCH(1,('Descriptor maps'!$A$2:$A$1658=Calculation!$A445)*('Descriptor maps'!$G$2:$G$1658=Calculation!$G445),0))</f>
        <v>#N/A</v>
      </c>
      <c r="K445" s="226"/>
      <c r="L445" s="293"/>
      <c r="M445" s="293"/>
      <c r="N445" s="293"/>
      <c r="O445" s="293"/>
      <c r="P445" s="293"/>
      <c r="Q445" s="293"/>
      <c r="R445" s="293"/>
      <c r="S445" s="293"/>
      <c r="T445" s="293"/>
      <c r="U445" s="293"/>
      <c r="V445" s="293"/>
      <c r="W445" s="293"/>
      <c r="X445" s="293"/>
      <c r="Y445" s="293"/>
      <c r="Z445" s="293"/>
      <c r="AA445" s="293"/>
      <c r="AB445" s="293"/>
      <c r="AC445" s="293"/>
      <c r="AD445" s="293"/>
      <c r="AE445" s="293"/>
      <c r="AF445" s="293"/>
      <c r="AG445" s="293"/>
      <c r="AH445" s="293"/>
      <c r="AI445" s="293"/>
      <c r="AJ445" s="293"/>
      <c r="AK445" s="293"/>
      <c r="AL445" s="293"/>
      <c r="AM445" s="293"/>
      <c r="AN445" s="293"/>
      <c r="AO445" s="293"/>
      <c r="AP445" s="293"/>
      <c r="AQ445" s="293"/>
      <c r="AR445" s="293"/>
      <c r="AS445" s="293"/>
      <c r="AT445" s="293"/>
      <c r="AU445" s="293"/>
      <c r="AV445" s="293"/>
      <c r="AW445" s="293"/>
      <c r="AX445" s="293"/>
      <c r="AY445" s="293"/>
      <c r="AZ445" s="293"/>
      <c r="BA445" s="293"/>
      <c r="BB445" s="293"/>
      <c r="BC445" s="293"/>
      <c r="BD445" s="293"/>
      <c r="BE445" s="293"/>
      <c r="BF445" s="293"/>
      <c r="BG445" s="293"/>
      <c r="BH445" s="293"/>
      <c r="BI445" s="293"/>
      <c r="BJ445" s="293"/>
      <c r="BK445" s="293"/>
      <c r="BL445" s="293"/>
      <c r="BM445" s="293"/>
      <c r="BN445" s="293"/>
      <c r="BO445" s="293"/>
      <c r="BP445" s="293"/>
      <c r="BQ445" s="293"/>
      <c r="BR445" s="293"/>
      <c r="BS445" s="293"/>
      <c r="BT445" s="293"/>
      <c r="BU445" s="293"/>
      <c r="BV445" s="293"/>
      <c r="BW445" s="293"/>
      <c r="BX445" s="293"/>
      <c r="BY445" s="293"/>
      <c r="BZ445" s="293"/>
      <c r="CA445" s="285"/>
      <c r="CB445" s="286"/>
      <c r="CC445" s="286"/>
      <c r="CD445" s="286"/>
      <c r="CE445" s="286"/>
      <c r="CF445" s="286"/>
      <c r="CG445" s="286"/>
      <c r="CH445" s="286"/>
      <c r="CI445" s="286"/>
      <c r="CJ445" s="286"/>
      <c r="CK445" s="286"/>
      <c r="CL445" s="286"/>
      <c r="CM445" s="286"/>
      <c r="CN445" s="286"/>
      <c r="CO445" s="286"/>
      <c r="CP445" s="286"/>
      <c r="CQ445" s="286"/>
      <c r="CR445" s="286"/>
      <c r="CS445" s="286"/>
      <c r="CT445" s="286"/>
      <c r="CU445" s="286"/>
      <c r="CV445" s="286"/>
      <c r="CW445" s="286"/>
      <c r="CX445" s="286"/>
      <c r="CY445" s="286"/>
      <c r="CZ445" s="286"/>
      <c r="DA445" s="286"/>
      <c r="DB445" s="286"/>
      <c r="DC445" s="286"/>
      <c r="DD445" s="286"/>
      <c r="DE445" s="286"/>
      <c r="DF445" s="286"/>
      <c r="DG445" s="286"/>
      <c r="DH445" s="286"/>
      <c r="DI445" s="286"/>
      <c r="DJ445" s="286"/>
      <c r="DK445" s="286"/>
      <c r="DL445" s="286"/>
      <c r="DM445" s="286"/>
      <c r="DN445" s="286"/>
      <c r="DO445" s="286"/>
      <c r="DP445" s="286"/>
      <c r="DR445" s="58" t="str">
        <f>IF(ISNUMBER(MATCH(#REF!,'Audit Characteristic Mapping'!$B$3:$B$500,0)),"Y","")</f>
        <v/>
      </c>
      <c r="DS445" s="58" t="str">
        <f>IF(ISNUMBER(MATCH(#REF!,'Audit Characteristic Mapping'!$C$3:$C$500,0)),"Y","")</f>
        <v/>
      </c>
      <c r="DT445" s="58" t="str">
        <f>IF(ISNUMBER(MATCH(#REF!,'Audit Characteristic Mapping'!$D$3:$D$500,0)),"Y","")</f>
        <v/>
      </c>
      <c r="DU445" s="58" t="str">
        <f>IF(ISNUMBER(MATCH(#REF!,'Audit Characteristic Mapping'!$E$3:$E$500,0)),"Y","")</f>
        <v/>
      </c>
      <c r="DV445" s="58" t="str">
        <f>IF(ISNUMBER(MATCH(#REF!,'Audit Characteristic Mapping'!$F$3:$F$500,0)),"Y","")</f>
        <v/>
      </c>
      <c r="DW445" s="58" t="str">
        <f>IF(ISNUMBER(MATCH(#REF!,'Audit Characteristic Mapping'!$G$3:$G$500,0)),"Y","")</f>
        <v/>
      </c>
      <c r="DX445" s="58" t="str">
        <f>IF(ISNUMBER(MATCH(#REF!,'Audit Characteristic Mapping'!$H$3:$H$500,0)),"Y","")</f>
        <v/>
      </c>
      <c r="DY445" s="58" t="str">
        <f>IF(ISNUMBER(MATCH(#REF!,'Audit Characteristic Mapping'!$I$3:$I$500,0)),"Y","")</f>
        <v/>
      </c>
      <c r="DZ445" s="58" t="str">
        <f>IF(ISNUMBER(MATCH(#REF!,'Audit Characteristic Mapping'!$J$3:$J$500,0)),"Y","")</f>
        <v/>
      </c>
      <c r="EA445" s="58" t="str">
        <f>IF(ISNUMBER(MATCH(#REF!,'Audit Characteristic Mapping'!$K$3:$K$500,0)),"Y","")</f>
        <v/>
      </c>
    </row>
    <row r="446" spans="1:131" ht="33" hidden="1" thickBot="1" x14ac:dyDescent="0.25">
      <c r="A446" s="288">
        <v>439</v>
      </c>
      <c r="B446" s="287" t="s">
        <v>594</v>
      </c>
      <c r="C446" s="226" t="s">
        <v>601</v>
      </c>
      <c r="D446" s="170">
        <v>15</v>
      </c>
      <c r="E446" s="288">
        <v>92</v>
      </c>
      <c r="F446" s="291" t="str">
        <f>VLOOKUP(Calculation!A446,'Descriptor maps'!$A$2:$F$1658,2,0)</f>
        <v>HSE</v>
      </c>
      <c r="G446" s="296"/>
      <c r="H446" s="290"/>
      <c r="I446" s="291"/>
      <c r="J446" s="292" t="e" cm="1">
        <f t="array" ref="J446">INDEX('Descriptor maps'!$I$2:$I$1658,MATCH(1,('Descriptor maps'!$A$2:$A$1658=Calculation!$A446)*('Descriptor maps'!$G$2:$G$1658=Calculation!$G446),0))</f>
        <v>#N/A</v>
      </c>
      <c r="K446" s="226"/>
      <c r="L446" s="293"/>
      <c r="M446" s="293"/>
      <c r="N446" s="293"/>
      <c r="O446" s="293"/>
      <c r="P446" s="293"/>
      <c r="Q446" s="293"/>
      <c r="R446" s="293"/>
      <c r="S446" s="293"/>
      <c r="T446" s="293"/>
      <c r="U446" s="293"/>
      <c r="V446" s="293"/>
      <c r="W446" s="293"/>
      <c r="X446" s="293"/>
      <c r="Y446" s="293"/>
      <c r="Z446" s="293"/>
      <c r="AA446" s="293"/>
      <c r="AB446" s="293"/>
      <c r="AC446" s="293"/>
      <c r="AD446" s="293"/>
      <c r="AE446" s="293"/>
      <c r="AF446" s="293"/>
      <c r="AG446" s="293"/>
      <c r="AH446" s="293"/>
      <c r="AI446" s="293"/>
      <c r="AJ446" s="293"/>
      <c r="AK446" s="293"/>
      <c r="AL446" s="293"/>
      <c r="AM446" s="293"/>
      <c r="AN446" s="293"/>
      <c r="AO446" s="293"/>
      <c r="AP446" s="293"/>
      <c r="AQ446" s="293"/>
      <c r="AR446" s="293"/>
      <c r="AS446" s="293"/>
      <c r="AT446" s="293"/>
      <c r="AU446" s="293"/>
      <c r="AV446" s="293"/>
      <c r="AW446" s="293"/>
      <c r="AX446" s="293"/>
      <c r="AY446" s="293"/>
      <c r="AZ446" s="293"/>
      <c r="BA446" s="293"/>
      <c r="BB446" s="293"/>
      <c r="BC446" s="293"/>
      <c r="BD446" s="293"/>
      <c r="BE446" s="293"/>
      <c r="BF446" s="293"/>
      <c r="BG446" s="293"/>
      <c r="BH446" s="293"/>
      <c r="BI446" s="293"/>
      <c r="BJ446" s="293"/>
      <c r="BK446" s="293"/>
      <c r="BL446" s="293"/>
      <c r="BM446" s="293"/>
      <c r="BN446" s="293"/>
      <c r="BO446" s="293"/>
      <c r="BP446" s="293"/>
      <c r="BQ446" s="293"/>
      <c r="BR446" s="293"/>
      <c r="BS446" s="293"/>
      <c r="BT446" s="293"/>
      <c r="BU446" s="293"/>
      <c r="BV446" s="293"/>
      <c r="BW446" s="293"/>
      <c r="BX446" s="293"/>
      <c r="BY446" s="293"/>
      <c r="BZ446" s="293"/>
      <c r="CA446" s="285"/>
      <c r="CB446" s="286"/>
      <c r="CC446" s="286"/>
      <c r="CD446" s="286"/>
      <c r="CE446" s="286"/>
      <c r="CF446" s="286"/>
      <c r="CG446" s="286"/>
      <c r="CH446" s="286"/>
      <c r="CI446" s="286"/>
      <c r="CJ446" s="286"/>
      <c r="CK446" s="286"/>
      <c r="CL446" s="286"/>
      <c r="CM446" s="286"/>
      <c r="CN446" s="286"/>
      <c r="CO446" s="286"/>
      <c r="CP446" s="286"/>
      <c r="CQ446" s="286"/>
      <c r="CR446" s="286"/>
      <c r="CS446" s="286"/>
      <c r="CT446" s="286"/>
      <c r="CU446" s="286"/>
      <c r="CV446" s="286"/>
      <c r="CW446" s="286"/>
      <c r="CX446" s="286"/>
      <c r="CY446" s="286"/>
      <c r="CZ446" s="286"/>
      <c r="DA446" s="286"/>
      <c r="DB446" s="286"/>
      <c r="DC446" s="286"/>
      <c r="DD446" s="286"/>
      <c r="DE446" s="286"/>
      <c r="DF446" s="286"/>
      <c r="DG446" s="286"/>
      <c r="DH446" s="286"/>
      <c r="DI446" s="286"/>
      <c r="DJ446" s="286"/>
      <c r="DK446" s="286"/>
      <c r="DL446" s="286"/>
      <c r="DM446" s="286"/>
      <c r="DN446" s="286"/>
      <c r="DO446" s="286"/>
      <c r="DP446" s="286"/>
      <c r="DR446" s="58" t="str">
        <f>IF(ISNUMBER(MATCH(#REF!,'Audit Characteristic Mapping'!$B$3:$B$500,0)),"Y","")</f>
        <v/>
      </c>
      <c r="DS446" s="58" t="str">
        <f>IF(ISNUMBER(MATCH(#REF!,'Audit Characteristic Mapping'!$C$3:$C$500,0)),"Y","")</f>
        <v/>
      </c>
      <c r="DT446" s="58" t="str">
        <f>IF(ISNUMBER(MATCH(#REF!,'Audit Characteristic Mapping'!$D$3:$D$500,0)),"Y","")</f>
        <v/>
      </c>
      <c r="DU446" s="58" t="str">
        <f>IF(ISNUMBER(MATCH(#REF!,'Audit Characteristic Mapping'!$E$3:$E$500,0)),"Y","")</f>
        <v/>
      </c>
      <c r="DV446" s="58" t="str">
        <f>IF(ISNUMBER(MATCH(#REF!,'Audit Characteristic Mapping'!$F$3:$F$500,0)),"Y","")</f>
        <v/>
      </c>
      <c r="DW446" s="58" t="str">
        <f>IF(ISNUMBER(MATCH(#REF!,'Audit Characteristic Mapping'!$G$3:$G$500,0)),"Y","")</f>
        <v/>
      </c>
      <c r="DX446" s="58" t="str">
        <f>IF(ISNUMBER(MATCH(#REF!,'Audit Characteristic Mapping'!$H$3:$H$500,0)),"Y","")</f>
        <v/>
      </c>
      <c r="DY446" s="58" t="str">
        <f>IF(ISNUMBER(MATCH(#REF!,'Audit Characteristic Mapping'!$I$3:$I$500,0)),"Y","")</f>
        <v/>
      </c>
      <c r="DZ446" s="58" t="str">
        <f>IF(ISNUMBER(MATCH(#REF!,'Audit Characteristic Mapping'!$J$3:$J$500,0)),"Y","")</f>
        <v/>
      </c>
      <c r="EA446" s="58" t="str">
        <f>IF(ISNUMBER(MATCH(#REF!,'Audit Characteristic Mapping'!$K$3:$K$500,0)),"Y","")</f>
        <v/>
      </c>
    </row>
    <row r="447" spans="1:131" ht="33" hidden="1" thickBot="1" x14ac:dyDescent="0.25">
      <c r="A447" s="288">
        <v>440</v>
      </c>
      <c r="B447" s="287" t="s">
        <v>594</v>
      </c>
      <c r="C447" s="226" t="s">
        <v>601</v>
      </c>
      <c r="D447" s="170">
        <v>15</v>
      </c>
      <c r="E447" s="288">
        <v>92</v>
      </c>
      <c r="F447" s="291" t="str">
        <f>VLOOKUP(Calculation!A447,'Descriptor maps'!$A$2:$F$1658,2,0)</f>
        <v>HSE</v>
      </c>
      <c r="G447" s="296"/>
      <c r="H447" s="290"/>
      <c r="I447" s="291"/>
      <c r="J447" s="292" t="e" cm="1">
        <f t="array" ref="J447">INDEX('Descriptor maps'!$I$2:$I$1658,MATCH(1,('Descriptor maps'!$A$2:$A$1658=Calculation!$A447)*('Descriptor maps'!$G$2:$G$1658=Calculation!$G447),0))</f>
        <v>#N/A</v>
      </c>
      <c r="K447" s="226"/>
      <c r="L447" s="293"/>
      <c r="M447" s="293"/>
      <c r="N447" s="293"/>
      <c r="O447" s="293"/>
      <c r="P447" s="293"/>
      <c r="Q447" s="293"/>
      <c r="R447" s="293"/>
      <c r="S447" s="293"/>
      <c r="T447" s="293"/>
      <c r="U447" s="293"/>
      <c r="V447" s="293"/>
      <c r="W447" s="293"/>
      <c r="X447" s="293"/>
      <c r="Y447" s="293"/>
      <c r="Z447" s="293"/>
      <c r="AA447" s="293"/>
      <c r="AB447" s="293"/>
      <c r="AC447" s="293"/>
      <c r="AD447" s="293"/>
      <c r="AE447" s="293"/>
      <c r="AF447" s="293"/>
      <c r="AG447" s="293"/>
      <c r="AH447" s="293"/>
      <c r="AI447" s="293"/>
      <c r="AJ447" s="293"/>
      <c r="AK447" s="293"/>
      <c r="AL447" s="293"/>
      <c r="AM447" s="293"/>
      <c r="AN447" s="293"/>
      <c r="AO447" s="293"/>
      <c r="AP447" s="293"/>
      <c r="AQ447" s="293"/>
      <c r="AR447" s="293"/>
      <c r="AS447" s="293"/>
      <c r="AT447" s="293"/>
      <c r="AU447" s="293"/>
      <c r="AV447" s="293"/>
      <c r="AW447" s="293"/>
      <c r="AX447" s="293"/>
      <c r="AY447" s="293"/>
      <c r="AZ447" s="293"/>
      <c r="BA447" s="293"/>
      <c r="BB447" s="293"/>
      <c r="BC447" s="293"/>
      <c r="BD447" s="293"/>
      <c r="BE447" s="293"/>
      <c r="BF447" s="293"/>
      <c r="BG447" s="293"/>
      <c r="BH447" s="293"/>
      <c r="BI447" s="293"/>
      <c r="BJ447" s="293"/>
      <c r="BK447" s="293"/>
      <c r="BL447" s="293"/>
      <c r="BM447" s="293"/>
      <c r="BN447" s="293"/>
      <c r="BO447" s="293"/>
      <c r="BP447" s="293"/>
      <c r="BQ447" s="293"/>
      <c r="BR447" s="293"/>
      <c r="BS447" s="293"/>
      <c r="BT447" s="293"/>
      <c r="BU447" s="293"/>
      <c r="BV447" s="293"/>
      <c r="BW447" s="293"/>
      <c r="BX447" s="293"/>
      <c r="BY447" s="293"/>
      <c r="BZ447" s="293"/>
      <c r="CA447" s="285"/>
      <c r="CB447" s="286"/>
      <c r="CC447" s="286"/>
      <c r="CD447" s="286"/>
      <c r="CE447" s="286"/>
      <c r="CF447" s="286"/>
      <c r="CG447" s="286"/>
      <c r="CH447" s="286"/>
      <c r="CI447" s="286"/>
      <c r="CJ447" s="286"/>
      <c r="CK447" s="286"/>
      <c r="CL447" s="286"/>
      <c r="CM447" s="286"/>
      <c r="CN447" s="286"/>
      <c r="CO447" s="286"/>
      <c r="CP447" s="286"/>
      <c r="CQ447" s="286"/>
      <c r="CR447" s="286"/>
      <c r="CS447" s="286"/>
      <c r="CT447" s="286"/>
      <c r="CU447" s="286"/>
      <c r="CV447" s="286"/>
      <c r="CW447" s="286"/>
      <c r="CX447" s="286"/>
      <c r="CY447" s="286"/>
      <c r="CZ447" s="286"/>
      <c r="DA447" s="286"/>
      <c r="DB447" s="286"/>
      <c r="DC447" s="286"/>
      <c r="DD447" s="286"/>
      <c r="DE447" s="286"/>
      <c r="DF447" s="286"/>
      <c r="DG447" s="286"/>
      <c r="DH447" s="286"/>
      <c r="DI447" s="286"/>
      <c r="DJ447" s="286"/>
      <c r="DK447" s="286"/>
      <c r="DL447" s="286"/>
      <c r="DM447" s="286"/>
      <c r="DN447" s="286"/>
      <c r="DO447" s="286"/>
      <c r="DP447" s="286"/>
      <c r="DR447" s="58" t="str">
        <f>IF(ISNUMBER(MATCH(#REF!,'Audit Characteristic Mapping'!$B$3:$B$500,0)),"Y","")</f>
        <v/>
      </c>
      <c r="DS447" s="58" t="str">
        <f>IF(ISNUMBER(MATCH(#REF!,'Audit Characteristic Mapping'!$C$3:$C$500,0)),"Y","")</f>
        <v/>
      </c>
      <c r="DT447" s="58" t="str">
        <f>IF(ISNUMBER(MATCH(#REF!,'Audit Characteristic Mapping'!$D$3:$D$500,0)),"Y","")</f>
        <v/>
      </c>
      <c r="DU447" s="58" t="str">
        <f>IF(ISNUMBER(MATCH(#REF!,'Audit Characteristic Mapping'!$E$3:$E$500,0)),"Y","")</f>
        <v/>
      </c>
      <c r="DV447" s="58" t="str">
        <f>IF(ISNUMBER(MATCH(#REF!,'Audit Characteristic Mapping'!$F$3:$F$500,0)),"Y","")</f>
        <v/>
      </c>
      <c r="DW447" s="58" t="str">
        <f>IF(ISNUMBER(MATCH(#REF!,'Audit Characteristic Mapping'!$G$3:$G$500,0)),"Y","")</f>
        <v/>
      </c>
      <c r="DX447" s="58" t="str">
        <f>IF(ISNUMBER(MATCH(#REF!,'Audit Characteristic Mapping'!$H$3:$H$500,0)),"Y","")</f>
        <v/>
      </c>
      <c r="DY447" s="58" t="str">
        <f>IF(ISNUMBER(MATCH(#REF!,'Audit Characteristic Mapping'!$I$3:$I$500,0)),"Y","")</f>
        <v/>
      </c>
      <c r="DZ447" s="58" t="str">
        <f>IF(ISNUMBER(MATCH(#REF!,'Audit Characteristic Mapping'!$J$3:$J$500,0)),"Y","")</f>
        <v/>
      </c>
      <c r="EA447" s="58" t="str">
        <f>IF(ISNUMBER(MATCH(#REF!,'Audit Characteristic Mapping'!$K$3:$K$500,0)),"Y","")</f>
        <v/>
      </c>
    </row>
    <row r="448" spans="1:131" ht="33" hidden="1" thickBot="1" x14ac:dyDescent="0.25">
      <c r="A448" s="288">
        <v>441</v>
      </c>
      <c r="B448" s="287" t="s">
        <v>594</v>
      </c>
      <c r="C448" s="226" t="s">
        <v>601</v>
      </c>
      <c r="D448" s="170">
        <v>15</v>
      </c>
      <c r="E448" s="288">
        <v>92</v>
      </c>
      <c r="F448" s="291" t="str">
        <f>VLOOKUP(Calculation!A448,'Descriptor maps'!$A$2:$F$1658,2,0)</f>
        <v>HSE</v>
      </c>
      <c r="G448" s="296"/>
      <c r="H448" s="290"/>
      <c r="I448" s="291"/>
      <c r="J448" s="292" t="e" cm="1">
        <f t="array" ref="J448">INDEX('Descriptor maps'!$I$2:$I$1658,MATCH(1,('Descriptor maps'!$A$2:$A$1658=Calculation!$A448)*('Descriptor maps'!$G$2:$G$1658=Calculation!$G448),0))</f>
        <v>#N/A</v>
      </c>
      <c r="K448" s="226"/>
      <c r="L448" s="293"/>
      <c r="M448" s="293"/>
      <c r="N448" s="293"/>
      <c r="O448" s="293"/>
      <c r="P448" s="293"/>
      <c r="Q448" s="293"/>
      <c r="R448" s="293"/>
      <c r="S448" s="293"/>
      <c r="T448" s="293"/>
      <c r="U448" s="293"/>
      <c r="V448" s="293"/>
      <c r="W448" s="293"/>
      <c r="X448" s="293"/>
      <c r="Y448" s="293"/>
      <c r="Z448" s="293"/>
      <c r="AA448" s="293"/>
      <c r="AB448" s="293"/>
      <c r="AC448" s="293"/>
      <c r="AD448" s="293"/>
      <c r="AE448" s="293"/>
      <c r="AF448" s="293"/>
      <c r="AG448" s="293"/>
      <c r="AH448" s="293"/>
      <c r="AI448" s="293"/>
      <c r="AJ448" s="293"/>
      <c r="AK448" s="293"/>
      <c r="AL448" s="293"/>
      <c r="AM448" s="293"/>
      <c r="AN448" s="293"/>
      <c r="AO448" s="293"/>
      <c r="AP448" s="293"/>
      <c r="AQ448" s="293"/>
      <c r="AR448" s="293"/>
      <c r="AS448" s="293"/>
      <c r="AT448" s="293"/>
      <c r="AU448" s="293"/>
      <c r="AV448" s="293"/>
      <c r="AW448" s="293"/>
      <c r="AX448" s="293"/>
      <c r="AY448" s="293"/>
      <c r="AZ448" s="293"/>
      <c r="BA448" s="293"/>
      <c r="BB448" s="293"/>
      <c r="BC448" s="293"/>
      <c r="BD448" s="293"/>
      <c r="BE448" s="293"/>
      <c r="BF448" s="293"/>
      <c r="BG448" s="293"/>
      <c r="BH448" s="293"/>
      <c r="BI448" s="293"/>
      <c r="BJ448" s="293"/>
      <c r="BK448" s="293"/>
      <c r="BL448" s="293"/>
      <c r="BM448" s="293"/>
      <c r="BN448" s="293"/>
      <c r="BO448" s="293"/>
      <c r="BP448" s="293"/>
      <c r="BQ448" s="293"/>
      <c r="BR448" s="293"/>
      <c r="BS448" s="293"/>
      <c r="BT448" s="293"/>
      <c r="BU448" s="293"/>
      <c r="BV448" s="293"/>
      <c r="BW448" s="293"/>
      <c r="BX448" s="293"/>
      <c r="BY448" s="293"/>
      <c r="BZ448" s="293"/>
      <c r="CA448" s="285"/>
      <c r="CB448" s="286"/>
      <c r="CC448" s="286"/>
      <c r="CD448" s="286"/>
      <c r="CE448" s="286"/>
      <c r="CF448" s="286"/>
      <c r="CG448" s="286"/>
      <c r="CH448" s="286"/>
      <c r="CI448" s="286"/>
      <c r="CJ448" s="286"/>
      <c r="CK448" s="286"/>
      <c r="CL448" s="286"/>
      <c r="CM448" s="286"/>
      <c r="CN448" s="286"/>
      <c r="CO448" s="286"/>
      <c r="CP448" s="286"/>
      <c r="CQ448" s="286"/>
      <c r="CR448" s="286"/>
      <c r="CS448" s="286"/>
      <c r="CT448" s="286"/>
      <c r="CU448" s="286"/>
      <c r="CV448" s="286"/>
      <c r="CW448" s="286"/>
      <c r="CX448" s="286"/>
      <c r="CY448" s="286"/>
      <c r="CZ448" s="286"/>
      <c r="DA448" s="286"/>
      <c r="DB448" s="286"/>
      <c r="DC448" s="286"/>
      <c r="DD448" s="286"/>
      <c r="DE448" s="286"/>
      <c r="DF448" s="286"/>
      <c r="DG448" s="286"/>
      <c r="DH448" s="286"/>
      <c r="DI448" s="286"/>
      <c r="DJ448" s="286"/>
      <c r="DK448" s="286"/>
      <c r="DL448" s="286"/>
      <c r="DM448" s="286"/>
      <c r="DN448" s="286"/>
      <c r="DO448" s="286"/>
      <c r="DP448" s="286"/>
      <c r="DR448" s="58" t="str">
        <f>IF(ISNUMBER(MATCH(#REF!,'Audit Characteristic Mapping'!$B$3:$B$500,0)),"Y","")</f>
        <v/>
      </c>
      <c r="DS448" s="58" t="str">
        <f>IF(ISNUMBER(MATCH(#REF!,'Audit Characteristic Mapping'!$C$3:$C$500,0)),"Y","")</f>
        <v/>
      </c>
      <c r="DT448" s="58" t="str">
        <f>IF(ISNUMBER(MATCH(#REF!,'Audit Characteristic Mapping'!$D$3:$D$500,0)),"Y","")</f>
        <v/>
      </c>
      <c r="DU448" s="58" t="str">
        <f>IF(ISNUMBER(MATCH(#REF!,'Audit Characteristic Mapping'!$E$3:$E$500,0)),"Y","")</f>
        <v/>
      </c>
      <c r="DV448" s="58" t="str">
        <f>IF(ISNUMBER(MATCH(#REF!,'Audit Characteristic Mapping'!$F$3:$F$500,0)),"Y","")</f>
        <v/>
      </c>
      <c r="DW448" s="58" t="str">
        <f>IF(ISNUMBER(MATCH(#REF!,'Audit Characteristic Mapping'!$G$3:$G$500,0)),"Y","")</f>
        <v/>
      </c>
      <c r="DX448" s="58" t="str">
        <f>IF(ISNUMBER(MATCH(#REF!,'Audit Characteristic Mapping'!$H$3:$H$500,0)),"Y","")</f>
        <v/>
      </c>
      <c r="DY448" s="58" t="str">
        <f>IF(ISNUMBER(MATCH(#REF!,'Audit Characteristic Mapping'!$I$3:$I$500,0)),"Y","")</f>
        <v/>
      </c>
      <c r="DZ448" s="58" t="str">
        <f>IF(ISNUMBER(MATCH(#REF!,'Audit Characteristic Mapping'!$J$3:$J$500,0)),"Y","")</f>
        <v/>
      </c>
      <c r="EA448" s="58" t="str">
        <f>IF(ISNUMBER(MATCH(#REF!,'Audit Characteristic Mapping'!$K$3:$K$500,0)),"Y","")</f>
        <v/>
      </c>
    </row>
    <row r="449" spans="1:131" ht="33" hidden="1" thickBot="1" x14ac:dyDescent="0.25">
      <c r="A449" s="288">
        <v>442</v>
      </c>
      <c r="B449" s="287" t="s">
        <v>594</v>
      </c>
      <c r="C449" s="226" t="s">
        <v>601</v>
      </c>
      <c r="D449" s="170">
        <v>15</v>
      </c>
      <c r="E449" s="288">
        <v>92</v>
      </c>
      <c r="F449" s="291" t="str">
        <f>VLOOKUP(Calculation!A449,'Descriptor maps'!$A$2:$F$1658,2,0)</f>
        <v>HSE</v>
      </c>
      <c r="G449" s="296"/>
      <c r="H449" s="290"/>
      <c r="I449" s="291"/>
      <c r="J449" s="292" t="e" cm="1">
        <f t="array" ref="J449">INDEX('Descriptor maps'!$I$2:$I$1658,MATCH(1,('Descriptor maps'!$A$2:$A$1658=Calculation!$A449)*('Descriptor maps'!$G$2:$G$1658=Calculation!$G449),0))</f>
        <v>#N/A</v>
      </c>
      <c r="K449" s="226"/>
      <c r="L449" s="293"/>
      <c r="M449" s="293"/>
      <c r="N449" s="293"/>
      <c r="O449" s="293"/>
      <c r="P449" s="293"/>
      <c r="Q449" s="293"/>
      <c r="R449" s="293"/>
      <c r="S449" s="293"/>
      <c r="T449" s="293"/>
      <c r="U449" s="293"/>
      <c r="V449" s="293"/>
      <c r="W449" s="293"/>
      <c r="X449" s="293"/>
      <c r="Y449" s="293"/>
      <c r="Z449" s="293"/>
      <c r="AA449" s="293"/>
      <c r="AB449" s="293"/>
      <c r="AC449" s="293"/>
      <c r="AD449" s="293"/>
      <c r="AE449" s="293"/>
      <c r="AF449" s="293"/>
      <c r="AG449" s="293"/>
      <c r="AH449" s="293"/>
      <c r="AI449" s="293"/>
      <c r="AJ449" s="293"/>
      <c r="AK449" s="293"/>
      <c r="AL449" s="293"/>
      <c r="AM449" s="293"/>
      <c r="AN449" s="293"/>
      <c r="AO449" s="293"/>
      <c r="AP449" s="293"/>
      <c r="AQ449" s="293"/>
      <c r="AR449" s="293"/>
      <c r="AS449" s="293"/>
      <c r="AT449" s="293"/>
      <c r="AU449" s="293"/>
      <c r="AV449" s="293"/>
      <c r="AW449" s="293"/>
      <c r="AX449" s="293"/>
      <c r="AY449" s="293"/>
      <c r="AZ449" s="293"/>
      <c r="BA449" s="293"/>
      <c r="BB449" s="293"/>
      <c r="BC449" s="293"/>
      <c r="BD449" s="293"/>
      <c r="BE449" s="293"/>
      <c r="BF449" s="293"/>
      <c r="BG449" s="293"/>
      <c r="BH449" s="293"/>
      <c r="BI449" s="293"/>
      <c r="BJ449" s="293"/>
      <c r="BK449" s="293"/>
      <c r="BL449" s="293"/>
      <c r="BM449" s="293"/>
      <c r="BN449" s="293"/>
      <c r="BO449" s="293"/>
      <c r="BP449" s="293"/>
      <c r="BQ449" s="293"/>
      <c r="BR449" s="293"/>
      <c r="BS449" s="293"/>
      <c r="BT449" s="293"/>
      <c r="BU449" s="293"/>
      <c r="BV449" s="293"/>
      <c r="BW449" s="293"/>
      <c r="BX449" s="293"/>
      <c r="BY449" s="293"/>
      <c r="BZ449" s="293"/>
      <c r="CA449" s="285"/>
      <c r="CB449" s="286"/>
      <c r="CC449" s="286"/>
      <c r="CD449" s="286"/>
      <c r="CE449" s="286"/>
      <c r="CF449" s="286"/>
      <c r="CG449" s="286"/>
      <c r="CH449" s="286"/>
      <c r="CI449" s="286"/>
      <c r="CJ449" s="286"/>
      <c r="CK449" s="286"/>
      <c r="CL449" s="286"/>
      <c r="CM449" s="286"/>
      <c r="CN449" s="286"/>
      <c r="CO449" s="286"/>
      <c r="CP449" s="286"/>
      <c r="CQ449" s="286"/>
      <c r="CR449" s="286"/>
      <c r="CS449" s="286"/>
      <c r="CT449" s="286"/>
      <c r="CU449" s="286"/>
      <c r="CV449" s="286"/>
      <c r="CW449" s="286"/>
      <c r="CX449" s="286"/>
      <c r="CY449" s="286"/>
      <c r="CZ449" s="286"/>
      <c r="DA449" s="286"/>
      <c r="DB449" s="286"/>
      <c r="DC449" s="286"/>
      <c r="DD449" s="286"/>
      <c r="DE449" s="286"/>
      <c r="DF449" s="286"/>
      <c r="DG449" s="286"/>
      <c r="DH449" s="286"/>
      <c r="DI449" s="286"/>
      <c r="DJ449" s="286"/>
      <c r="DK449" s="286"/>
      <c r="DL449" s="286"/>
      <c r="DM449" s="286"/>
      <c r="DN449" s="286"/>
      <c r="DO449" s="286"/>
      <c r="DP449" s="286"/>
      <c r="DR449" s="58" t="str">
        <f>IF(ISNUMBER(MATCH(#REF!,'Audit Characteristic Mapping'!$B$3:$B$500,0)),"Y","")</f>
        <v/>
      </c>
      <c r="DS449" s="58" t="str">
        <f>IF(ISNUMBER(MATCH(#REF!,'Audit Characteristic Mapping'!$C$3:$C$500,0)),"Y","")</f>
        <v/>
      </c>
      <c r="DT449" s="58" t="str">
        <f>IF(ISNUMBER(MATCH(#REF!,'Audit Characteristic Mapping'!$D$3:$D$500,0)),"Y","")</f>
        <v/>
      </c>
      <c r="DU449" s="58" t="str">
        <f>IF(ISNUMBER(MATCH(#REF!,'Audit Characteristic Mapping'!$E$3:$E$500,0)),"Y","")</f>
        <v/>
      </c>
      <c r="DV449" s="58" t="str">
        <f>IF(ISNUMBER(MATCH(#REF!,'Audit Characteristic Mapping'!$F$3:$F$500,0)),"Y","")</f>
        <v/>
      </c>
      <c r="DW449" s="58" t="str">
        <f>IF(ISNUMBER(MATCH(#REF!,'Audit Characteristic Mapping'!$G$3:$G$500,0)),"Y","")</f>
        <v/>
      </c>
      <c r="DX449" s="58" t="str">
        <f>IF(ISNUMBER(MATCH(#REF!,'Audit Characteristic Mapping'!$H$3:$H$500,0)),"Y","")</f>
        <v/>
      </c>
      <c r="DY449" s="58" t="str">
        <f>IF(ISNUMBER(MATCH(#REF!,'Audit Characteristic Mapping'!$I$3:$I$500,0)),"Y","")</f>
        <v/>
      </c>
      <c r="DZ449" s="58" t="str">
        <f>IF(ISNUMBER(MATCH(#REF!,'Audit Characteristic Mapping'!$J$3:$J$500,0)),"Y","")</f>
        <v/>
      </c>
      <c r="EA449" s="58" t="str">
        <f>IF(ISNUMBER(MATCH(#REF!,'Audit Characteristic Mapping'!$K$3:$K$500,0)),"Y","")</f>
        <v/>
      </c>
    </row>
    <row r="450" spans="1:131" ht="33" hidden="1" thickBot="1" x14ac:dyDescent="0.25">
      <c r="A450" s="288">
        <v>443</v>
      </c>
      <c r="B450" s="287" t="s">
        <v>594</v>
      </c>
      <c r="C450" s="226" t="s">
        <v>601</v>
      </c>
      <c r="D450" s="170">
        <v>15</v>
      </c>
      <c r="E450" s="288">
        <v>92</v>
      </c>
      <c r="F450" s="291" t="str">
        <f>VLOOKUP(Calculation!A450,'Descriptor maps'!$A$2:$F$1658,2,0)</f>
        <v>HSE</v>
      </c>
      <c r="G450" s="296"/>
      <c r="H450" s="290"/>
      <c r="I450" s="291"/>
      <c r="J450" s="292" t="e" cm="1">
        <f t="array" ref="J450">INDEX('Descriptor maps'!$I$2:$I$1658,MATCH(1,('Descriptor maps'!$A$2:$A$1658=Calculation!$A450)*('Descriptor maps'!$G$2:$G$1658=Calculation!$G450),0))</f>
        <v>#N/A</v>
      </c>
      <c r="K450" s="226"/>
      <c r="L450" s="293"/>
      <c r="M450" s="293"/>
      <c r="N450" s="293"/>
      <c r="O450" s="293"/>
      <c r="P450" s="293"/>
      <c r="Q450" s="293"/>
      <c r="R450" s="293"/>
      <c r="S450" s="293"/>
      <c r="T450" s="293"/>
      <c r="U450" s="293"/>
      <c r="V450" s="293"/>
      <c r="W450" s="293"/>
      <c r="X450" s="293"/>
      <c r="Y450" s="293"/>
      <c r="Z450" s="293"/>
      <c r="AA450" s="293"/>
      <c r="AB450" s="293"/>
      <c r="AC450" s="293"/>
      <c r="AD450" s="293"/>
      <c r="AE450" s="293"/>
      <c r="AF450" s="293"/>
      <c r="AG450" s="293"/>
      <c r="AH450" s="293"/>
      <c r="AI450" s="293"/>
      <c r="AJ450" s="293"/>
      <c r="AK450" s="293"/>
      <c r="AL450" s="293"/>
      <c r="AM450" s="293"/>
      <c r="AN450" s="293"/>
      <c r="AO450" s="293"/>
      <c r="AP450" s="293"/>
      <c r="AQ450" s="293"/>
      <c r="AR450" s="293"/>
      <c r="AS450" s="293"/>
      <c r="AT450" s="293"/>
      <c r="AU450" s="293"/>
      <c r="AV450" s="293"/>
      <c r="AW450" s="293"/>
      <c r="AX450" s="293"/>
      <c r="AY450" s="293"/>
      <c r="AZ450" s="293"/>
      <c r="BA450" s="293"/>
      <c r="BB450" s="293"/>
      <c r="BC450" s="293"/>
      <c r="BD450" s="293"/>
      <c r="BE450" s="293"/>
      <c r="BF450" s="293"/>
      <c r="BG450" s="293"/>
      <c r="BH450" s="293"/>
      <c r="BI450" s="293"/>
      <c r="BJ450" s="293"/>
      <c r="BK450" s="293"/>
      <c r="BL450" s="293"/>
      <c r="BM450" s="293"/>
      <c r="BN450" s="293"/>
      <c r="BO450" s="293"/>
      <c r="BP450" s="293"/>
      <c r="BQ450" s="293"/>
      <c r="BR450" s="293"/>
      <c r="BS450" s="293"/>
      <c r="BT450" s="293"/>
      <c r="BU450" s="293"/>
      <c r="BV450" s="293"/>
      <c r="BW450" s="293"/>
      <c r="BX450" s="293"/>
      <c r="BY450" s="293"/>
      <c r="BZ450" s="293"/>
      <c r="CA450" s="285"/>
      <c r="CB450" s="286"/>
      <c r="CC450" s="286"/>
      <c r="CD450" s="286"/>
      <c r="CE450" s="286"/>
      <c r="CF450" s="286"/>
      <c r="CG450" s="286"/>
      <c r="CH450" s="286"/>
      <c r="CI450" s="286"/>
      <c r="CJ450" s="286"/>
      <c r="CK450" s="286"/>
      <c r="CL450" s="286"/>
      <c r="CM450" s="286"/>
      <c r="CN450" s="286"/>
      <c r="CO450" s="286"/>
      <c r="CP450" s="286"/>
      <c r="CQ450" s="286"/>
      <c r="CR450" s="286"/>
      <c r="CS450" s="286"/>
      <c r="CT450" s="286"/>
      <c r="CU450" s="286"/>
      <c r="CV450" s="286"/>
      <c r="CW450" s="286"/>
      <c r="CX450" s="286"/>
      <c r="CY450" s="286"/>
      <c r="CZ450" s="286"/>
      <c r="DA450" s="286"/>
      <c r="DB450" s="286"/>
      <c r="DC450" s="286"/>
      <c r="DD450" s="286"/>
      <c r="DE450" s="286"/>
      <c r="DF450" s="286"/>
      <c r="DG450" s="286"/>
      <c r="DH450" s="286"/>
      <c r="DI450" s="286"/>
      <c r="DJ450" s="286"/>
      <c r="DK450" s="286"/>
      <c r="DL450" s="286"/>
      <c r="DM450" s="286"/>
      <c r="DN450" s="286"/>
      <c r="DO450" s="286"/>
      <c r="DP450" s="286"/>
      <c r="DR450" s="58" t="str">
        <f>IF(ISNUMBER(MATCH(#REF!,'Audit Characteristic Mapping'!$B$3:$B$500,0)),"Y","")</f>
        <v/>
      </c>
      <c r="DS450" s="58" t="str">
        <f>IF(ISNUMBER(MATCH(#REF!,'Audit Characteristic Mapping'!$C$3:$C$500,0)),"Y","")</f>
        <v/>
      </c>
      <c r="DT450" s="58" t="str">
        <f>IF(ISNUMBER(MATCH(#REF!,'Audit Characteristic Mapping'!$D$3:$D$500,0)),"Y","")</f>
        <v/>
      </c>
      <c r="DU450" s="58" t="str">
        <f>IF(ISNUMBER(MATCH(#REF!,'Audit Characteristic Mapping'!$E$3:$E$500,0)),"Y","")</f>
        <v/>
      </c>
      <c r="DV450" s="58" t="str">
        <f>IF(ISNUMBER(MATCH(#REF!,'Audit Characteristic Mapping'!$F$3:$F$500,0)),"Y","")</f>
        <v/>
      </c>
      <c r="DW450" s="58" t="str">
        <f>IF(ISNUMBER(MATCH(#REF!,'Audit Characteristic Mapping'!$G$3:$G$500,0)),"Y","")</f>
        <v/>
      </c>
      <c r="DX450" s="58" t="str">
        <f>IF(ISNUMBER(MATCH(#REF!,'Audit Characteristic Mapping'!$H$3:$H$500,0)),"Y","")</f>
        <v/>
      </c>
      <c r="DY450" s="58" t="str">
        <f>IF(ISNUMBER(MATCH(#REF!,'Audit Characteristic Mapping'!$I$3:$I$500,0)),"Y","")</f>
        <v/>
      </c>
      <c r="DZ450" s="58" t="str">
        <f>IF(ISNUMBER(MATCH(#REF!,'Audit Characteristic Mapping'!$J$3:$J$500,0)),"Y","")</f>
        <v/>
      </c>
      <c r="EA450" s="58" t="str">
        <f>IF(ISNUMBER(MATCH(#REF!,'Audit Characteristic Mapping'!$K$3:$K$500,0)),"Y","")</f>
        <v/>
      </c>
    </row>
    <row r="451" spans="1:131" ht="33" hidden="1" thickBot="1" x14ac:dyDescent="0.25">
      <c r="A451" s="288">
        <v>444</v>
      </c>
      <c r="B451" s="287" t="s">
        <v>594</v>
      </c>
      <c r="C451" s="226" t="s">
        <v>601</v>
      </c>
      <c r="D451" s="170">
        <v>15</v>
      </c>
      <c r="E451" s="288">
        <v>92</v>
      </c>
      <c r="F451" s="291" t="str">
        <f>VLOOKUP(Calculation!A451,'Descriptor maps'!$A$2:$F$1658,2,0)</f>
        <v>HSE</v>
      </c>
      <c r="G451" s="296"/>
      <c r="H451" s="290"/>
      <c r="I451" s="291"/>
      <c r="J451" s="292" t="e" cm="1">
        <f t="array" ref="J451">INDEX('Descriptor maps'!$I$2:$I$1658,MATCH(1,('Descriptor maps'!$A$2:$A$1658=Calculation!$A451)*('Descriptor maps'!$G$2:$G$1658=Calculation!$G451),0))</f>
        <v>#N/A</v>
      </c>
      <c r="K451" s="226"/>
      <c r="L451" s="293"/>
      <c r="M451" s="293"/>
      <c r="N451" s="293"/>
      <c r="O451" s="293"/>
      <c r="P451" s="293"/>
      <c r="Q451" s="293"/>
      <c r="R451" s="293"/>
      <c r="S451" s="293"/>
      <c r="T451" s="293"/>
      <c r="U451" s="293"/>
      <c r="V451" s="293"/>
      <c r="W451" s="293"/>
      <c r="X451" s="293"/>
      <c r="Y451" s="293"/>
      <c r="Z451" s="293"/>
      <c r="AA451" s="293"/>
      <c r="AB451" s="293"/>
      <c r="AC451" s="293"/>
      <c r="AD451" s="293"/>
      <c r="AE451" s="293"/>
      <c r="AF451" s="293"/>
      <c r="AG451" s="293"/>
      <c r="AH451" s="293"/>
      <c r="AI451" s="293"/>
      <c r="AJ451" s="293"/>
      <c r="AK451" s="293"/>
      <c r="AL451" s="293"/>
      <c r="AM451" s="293"/>
      <c r="AN451" s="293"/>
      <c r="AO451" s="293"/>
      <c r="AP451" s="293"/>
      <c r="AQ451" s="293"/>
      <c r="AR451" s="293"/>
      <c r="AS451" s="293"/>
      <c r="AT451" s="293"/>
      <c r="AU451" s="293"/>
      <c r="AV451" s="293"/>
      <c r="AW451" s="293"/>
      <c r="AX451" s="293"/>
      <c r="AY451" s="293"/>
      <c r="AZ451" s="293"/>
      <c r="BA451" s="293"/>
      <c r="BB451" s="293"/>
      <c r="BC451" s="293"/>
      <c r="BD451" s="293"/>
      <c r="BE451" s="293"/>
      <c r="BF451" s="293"/>
      <c r="BG451" s="293"/>
      <c r="BH451" s="293"/>
      <c r="BI451" s="293"/>
      <c r="BJ451" s="293"/>
      <c r="BK451" s="293"/>
      <c r="BL451" s="293"/>
      <c r="BM451" s="293"/>
      <c r="BN451" s="293"/>
      <c r="BO451" s="293"/>
      <c r="BP451" s="293"/>
      <c r="BQ451" s="293"/>
      <c r="BR451" s="293"/>
      <c r="BS451" s="293"/>
      <c r="BT451" s="293"/>
      <c r="BU451" s="293"/>
      <c r="BV451" s="293"/>
      <c r="BW451" s="293"/>
      <c r="BX451" s="293"/>
      <c r="BY451" s="293"/>
      <c r="BZ451" s="293"/>
      <c r="CA451" s="285"/>
      <c r="CB451" s="286"/>
      <c r="CC451" s="286"/>
      <c r="CD451" s="286"/>
      <c r="CE451" s="286"/>
      <c r="CF451" s="286"/>
      <c r="CG451" s="286"/>
      <c r="CH451" s="286"/>
      <c r="CI451" s="286"/>
      <c r="CJ451" s="286"/>
      <c r="CK451" s="286"/>
      <c r="CL451" s="286"/>
      <c r="CM451" s="286"/>
      <c r="CN451" s="286"/>
      <c r="CO451" s="286"/>
      <c r="CP451" s="286"/>
      <c r="CQ451" s="286"/>
      <c r="CR451" s="286"/>
      <c r="CS451" s="286"/>
      <c r="CT451" s="286"/>
      <c r="CU451" s="286"/>
      <c r="CV451" s="286"/>
      <c r="CW451" s="286"/>
      <c r="CX451" s="286"/>
      <c r="CY451" s="286"/>
      <c r="CZ451" s="286"/>
      <c r="DA451" s="286"/>
      <c r="DB451" s="286"/>
      <c r="DC451" s="286"/>
      <c r="DD451" s="286"/>
      <c r="DE451" s="286"/>
      <c r="DF451" s="286"/>
      <c r="DG451" s="286"/>
      <c r="DH451" s="286"/>
      <c r="DI451" s="286"/>
      <c r="DJ451" s="286"/>
      <c r="DK451" s="286"/>
      <c r="DL451" s="286"/>
      <c r="DM451" s="286"/>
      <c r="DN451" s="286"/>
      <c r="DO451" s="286"/>
      <c r="DP451" s="286"/>
      <c r="DR451" s="58" t="str">
        <f>IF(ISNUMBER(MATCH(#REF!,'Audit Characteristic Mapping'!$B$3:$B$500,0)),"Y","")</f>
        <v/>
      </c>
      <c r="DS451" s="58" t="str">
        <f>IF(ISNUMBER(MATCH(#REF!,'Audit Characteristic Mapping'!$C$3:$C$500,0)),"Y","")</f>
        <v/>
      </c>
      <c r="DT451" s="58" t="str">
        <f>IF(ISNUMBER(MATCH(#REF!,'Audit Characteristic Mapping'!$D$3:$D$500,0)),"Y","")</f>
        <v/>
      </c>
      <c r="DU451" s="58" t="str">
        <f>IF(ISNUMBER(MATCH(#REF!,'Audit Characteristic Mapping'!$E$3:$E$500,0)),"Y","")</f>
        <v/>
      </c>
      <c r="DV451" s="58" t="str">
        <f>IF(ISNUMBER(MATCH(#REF!,'Audit Characteristic Mapping'!$F$3:$F$500,0)),"Y","")</f>
        <v/>
      </c>
      <c r="DW451" s="58" t="str">
        <f>IF(ISNUMBER(MATCH(#REF!,'Audit Characteristic Mapping'!$G$3:$G$500,0)),"Y","")</f>
        <v/>
      </c>
      <c r="DX451" s="58" t="str">
        <f>IF(ISNUMBER(MATCH(#REF!,'Audit Characteristic Mapping'!$H$3:$H$500,0)),"Y","")</f>
        <v/>
      </c>
      <c r="DY451" s="58" t="str">
        <f>IF(ISNUMBER(MATCH(#REF!,'Audit Characteristic Mapping'!$I$3:$I$500,0)),"Y","")</f>
        <v/>
      </c>
      <c r="DZ451" s="58" t="str">
        <f>IF(ISNUMBER(MATCH(#REF!,'Audit Characteristic Mapping'!$J$3:$J$500,0)),"Y","")</f>
        <v/>
      </c>
      <c r="EA451" s="58" t="str">
        <f>IF(ISNUMBER(MATCH(#REF!,'Audit Characteristic Mapping'!$K$3:$K$500,0)),"Y","")</f>
        <v/>
      </c>
    </row>
    <row r="452" spans="1:131" ht="33" hidden="1" thickBot="1" x14ac:dyDescent="0.25">
      <c r="A452" s="288">
        <v>445</v>
      </c>
      <c r="B452" s="287" t="s">
        <v>594</v>
      </c>
      <c r="C452" s="226" t="s">
        <v>610</v>
      </c>
      <c r="D452" s="170">
        <v>15</v>
      </c>
      <c r="E452" s="288">
        <v>93</v>
      </c>
      <c r="F452" s="291" t="str">
        <f>VLOOKUP(Calculation!A452,'Descriptor maps'!$A$2:$F$1658,2,0)</f>
        <v>HSE</v>
      </c>
      <c r="G452" s="296"/>
      <c r="H452" s="290"/>
      <c r="I452" s="291"/>
      <c r="J452" s="292" t="e" cm="1">
        <f t="array" ref="J452">INDEX('Descriptor maps'!$I$2:$I$1658,MATCH(1,('Descriptor maps'!$A$2:$A$1658=Calculation!$A452)*('Descriptor maps'!$G$2:$G$1658=Calculation!$G452),0))</f>
        <v>#N/A</v>
      </c>
      <c r="K452" s="226"/>
      <c r="L452" s="293"/>
      <c r="M452" s="293"/>
      <c r="N452" s="293"/>
      <c r="O452" s="293"/>
      <c r="P452" s="293"/>
      <c r="Q452" s="293"/>
      <c r="R452" s="293"/>
      <c r="S452" s="293"/>
      <c r="T452" s="293"/>
      <c r="U452" s="293"/>
      <c r="V452" s="293"/>
      <c r="W452" s="293"/>
      <c r="X452" s="293"/>
      <c r="Y452" s="293"/>
      <c r="Z452" s="293"/>
      <c r="AA452" s="293"/>
      <c r="AB452" s="293"/>
      <c r="AC452" s="293"/>
      <c r="AD452" s="293"/>
      <c r="AE452" s="293"/>
      <c r="AF452" s="293"/>
      <c r="AG452" s="293"/>
      <c r="AH452" s="293"/>
      <c r="AI452" s="293"/>
      <c r="AJ452" s="293"/>
      <c r="AK452" s="293"/>
      <c r="AL452" s="293"/>
      <c r="AM452" s="293"/>
      <c r="AN452" s="293"/>
      <c r="AO452" s="293"/>
      <c r="AP452" s="293"/>
      <c r="AQ452" s="293"/>
      <c r="AR452" s="293"/>
      <c r="AS452" s="293"/>
      <c r="AT452" s="293"/>
      <c r="AU452" s="293"/>
      <c r="AV452" s="293"/>
      <c r="AW452" s="293"/>
      <c r="AX452" s="293"/>
      <c r="AY452" s="293"/>
      <c r="AZ452" s="293"/>
      <c r="BA452" s="293"/>
      <c r="BB452" s="293"/>
      <c r="BC452" s="293"/>
      <c r="BD452" s="293"/>
      <c r="BE452" s="293"/>
      <c r="BF452" s="293"/>
      <c r="BG452" s="293"/>
      <c r="BH452" s="293"/>
      <c r="BI452" s="293"/>
      <c r="BJ452" s="293"/>
      <c r="BK452" s="293"/>
      <c r="BL452" s="293"/>
      <c r="BM452" s="293"/>
      <c r="BN452" s="293"/>
      <c r="BO452" s="293"/>
      <c r="BP452" s="293"/>
      <c r="BQ452" s="293"/>
      <c r="BR452" s="293"/>
      <c r="BS452" s="293"/>
      <c r="BT452" s="293"/>
      <c r="BU452" s="293"/>
      <c r="BV452" s="293"/>
      <c r="BW452" s="293"/>
      <c r="BX452" s="293"/>
      <c r="BY452" s="293"/>
      <c r="BZ452" s="293"/>
      <c r="CA452" s="285"/>
      <c r="CB452" s="286"/>
      <c r="CC452" s="286"/>
      <c r="CD452" s="286"/>
      <c r="CE452" s="286"/>
      <c r="CF452" s="286"/>
      <c r="CG452" s="286"/>
      <c r="CH452" s="286"/>
      <c r="CI452" s="286"/>
      <c r="CJ452" s="286"/>
      <c r="CK452" s="286"/>
      <c r="CL452" s="286"/>
      <c r="CM452" s="286"/>
      <c r="CN452" s="286"/>
      <c r="CO452" s="286"/>
      <c r="CP452" s="286"/>
      <c r="CQ452" s="286"/>
      <c r="CR452" s="286"/>
      <c r="CS452" s="286"/>
      <c r="CT452" s="286"/>
      <c r="CU452" s="286"/>
      <c r="CV452" s="286"/>
      <c r="CW452" s="286"/>
      <c r="CX452" s="286"/>
      <c r="CY452" s="286"/>
      <c r="CZ452" s="286"/>
      <c r="DA452" s="286"/>
      <c r="DB452" s="286"/>
      <c r="DC452" s="286"/>
      <c r="DD452" s="286"/>
      <c r="DE452" s="286"/>
      <c r="DF452" s="286"/>
      <c r="DG452" s="286"/>
      <c r="DH452" s="286"/>
      <c r="DI452" s="286"/>
      <c r="DJ452" s="286"/>
      <c r="DK452" s="286"/>
      <c r="DL452" s="286"/>
      <c r="DM452" s="286"/>
      <c r="DN452" s="286"/>
      <c r="DO452" s="286"/>
      <c r="DP452" s="286"/>
      <c r="DR452" s="58" t="str">
        <f>IF(ISNUMBER(MATCH(#REF!,'Audit Characteristic Mapping'!$B$3:$B$500,0)),"Y","")</f>
        <v/>
      </c>
      <c r="DS452" s="58" t="str">
        <f>IF(ISNUMBER(MATCH(#REF!,'Audit Characteristic Mapping'!$C$3:$C$500,0)),"Y","")</f>
        <v/>
      </c>
      <c r="DT452" s="58" t="str">
        <f>IF(ISNUMBER(MATCH(#REF!,'Audit Characteristic Mapping'!$D$3:$D$500,0)),"Y","")</f>
        <v/>
      </c>
      <c r="DU452" s="58" t="str">
        <f>IF(ISNUMBER(MATCH(#REF!,'Audit Characteristic Mapping'!$E$3:$E$500,0)),"Y","")</f>
        <v/>
      </c>
      <c r="DV452" s="58" t="str">
        <f>IF(ISNUMBER(MATCH(#REF!,'Audit Characteristic Mapping'!$F$3:$F$500,0)),"Y","")</f>
        <v/>
      </c>
      <c r="DW452" s="58" t="str">
        <f>IF(ISNUMBER(MATCH(#REF!,'Audit Characteristic Mapping'!$G$3:$G$500,0)),"Y","")</f>
        <v/>
      </c>
      <c r="DX452" s="58" t="str">
        <f>IF(ISNUMBER(MATCH(#REF!,'Audit Characteristic Mapping'!$H$3:$H$500,0)),"Y","")</f>
        <v/>
      </c>
      <c r="DY452" s="58" t="str">
        <f>IF(ISNUMBER(MATCH(#REF!,'Audit Characteristic Mapping'!$I$3:$I$500,0)),"Y","")</f>
        <v/>
      </c>
      <c r="DZ452" s="58" t="str">
        <f>IF(ISNUMBER(MATCH(#REF!,'Audit Characteristic Mapping'!$J$3:$J$500,0)),"Y","")</f>
        <v/>
      </c>
      <c r="EA452" s="58" t="str">
        <f>IF(ISNUMBER(MATCH(#REF!,'Audit Characteristic Mapping'!$K$3:$K$500,0)),"Y","")</f>
        <v/>
      </c>
    </row>
    <row r="453" spans="1:131" ht="33" hidden="1" thickBot="1" x14ac:dyDescent="0.25">
      <c r="A453" s="288">
        <v>446</v>
      </c>
      <c r="B453" s="287" t="s">
        <v>594</v>
      </c>
      <c r="C453" s="226" t="s">
        <v>610</v>
      </c>
      <c r="D453" s="170">
        <v>15</v>
      </c>
      <c r="E453" s="288">
        <v>93</v>
      </c>
      <c r="F453" s="291" t="str">
        <f>VLOOKUP(Calculation!A453,'Descriptor maps'!$A$2:$F$1658,2,0)</f>
        <v>HSE</v>
      </c>
      <c r="G453" s="296"/>
      <c r="H453" s="290"/>
      <c r="I453" s="291"/>
      <c r="J453" s="292" t="e" cm="1">
        <f t="array" ref="J453">INDEX('Descriptor maps'!$I$2:$I$1658,MATCH(1,('Descriptor maps'!$A$2:$A$1658=Calculation!$A453)*('Descriptor maps'!$G$2:$G$1658=Calculation!$G453),0))</f>
        <v>#N/A</v>
      </c>
      <c r="K453" s="226"/>
      <c r="L453" s="293"/>
      <c r="M453" s="293"/>
      <c r="N453" s="293"/>
      <c r="O453" s="293"/>
      <c r="P453" s="293"/>
      <c r="Q453" s="293"/>
      <c r="R453" s="293"/>
      <c r="S453" s="293"/>
      <c r="T453" s="293"/>
      <c r="U453" s="293"/>
      <c r="V453" s="293"/>
      <c r="W453" s="293"/>
      <c r="X453" s="293"/>
      <c r="Y453" s="293"/>
      <c r="Z453" s="293"/>
      <c r="AA453" s="293"/>
      <c r="AB453" s="293"/>
      <c r="AC453" s="293"/>
      <c r="AD453" s="293"/>
      <c r="AE453" s="293"/>
      <c r="AF453" s="293"/>
      <c r="AG453" s="293"/>
      <c r="AH453" s="293"/>
      <c r="AI453" s="293"/>
      <c r="AJ453" s="293"/>
      <c r="AK453" s="293"/>
      <c r="AL453" s="293"/>
      <c r="AM453" s="293"/>
      <c r="AN453" s="293"/>
      <c r="AO453" s="293"/>
      <c r="AP453" s="293"/>
      <c r="AQ453" s="293"/>
      <c r="AR453" s="293"/>
      <c r="AS453" s="293"/>
      <c r="AT453" s="293"/>
      <c r="AU453" s="293"/>
      <c r="AV453" s="293"/>
      <c r="AW453" s="293"/>
      <c r="AX453" s="293"/>
      <c r="AY453" s="293"/>
      <c r="AZ453" s="293"/>
      <c r="BA453" s="293"/>
      <c r="BB453" s="293"/>
      <c r="BC453" s="293"/>
      <c r="BD453" s="293"/>
      <c r="BE453" s="293"/>
      <c r="BF453" s="293"/>
      <c r="BG453" s="293"/>
      <c r="BH453" s="293"/>
      <c r="BI453" s="293"/>
      <c r="BJ453" s="293"/>
      <c r="BK453" s="293"/>
      <c r="BL453" s="293"/>
      <c r="BM453" s="293"/>
      <c r="BN453" s="293"/>
      <c r="BO453" s="293"/>
      <c r="BP453" s="293"/>
      <c r="BQ453" s="293"/>
      <c r="BR453" s="293"/>
      <c r="BS453" s="293"/>
      <c r="BT453" s="293"/>
      <c r="BU453" s="293"/>
      <c r="BV453" s="293"/>
      <c r="BW453" s="293"/>
      <c r="BX453" s="293"/>
      <c r="BY453" s="293"/>
      <c r="BZ453" s="293"/>
      <c r="CA453" s="285"/>
      <c r="CB453" s="286"/>
      <c r="CC453" s="286"/>
      <c r="CD453" s="286"/>
      <c r="CE453" s="286"/>
      <c r="CF453" s="286"/>
      <c r="CG453" s="286"/>
      <c r="CH453" s="286"/>
      <c r="CI453" s="286"/>
      <c r="CJ453" s="286"/>
      <c r="CK453" s="286"/>
      <c r="CL453" s="286"/>
      <c r="CM453" s="286"/>
      <c r="CN453" s="286"/>
      <c r="CO453" s="286"/>
      <c r="CP453" s="286"/>
      <c r="CQ453" s="286"/>
      <c r="CR453" s="286"/>
      <c r="CS453" s="286"/>
      <c r="CT453" s="286"/>
      <c r="CU453" s="286"/>
      <c r="CV453" s="286"/>
      <c r="CW453" s="286"/>
      <c r="CX453" s="286"/>
      <c r="CY453" s="286"/>
      <c r="CZ453" s="286"/>
      <c r="DA453" s="286"/>
      <c r="DB453" s="286"/>
      <c r="DC453" s="286"/>
      <c r="DD453" s="286"/>
      <c r="DE453" s="286"/>
      <c r="DF453" s="286"/>
      <c r="DG453" s="286"/>
      <c r="DH453" s="286"/>
      <c r="DI453" s="286"/>
      <c r="DJ453" s="286"/>
      <c r="DK453" s="286"/>
      <c r="DL453" s="286"/>
      <c r="DM453" s="286"/>
      <c r="DN453" s="286"/>
      <c r="DO453" s="286"/>
      <c r="DP453" s="286"/>
      <c r="DR453" s="58" t="str">
        <f>IF(ISNUMBER(MATCH(#REF!,'Audit Characteristic Mapping'!$B$3:$B$500,0)),"Y","")</f>
        <v/>
      </c>
      <c r="DS453" s="58" t="str">
        <f>IF(ISNUMBER(MATCH(#REF!,'Audit Characteristic Mapping'!$C$3:$C$500,0)),"Y","")</f>
        <v/>
      </c>
      <c r="DT453" s="58" t="str">
        <f>IF(ISNUMBER(MATCH(#REF!,'Audit Characteristic Mapping'!$D$3:$D$500,0)),"Y","")</f>
        <v/>
      </c>
      <c r="DU453" s="58" t="str">
        <f>IF(ISNUMBER(MATCH(#REF!,'Audit Characteristic Mapping'!$E$3:$E$500,0)),"Y","")</f>
        <v/>
      </c>
      <c r="DV453" s="58" t="str">
        <f>IF(ISNUMBER(MATCH(#REF!,'Audit Characteristic Mapping'!$F$3:$F$500,0)),"Y","")</f>
        <v/>
      </c>
      <c r="DW453" s="58" t="str">
        <f>IF(ISNUMBER(MATCH(#REF!,'Audit Characteristic Mapping'!$G$3:$G$500,0)),"Y","")</f>
        <v/>
      </c>
      <c r="DX453" s="58" t="str">
        <f>IF(ISNUMBER(MATCH(#REF!,'Audit Characteristic Mapping'!$H$3:$H$500,0)),"Y","")</f>
        <v/>
      </c>
      <c r="DY453" s="58" t="str">
        <f>IF(ISNUMBER(MATCH(#REF!,'Audit Characteristic Mapping'!$I$3:$I$500,0)),"Y","")</f>
        <v/>
      </c>
      <c r="DZ453" s="58" t="str">
        <f>IF(ISNUMBER(MATCH(#REF!,'Audit Characteristic Mapping'!$J$3:$J$500,0)),"Y","")</f>
        <v/>
      </c>
      <c r="EA453" s="58" t="str">
        <f>IF(ISNUMBER(MATCH(#REF!,'Audit Characteristic Mapping'!$K$3:$K$500,0)),"Y","")</f>
        <v/>
      </c>
    </row>
    <row r="454" spans="1:131" ht="33" hidden="1" thickBot="1" x14ac:dyDescent="0.25">
      <c r="A454" s="288">
        <v>447</v>
      </c>
      <c r="B454" s="287" t="s">
        <v>594</v>
      </c>
      <c r="C454" s="226" t="s">
        <v>610</v>
      </c>
      <c r="D454" s="170">
        <v>15</v>
      </c>
      <c r="E454" s="288">
        <v>93</v>
      </c>
      <c r="F454" s="291" t="str">
        <f>VLOOKUP(Calculation!A454,'Descriptor maps'!$A$2:$F$1658,2,0)</f>
        <v>HSE</v>
      </c>
      <c r="G454" s="296"/>
      <c r="H454" s="290"/>
      <c r="I454" s="291"/>
      <c r="J454" s="292" t="e" cm="1">
        <f t="array" ref="J454">INDEX('Descriptor maps'!$I$2:$I$1658,MATCH(1,('Descriptor maps'!$A$2:$A$1658=Calculation!$A454)*('Descriptor maps'!$G$2:$G$1658=Calculation!$G454),0))</f>
        <v>#N/A</v>
      </c>
      <c r="K454" s="226"/>
      <c r="L454" s="293"/>
      <c r="M454" s="293"/>
      <c r="N454" s="293"/>
      <c r="O454" s="293"/>
      <c r="P454" s="293"/>
      <c r="Q454" s="293"/>
      <c r="R454" s="293"/>
      <c r="S454" s="293"/>
      <c r="T454" s="293"/>
      <c r="U454" s="293"/>
      <c r="V454" s="293"/>
      <c r="W454" s="293"/>
      <c r="X454" s="293"/>
      <c r="Y454" s="293"/>
      <c r="Z454" s="293"/>
      <c r="AA454" s="293"/>
      <c r="AB454" s="293"/>
      <c r="AC454" s="293"/>
      <c r="AD454" s="293"/>
      <c r="AE454" s="293"/>
      <c r="AF454" s="293"/>
      <c r="AG454" s="293"/>
      <c r="AH454" s="293"/>
      <c r="AI454" s="293"/>
      <c r="AJ454" s="293"/>
      <c r="AK454" s="293"/>
      <c r="AL454" s="293"/>
      <c r="AM454" s="293"/>
      <c r="AN454" s="293"/>
      <c r="AO454" s="293"/>
      <c r="AP454" s="293"/>
      <c r="AQ454" s="293"/>
      <c r="AR454" s="293"/>
      <c r="AS454" s="293"/>
      <c r="AT454" s="293"/>
      <c r="AU454" s="293"/>
      <c r="AV454" s="293"/>
      <c r="AW454" s="293"/>
      <c r="AX454" s="293"/>
      <c r="AY454" s="293"/>
      <c r="AZ454" s="293"/>
      <c r="BA454" s="293"/>
      <c r="BB454" s="293"/>
      <c r="BC454" s="293"/>
      <c r="BD454" s="293"/>
      <c r="BE454" s="293"/>
      <c r="BF454" s="293"/>
      <c r="BG454" s="293"/>
      <c r="BH454" s="293"/>
      <c r="BI454" s="293"/>
      <c r="BJ454" s="293"/>
      <c r="BK454" s="293"/>
      <c r="BL454" s="293"/>
      <c r="BM454" s="293"/>
      <c r="BN454" s="293"/>
      <c r="BO454" s="293"/>
      <c r="BP454" s="293"/>
      <c r="BQ454" s="293"/>
      <c r="BR454" s="293"/>
      <c r="BS454" s="293"/>
      <c r="BT454" s="293"/>
      <c r="BU454" s="293"/>
      <c r="BV454" s="293"/>
      <c r="BW454" s="293"/>
      <c r="BX454" s="293"/>
      <c r="BY454" s="293"/>
      <c r="BZ454" s="293"/>
      <c r="CA454" s="285"/>
      <c r="CB454" s="286"/>
      <c r="CC454" s="286"/>
      <c r="CD454" s="286"/>
      <c r="CE454" s="286"/>
      <c r="CF454" s="286"/>
      <c r="CG454" s="286"/>
      <c r="CH454" s="286"/>
      <c r="CI454" s="286"/>
      <c r="CJ454" s="286"/>
      <c r="CK454" s="286"/>
      <c r="CL454" s="286"/>
      <c r="CM454" s="286"/>
      <c r="CN454" s="286"/>
      <c r="CO454" s="286"/>
      <c r="CP454" s="286"/>
      <c r="CQ454" s="286"/>
      <c r="CR454" s="286"/>
      <c r="CS454" s="286"/>
      <c r="CT454" s="286"/>
      <c r="CU454" s="286"/>
      <c r="CV454" s="286"/>
      <c r="CW454" s="286"/>
      <c r="CX454" s="286"/>
      <c r="CY454" s="286"/>
      <c r="CZ454" s="286"/>
      <c r="DA454" s="286"/>
      <c r="DB454" s="286"/>
      <c r="DC454" s="286"/>
      <c r="DD454" s="286"/>
      <c r="DE454" s="286"/>
      <c r="DF454" s="286"/>
      <c r="DG454" s="286"/>
      <c r="DH454" s="286"/>
      <c r="DI454" s="286"/>
      <c r="DJ454" s="286"/>
      <c r="DK454" s="286"/>
      <c r="DL454" s="286"/>
      <c r="DM454" s="286"/>
      <c r="DN454" s="286"/>
      <c r="DO454" s="286"/>
      <c r="DP454" s="286"/>
      <c r="DR454" s="58" t="str">
        <f>IF(ISNUMBER(MATCH(#REF!,'Audit Characteristic Mapping'!$B$3:$B$500,0)),"Y","")</f>
        <v/>
      </c>
      <c r="DS454" s="58" t="str">
        <f>IF(ISNUMBER(MATCH(#REF!,'Audit Characteristic Mapping'!$C$3:$C$500,0)),"Y","")</f>
        <v/>
      </c>
      <c r="DT454" s="58" t="str">
        <f>IF(ISNUMBER(MATCH(#REF!,'Audit Characteristic Mapping'!$D$3:$D$500,0)),"Y","")</f>
        <v/>
      </c>
      <c r="DU454" s="58" t="str">
        <f>IF(ISNUMBER(MATCH(#REF!,'Audit Characteristic Mapping'!$E$3:$E$500,0)),"Y","")</f>
        <v/>
      </c>
      <c r="DV454" s="58" t="str">
        <f>IF(ISNUMBER(MATCH(#REF!,'Audit Characteristic Mapping'!$F$3:$F$500,0)),"Y","")</f>
        <v/>
      </c>
      <c r="DW454" s="58" t="str">
        <f>IF(ISNUMBER(MATCH(#REF!,'Audit Characteristic Mapping'!$G$3:$G$500,0)),"Y","")</f>
        <v/>
      </c>
      <c r="DX454" s="58" t="str">
        <f>IF(ISNUMBER(MATCH(#REF!,'Audit Characteristic Mapping'!$H$3:$H$500,0)),"Y","")</f>
        <v/>
      </c>
      <c r="DY454" s="58" t="str">
        <f>IF(ISNUMBER(MATCH(#REF!,'Audit Characteristic Mapping'!$I$3:$I$500,0)),"Y","")</f>
        <v/>
      </c>
      <c r="DZ454" s="58" t="str">
        <f>IF(ISNUMBER(MATCH(#REF!,'Audit Characteristic Mapping'!$J$3:$J$500,0)),"Y","")</f>
        <v/>
      </c>
      <c r="EA454" s="58" t="str">
        <f>IF(ISNUMBER(MATCH(#REF!,'Audit Characteristic Mapping'!$K$3:$K$500,0)),"Y","")</f>
        <v/>
      </c>
    </row>
    <row r="455" spans="1:131" ht="33" hidden="1" thickBot="1" x14ac:dyDescent="0.25">
      <c r="A455" s="288">
        <v>448</v>
      </c>
      <c r="B455" s="287" t="s">
        <v>594</v>
      </c>
      <c r="C455" s="226" t="s">
        <v>610</v>
      </c>
      <c r="D455" s="170">
        <v>15</v>
      </c>
      <c r="E455" s="288">
        <v>93</v>
      </c>
      <c r="F455" s="291" t="str">
        <f>VLOOKUP(Calculation!A455,'Descriptor maps'!$A$2:$F$1658,2,0)</f>
        <v>HSE</v>
      </c>
      <c r="G455" s="296"/>
      <c r="H455" s="290"/>
      <c r="I455" s="291"/>
      <c r="J455" s="292" t="e" cm="1">
        <f t="array" ref="J455">INDEX('Descriptor maps'!$I$2:$I$1658,MATCH(1,('Descriptor maps'!$A$2:$A$1658=Calculation!$A455)*('Descriptor maps'!$G$2:$G$1658=Calculation!$G455),0))</f>
        <v>#N/A</v>
      </c>
      <c r="K455" s="226"/>
      <c r="L455" s="293"/>
      <c r="M455" s="293"/>
      <c r="N455" s="293"/>
      <c r="O455" s="293"/>
      <c r="P455" s="293"/>
      <c r="Q455" s="293"/>
      <c r="R455" s="293"/>
      <c r="S455" s="293"/>
      <c r="T455" s="293"/>
      <c r="U455" s="293"/>
      <c r="V455" s="293"/>
      <c r="W455" s="293"/>
      <c r="X455" s="293"/>
      <c r="Y455" s="293"/>
      <c r="Z455" s="293"/>
      <c r="AA455" s="293"/>
      <c r="AB455" s="293"/>
      <c r="AC455" s="293"/>
      <c r="AD455" s="293"/>
      <c r="AE455" s="293"/>
      <c r="AF455" s="293"/>
      <c r="AG455" s="293"/>
      <c r="AH455" s="293"/>
      <c r="AI455" s="293"/>
      <c r="AJ455" s="293"/>
      <c r="AK455" s="293"/>
      <c r="AL455" s="293"/>
      <c r="AM455" s="293"/>
      <c r="AN455" s="293"/>
      <c r="AO455" s="293"/>
      <c r="AP455" s="293"/>
      <c r="AQ455" s="293"/>
      <c r="AR455" s="293"/>
      <c r="AS455" s="293"/>
      <c r="AT455" s="293"/>
      <c r="AU455" s="293"/>
      <c r="AV455" s="293"/>
      <c r="AW455" s="293"/>
      <c r="AX455" s="293"/>
      <c r="AY455" s="293"/>
      <c r="AZ455" s="293"/>
      <c r="BA455" s="293"/>
      <c r="BB455" s="293"/>
      <c r="BC455" s="293"/>
      <c r="BD455" s="293"/>
      <c r="BE455" s="293"/>
      <c r="BF455" s="293"/>
      <c r="BG455" s="293"/>
      <c r="BH455" s="293"/>
      <c r="BI455" s="293"/>
      <c r="BJ455" s="293"/>
      <c r="BK455" s="293"/>
      <c r="BL455" s="293"/>
      <c r="BM455" s="293"/>
      <c r="BN455" s="293"/>
      <c r="BO455" s="293"/>
      <c r="BP455" s="293"/>
      <c r="BQ455" s="293"/>
      <c r="BR455" s="293"/>
      <c r="BS455" s="293"/>
      <c r="BT455" s="293"/>
      <c r="BU455" s="293"/>
      <c r="BV455" s="293"/>
      <c r="BW455" s="293"/>
      <c r="BX455" s="293"/>
      <c r="BY455" s="293"/>
      <c r="BZ455" s="293"/>
      <c r="CA455" s="285"/>
      <c r="CB455" s="286"/>
      <c r="CC455" s="286"/>
      <c r="CD455" s="286"/>
      <c r="CE455" s="286"/>
      <c r="CF455" s="286"/>
      <c r="CG455" s="286"/>
      <c r="CH455" s="286"/>
      <c r="CI455" s="286"/>
      <c r="CJ455" s="286"/>
      <c r="CK455" s="286"/>
      <c r="CL455" s="286"/>
      <c r="CM455" s="286"/>
      <c r="CN455" s="286"/>
      <c r="CO455" s="286"/>
      <c r="CP455" s="286"/>
      <c r="CQ455" s="286"/>
      <c r="CR455" s="286"/>
      <c r="CS455" s="286"/>
      <c r="CT455" s="286"/>
      <c r="CU455" s="286"/>
      <c r="CV455" s="286"/>
      <c r="CW455" s="286"/>
      <c r="CX455" s="286"/>
      <c r="CY455" s="286"/>
      <c r="CZ455" s="286"/>
      <c r="DA455" s="286"/>
      <c r="DB455" s="286"/>
      <c r="DC455" s="286"/>
      <c r="DD455" s="286"/>
      <c r="DE455" s="286"/>
      <c r="DF455" s="286"/>
      <c r="DG455" s="286"/>
      <c r="DH455" s="286"/>
      <c r="DI455" s="286"/>
      <c r="DJ455" s="286"/>
      <c r="DK455" s="286"/>
      <c r="DL455" s="286"/>
      <c r="DM455" s="286"/>
      <c r="DN455" s="286"/>
      <c r="DO455" s="286"/>
      <c r="DP455" s="286"/>
      <c r="DR455" s="58" t="str">
        <f>IF(ISNUMBER(MATCH(#REF!,'Audit Characteristic Mapping'!$B$3:$B$500,0)),"Y","")</f>
        <v/>
      </c>
      <c r="DS455" s="58" t="str">
        <f>IF(ISNUMBER(MATCH(#REF!,'Audit Characteristic Mapping'!$C$3:$C$500,0)),"Y","")</f>
        <v/>
      </c>
      <c r="DT455" s="58" t="str">
        <f>IF(ISNUMBER(MATCH(#REF!,'Audit Characteristic Mapping'!$D$3:$D$500,0)),"Y","")</f>
        <v/>
      </c>
      <c r="DU455" s="58" t="str">
        <f>IF(ISNUMBER(MATCH(#REF!,'Audit Characteristic Mapping'!$E$3:$E$500,0)),"Y","")</f>
        <v/>
      </c>
      <c r="DV455" s="58" t="str">
        <f>IF(ISNUMBER(MATCH(#REF!,'Audit Characteristic Mapping'!$F$3:$F$500,0)),"Y","")</f>
        <v/>
      </c>
      <c r="DW455" s="58" t="str">
        <f>IF(ISNUMBER(MATCH(#REF!,'Audit Characteristic Mapping'!$G$3:$G$500,0)),"Y","")</f>
        <v/>
      </c>
      <c r="DX455" s="58" t="str">
        <f>IF(ISNUMBER(MATCH(#REF!,'Audit Characteristic Mapping'!$H$3:$H$500,0)),"Y","")</f>
        <v/>
      </c>
      <c r="DY455" s="58" t="str">
        <f>IF(ISNUMBER(MATCH(#REF!,'Audit Characteristic Mapping'!$I$3:$I$500,0)),"Y","")</f>
        <v/>
      </c>
      <c r="DZ455" s="58" t="str">
        <f>IF(ISNUMBER(MATCH(#REF!,'Audit Characteristic Mapping'!$J$3:$J$500,0)),"Y","")</f>
        <v/>
      </c>
      <c r="EA455" s="58" t="str">
        <f>IF(ISNUMBER(MATCH(#REF!,'Audit Characteristic Mapping'!$K$3:$K$500,0)),"Y","")</f>
        <v/>
      </c>
    </row>
    <row r="456" spans="1:131" ht="17" hidden="1" thickBot="1" x14ac:dyDescent="0.25">
      <c r="A456" s="288">
        <v>449</v>
      </c>
      <c r="B456" s="287" t="s">
        <v>594</v>
      </c>
      <c r="C456" s="226" t="s">
        <v>615</v>
      </c>
      <c r="D456" s="170">
        <v>15</v>
      </c>
      <c r="E456" s="288">
        <v>94</v>
      </c>
      <c r="F456" s="291" t="str">
        <f>VLOOKUP(Calculation!A456,'Descriptor maps'!$A$2:$F$1658,2,0)</f>
        <v>HSE</v>
      </c>
      <c r="G456" s="296"/>
      <c r="H456" s="290"/>
      <c r="I456" s="291"/>
      <c r="J456" s="292" t="e" cm="1">
        <f t="array" ref="J456">INDEX('Descriptor maps'!$I$2:$I$1658,MATCH(1,('Descriptor maps'!$A$2:$A$1658=Calculation!$A456)*('Descriptor maps'!$G$2:$G$1658=Calculation!$G456),0))</f>
        <v>#N/A</v>
      </c>
      <c r="K456" s="226"/>
      <c r="L456" s="293"/>
      <c r="M456" s="293"/>
      <c r="N456" s="293"/>
      <c r="O456" s="293"/>
      <c r="P456" s="293"/>
      <c r="Q456" s="293"/>
      <c r="R456" s="293"/>
      <c r="S456" s="293"/>
      <c r="T456" s="293"/>
      <c r="U456" s="293"/>
      <c r="V456" s="293"/>
      <c r="W456" s="293"/>
      <c r="X456" s="293"/>
      <c r="Y456" s="293"/>
      <c r="Z456" s="293"/>
      <c r="AA456" s="293"/>
      <c r="AB456" s="293"/>
      <c r="AC456" s="293"/>
      <c r="AD456" s="293"/>
      <c r="AE456" s="293"/>
      <c r="AF456" s="293"/>
      <c r="AG456" s="293"/>
      <c r="AH456" s="293"/>
      <c r="AI456" s="293"/>
      <c r="AJ456" s="293"/>
      <c r="AK456" s="293"/>
      <c r="AL456" s="293"/>
      <c r="AM456" s="293"/>
      <c r="AN456" s="293"/>
      <c r="AO456" s="293"/>
      <c r="AP456" s="293"/>
      <c r="AQ456" s="293"/>
      <c r="AR456" s="293"/>
      <c r="AS456" s="293"/>
      <c r="AT456" s="293"/>
      <c r="AU456" s="293"/>
      <c r="AV456" s="293"/>
      <c r="AW456" s="293"/>
      <c r="AX456" s="293"/>
      <c r="AY456" s="293"/>
      <c r="AZ456" s="293"/>
      <c r="BA456" s="293"/>
      <c r="BB456" s="293"/>
      <c r="BC456" s="293"/>
      <c r="BD456" s="293"/>
      <c r="BE456" s="293"/>
      <c r="BF456" s="293"/>
      <c r="BG456" s="293"/>
      <c r="BH456" s="293"/>
      <c r="BI456" s="293"/>
      <c r="BJ456" s="293"/>
      <c r="BK456" s="293"/>
      <c r="BL456" s="293"/>
      <c r="BM456" s="293"/>
      <c r="BN456" s="293"/>
      <c r="BO456" s="293"/>
      <c r="BP456" s="293"/>
      <c r="BQ456" s="293"/>
      <c r="BR456" s="293"/>
      <c r="BS456" s="293"/>
      <c r="BT456" s="293"/>
      <c r="BU456" s="293"/>
      <c r="BV456" s="293"/>
      <c r="BW456" s="293"/>
      <c r="BX456" s="293"/>
      <c r="BY456" s="293"/>
      <c r="BZ456" s="293"/>
      <c r="CA456" s="285"/>
      <c r="CB456" s="286"/>
      <c r="CC456" s="286"/>
      <c r="CD456" s="286"/>
      <c r="CE456" s="286"/>
      <c r="CF456" s="286"/>
      <c r="CG456" s="286"/>
      <c r="CH456" s="286"/>
      <c r="CI456" s="286"/>
      <c r="CJ456" s="286"/>
      <c r="CK456" s="286"/>
      <c r="CL456" s="286"/>
      <c r="CM456" s="286"/>
      <c r="CN456" s="286"/>
      <c r="CO456" s="286"/>
      <c r="CP456" s="286"/>
      <c r="CQ456" s="286"/>
      <c r="CR456" s="286"/>
      <c r="CS456" s="286"/>
      <c r="CT456" s="286"/>
      <c r="CU456" s="286"/>
      <c r="CV456" s="286"/>
      <c r="CW456" s="286"/>
      <c r="CX456" s="286"/>
      <c r="CY456" s="286"/>
      <c r="CZ456" s="286"/>
      <c r="DA456" s="286"/>
      <c r="DB456" s="286"/>
      <c r="DC456" s="286"/>
      <c r="DD456" s="286"/>
      <c r="DE456" s="286"/>
      <c r="DF456" s="286"/>
      <c r="DG456" s="286"/>
      <c r="DH456" s="286"/>
      <c r="DI456" s="286"/>
      <c r="DJ456" s="286"/>
      <c r="DK456" s="286"/>
      <c r="DL456" s="286"/>
      <c r="DM456" s="286"/>
      <c r="DN456" s="286"/>
      <c r="DO456" s="286"/>
      <c r="DP456" s="286"/>
      <c r="DR456" s="58" t="str">
        <f>IF(ISNUMBER(MATCH(#REF!,'Audit Characteristic Mapping'!$B$3:$B$500,0)),"Y","")</f>
        <v/>
      </c>
      <c r="DS456" s="58" t="str">
        <f>IF(ISNUMBER(MATCH(#REF!,'Audit Characteristic Mapping'!$C$3:$C$500,0)),"Y","")</f>
        <v/>
      </c>
      <c r="DT456" s="58" t="str">
        <f>IF(ISNUMBER(MATCH(#REF!,'Audit Characteristic Mapping'!$D$3:$D$500,0)),"Y","")</f>
        <v/>
      </c>
      <c r="DU456" s="58" t="str">
        <f>IF(ISNUMBER(MATCH(#REF!,'Audit Characteristic Mapping'!$E$3:$E$500,0)),"Y","")</f>
        <v/>
      </c>
      <c r="DV456" s="58" t="str">
        <f>IF(ISNUMBER(MATCH(#REF!,'Audit Characteristic Mapping'!$F$3:$F$500,0)),"Y","")</f>
        <v/>
      </c>
      <c r="DW456" s="58" t="str">
        <f>IF(ISNUMBER(MATCH(#REF!,'Audit Characteristic Mapping'!$G$3:$G$500,0)),"Y","")</f>
        <v/>
      </c>
      <c r="DX456" s="58" t="str">
        <f>IF(ISNUMBER(MATCH(#REF!,'Audit Characteristic Mapping'!$H$3:$H$500,0)),"Y","")</f>
        <v/>
      </c>
      <c r="DY456" s="58" t="str">
        <f>IF(ISNUMBER(MATCH(#REF!,'Audit Characteristic Mapping'!$I$3:$I$500,0)),"Y","")</f>
        <v/>
      </c>
      <c r="DZ456" s="58" t="str">
        <f>IF(ISNUMBER(MATCH(#REF!,'Audit Characteristic Mapping'!$J$3:$J$500,0)),"Y","")</f>
        <v/>
      </c>
      <c r="EA456" s="58" t="str">
        <f>IF(ISNUMBER(MATCH(#REF!,'Audit Characteristic Mapping'!$K$3:$K$500,0)),"Y","")</f>
        <v/>
      </c>
    </row>
    <row r="457" spans="1:131" ht="17" hidden="1" thickBot="1" x14ac:dyDescent="0.25">
      <c r="A457" s="288">
        <v>450</v>
      </c>
      <c r="B457" s="287" t="s">
        <v>594</v>
      </c>
      <c r="C457" s="226" t="s">
        <v>615</v>
      </c>
      <c r="D457" s="170">
        <v>15</v>
      </c>
      <c r="E457" s="288">
        <v>94</v>
      </c>
      <c r="F457" s="291" t="str">
        <f>VLOOKUP(Calculation!A457,'Descriptor maps'!$A$2:$F$1658,2,0)</f>
        <v>HSE</v>
      </c>
      <c r="G457" s="296"/>
      <c r="H457" s="290"/>
      <c r="I457" s="291"/>
      <c r="J457" s="292" t="e" cm="1">
        <f t="array" ref="J457">INDEX('Descriptor maps'!$I$2:$I$1658,MATCH(1,('Descriptor maps'!$A$2:$A$1658=Calculation!$A457)*('Descriptor maps'!$G$2:$G$1658=Calculation!$G457),0))</f>
        <v>#N/A</v>
      </c>
      <c r="K457" s="226"/>
      <c r="L457" s="293"/>
      <c r="M457" s="293"/>
      <c r="N457" s="293"/>
      <c r="O457" s="293"/>
      <c r="P457" s="293"/>
      <c r="Q457" s="293"/>
      <c r="R457" s="293"/>
      <c r="S457" s="293"/>
      <c r="T457" s="293"/>
      <c r="U457" s="293"/>
      <c r="V457" s="293"/>
      <c r="W457" s="293"/>
      <c r="X457" s="293"/>
      <c r="Y457" s="293"/>
      <c r="Z457" s="293"/>
      <c r="AA457" s="293"/>
      <c r="AB457" s="293"/>
      <c r="AC457" s="293"/>
      <c r="AD457" s="293"/>
      <c r="AE457" s="293"/>
      <c r="AF457" s="293"/>
      <c r="AG457" s="293"/>
      <c r="AH457" s="293"/>
      <c r="AI457" s="293"/>
      <c r="AJ457" s="293"/>
      <c r="AK457" s="293"/>
      <c r="AL457" s="293"/>
      <c r="AM457" s="293"/>
      <c r="AN457" s="293"/>
      <c r="AO457" s="293"/>
      <c r="AP457" s="293"/>
      <c r="AQ457" s="293"/>
      <c r="AR457" s="293"/>
      <c r="AS457" s="293"/>
      <c r="AT457" s="293"/>
      <c r="AU457" s="293"/>
      <c r="AV457" s="293"/>
      <c r="AW457" s="293"/>
      <c r="AX457" s="293"/>
      <c r="AY457" s="293"/>
      <c r="AZ457" s="293"/>
      <c r="BA457" s="293"/>
      <c r="BB457" s="293"/>
      <c r="BC457" s="293"/>
      <c r="BD457" s="293"/>
      <c r="BE457" s="293"/>
      <c r="BF457" s="293"/>
      <c r="BG457" s="293"/>
      <c r="BH457" s="293"/>
      <c r="BI457" s="293"/>
      <c r="BJ457" s="293"/>
      <c r="BK457" s="293"/>
      <c r="BL457" s="293"/>
      <c r="BM457" s="293"/>
      <c r="BN457" s="293"/>
      <c r="BO457" s="293"/>
      <c r="BP457" s="293"/>
      <c r="BQ457" s="293"/>
      <c r="BR457" s="293"/>
      <c r="BS457" s="293"/>
      <c r="BT457" s="293"/>
      <c r="BU457" s="293"/>
      <c r="BV457" s="293"/>
      <c r="BW457" s="293"/>
      <c r="BX457" s="293"/>
      <c r="BY457" s="293"/>
      <c r="BZ457" s="293"/>
      <c r="CA457" s="285"/>
      <c r="CB457" s="286"/>
      <c r="CC457" s="286"/>
      <c r="CD457" s="286"/>
      <c r="CE457" s="286"/>
      <c r="CF457" s="286"/>
      <c r="CG457" s="286"/>
      <c r="CH457" s="286"/>
      <c r="CI457" s="286"/>
      <c r="CJ457" s="286"/>
      <c r="CK457" s="286"/>
      <c r="CL457" s="286"/>
      <c r="CM457" s="286"/>
      <c r="CN457" s="286"/>
      <c r="CO457" s="286"/>
      <c r="CP457" s="286"/>
      <c r="CQ457" s="286"/>
      <c r="CR457" s="286"/>
      <c r="CS457" s="286"/>
      <c r="CT457" s="286"/>
      <c r="CU457" s="286"/>
      <c r="CV457" s="286"/>
      <c r="CW457" s="286"/>
      <c r="CX457" s="286"/>
      <c r="CY457" s="286"/>
      <c r="CZ457" s="286"/>
      <c r="DA457" s="286"/>
      <c r="DB457" s="286"/>
      <c r="DC457" s="286"/>
      <c r="DD457" s="286"/>
      <c r="DE457" s="286"/>
      <c r="DF457" s="286"/>
      <c r="DG457" s="286"/>
      <c r="DH457" s="286"/>
      <c r="DI457" s="286"/>
      <c r="DJ457" s="286"/>
      <c r="DK457" s="286"/>
      <c r="DL457" s="286"/>
      <c r="DM457" s="286"/>
      <c r="DN457" s="286"/>
      <c r="DO457" s="286"/>
      <c r="DP457" s="286"/>
      <c r="DR457" s="58" t="str">
        <f>IF(ISNUMBER(MATCH(#REF!,'Audit Characteristic Mapping'!$B$3:$B$500,0)),"Y","")</f>
        <v/>
      </c>
      <c r="DS457" s="58" t="str">
        <f>IF(ISNUMBER(MATCH(#REF!,'Audit Characteristic Mapping'!$C$3:$C$500,0)),"Y","")</f>
        <v/>
      </c>
      <c r="DT457" s="58" t="str">
        <f>IF(ISNUMBER(MATCH(#REF!,'Audit Characteristic Mapping'!$D$3:$D$500,0)),"Y","")</f>
        <v/>
      </c>
      <c r="DU457" s="58" t="str">
        <f>IF(ISNUMBER(MATCH(#REF!,'Audit Characteristic Mapping'!$E$3:$E$500,0)),"Y","")</f>
        <v/>
      </c>
      <c r="DV457" s="58" t="str">
        <f>IF(ISNUMBER(MATCH(#REF!,'Audit Characteristic Mapping'!$F$3:$F$500,0)),"Y","")</f>
        <v/>
      </c>
      <c r="DW457" s="58" t="str">
        <f>IF(ISNUMBER(MATCH(#REF!,'Audit Characteristic Mapping'!$G$3:$G$500,0)),"Y","")</f>
        <v/>
      </c>
      <c r="DX457" s="58" t="str">
        <f>IF(ISNUMBER(MATCH(#REF!,'Audit Characteristic Mapping'!$H$3:$H$500,0)),"Y","")</f>
        <v/>
      </c>
      <c r="DY457" s="58" t="str">
        <f>IF(ISNUMBER(MATCH(#REF!,'Audit Characteristic Mapping'!$I$3:$I$500,0)),"Y","")</f>
        <v/>
      </c>
      <c r="DZ457" s="58" t="str">
        <f>IF(ISNUMBER(MATCH(#REF!,'Audit Characteristic Mapping'!$J$3:$J$500,0)),"Y","")</f>
        <v/>
      </c>
      <c r="EA457" s="58" t="str">
        <f>IF(ISNUMBER(MATCH(#REF!,'Audit Characteristic Mapping'!$K$3:$K$500,0)),"Y","")</f>
        <v/>
      </c>
    </row>
    <row r="458" spans="1:131" ht="17" hidden="1" thickBot="1" x14ac:dyDescent="0.25">
      <c r="A458" s="288">
        <v>451</v>
      </c>
      <c r="B458" s="287" t="s">
        <v>594</v>
      </c>
      <c r="C458" s="226" t="s">
        <v>615</v>
      </c>
      <c r="D458" s="170">
        <v>15</v>
      </c>
      <c r="E458" s="288">
        <v>94</v>
      </c>
      <c r="F458" s="291" t="str">
        <f>VLOOKUP(Calculation!A458,'Descriptor maps'!$A$2:$F$1658,2,0)</f>
        <v>HSE</v>
      </c>
      <c r="G458" s="296"/>
      <c r="H458" s="290"/>
      <c r="I458" s="291"/>
      <c r="J458" s="292" t="e" cm="1">
        <f t="array" ref="J458">INDEX('Descriptor maps'!$I$2:$I$1658,MATCH(1,('Descriptor maps'!$A$2:$A$1658=Calculation!$A458)*('Descriptor maps'!$G$2:$G$1658=Calculation!$G458),0))</f>
        <v>#N/A</v>
      </c>
      <c r="K458" s="226"/>
      <c r="L458" s="293"/>
      <c r="M458" s="293"/>
      <c r="N458" s="293"/>
      <c r="O458" s="293"/>
      <c r="P458" s="293"/>
      <c r="Q458" s="293"/>
      <c r="R458" s="293"/>
      <c r="S458" s="293"/>
      <c r="T458" s="293"/>
      <c r="U458" s="293"/>
      <c r="V458" s="293"/>
      <c r="W458" s="293"/>
      <c r="X458" s="293"/>
      <c r="Y458" s="293"/>
      <c r="Z458" s="293"/>
      <c r="AA458" s="293"/>
      <c r="AB458" s="293"/>
      <c r="AC458" s="293"/>
      <c r="AD458" s="293"/>
      <c r="AE458" s="293"/>
      <c r="AF458" s="293"/>
      <c r="AG458" s="293"/>
      <c r="AH458" s="293"/>
      <c r="AI458" s="293"/>
      <c r="AJ458" s="293"/>
      <c r="AK458" s="293"/>
      <c r="AL458" s="293"/>
      <c r="AM458" s="293"/>
      <c r="AN458" s="293"/>
      <c r="AO458" s="293"/>
      <c r="AP458" s="293"/>
      <c r="AQ458" s="293"/>
      <c r="AR458" s="293"/>
      <c r="AS458" s="293"/>
      <c r="AT458" s="293"/>
      <c r="AU458" s="293"/>
      <c r="AV458" s="293"/>
      <c r="AW458" s="293"/>
      <c r="AX458" s="293"/>
      <c r="AY458" s="293"/>
      <c r="AZ458" s="293"/>
      <c r="BA458" s="293"/>
      <c r="BB458" s="293"/>
      <c r="BC458" s="293"/>
      <c r="BD458" s="293"/>
      <c r="BE458" s="293"/>
      <c r="BF458" s="293"/>
      <c r="BG458" s="293"/>
      <c r="BH458" s="293"/>
      <c r="BI458" s="293"/>
      <c r="BJ458" s="293"/>
      <c r="BK458" s="293"/>
      <c r="BL458" s="293"/>
      <c r="BM458" s="293"/>
      <c r="BN458" s="293"/>
      <c r="BO458" s="293"/>
      <c r="BP458" s="293"/>
      <c r="BQ458" s="293"/>
      <c r="BR458" s="293"/>
      <c r="BS458" s="293"/>
      <c r="BT458" s="293"/>
      <c r="BU458" s="293"/>
      <c r="BV458" s="293"/>
      <c r="BW458" s="293"/>
      <c r="BX458" s="293"/>
      <c r="BY458" s="293"/>
      <c r="BZ458" s="293"/>
      <c r="CA458" s="285"/>
      <c r="CB458" s="286"/>
      <c r="CC458" s="286"/>
      <c r="CD458" s="286"/>
      <c r="CE458" s="286"/>
      <c r="CF458" s="286"/>
      <c r="CG458" s="286"/>
      <c r="CH458" s="286"/>
      <c r="CI458" s="286"/>
      <c r="CJ458" s="286"/>
      <c r="CK458" s="286"/>
      <c r="CL458" s="286"/>
      <c r="CM458" s="286"/>
      <c r="CN458" s="286"/>
      <c r="CO458" s="286"/>
      <c r="CP458" s="286"/>
      <c r="CQ458" s="286"/>
      <c r="CR458" s="286"/>
      <c r="CS458" s="286"/>
      <c r="CT458" s="286"/>
      <c r="CU458" s="286"/>
      <c r="CV458" s="286"/>
      <c r="CW458" s="286"/>
      <c r="CX458" s="286"/>
      <c r="CY458" s="286"/>
      <c r="CZ458" s="286"/>
      <c r="DA458" s="286"/>
      <c r="DB458" s="286"/>
      <c r="DC458" s="286"/>
      <c r="DD458" s="286"/>
      <c r="DE458" s="286"/>
      <c r="DF458" s="286"/>
      <c r="DG458" s="286"/>
      <c r="DH458" s="286"/>
      <c r="DI458" s="286"/>
      <c r="DJ458" s="286"/>
      <c r="DK458" s="286"/>
      <c r="DL458" s="286"/>
      <c r="DM458" s="286"/>
      <c r="DN458" s="286"/>
      <c r="DO458" s="286"/>
      <c r="DP458" s="286"/>
      <c r="DR458" s="58" t="str">
        <f>IF(ISNUMBER(MATCH(#REF!,'Audit Characteristic Mapping'!$B$3:$B$500,0)),"Y","")</f>
        <v/>
      </c>
      <c r="DS458" s="58" t="str">
        <f>IF(ISNUMBER(MATCH(#REF!,'Audit Characteristic Mapping'!$C$3:$C$500,0)),"Y","")</f>
        <v/>
      </c>
      <c r="DT458" s="58" t="str">
        <f>IF(ISNUMBER(MATCH(#REF!,'Audit Characteristic Mapping'!$D$3:$D$500,0)),"Y","")</f>
        <v/>
      </c>
      <c r="DU458" s="58" t="str">
        <f>IF(ISNUMBER(MATCH(#REF!,'Audit Characteristic Mapping'!$E$3:$E$500,0)),"Y","")</f>
        <v/>
      </c>
      <c r="DV458" s="58" t="str">
        <f>IF(ISNUMBER(MATCH(#REF!,'Audit Characteristic Mapping'!$F$3:$F$500,0)),"Y","")</f>
        <v/>
      </c>
      <c r="DW458" s="58" t="str">
        <f>IF(ISNUMBER(MATCH(#REF!,'Audit Characteristic Mapping'!$G$3:$G$500,0)),"Y","")</f>
        <v/>
      </c>
      <c r="DX458" s="58" t="str">
        <f>IF(ISNUMBER(MATCH(#REF!,'Audit Characteristic Mapping'!$H$3:$H$500,0)),"Y","")</f>
        <v/>
      </c>
      <c r="DY458" s="58" t="str">
        <f>IF(ISNUMBER(MATCH(#REF!,'Audit Characteristic Mapping'!$I$3:$I$500,0)),"Y","")</f>
        <v/>
      </c>
      <c r="DZ458" s="58" t="str">
        <f>IF(ISNUMBER(MATCH(#REF!,'Audit Characteristic Mapping'!$J$3:$J$500,0)),"Y","")</f>
        <v/>
      </c>
      <c r="EA458" s="58" t="str">
        <f>IF(ISNUMBER(MATCH(#REF!,'Audit Characteristic Mapping'!$K$3:$K$500,0)),"Y","")</f>
        <v/>
      </c>
    </row>
    <row r="459" spans="1:131" ht="17" hidden="1" thickBot="1" x14ac:dyDescent="0.25">
      <c r="A459" s="288">
        <v>452</v>
      </c>
      <c r="B459" s="287" t="s">
        <v>594</v>
      </c>
      <c r="C459" s="226" t="s">
        <v>615</v>
      </c>
      <c r="D459" s="170">
        <v>15</v>
      </c>
      <c r="E459" s="288">
        <v>94</v>
      </c>
      <c r="F459" s="291" t="str">
        <f>VLOOKUP(Calculation!A459,'Descriptor maps'!$A$2:$F$1658,2,0)</f>
        <v>HSE</v>
      </c>
      <c r="G459" s="296"/>
      <c r="H459" s="290"/>
      <c r="I459" s="291"/>
      <c r="J459" s="292" t="e" cm="1">
        <f t="array" ref="J459">INDEX('Descriptor maps'!$I$2:$I$1658,MATCH(1,('Descriptor maps'!$A$2:$A$1658=Calculation!$A459)*('Descriptor maps'!$G$2:$G$1658=Calculation!$G459),0))</f>
        <v>#N/A</v>
      </c>
      <c r="K459" s="226"/>
      <c r="L459" s="293"/>
      <c r="M459" s="293"/>
      <c r="N459" s="293"/>
      <c r="O459" s="293"/>
      <c r="P459" s="293"/>
      <c r="Q459" s="293"/>
      <c r="R459" s="293"/>
      <c r="S459" s="293"/>
      <c r="T459" s="293"/>
      <c r="U459" s="293"/>
      <c r="V459" s="293"/>
      <c r="W459" s="293"/>
      <c r="X459" s="293"/>
      <c r="Y459" s="293"/>
      <c r="Z459" s="293"/>
      <c r="AA459" s="293"/>
      <c r="AB459" s="293"/>
      <c r="AC459" s="293"/>
      <c r="AD459" s="293"/>
      <c r="AE459" s="293"/>
      <c r="AF459" s="293"/>
      <c r="AG459" s="293"/>
      <c r="AH459" s="293"/>
      <c r="AI459" s="293"/>
      <c r="AJ459" s="293"/>
      <c r="AK459" s="293"/>
      <c r="AL459" s="293"/>
      <c r="AM459" s="293"/>
      <c r="AN459" s="293"/>
      <c r="AO459" s="293"/>
      <c r="AP459" s="293"/>
      <c r="AQ459" s="293"/>
      <c r="AR459" s="293"/>
      <c r="AS459" s="293"/>
      <c r="AT459" s="293"/>
      <c r="AU459" s="293"/>
      <c r="AV459" s="293"/>
      <c r="AW459" s="293"/>
      <c r="AX459" s="293"/>
      <c r="AY459" s="293"/>
      <c r="AZ459" s="293"/>
      <c r="BA459" s="293"/>
      <c r="BB459" s="293"/>
      <c r="BC459" s="293"/>
      <c r="BD459" s="293"/>
      <c r="BE459" s="293"/>
      <c r="BF459" s="293"/>
      <c r="BG459" s="293"/>
      <c r="BH459" s="293"/>
      <c r="BI459" s="293"/>
      <c r="BJ459" s="293"/>
      <c r="BK459" s="293"/>
      <c r="BL459" s="293"/>
      <c r="BM459" s="293"/>
      <c r="BN459" s="293"/>
      <c r="BO459" s="293"/>
      <c r="BP459" s="293"/>
      <c r="BQ459" s="293"/>
      <c r="BR459" s="293"/>
      <c r="BS459" s="293"/>
      <c r="BT459" s="293"/>
      <c r="BU459" s="293"/>
      <c r="BV459" s="293"/>
      <c r="BW459" s="293"/>
      <c r="BX459" s="293"/>
      <c r="BY459" s="293"/>
      <c r="BZ459" s="293"/>
      <c r="CA459" s="285"/>
      <c r="CB459" s="286"/>
      <c r="CC459" s="286"/>
      <c r="CD459" s="286"/>
      <c r="CE459" s="286"/>
      <c r="CF459" s="286"/>
      <c r="CG459" s="286"/>
      <c r="CH459" s="286"/>
      <c r="CI459" s="286"/>
      <c r="CJ459" s="286"/>
      <c r="CK459" s="286"/>
      <c r="CL459" s="286"/>
      <c r="CM459" s="286"/>
      <c r="CN459" s="286"/>
      <c r="CO459" s="286"/>
      <c r="CP459" s="286"/>
      <c r="CQ459" s="286"/>
      <c r="CR459" s="286"/>
      <c r="CS459" s="286"/>
      <c r="CT459" s="286"/>
      <c r="CU459" s="286"/>
      <c r="CV459" s="286"/>
      <c r="CW459" s="286"/>
      <c r="CX459" s="286"/>
      <c r="CY459" s="286"/>
      <c r="CZ459" s="286"/>
      <c r="DA459" s="286"/>
      <c r="DB459" s="286"/>
      <c r="DC459" s="286"/>
      <c r="DD459" s="286"/>
      <c r="DE459" s="286"/>
      <c r="DF459" s="286"/>
      <c r="DG459" s="286"/>
      <c r="DH459" s="286"/>
      <c r="DI459" s="286"/>
      <c r="DJ459" s="286"/>
      <c r="DK459" s="286"/>
      <c r="DL459" s="286"/>
      <c r="DM459" s="286"/>
      <c r="DN459" s="286"/>
      <c r="DO459" s="286"/>
      <c r="DP459" s="286"/>
      <c r="DR459" s="58" t="str">
        <f>IF(ISNUMBER(MATCH(#REF!,'Audit Characteristic Mapping'!$B$3:$B$500,0)),"Y","")</f>
        <v/>
      </c>
      <c r="DS459" s="58" t="str">
        <f>IF(ISNUMBER(MATCH(#REF!,'Audit Characteristic Mapping'!$C$3:$C$500,0)),"Y","")</f>
        <v/>
      </c>
      <c r="DT459" s="58" t="str">
        <f>IF(ISNUMBER(MATCH(#REF!,'Audit Characteristic Mapping'!$D$3:$D$500,0)),"Y","")</f>
        <v/>
      </c>
      <c r="DU459" s="58" t="str">
        <f>IF(ISNUMBER(MATCH(#REF!,'Audit Characteristic Mapping'!$E$3:$E$500,0)),"Y","")</f>
        <v/>
      </c>
      <c r="DV459" s="58" t="str">
        <f>IF(ISNUMBER(MATCH(#REF!,'Audit Characteristic Mapping'!$F$3:$F$500,0)),"Y","")</f>
        <v/>
      </c>
      <c r="DW459" s="58" t="str">
        <f>IF(ISNUMBER(MATCH(#REF!,'Audit Characteristic Mapping'!$G$3:$G$500,0)),"Y","")</f>
        <v/>
      </c>
      <c r="DX459" s="58" t="str">
        <f>IF(ISNUMBER(MATCH(#REF!,'Audit Characteristic Mapping'!$H$3:$H$500,0)),"Y","")</f>
        <v/>
      </c>
      <c r="DY459" s="58" t="str">
        <f>IF(ISNUMBER(MATCH(#REF!,'Audit Characteristic Mapping'!$I$3:$I$500,0)),"Y","")</f>
        <v/>
      </c>
      <c r="DZ459" s="58" t="str">
        <f>IF(ISNUMBER(MATCH(#REF!,'Audit Characteristic Mapping'!$J$3:$J$500,0)),"Y","")</f>
        <v/>
      </c>
      <c r="EA459" s="58" t="str">
        <f>IF(ISNUMBER(MATCH(#REF!,'Audit Characteristic Mapping'!$K$3:$K$500,0)),"Y","")</f>
        <v/>
      </c>
    </row>
    <row r="460" spans="1:131" ht="17" hidden="1" thickBot="1" x14ac:dyDescent="0.25">
      <c r="A460" s="288">
        <v>453</v>
      </c>
      <c r="B460" s="287" t="s">
        <v>594</v>
      </c>
      <c r="C460" s="226" t="s">
        <v>615</v>
      </c>
      <c r="D460" s="170">
        <v>15</v>
      </c>
      <c r="E460" s="288">
        <v>94</v>
      </c>
      <c r="F460" s="291" t="str">
        <f>VLOOKUP(Calculation!A460,'Descriptor maps'!$A$2:$F$1658,2,0)</f>
        <v>HSE</v>
      </c>
      <c r="G460" s="296"/>
      <c r="H460" s="290"/>
      <c r="I460" s="291"/>
      <c r="J460" s="292" t="e" cm="1">
        <f t="array" ref="J460">INDEX('Descriptor maps'!$I$2:$I$1658,MATCH(1,('Descriptor maps'!$A$2:$A$1658=Calculation!$A460)*('Descriptor maps'!$G$2:$G$1658=Calculation!$G460),0))</f>
        <v>#N/A</v>
      </c>
      <c r="K460" s="226"/>
      <c r="L460" s="293"/>
      <c r="M460" s="293"/>
      <c r="N460" s="293"/>
      <c r="O460" s="293"/>
      <c r="P460" s="293"/>
      <c r="Q460" s="293"/>
      <c r="R460" s="293"/>
      <c r="S460" s="293"/>
      <c r="T460" s="293"/>
      <c r="U460" s="293"/>
      <c r="V460" s="293"/>
      <c r="W460" s="293"/>
      <c r="X460" s="293"/>
      <c r="Y460" s="293"/>
      <c r="Z460" s="293"/>
      <c r="AA460" s="293"/>
      <c r="AB460" s="293"/>
      <c r="AC460" s="293"/>
      <c r="AD460" s="293"/>
      <c r="AE460" s="293"/>
      <c r="AF460" s="293"/>
      <c r="AG460" s="293"/>
      <c r="AH460" s="293"/>
      <c r="AI460" s="293"/>
      <c r="AJ460" s="293"/>
      <c r="AK460" s="293"/>
      <c r="AL460" s="293"/>
      <c r="AM460" s="293"/>
      <c r="AN460" s="293"/>
      <c r="AO460" s="293"/>
      <c r="AP460" s="293"/>
      <c r="AQ460" s="293"/>
      <c r="AR460" s="293"/>
      <c r="AS460" s="293"/>
      <c r="AT460" s="293"/>
      <c r="AU460" s="293"/>
      <c r="AV460" s="293"/>
      <c r="AW460" s="293"/>
      <c r="AX460" s="293"/>
      <c r="AY460" s="293"/>
      <c r="AZ460" s="293"/>
      <c r="BA460" s="293"/>
      <c r="BB460" s="293"/>
      <c r="BC460" s="293"/>
      <c r="BD460" s="293"/>
      <c r="BE460" s="293"/>
      <c r="BF460" s="293"/>
      <c r="BG460" s="293"/>
      <c r="BH460" s="293"/>
      <c r="BI460" s="293"/>
      <c r="BJ460" s="293"/>
      <c r="BK460" s="293"/>
      <c r="BL460" s="293"/>
      <c r="BM460" s="293"/>
      <c r="BN460" s="293"/>
      <c r="BO460" s="293"/>
      <c r="BP460" s="293"/>
      <c r="BQ460" s="293"/>
      <c r="BR460" s="293"/>
      <c r="BS460" s="293"/>
      <c r="BT460" s="293"/>
      <c r="BU460" s="293"/>
      <c r="BV460" s="293"/>
      <c r="BW460" s="293"/>
      <c r="BX460" s="293"/>
      <c r="BY460" s="293"/>
      <c r="BZ460" s="293"/>
      <c r="CA460" s="285"/>
      <c r="CB460" s="286"/>
      <c r="CC460" s="286"/>
      <c r="CD460" s="286"/>
      <c r="CE460" s="286"/>
      <c r="CF460" s="286"/>
      <c r="CG460" s="286"/>
      <c r="CH460" s="286"/>
      <c r="CI460" s="286"/>
      <c r="CJ460" s="286"/>
      <c r="CK460" s="286"/>
      <c r="CL460" s="286"/>
      <c r="CM460" s="286"/>
      <c r="CN460" s="286"/>
      <c r="CO460" s="286"/>
      <c r="CP460" s="286"/>
      <c r="CQ460" s="286"/>
      <c r="CR460" s="286"/>
      <c r="CS460" s="286"/>
      <c r="CT460" s="286"/>
      <c r="CU460" s="286"/>
      <c r="CV460" s="286"/>
      <c r="CW460" s="286"/>
      <c r="CX460" s="286"/>
      <c r="CY460" s="286"/>
      <c r="CZ460" s="286"/>
      <c r="DA460" s="286"/>
      <c r="DB460" s="286"/>
      <c r="DC460" s="286"/>
      <c r="DD460" s="286"/>
      <c r="DE460" s="286"/>
      <c r="DF460" s="286"/>
      <c r="DG460" s="286"/>
      <c r="DH460" s="286"/>
      <c r="DI460" s="286"/>
      <c r="DJ460" s="286"/>
      <c r="DK460" s="286"/>
      <c r="DL460" s="286"/>
      <c r="DM460" s="286"/>
      <c r="DN460" s="286"/>
      <c r="DO460" s="286"/>
      <c r="DP460" s="286"/>
      <c r="DR460" s="58" t="s">
        <v>11</v>
      </c>
    </row>
    <row r="461" spans="1:131" ht="17" hidden="1" thickBot="1" x14ac:dyDescent="0.25">
      <c r="A461" s="288">
        <v>454</v>
      </c>
      <c r="B461" s="287" t="s">
        <v>594</v>
      </c>
      <c r="C461" s="226" t="s">
        <v>615</v>
      </c>
      <c r="D461" s="170">
        <v>15</v>
      </c>
      <c r="E461" s="288">
        <v>94</v>
      </c>
      <c r="F461" s="291" t="str">
        <f>VLOOKUP(Calculation!A461,'Descriptor maps'!$A$2:$F$1658,2,0)</f>
        <v>HSE</v>
      </c>
      <c r="G461" s="296"/>
      <c r="H461" s="290"/>
      <c r="I461" s="291"/>
      <c r="J461" s="292" t="e" cm="1">
        <f t="array" ref="J461">INDEX('Descriptor maps'!$I$2:$I$1658,MATCH(1,('Descriptor maps'!$A$2:$A$1658=Calculation!$A461)*('Descriptor maps'!$G$2:$G$1658=Calculation!$G461),0))</f>
        <v>#N/A</v>
      </c>
      <c r="K461" s="226"/>
      <c r="L461" s="293"/>
      <c r="M461" s="293"/>
      <c r="N461" s="293"/>
      <c r="O461" s="293"/>
      <c r="P461" s="293"/>
      <c r="Q461" s="293"/>
      <c r="R461" s="293"/>
      <c r="S461" s="293"/>
      <c r="T461" s="293"/>
      <c r="U461" s="293"/>
      <c r="V461" s="293"/>
      <c r="W461" s="293"/>
      <c r="X461" s="293"/>
      <c r="Y461" s="293"/>
      <c r="Z461" s="293"/>
      <c r="AA461" s="293"/>
      <c r="AB461" s="293"/>
      <c r="AC461" s="293"/>
      <c r="AD461" s="293"/>
      <c r="AE461" s="293"/>
      <c r="AF461" s="293"/>
      <c r="AG461" s="293"/>
      <c r="AH461" s="293"/>
      <c r="AI461" s="293"/>
      <c r="AJ461" s="293"/>
      <c r="AK461" s="293"/>
      <c r="AL461" s="293"/>
      <c r="AM461" s="293"/>
      <c r="AN461" s="293"/>
      <c r="AO461" s="293"/>
      <c r="AP461" s="293"/>
      <c r="AQ461" s="293"/>
      <c r="AR461" s="293"/>
      <c r="AS461" s="293"/>
      <c r="AT461" s="293"/>
      <c r="AU461" s="293"/>
      <c r="AV461" s="293"/>
      <c r="AW461" s="293"/>
      <c r="AX461" s="293"/>
      <c r="AY461" s="293"/>
      <c r="AZ461" s="293"/>
      <c r="BA461" s="293"/>
      <c r="BB461" s="293"/>
      <c r="BC461" s="293"/>
      <c r="BD461" s="293"/>
      <c r="BE461" s="293"/>
      <c r="BF461" s="293"/>
      <c r="BG461" s="293"/>
      <c r="BH461" s="293"/>
      <c r="BI461" s="293"/>
      <c r="BJ461" s="293"/>
      <c r="BK461" s="293"/>
      <c r="BL461" s="293"/>
      <c r="BM461" s="293"/>
      <c r="BN461" s="293"/>
      <c r="BO461" s="293"/>
      <c r="BP461" s="293"/>
      <c r="BQ461" s="293"/>
      <c r="BR461" s="293"/>
      <c r="BS461" s="293"/>
      <c r="BT461" s="293"/>
      <c r="BU461" s="293"/>
      <c r="BV461" s="293"/>
      <c r="BW461" s="293"/>
      <c r="BX461" s="293"/>
      <c r="BY461" s="293"/>
      <c r="BZ461" s="293"/>
      <c r="CA461" s="285"/>
      <c r="CB461" s="286"/>
      <c r="CC461" s="286"/>
      <c r="CD461" s="286"/>
      <c r="CE461" s="286"/>
      <c r="CF461" s="286"/>
      <c r="CG461" s="286"/>
      <c r="CH461" s="286"/>
      <c r="CI461" s="286"/>
      <c r="CJ461" s="286"/>
      <c r="CK461" s="286"/>
      <c r="CL461" s="286"/>
      <c r="CM461" s="286"/>
      <c r="CN461" s="286"/>
      <c r="CO461" s="286"/>
      <c r="CP461" s="286"/>
      <c r="CQ461" s="286"/>
      <c r="CR461" s="286"/>
      <c r="CS461" s="286"/>
      <c r="CT461" s="286"/>
      <c r="CU461" s="286"/>
      <c r="CV461" s="286"/>
      <c r="CW461" s="286"/>
      <c r="CX461" s="286"/>
      <c r="CY461" s="286"/>
      <c r="CZ461" s="286"/>
      <c r="DA461" s="286"/>
      <c r="DB461" s="286"/>
      <c r="DC461" s="286"/>
      <c r="DD461" s="286"/>
      <c r="DE461" s="286"/>
      <c r="DF461" s="286"/>
      <c r="DG461" s="286"/>
      <c r="DH461" s="286"/>
      <c r="DI461" s="286"/>
      <c r="DJ461" s="286"/>
      <c r="DK461" s="286"/>
      <c r="DL461" s="286"/>
      <c r="DM461" s="286"/>
      <c r="DN461" s="286"/>
      <c r="DO461" s="286"/>
      <c r="DP461" s="286"/>
      <c r="DR461" s="58" t="s">
        <v>11</v>
      </c>
    </row>
    <row r="462" spans="1:131" ht="33" hidden="1" thickBot="1" x14ac:dyDescent="0.25">
      <c r="A462" s="334">
        <v>470</v>
      </c>
      <c r="B462" s="303" t="s">
        <v>622</v>
      </c>
      <c r="C462" s="305" t="s">
        <v>623</v>
      </c>
      <c r="D462" s="302"/>
      <c r="E462" s="304"/>
      <c r="F462" s="305"/>
      <c r="G462" s="306">
        <v>165000000</v>
      </c>
      <c r="H462" s="307"/>
      <c r="I462" s="307"/>
      <c r="J462" s="308"/>
      <c r="K462" s="305"/>
      <c r="L462" s="309"/>
      <c r="M462" s="309"/>
      <c r="N462" s="309"/>
      <c r="O462" s="309"/>
      <c r="P462" s="309"/>
      <c r="Q462" s="309"/>
      <c r="R462" s="309"/>
      <c r="S462" s="309"/>
      <c r="T462" s="309"/>
      <c r="U462" s="309"/>
      <c r="V462" s="309"/>
      <c r="W462" s="309"/>
      <c r="X462" s="309"/>
      <c r="Y462" s="309"/>
      <c r="Z462" s="309"/>
      <c r="AA462" s="309"/>
      <c r="AB462" s="309"/>
      <c r="AC462" s="309"/>
      <c r="AD462" s="309"/>
      <c r="AE462" s="309"/>
      <c r="AF462" s="309"/>
      <c r="AG462" s="309"/>
      <c r="AH462" s="309"/>
      <c r="AI462" s="309"/>
      <c r="AJ462" s="309"/>
      <c r="AK462" s="309"/>
      <c r="AL462" s="309"/>
      <c r="AM462" s="309"/>
      <c r="AN462" s="309"/>
      <c r="AO462" s="309"/>
      <c r="AP462" s="309"/>
      <c r="AQ462" s="309"/>
      <c r="AR462" s="309"/>
      <c r="AS462" s="309"/>
      <c r="AT462" s="309"/>
      <c r="AU462" s="309"/>
      <c r="AV462" s="309"/>
      <c r="AW462" s="309"/>
      <c r="AX462" s="309"/>
      <c r="AY462" s="309"/>
      <c r="AZ462" s="309"/>
      <c r="BA462" s="309"/>
      <c r="BB462" s="309"/>
      <c r="BC462" s="309"/>
      <c r="BD462" s="309"/>
      <c r="BE462" s="309"/>
      <c r="BF462" s="309"/>
      <c r="BG462" s="309"/>
      <c r="BH462" s="309"/>
      <c r="BI462" s="309"/>
      <c r="BJ462" s="309"/>
      <c r="BK462" s="309"/>
      <c r="BL462" s="309"/>
      <c r="BM462" s="309"/>
      <c r="BN462" s="309"/>
      <c r="BO462" s="309"/>
      <c r="BP462" s="309"/>
      <c r="BQ462" s="309"/>
      <c r="BR462" s="309"/>
      <c r="BS462" s="309"/>
      <c r="BT462" s="309"/>
      <c r="BU462" s="309"/>
      <c r="BV462" s="309"/>
      <c r="BW462" s="309"/>
      <c r="BX462" s="309"/>
      <c r="BY462" s="309"/>
      <c r="BZ462" s="309"/>
      <c r="CA462" s="285"/>
      <c r="CB462" s="286"/>
      <c r="CC462" s="286"/>
      <c r="CD462" s="286"/>
      <c r="CE462" s="286"/>
      <c r="CF462" s="286"/>
      <c r="CG462" s="286"/>
      <c r="CH462" s="286"/>
      <c r="CI462" s="286"/>
      <c r="CJ462" s="286"/>
      <c r="CK462" s="286"/>
      <c r="CL462" s="286"/>
      <c r="CM462" s="286"/>
      <c r="CN462" s="286"/>
      <c r="CO462" s="286"/>
      <c r="CP462" s="286"/>
      <c r="CQ462" s="286"/>
      <c r="CR462" s="286"/>
      <c r="CS462" s="286"/>
      <c r="CT462" s="286"/>
      <c r="CU462" s="286"/>
      <c r="CV462" s="286"/>
      <c r="CW462" s="286"/>
      <c r="CX462" s="286"/>
      <c r="CY462" s="286"/>
      <c r="CZ462" s="286"/>
      <c r="DA462" s="286"/>
      <c r="DB462" s="286"/>
      <c r="DC462" s="286"/>
      <c r="DD462" s="286"/>
      <c r="DE462" s="286"/>
      <c r="DF462" s="286"/>
      <c r="DG462" s="286"/>
      <c r="DH462" s="286"/>
      <c r="DI462" s="286"/>
      <c r="DJ462" s="286"/>
      <c r="DK462" s="286"/>
      <c r="DL462" s="286"/>
      <c r="DM462" s="286"/>
      <c r="DN462" s="286"/>
      <c r="DO462" s="286"/>
      <c r="DP462" s="286"/>
      <c r="DR462" s="58" t="s">
        <v>11</v>
      </c>
    </row>
    <row r="463" spans="1:131" ht="33" hidden="1" thickBot="1" x14ac:dyDescent="0.25">
      <c r="A463" s="334">
        <v>471</v>
      </c>
      <c r="B463" s="303" t="s">
        <v>622</v>
      </c>
      <c r="C463" s="305" t="s">
        <v>624</v>
      </c>
      <c r="D463" s="302"/>
      <c r="E463" s="304"/>
      <c r="F463" s="305"/>
      <c r="G463" s="310">
        <v>4</v>
      </c>
      <c r="H463" s="307"/>
      <c r="I463" s="307"/>
      <c r="J463" s="308"/>
      <c r="K463" s="305"/>
      <c r="L463" s="309"/>
      <c r="M463" s="309"/>
      <c r="N463" s="309"/>
      <c r="O463" s="309"/>
      <c r="P463" s="309"/>
      <c r="Q463" s="309"/>
      <c r="R463" s="309"/>
      <c r="S463" s="309"/>
      <c r="T463" s="309"/>
      <c r="U463" s="309"/>
      <c r="V463" s="309"/>
      <c r="W463" s="309"/>
      <c r="X463" s="309"/>
      <c r="Y463" s="309"/>
      <c r="Z463" s="309"/>
      <c r="AA463" s="309"/>
      <c r="AB463" s="309"/>
      <c r="AC463" s="309"/>
      <c r="AD463" s="309"/>
      <c r="AE463" s="309"/>
      <c r="AF463" s="309"/>
      <c r="AG463" s="309"/>
      <c r="AH463" s="309"/>
      <c r="AI463" s="309"/>
      <c r="AJ463" s="309"/>
      <c r="AK463" s="309"/>
      <c r="AL463" s="309"/>
      <c r="AM463" s="309"/>
      <c r="AN463" s="309"/>
      <c r="AO463" s="309"/>
      <c r="AP463" s="309"/>
      <c r="AQ463" s="309"/>
      <c r="AR463" s="309"/>
      <c r="AS463" s="309"/>
      <c r="AT463" s="309"/>
      <c r="AU463" s="309"/>
      <c r="AV463" s="309"/>
      <c r="AW463" s="309"/>
      <c r="AX463" s="309"/>
      <c r="AY463" s="309"/>
      <c r="AZ463" s="309"/>
      <c r="BA463" s="309"/>
      <c r="BB463" s="309"/>
      <c r="BC463" s="309"/>
      <c r="BD463" s="309"/>
      <c r="BE463" s="309"/>
      <c r="BF463" s="309"/>
      <c r="BG463" s="309"/>
      <c r="BH463" s="309"/>
      <c r="BI463" s="309"/>
      <c r="BJ463" s="309"/>
      <c r="BK463" s="309"/>
      <c r="BL463" s="309"/>
      <c r="BM463" s="309"/>
      <c r="BN463" s="309"/>
      <c r="BO463" s="309"/>
      <c r="BP463" s="309"/>
      <c r="BQ463" s="309"/>
      <c r="BR463" s="309"/>
      <c r="BS463" s="309"/>
      <c r="BT463" s="309"/>
      <c r="BU463" s="309"/>
      <c r="BV463" s="309"/>
      <c r="BW463" s="309"/>
      <c r="BX463" s="309"/>
      <c r="BY463" s="309"/>
      <c r="BZ463" s="309"/>
      <c r="CA463" s="285"/>
      <c r="CB463" s="286"/>
      <c r="CC463" s="286"/>
      <c r="CD463" s="286"/>
      <c r="CE463" s="286"/>
      <c r="CF463" s="286"/>
      <c r="CG463" s="286"/>
      <c r="CH463" s="286"/>
      <c r="CI463" s="286"/>
      <c r="CJ463" s="286"/>
      <c r="CK463" s="286"/>
      <c r="CL463" s="286"/>
      <c r="CM463" s="286"/>
      <c r="CN463" s="286"/>
      <c r="CO463" s="286"/>
      <c r="CP463" s="286"/>
      <c r="CQ463" s="286"/>
      <c r="CR463" s="286"/>
      <c r="CS463" s="286"/>
      <c r="CT463" s="286"/>
      <c r="CU463" s="286"/>
      <c r="CV463" s="286"/>
      <c r="CW463" s="286"/>
      <c r="CX463" s="286"/>
      <c r="CY463" s="286"/>
      <c r="CZ463" s="286"/>
      <c r="DA463" s="286"/>
      <c r="DB463" s="286"/>
      <c r="DC463" s="286"/>
      <c r="DD463" s="286"/>
      <c r="DE463" s="286"/>
      <c r="DF463" s="286"/>
      <c r="DG463" s="286"/>
      <c r="DH463" s="286"/>
      <c r="DI463" s="286"/>
      <c r="DJ463" s="286"/>
      <c r="DK463" s="286"/>
      <c r="DL463" s="286"/>
      <c r="DM463" s="286"/>
      <c r="DN463" s="286"/>
      <c r="DO463" s="286"/>
      <c r="DP463" s="286"/>
      <c r="DR463" s="58" t="s">
        <v>11</v>
      </c>
    </row>
    <row r="464" spans="1:131" ht="33" hidden="1" thickBot="1" x14ac:dyDescent="0.25">
      <c r="A464" s="334">
        <v>472</v>
      </c>
      <c r="B464" s="303" t="s">
        <v>622</v>
      </c>
      <c r="C464" s="305" t="s">
        <v>625</v>
      </c>
      <c r="D464" s="302"/>
      <c r="E464" s="304"/>
      <c r="F464" s="305"/>
      <c r="G464" s="310">
        <v>6</v>
      </c>
      <c r="H464" s="307"/>
      <c r="I464" s="307"/>
      <c r="J464" s="308"/>
      <c r="K464" s="305"/>
      <c r="L464" s="309"/>
      <c r="M464" s="309"/>
      <c r="N464" s="309"/>
      <c r="O464" s="309"/>
      <c r="P464" s="309"/>
      <c r="Q464" s="309"/>
      <c r="R464" s="309"/>
      <c r="S464" s="309"/>
      <c r="T464" s="309"/>
      <c r="U464" s="309"/>
      <c r="V464" s="309"/>
      <c r="W464" s="309"/>
      <c r="X464" s="309"/>
      <c r="Y464" s="309"/>
      <c r="Z464" s="309"/>
      <c r="AA464" s="309"/>
      <c r="AB464" s="309"/>
      <c r="AC464" s="309"/>
      <c r="AD464" s="309"/>
      <c r="AE464" s="309"/>
      <c r="AF464" s="309"/>
      <c r="AG464" s="309"/>
      <c r="AH464" s="309"/>
      <c r="AI464" s="309"/>
      <c r="AJ464" s="309"/>
      <c r="AK464" s="309"/>
      <c r="AL464" s="309"/>
      <c r="AM464" s="309"/>
      <c r="AN464" s="309"/>
      <c r="AO464" s="309"/>
      <c r="AP464" s="309"/>
      <c r="AQ464" s="309"/>
      <c r="AR464" s="309"/>
      <c r="AS464" s="309"/>
      <c r="AT464" s="309"/>
      <c r="AU464" s="309"/>
      <c r="AV464" s="309"/>
      <c r="AW464" s="309"/>
      <c r="AX464" s="309"/>
      <c r="AY464" s="309"/>
      <c r="AZ464" s="309"/>
      <c r="BA464" s="309"/>
      <c r="BB464" s="309"/>
      <c r="BC464" s="309"/>
      <c r="BD464" s="309"/>
      <c r="BE464" s="309"/>
      <c r="BF464" s="309"/>
      <c r="BG464" s="309"/>
      <c r="BH464" s="309"/>
      <c r="BI464" s="309"/>
      <c r="BJ464" s="309"/>
      <c r="BK464" s="309"/>
      <c r="BL464" s="309"/>
      <c r="BM464" s="309"/>
      <c r="BN464" s="309"/>
      <c r="BO464" s="309"/>
      <c r="BP464" s="309"/>
      <c r="BQ464" s="309"/>
      <c r="BR464" s="309"/>
      <c r="BS464" s="309"/>
      <c r="BT464" s="309"/>
      <c r="BU464" s="309"/>
      <c r="BV464" s="309"/>
      <c r="BW464" s="309"/>
      <c r="BX464" s="309"/>
      <c r="BY464" s="309"/>
      <c r="BZ464" s="309"/>
      <c r="CA464" s="285"/>
      <c r="CB464" s="286"/>
      <c r="CC464" s="286"/>
      <c r="CD464" s="286"/>
      <c r="CE464" s="286"/>
      <c r="CF464" s="286"/>
      <c r="CG464" s="286"/>
      <c r="CH464" s="286"/>
      <c r="CI464" s="286"/>
      <c r="CJ464" s="286"/>
      <c r="CK464" s="286"/>
      <c r="CL464" s="286"/>
      <c r="CM464" s="286"/>
      <c r="CN464" s="286"/>
      <c r="CO464" s="286"/>
      <c r="CP464" s="286"/>
      <c r="CQ464" s="286"/>
      <c r="CR464" s="286"/>
      <c r="CS464" s="286"/>
      <c r="CT464" s="286"/>
      <c r="CU464" s="286"/>
      <c r="CV464" s="286"/>
      <c r="CW464" s="286"/>
      <c r="CX464" s="286"/>
      <c r="CY464" s="286"/>
      <c r="CZ464" s="286"/>
      <c r="DA464" s="286"/>
      <c r="DB464" s="286"/>
      <c r="DC464" s="286"/>
      <c r="DD464" s="286"/>
      <c r="DE464" s="286"/>
      <c r="DF464" s="286"/>
      <c r="DG464" s="286"/>
      <c r="DH464" s="286"/>
      <c r="DI464" s="286"/>
      <c r="DJ464" s="286"/>
      <c r="DK464" s="286"/>
      <c r="DL464" s="286"/>
      <c r="DM464" s="286"/>
      <c r="DN464" s="286"/>
      <c r="DO464" s="286"/>
      <c r="DP464" s="286"/>
      <c r="DR464" s="58" t="s">
        <v>11</v>
      </c>
    </row>
    <row r="465" spans="1:122" ht="33" hidden="1" thickBot="1" x14ac:dyDescent="0.25">
      <c r="A465" s="334">
        <v>473</v>
      </c>
      <c r="B465" s="303" t="s">
        <v>622</v>
      </c>
      <c r="C465" s="305" t="s">
        <v>626</v>
      </c>
      <c r="D465" s="302"/>
      <c r="E465" s="304"/>
      <c r="F465" s="305"/>
      <c r="G465" s="310">
        <v>7</v>
      </c>
      <c r="H465" s="307"/>
      <c r="I465" s="307"/>
      <c r="J465" s="308"/>
      <c r="K465" s="305"/>
      <c r="L465" s="309"/>
      <c r="M465" s="309"/>
      <c r="N465" s="309"/>
      <c r="O465" s="309"/>
      <c r="P465" s="309"/>
      <c r="Q465" s="309"/>
      <c r="R465" s="309"/>
      <c r="S465" s="309"/>
      <c r="T465" s="309"/>
      <c r="U465" s="309"/>
      <c r="V465" s="309"/>
      <c r="W465" s="309"/>
      <c r="X465" s="309"/>
      <c r="Y465" s="309"/>
      <c r="Z465" s="309"/>
      <c r="AA465" s="309"/>
      <c r="AB465" s="309"/>
      <c r="AC465" s="309"/>
      <c r="AD465" s="309"/>
      <c r="AE465" s="309"/>
      <c r="AF465" s="309"/>
      <c r="AG465" s="309"/>
      <c r="AH465" s="309"/>
      <c r="AI465" s="309"/>
      <c r="AJ465" s="309"/>
      <c r="AK465" s="309"/>
      <c r="AL465" s="309"/>
      <c r="AM465" s="309"/>
      <c r="AN465" s="309"/>
      <c r="AO465" s="309"/>
      <c r="AP465" s="309"/>
      <c r="AQ465" s="309"/>
      <c r="AR465" s="309"/>
      <c r="AS465" s="309"/>
      <c r="AT465" s="309"/>
      <c r="AU465" s="309"/>
      <c r="AV465" s="309"/>
      <c r="AW465" s="309"/>
      <c r="AX465" s="309"/>
      <c r="AY465" s="309"/>
      <c r="AZ465" s="309"/>
      <c r="BA465" s="309"/>
      <c r="BB465" s="309"/>
      <c r="BC465" s="309"/>
      <c r="BD465" s="309"/>
      <c r="BE465" s="309"/>
      <c r="BF465" s="309"/>
      <c r="BG465" s="309"/>
      <c r="BH465" s="309"/>
      <c r="BI465" s="309"/>
      <c r="BJ465" s="309"/>
      <c r="BK465" s="309"/>
      <c r="BL465" s="309"/>
      <c r="BM465" s="309"/>
      <c r="BN465" s="309"/>
      <c r="BO465" s="309"/>
      <c r="BP465" s="309"/>
      <c r="BQ465" s="309"/>
      <c r="BR465" s="309"/>
      <c r="BS465" s="309"/>
      <c r="BT465" s="309"/>
      <c r="BU465" s="309"/>
      <c r="BV465" s="309"/>
      <c r="BW465" s="309"/>
      <c r="BX465" s="309"/>
      <c r="BY465" s="309"/>
      <c r="BZ465" s="309"/>
      <c r="CA465" s="285"/>
      <c r="CB465" s="286"/>
      <c r="CC465" s="286"/>
      <c r="CD465" s="286"/>
      <c r="CE465" s="286"/>
      <c r="CF465" s="286"/>
      <c r="CG465" s="286"/>
      <c r="CH465" s="286"/>
      <c r="CI465" s="286"/>
      <c r="CJ465" s="286"/>
      <c r="CK465" s="286"/>
      <c r="CL465" s="286"/>
      <c r="CM465" s="286"/>
      <c r="CN465" s="286"/>
      <c r="CO465" s="286"/>
      <c r="CP465" s="286"/>
      <c r="CQ465" s="286"/>
      <c r="CR465" s="286"/>
      <c r="CS465" s="286"/>
      <c r="CT465" s="286"/>
      <c r="CU465" s="286"/>
      <c r="CV465" s="286"/>
      <c r="CW465" s="286"/>
      <c r="CX465" s="286"/>
      <c r="CY465" s="286"/>
      <c r="CZ465" s="286"/>
      <c r="DA465" s="286"/>
      <c r="DB465" s="286"/>
      <c r="DC465" s="286"/>
      <c r="DD465" s="286"/>
      <c r="DE465" s="286"/>
      <c r="DF465" s="286"/>
      <c r="DG465" s="286"/>
      <c r="DH465" s="286"/>
      <c r="DI465" s="286"/>
      <c r="DJ465" s="286"/>
      <c r="DK465" s="286"/>
      <c r="DL465" s="286"/>
      <c r="DM465" s="286"/>
      <c r="DN465" s="286"/>
      <c r="DO465" s="286"/>
      <c r="DP465" s="286"/>
      <c r="DR465" s="58" t="s">
        <v>11</v>
      </c>
    </row>
    <row r="466" spans="1:122" ht="33" hidden="1" thickBot="1" x14ac:dyDescent="0.25">
      <c r="A466" s="334">
        <v>474</v>
      </c>
      <c r="B466" s="303" t="s">
        <v>622</v>
      </c>
      <c r="C466" s="305" t="s">
        <v>627</v>
      </c>
      <c r="D466" s="302"/>
      <c r="E466" s="304"/>
      <c r="F466" s="305"/>
      <c r="G466" s="310">
        <v>8</v>
      </c>
      <c r="H466" s="307"/>
      <c r="I466" s="307"/>
      <c r="J466" s="308"/>
      <c r="K466" s="305"/>
      <c r="L466" s="309"/>
      <c r="M466" s="309"/>
      <c r="N466" s="309"/>
      <c r="O466" s="309"/>
      <c r="P466" s="309"/>
      <c r="Q466" s="309"/>
      <c r="R466" s="309"/>
      <c r="S466" s="309"/>
      <c r="T466" s="309"/>
      <c r="U466" s="309"/>
      <c r="V466" s="309"/>
      <c r="W466" s="309"/>
      <c r="X466" s="309"/>
      <c r="Y466" s="309"/>
      <c r="Z466" s="309"/>
      <c r="AA466" s="309"/>
      <c r="AB466" s="309"/>
      <c r="AC466" s="309"/>
      <c r="AD466" s="309"/>
      <c r="AE466" s="309"/>
      <c r="AF466" s="309"/>
      <c r="AG466" s="309"/>
      <c r="AH466" s="309"/>
      <c r="AI466" s="309"/>
      <c r="AJ466" s="309"/>
      <c r="AK466" s="309"/>
      <c r="AL466" s="309"/>
      <c r="AM466" s="309"/>
      <c r="AN466" s="309"/>
      <c r="AO466" s="309"/>
      <c r="AP466" s="309"/>
      <c r="AQ466" s="309"/>
      <c r="AR466" s="309"/>
      <c r="AS466" s="309"/>
      <c r="AT466" s="309"/>
      <c r="AU466" s="309"/>
      <c r="AV466" s="309"/>
      <c r="AW466" s="309"/>
      <c r="AX466" s="309"/>
      <c r="AY466" s="309"/>
      <c r="AZ466" s="309"/>
      <c r="BA466" s="309"/>
      <c r="BB466" s="309"/>
      <c r="BC466" s="309"/>
      <c r="BD466" s="309"/>
      <c r="BE466" s="309"/>
      <c r="BF466" s="309"/>
      <c r="BG466" s="309"/>
      <c r="BH466" s="309"/>
      <c r="BI466" s="309"/>
      <c r="BJ466" s="309"/>
      <c r="BK466" s="309"/>
      <c r="BL466" s="309"/>
      <c r="BM466" s="309"/>
      <c r="BN466" s="309"/>
      <c r="BO466" s="309"/>
      <c r="BP466" s="309"/>
      <c r="BQ466" s="309"/>
      <c r="BR466" s="309"/>
      <c r="BS466" s="309"/>
      <c r="BT466" s="309"/>
      <c r="BU466" s="309"/>
      <c r="BV466" s="309"/>
      <c r="BW466" s="309"/>
      <c r="BX466" s="309"/>
      <c r="BY466" s="309"/>
      <c r="BZ466" s="309"/>
      <c r="CA466" s="285"/>
      <c r="CB466" s="286"/>
      <c r="CC466" s="286"/>
      <c r="CD466" s="286"/>
      <c r="CE466" s="286"/>
      <c r="CF466" s="286"/>
      <c r="CG466" s="286"/>
      <c r="CH466" s="286"/>
      <c r="CI466" s="286"/>
      <c r="CJ466" s="286"/>
      <c r="CK466" s="286"/>
      <c r="CL466" s="286"/>
      <c r="CM466" s="286"/>
      <c r="CN466" s="286"/>
      <c r="CO466" s="286"/>
      <c r="CP466" s="286"/>
      <c r="CQ466" s="286"/>
      <c r="CR466" s="286"/>
      <c r="CS466" s="286"/>
      <c r="CT466" s="286"/>
      <c r="CU466" s="286"/>
      <c r="CV466" s="286"/>
      <c r="CW466" s="286"/>
      <c r="CX466" s="286"/>
      <c r="CY466" s="286"/>
      <c r="CZ466" s="286"/>
      <c r="DA466" s="286"/>
      <c r="DB466" s="286"/>
      <c r="DC466" s="286"/>
      <c r="DD466" s="286"/>
      <c r="DE466" s="286"/>
      <c r="DF466" s="286"/>
      <c r="DG466" s="286"/>
      <c r="DH466" s="286"/>
      <c r="DI466" s="286"/>
      <c r="DJ466" s="286"/>
      <c r="DK466" s="286"/>
      <c r="DL466" s="286"/>
      <c r="DM466" s="286"/>
      <c r="DN466" s="286"/>
      <c r="DO466" s="286"/>
      <c r="DP466" s="286"/>
      <c r="DR466" s="58" t="s">
        <v>11</v>
      </c>
    </row>
    <row r="467" spans="1:122" ht="33" hidden="1" thickBot="1" x14ac:dyDescent="0.25">
      <c r="A467" s="334">
        <v>475</v>
      </c>
      <c r="B467" s="303" t="s">
        <v>622</v>
      </c>
      <c r="C467" s="305" t="s">
        <v>628</v>
      </c>
      <c r="D467" s="302"/>
      <c r="E467" s="304"/>
      <c r="F467" s="305"/>
      <c r="G467" s="310">
        <v>5</v>
      </c>
      <c r="H467" s="307"/>
      <c r="I467" s="307"/>
      <c r="J467" s="308"/>
      <c r="K467" s="305"/>
      <c r="L467" s="309"/>
      <c r="M467" s="309"/>
      <c r="N467" s="309"/>
      <c r="O467" s="309"/>
      <c r="P467" s="309"/>
      <c r="Q467" s="309"/>
      <c r="R467" s="309"/>
      <c r="S467" s="309"/>
      <c r="T467" s="309"/>
      <c r="U467" s="309"/>
      <c r="V467" s="309"/>
      <c r="W467" s="309"/>
      <c r="X467" s="309"/>
      <c r="Y467" s="309"/>
      <c r="Z467" s="309"/>
      <c r="AA467" s="309"/>
      <c r="AB467" s="309"/>
      <c r="AC467" s="309"/>
      <c r="AD467" s="309"/>
      <c r="AE467" s="309"/>
      <c r="AF467" s="309"/>
      <c r="AG467" s="309"/>
      <c r="AH467" s="309"/>
      <c r="AI467" s="309"/>
      <c r="AJ467" s="309"/>
      <c r="AK467" s="309"/>
      <c r="AL467" s="309"/>
      <c r="AM467" s="309"/>
      <c r="AN467" s="309"/>
      <c r="AO467" s="309"/>
      <c r="AP467" s="309"/>
      <c r="AQ467" s="309"/>
      <c r="AR467" s="309"/>
      <c r="AS467" s="309"/>
      <c r="AT467" s="309"/>
      <c r="AU467" s="309"/>
      <c r="AV467" s="309"/>
      <c r="AW467" s="309"/>
      <c r="AX467" s="309"/>
      <c r="AY467" s="309"/>
      <c r="AZ467" s="309"/>
      <c r="BA467" s="309"/>
      <c r="BB467" s="309"/>
      <c r="BC467" s="309"/>
      <c r="BD467" s="309"/>
      <c r="BE467" s="309"/>
      <c r="BF467" s="309"/>
      <c r="BG467" s="309"/>
      <c r="BH467" s="309"/>
      <c r="BI467" s="309"/>
      <c r="BJ467" s="309"/>
      <c r="BK467" s="309"/>
      <c r="BL467" s="309"/>
      <c r="BM467" s="309"/>
      <c r="BN467" s="309"/>
      <c r="BO467" s="309"/>
      <c r="BP467" s="309"/>
      <c r="BQ467" s="309"/>
      <c r="BR467" s="309"/>
      <c r="BS467" s="309"/>
      <c r="BT467" s="309"/>
      <c r="BU467" s="309"/>
      <c r="BV467" s="309"/>
      <c r="BW467" s="309"/>
      <c r="BX467" s="309"/>
      <c r="BY467" s="309"/>
      <c r="BZ467" s="309"/>
      <c r="CA467" s="285"/>
      <c r="CB467" s="286"/>
      <c r="CC467" s="286"/>
      <c r="CD467" s="286"/>
      <c r="CE467" s="286"/>
      <c r="CF467" s="286"/>
      <c r="CG467" s="286"/>
      <c r="CH467" s="286"/>
      <c r="CI467" s="286"/>
      <c r="CJ467" s="286"/>
      <c r="CK467" s="286"/>
      <c r="CL467" s="286"/>
      <c r="CM467" s="286"/>
      <c r="CN467" s="286"/>
      <c r="CO467" s="286"/>
      <c r="CP467" s="286"/>
      <c r="CQ467" s="286"/>
      <c r="CR467" s="286"/>
      <c r="CS467" s="286"/>
      <c r="CT467" s="286"/>
      <c r="CU467" s="286"/>
      <c r="CV467" s="286"/>
      <c r="CW467" s="286"/>
      <c r="CX467" s="286"/>
      <c r="CY467" s="286"/>
      <c r="CZ467" s="286"/>
      <c r="DA467" s="286"/>
      <c r="DB467" s="286"/>
      <c r="DC467" s="286"/>
      <c r="DD467" s="286"/>
      <c r="DE467" s="286"/>
      <c r="DF467" s="286"/>
      <c r="DG467" s="286"/>
      <c r="DH467" s="286"/>
      <c r="DI467" s="286"/>
      <c r="DJ467" s="286"/>
      <c r="DK467" s="286"/>
      <c r="DL467" s="286"/>
      <c r="DM467" s="286"/>
      <c r="DN467" s="286"/>
      <c r="DO467" s="286"/>
      <c r="DP467" s="286"/>
      <c r="DR467" s="58" t="s">
        <v>11</v>
      </c>
    </row>
    <row r="468" spans="1:122" ht="33" hidden="1" thickBot="1" x14ac:dyDescent="0.25">
      <c r="A468" s="334">
        <v>476</v>
      </c>
      <c r="B468" s="303" t="s">
        <v>622</v>
      </c>
      <c r="C468" s="305" t="s">
        <v>629</v>
      </c>
      <c r="D468" s="302"/>
      <c r="E468" s="304"/>
      <c r="F468" s="305"/>
      <c r="G468" s="310">
        <v>6</v>
      </c>
      <c r="H468" s="307"/>
      <c r="I468" s="307"/>
      <c r="J468" s="308"/>
      <c r="K468" s="305"/>
      <c r="L468" s="309"/>
      <c r="M468" s="309"/>
      <c r="N468" s="309"/>
      <c r="O468" s="309"/>
      <c r="P468" s="309"/>
      <c r="Q468" s="309"/>
      <c r="R468" s="309"/>
      <c r="S468" s="309"/>
      <c r="T468" s="309"/>
      <c r="U468" s="309"/>
      <c r="V468" s="309"/>
      <c r="W468" s="309"/>
      <c r="X468" s="309"/>
      <c r="Y468" s="309"/>
      <c r="Z468" s="309"/>
      <c r="AA468" s="309"/>
      <c r="AB468" s="309"/>
      <c r="AC468" s="309"/>
      <c r="AD468" s="309"/>
      <c r="AE468" s="309"/>
      <c r="AF468" s="309"/>
      <c r="AG468" s="309"/>
      <c r="AH468" s="309"/>
      <c r="AI468" s="309"/>
      <c r="AJ468" s="309"/>
      <c r="AK468" s="309"/>
      <c r="AL468" s="309"/>
      <c r="AM468" s="309"/>
      <c r="AN468" s="309"/>
      <c r="AO468" s="309"/>
      <c r="AP468" s="309"/>
      <c r="AQ468" s="309"/>
      <c r="AR468" s="309"/>
      <c r="AS468" s="309"/>
      <c r="AT468" s="309"/>
      <c r="AU468" s="309"/>
      <c r="AV468" s="309"/>
      <c r="AW468" s="309"/>
      <c r="AX468" s="309"/>
      <c r="AY468" s="309"/>
      <c r="AZ468" s="309"/>
      <c r="BA468" s="309"/>
      <c r="BB468" s="309"/>
      <c r="BC468" s="309"/>
      <c r="BD468" s="309"/>
      <c r="BE468" s="309"/>
      <c r="BF468" s="309"/>
      <c r="BG468" s="309"/>
      <c r="BH468" s="309"/>
      <c r="BI468" s="309"/>
      <c r="BJ468" s="309"/>
      <c r="BK468" s="309"/>
      <c r="BL468" s="309"/>
      <c r="BM468" s="309"/>
      <c r="BN468" s="309"/>
      <c r="BO468" s="309"/>
      <c r="BP468" s="309"/>
      <c r="BQ468" s="309"/>
      <c r="BR468" s="309"/>
      <c r="BS468" s="309"/>
      <c r="BT468" s="309"/>
      <c r="BU468" s="309"/>
      <c r="BV468" s="309"/>
      <c r="BW468" s="309"/>
      <c r="BX468" s="309"/>
      <c r="BY468" s="309"/>
      <c r="BZ468" s="309"/>
      <c r="CA468" s="285"/>
      <c r="CB468" s="286"/>
      <c r="CC468" s="286"/>
      <c r="CD468" s="286"/>
      <c r="CE468" s="286"/>
      <c r="CF468" s="286"/>
      <c r="CG468" s="286"/>
      <c r="CH468" s="286"/>
      <c r="CI468" s="286"/>
      <c r="CJ468" s="286"/>
      <c r="CK468" s="286"/>
      <c r="CL468" s="286"/>
      <c r="CM468" s="286"/>
      <c r="CN468" s="286"/>
      <c r="CO468" s="286"/>
      <c r="CP468" s="286"/>
      <c r="CQ468" s="286"/>
      <c r="CR468" s="286"/>
      <c r="CS468" s="286"/>
      <c r="CT468" s="286"/>
      <c r="CU468" s="286"/>
      <c r="CV468" s="286"/>
      <c r="CW468" s="286"/>
      <c r="CX468" s="286"/>
      <c r="CY468" s="286"/>
      <c r="CZ468" s="286"/>
      <c r="DA468" s="286"/>
      <c r="DB468" s="286"/>
      <c r="DC468" s="286"/>
      <c r="DD468" s="286"/>
      <c r="DE468" s="286"/>
      <c r="DF468" s="286"/>
      <c r="DG468" s="286"/>
      <c r="DH468" s="286"/>
      <c r="DI468" s="286"/>
      <c r="DJ468" s="286"/>
      <c r="DK468" s="286"/>
      <c r="DL468" s="286"/>
      <c r="DM468" s="286"/>
      <c r="DN468" s="286"/>
      <c r="DO468" s="286"/>
      <c r="DP468" s="286"/>
      <c r="DR468" s="58" t="s">
        <v>11</v>
      </c>
    </row>
    <row r="469" spans="1:122" ht="33" hidden="1" thickBot="1" x14ac:dyDescent="0.25">
      <c r="A469" s="334">
        <v>477</v>
      </c>
      <c r="B469" s="303" t="s">
        <v>622</v>
      </c>
      <c r="C469" s="305" t="s">
        <v>630</v>
      </c>
      <c r="D469" s="302"/>
      <c r="E469" s="304"/>
      <c r="F469" s="305"/>
      <c r="G469" s="310">
        <v>6</v>
      </c>
      <c r="H469" s="307"/>
      <c r="I469" s="307"/>
      <c r="J469" s="308"/>
      <c r="K469" s="305"/>
      <c r="L469" s="309"/>
      <c r="M469" s="309"/>
      <c r="N469" s="309"/>
      <c r="O469" s="309"/>
      <c r="P469" s="309"/>
      <c r="Q469" s="309"/>
      <c r="R469" s="309"/>
      <c r="S469" s="309"/>
      <c r="T469" s="309"/>
      <c r="U469" s="309"/>
      <c r="V469" s="309"/>
      <c r="W469" s="309"/>
      <c r="X469" s="309"/>
      <c r="Y469" s="309"/>
      <c r="Z469" s="309"/>
      <c r="AA469" s="309"/>
      <c r="AB469" s="309"/>
      <c r="AC469" s="309"/>
      <c r="AD469" s="309"/>
      <c r="AE469" s="309"/>
      <c r="AF469" s="309"/>
      <c r="AG469" s="309"/>
      <c r="AH469" s="309"/>
      <c r="AI469" s="309"/>
      <c r="AJ469" s="309"/>
      <c r="AK469" s="309"/>
      <c r="AL469" s="309"/>
      <c r="AM469" s="309"/>
      <c r="AN469" s="309"/>
      <c r="AO469" s="309"/>
      <c r="AP469" s="309"/>
      <c r="AQ469" s="309"/>
      <c r="AR469" s="309"/>
      <c r="AS469" s="309"/>
      <c r="AT469" s="309"/>
      <c r="AU469" s="309"/>
      <c r="AV469" s="309"/>
      <c r="AW469" s="309"/>
      <c r="AX469" s="309"/>
      <c r="AY469" s="309"/>
      <c r="AZ469" s="309"/>
      <c r="BA469" s="309"/>
      <c r="BB469" s="309"/>
      <c r="BC469" s="309"/>
      <c r="BD469" s="309"/>
      <c r="BE469" s="309"/>
      <c r="BF469" s="309"/>
      <c r="BG469" s="309"/>
      <c r="BH469" s="309"/>
      <c r="BI469" s="309"/>
      <c r="BJ469" s="309"/>
      <c r="BK469" s="309"/>
      <c r="BL469" s="309"/>
      <c r="BM469" s="309"/>
      <c r="BN469" s="309"/>
      <c r="BO469" s="309"/>
      <c r="BP469" s="309"/>
      <c r="BQ469" s="309"/>
      <c r="BR469" s="309"/>
      <c r="BS469" s="309"/>
      <c r="BT469" s="309"/>
      <c r="BU469" s="309"/>
      <c r="BV469" s="309"/>
      <c r="BW469" s="309"/>
      <c r="BX469" s="309"/>
      <c r="BY469" s="309"/>
      <c r="BZ469" s="309"/>
      <c r="CA469" s="285"/>
      <c r="CB469" s="286"/>
      <c r="CC469" s="286"/>
      <c r="CD469" s="286"/>
      <c r="CE469" s="286"/>
      <c r="CF469" s="286"/>
      <c r="CG469" s="286"/>
      <c r="CH469" s="286"/>
      <c r="CI469" s="286"/>
      <c r="CJ469" s="286"/>
      <c r="CK469" s="286"/>
      <c r="CL469" s="286"/>
      <c r="CM469" s="286"/>
      <c r="CN469" s="286"/>
      <c r="CO469" s="286"/>
      <c r="CP469" s="286"/>
      <c r="CQ469" s="286"/>
      <c r="CR469" s="286"/>
      <c r="CS469" s="286"/>
      <c r="CT469" s="286"/>
      <c r="CU469" s="286"/>
      <c r="CV469" s="286"/>
      <c r="CW469" s="286"/>
      <c r="CX469" s="286"/>
      <c r="CY469" s="286"/>
      <c r="CZ469" s="286"/>
      <c r="DA469" s="286"/>
      <c r="DB469" s="286"/>
      <c r="DC469" s="286"/>
      <c r="DD469" s="286"/>
      <c r="DE469" s="286"/>
      <c r="DF469" s="286"/>
      <c r="DG469" s="286"/>
      <c r="DH469" s="286"/>
      <c r="DI469" s="286"/>
      <c r="DJ469" s="286"/>
      <c r="DK469" s="286"/>
      <c r="DL469" s="286"/>
      <c r="DM469" s="286"/>
      <c r="DN469" s="286"/>
      <c r="DO469" s="286"/>
      <c r="DP469" s="286"/>
      <c r="DR469" s="58" t="s">
        <v>11</v>
      </c>
    </row>
    <row r="470" spans="1:122" ht="33" hidden="1" thickBot="1" x14ac:dyDescent="0.25">
      <c r="A470" s="334">
        <v>478</v>
      </c>
      <c r="B470" s="303" t="s">
        <v>622</v>
      </c>
      <c r="C470" s="305" t="s">
        <v>631</v>
      </c>
      <c r="D470" s="302"/>
      <c r="E470" s="304"/>
      <c r="F470" s="305"/>
      <c r="G470" s="310">
        <v>6</v>
      </c>
      <c r="H470" s="307"/>
      <c r="I470" s="307"/>
      <c r="J470" s="308"/>
      <c r="K470" s="305"/>
      <c r="L470" s="309"/>
      <c r="M470" s="309"/>
      <c r="N470" s="309"/>
      <c r="O470" s="309"/>
      <c r="P470" s="309"/>
      <c r="Q470" s="309"/>
      <c r="R470" s="309"/>
      <c r="S470" s="309"/>
      <c r="T470" s="309"/>
      <c r="U470" s="309"/>
      <c r="V470" s="309"/>
      <c r="W470" s="309"/>
      <c r="X470" s="309"/>
      <c r="Y470" s="309"/>
      <c r="Z470" s="309"/>
      <c r="AA470" s="309"/>
      <c r="AB470" s="309"/>
      <c r="AC470" s="309"/>
      <c r="AD470" s="309"/>
      <c r="AE470" s="309"/>
      <c r="AF470" s="309"/>
      <c r="AG470" s="309"/>
      <c r="AH470" s="309"/>
      <c r="AI470" s="309"/>
      <c r="AJ470" s="309"/>
      <c r="AK470" s="309"/>
      <c r="AL470" s="309"/>
      <c r="AM470" s="309"/>
      <c r="AN470" s="309"/>
      <c r="AO470" s="309"/>
      <c r="AP470" s="309"/>
      <c r="AQ470" s="309"/>
      <c r="AR470" s="309"/>
      <c r="AS470" s="309"/>
      <c r="AT470" s="309"/>
      <c r="AU470" s="309"/>
      <c r="AV470" s="309"/>
      <c r="AW470" s="309"/>
      <c r="AX470" s="309"/>
      <c r="AY470" s="309"/>
      <c r="AZ470" s="309"/>
      <c r="BA470" s="309"/>
      <c r="BB470" s="309"/>
      <c r="BC470" s="309"/>
      <c r="BD470" s="309"/>
      <c r="BE470" s="309"/>
      <c r="BF470" s="309"/>
      <c r="BG470" s="309"/>
      <c r="BH470" s="309"/>
      <c r="BI470" s="309"/>
      <c r="BJ470" s="309"/>
      <c r="BK470" s="309"/>
      <c r="BL470" s="309"/>
      <c r="BM470" s="309"/>
      <c r="BN470" s="309"/>
      <c r="BO470" s="309"/>
      <c r="BP470" s="309"/>
      <c r="BQ470" s="309"/>
      <c r="BR470" s="309"/>
      <c r="BS470" s="309"/>
      <c r="BT470" s="309"/>
      <c r="BU470" s="309"/>
      <c r="BV470" s="309"/>
      <c r="BW470" s="309"/>
      <c r="BX470" s="309"/>
      <c r="BY470" s="309"/>
      <c r="BZ470" s="309"/>
      <c r="CA470" s="285"/>
      <c r="CB470" s="286"/>
      <c r="CC470" s="286"/>
      <c r="CD470" s="286"/>
      <c r="CE470" s="286"/>
      <c r="CF470" s="286"/>
      <c r="CG470" s="286"/>
      <c r="CH470" s="286"/>
      <c r="CI470" s="286"/>
      <c r="CJ470" s="286"/>
      <c r="CK470" s="286"/>
      <c r="CL470" s="286"/>
      <c r="CM470" s="286"/>
      <c r="CN470" s="286"/>
      <c r="CO470" s="286"/>
      <c r="CP470" s="286"/>
      <c r="CQ470" s="286"/>
      <c r="CR470" s="286"/>
      <c r="CS470" s="286"/>
      <c r="CT470" s="286"/>
      <c r="CU470" s="286"/>
      <c r="CV470" s="286"/>
      <c r="CW470" s="286"/>
      <c r="CX470" s="286"/>
      <c r="CY470" s="286"/>
      <c r="CZ470" s="286"/>
      <c r="DA470" s="286"/>
      <c r="DB470" s="286"/>
      <c r="DC470" s="286"/>
      <c r="DD470" s="286"/>
      <c r="DE470" s="286"/>
      <c r="DF470" s="286"/>
      <c r="DG470" s="286"/>
      <c r="DH470" s="286"/>
      <c r="DI470" s="286"/>
      <c r="DJ470" s="286"/>
      <c r="DK470" s="286"/>
      <c r="DL470" s="286"/>
      <c r="DM470" s="286"/>
      <c r="DN470" s="286"/>
      <c r="DO470" s="286"/>
      <c r="DP470" s="286"/>
      <c r="DR470" s="58" t="s">
        <v>11</v>
      </c>
    </row>
    <row r="471" spans="1:122" ht="33" hidden="1" thickBot="1" x14ac:dyDescent="0.25">
      <c r="A471" s="334">
        <v>479</v>
      </c>
      <c r="B471" s="303" t="s">
        <v>622</v>
      </c>
      <c r="C471" s="305" t="s">
        <v>632</v>
      </c>
      <c r="D471" s="302"/>
      <c r="E471" s="304"/>
      <c r="F471" s="305"/>
      <c r="G471" s="311">
        <v>165000000</v>
      </c>
      <c r="H471" s="307"/>
      <c r="I471" s="307"/>
      <c r="J471" s="308"/>
      <c r="K471" s="305"/>
      <c r="L471" s="309"/>
      <c r="M471" s="309"/>
      <c r="N471" s="309"/>
      <c r="O471" s="309"/>
      <c r="P471" s="309"/>
      <c r="Q471" s="309"/>
      <c r="R471" s="309"/>
      <c r="S471" s="309"/>
      <c r="T471" s="309"/>
      <c r="U471" s="309"/>
      <c r="V471" s="309"/>
      <c r="W471" s="309"/>
      <c r="X471" s="309"/>
      <c r="Y471" s="309"/>
      <c r="Z471" s="309"/>
      <c r="AA471" s="309"/>
      <c r="AB471" s="309"/>
      <c r="AC471" s="309"/>
      <c r="AD471" s="309"/>
      <c r="AE471" s="309"/>
      <c r="AF471" s="309"/>
      <c r="AG471" s="309"/>
      <c r="AH471" s="309"/>
      <c r="AI471" s="309"/>
      <c r="AJ471" s="309"/>
      <c r="AK471" s="309"/>
      <c r="AL471" s="309"/>
      <c r="AM471" s="309"/>
      <c r="AN471" s="309"/>
      <c r="AO471" s="309"/>
      <c r="AP471" s="309"/>
      <c r="AQ471" s="309"/>
      <c r="AR471" s="309"/>
      <c r="AS471" s="309"/>
      <c r="AT471" s="309"/>
      <c r="AU471" s="309"/>
      <c r="AV471" s="309"/>
      <c r="AW471" s="309"/>
      <c r="AX471" s="309"/>
      <c r="AY471" s="309"/>
      <c r="AZ471" s="309"/>
      <c r="BA471" s="309"/>
      <c r="BB471" s="309"/>
      <c r="BC471" s="309"/>
      <c r="BD471" s="309"/>
      <c r="BE471" s="309"/>
      <c r="BF471" s="309"/>
      <c r="BG471" s="309"/>
      <c r="BH471" s="309"/>
      <c r="BI471" s="309"/>
      <c r="BJ471" s="309"/>
      <c r="BK471" s="309"/>
      <c r="BL471" s="309"/>
      <c r="BM471" s="309"/>
      <c r="BN471" s="309"/>
      <c r="BO471" s="309"/>
      <c r="BP471" s="309"/>
      <c r="BQ471" s="309"/>
      <c r="BR471" s="309"/>
      <c r="BS471" s="309"/>
      <c r="BT471" s="309"/>
      <c r="BU471" s="309"/>
      <c r="BV471" s="309"/>
      <c r="BW471" s="309"/>
      <c r="BX471" s="309"/>
      <c r="BY471" s="309"/>
      <c r="BZ471" s="309"/>
      <c r="CA471" s="285"/>
      <c r="CB471" s="286"/>
      <c r="CC471" s="286"/>
      <c r="CD471" s="286"/>
      <c r="CE471" s="286"/>
      <c r="CF471" s="286"/>
      <c r="CG471" s="286"/>
      <c r="CH471" s="286"/>
      <c r="CI471" s="286"/>
      <c r="CJ471" s="286"/>
      <c r="CK471" s="286"/>
      <c r="CL471" s="286"/>
      <c r="CM471" s="286"/>
      <c r="CN471" s="286"/>
      <c r="CO471" s="286"/>
      <c r="CP471" s="286"/>
      <c r="CQ471" s="286"/>
      <c r="CR471" s="286"/>
      <c r="CS471" s="286"/>
      <c r="CT471" s="286"/>
      <c r="CU471" s="286"/>
      <c r="CV471" s="286"/>
      <c r="CW471" s="286"/>
      <c r="CX471" s="286"/>
      <c r="CY471" s="286"/>
      <c r="CZ471" s="286"/>
      <c r="DA471" s="286"/>
      <c r="DB471" s="286"/>
      <c r="DC471" s="286"/>
      <c r="DD471" s="286"/>
      <c r="DE471" s="286"/>
      <c r="DF471" s="286"/>
      <c r="DG471" s="286"/>
      <c r="DH471" s="286"/>
      <c r="DI471" s="286"/>
      <c r="DJ471" s="286"/>
      <c r="DK471" s="286"/>
      <c r="DL471" s="286"/>
      <c r="DM471" s="286"/>
      <c r="DN471" s="286"/>
      <c r="DO471" s="286"/>
      <c r="DP471" s="286"/>
      <c r="DR471" s="58" t="s">
        <v>11</v>
      </c>
    </row>
    <row r="472" spans="1:122" ht="33" hidden="1" thickBot="1" x14ac:dyDescent="0.25">
      <c r="A472" s="334">
        <v>480</v>
      </c>
      <c r="B472" s="303" t="s">
        <v>622</v>
      </c>
      <c r="C472" s="305" t="s">
        <v>633</v>
      </c>
      <c r="D472" s="302"/>
      <c r="E472" s="304"/>
      <c r="F472" s="305"/>
      <c r="G472" s="310">
        <v>4</v>
      </c>
      <c r="H472" s="307"/>
      <c r="I472" s="307"/>
      <c r="J472" s="308"/>
      <c r="K472" s="305"/>
      <c r="L472" s="309"/>
      <c r="M472" s="309"/>
      <c r="N472" s="309"/>
      <c r="O472" s="309"/>
      <c r="P472" s="309"/>
      <c r="Q472" s="309"/>
      <c r="R472" s="309"/>
      <c r="S472" s="309"/>
      <c r="T472" s="309"/>
      <c r="U472" s="309"/>
      <c r="V472" s="309"/>
      <c r="W472" s="309"/>
      <c r="X472" s="309"/>
      <c r="Y472" s="309"/>
      <c r="Z472" s="309"/>
      <c r="AA472" s="309"/>
      <c r="AB472" s="309"/>
      <c r="AC472" s="309"/>
      <c r="AD472" s="309"/>
      <c r="AE472" s="309"/>
      <c r="AF472" s="309"/>
      <c r="AG472" s="309"/>
      <c r="AH472" s="309"/>
      <c r="AI472" s="309"/>
      <c r="AJ472" s="309"/>
      <c r="AK472" s="309"/>
      <c r="AL472" s="309"/>
      <c r="AM472" s="309"/>
      <c r="AN472" s="309"/>
      <c r="AO472" s="309"/>
      <c r="AP472" s="309"/>
      <c r="AQ472" s="309"/>
      <c r="AR472" s="309"/>
      <c r="AS472" s="309"/>
      <c r="AT472" s="309"/>
      <c r="AU472" s="309"/>
      <c r="AV472" s="309"/>
      <c r="AW472" s="309"/>
      <c r="AX472" s="309"/>
      <c r="AY472" s="309"/>
      <c r="AZ472" s="309"/>
      <c r="BA472" s="309"/>
      <c r="BB472" s="309"/>
      <c r="BC472" s="309"/>
      <c r="BD472" s="309"/>
      <c r="BE472" s="309"/>
      <c r="BF472" s="309"/>
      <c r="BG472" s="309"/>
      <c r="BH472" s="309"/>
      <c r="BI472" s="309"/>
      <c r="BJ472" s="309"/>
      <c r="BK472" s="309"/>
      <c r="BL472" s="309"/>
      <c r="BM472" s="309"/>
      <c r="BN472" s="309"/>
      <c r="BO472" s="309"/>
      <c r="BP472" s="309"/>
      <c r="BQ472" s="309"/>
      <c r="BR472" s="309"/>
      <c r="BS472" s="309"/>
      <c r="BT472" s="309"/>
      <c r="BU472" s="309"/>
      <c r="BV472" s="309"/>
      <c r="BW472" s="309"/>
      <c r="BX472" s="309"/>
      <c r="BY472" s="309"/>
      <c r="BZ472" s="309"/>
      <c r="CA472" s="285"/>
      <c r="CB472" s="286"/>
      <c r="CC472" s="286"/>
      <c r="CD472" s="286"/>
      <c r="CE472" s="286"/>
      <c r="CF472" s="286"/>
      <c r="CG472" s="286"/>
      <c r="CH472" s="286"/>
      <c r="CI472" s="286"/>
      <c r="CJ472" s="286"/>
      <c r="CK472" s="286"/>
      <c r="CL472" s="286"/>
      <c r="CM472" s="286"/>
      <c r="CN472" s="286"/>
      <c r="CO472" s="286"/>
      <c r="CP472" s="286"/>
      <c r="CQ472" s="286"/>
      <c r="CR472" s="286"/>
      <c r="CS472" s="286"/>
      <c r="CT472" s="286"/>
      <c r="CU472" s="286"/>
      <c r="CV472" s="286"/>
      <c r="CW472" s="286"/>
      <c r="CX472" s="286"/>
      <c r="CY472" s="286"/>
      <c r="CZ472" s="286"/>
      <c r="DA472" s="286"/>
      <c r="DB472" s="286"/>
      <c r="DC472" s="286"/>
      <c r="DD472" s="286"/>
      <c r="DE472" s="286"/>
      <c r="DF472" s="286"/>
      <c r="DG472" s="286"/>
      <c r="DH472" s="286"/>
      <c r="DI472" s="286"/>
      <c r="DJ472" s="286"/>
      <c r="DK472" s="286"/>
      <c r="DL472" s="286"/>
      <c r="DM472" s="286"/>
      <c r="DN472" s="286"/>
      <c r="DO472" s="286"/>
      <c r="DP472" s="286"/>
      <c r="DR472" s="58" t="s">
        <v>11</v>
      </c>
    </row>
    <row r="473" spans="1:122" ht="33" hidden="1" thickBot="1" x14ac:dyDescent="0.25">
      <c r="A473" s="334">
        <v>481</v>
      </c>
      <c r="B473" s="303" t="s">
        <v>622</v>
      </c>
      <c r="C473" s="305" t="s">
        <v>634</v>
      </c>
      <c r="D473" s="302"/>
      <c r="E473" s="304"/>
      <c r="F473" s="305"/>
      <c r="G473" s="310">
        <v>6</v>
      </c>
      <c r="H473" s="307"/>
      <c r="I473" s="307"/>
      <c r="J473" s="308"/>
      <c r="K473" s="305"/>
      <c r="L473" s="309"/>
      <c r="M473" s="309"/>
      <c r="N473" s="309"/>
      <c r="O473" s="309"/>
      <c r="P473" s="309"/>
      <c r="Q473" s="309"/>
      <c r="R473" s="309"/>
      <c r="S473" s="309"/>
      <c r="T473" s="309"/>
      <c r="U473" s="309"/>
      <c r="V473" s="309"/>
      <c r="W473" s="309"/>
      <c r="X473" s="309"/>
      <c r="Y473" s="309"/>
      <c r="Z473" s="309"/>
      <c r="AA473" s="309"/>
      <c r="AB473" s="309"/>
      <c r="AC473" s="309"/>
      <c r="AD473" s="309"/>
      <c r="AE473" s="309"/>
      <c r="AF473" s="309"/>
      <c r="AG473" s="309"/>
      <c r="AH473" s="309"/>
      <c r="AI473" s="309"/>
      <c r="AJ473" s="309"/>
      <c r="AK473" s="309"/>
      <c r="AL473" s="309"/>
      <c r="AM473" s="309"/>
      <c r="AN473" s="309"/>
      <c r="AO473" s="309"/>
      <c r="AP473" s="309"/>
      <c r="AQ473" s="309"/>
      <c r="AR473" s="309"/>
      <c r="AS473" s="309"/>
      <c r="AT473" s="309"/>
      <c r="AU473" s="309"/>
      <c r="AV473" s="309"/>
      <c r="AW473" s="309"/>
      <c r="AX473" s="309"/>
      <c r="AY473" s="309"/>
      <c r="AZ473" s="309"/>
      <c r="BA473" s="309"/>
      <c r="BB473" s="309"/>
      <c r="BC473" s="309"/>
      <c r="BD473" s="309"/>
      <c r="BE473" s="309"/>
      <c r="BF473" s="309"/>
      <c r="BG473" s="309"/>
      <c r="BH473" s="309"/>
      <c r="BI473" s="309"/>
      <c r="BJ473" s="309"/>
      <c r="BK473" s="309"/>
      <c r="BL473" s="309"/>
      <c r="BM473" s="309"/>
      <c r="BN473" s="309"/>
      <c r="BO473" s="309"/>
      <c r="BP473" s="309"/>
      <c r="BQ473" s="309"/>
      <c r="BR473" s="309"/>
      <c r="BS473" s="309"/>
      <c r="BT473" s="309"/>
      <c r="BU473" s="309"/>
      <c r="BV473" s="309"/>
      <c r="BW473" s="309"/>
      <c r="BX473" s="309"/>
      <c r="BY473" s="309"/>
      <c r="BZ473" s="309"/>
      <c r="CA473" s="285"/>
      <c r="CB473" s="286"/>
      <c r="CC473" s="286"/>
      <c r="CD473" s="286"/>
      <c r="CE473" s="286"/>
      <c r="CF473" s="286"/>
      <c r="CG473" s="286"/>
      <c r="CH473" s="286"/>
      <c r="CI473" s="286"/>
      <c r="CJ473" s="286"/>
      <c r="CK473" s="286"/>
      <c r="CL473" s="286"/>
      <c r="CM473" s="286"/>
      <c r="CN473" s="286"/>
      <c r="CO473" s="286"/>
      <c r="CP473" s="286"/>
      <c r="CQ473" s="286"/>
      <c r="CR473" s="286"/>
      <c r="CS473" s="286"/>
      <c r="CT473" s="286"/>
      <c r="CU473" s="286"/>
      <c r="CV473" s="286"/>
      <c r="CW473" s="286"/>
      <c r="CX473" s="286"/>
      <c r="CY473" s="286"/>
      <c r="CZ473" s="286"/>
      <c r="DA473" s="286"/>
      <c r="DB473" s="286"/>
      <c r="DC473" s="286"/>
      <c r="DD473" s="286"/>
      <c r="DE473" s="286"/>
      <c r="DF473" s="286"/>
      <c r="DG473" s="286"/>
      <c r="DH473" s="286"/>
      <c r="DI473" s="286"/>
      <c r="DJ473" s="286"/>
      <c r="DK473" s="286"/>
      <c r="DL473" s="286"/>
      <c r="DM473" s="286"/>
      <c r="DN473" s="286"/>
      <c r="DO473" s="286"/>
      <c r="DP473" s="286"/>
      <c r="DR473" s="58" t="s">
        <v>11</v>
      </c>
    </row>
    <row r="474" spans="1:122" ht="33" hidden="1" thickBot="1" x14ac:dyDescent="0.25">
      <c r="A474" s="334">
        <v>482</v>
      </c>
      <c r="B474" s="303" t="s">
        <v>622</v>
      </c>
      <c r="C474" s="305" t="s">
        <v>635</v>
      </c>
      <c r="D474" s="302"/>
      <c r="E474" s="304"/>
      <c r="F474" s="305"/>
      <c r="G474" s="310">
        <v>7</v>
      </c>
      <c r="H474" s="307"/>
      <c r="I474" s="307"/>
      <c r="J474" s="308"/>
      <c r="K474" s="305"/>
      <c r="L474" s="309"/>
      <c r="M474" s="309"/>
      <c r="N474" s="309"/>
      <c r="O474" s="309"/>
      <c r="P474" s="309"/>
      <c r="Q474" s="309"/>
      <c r="R474" s="309"/>
      <c r="S474" s="309"/>
      <c r="T474" s="309"/>
      <c r="U474" s="309"/>
      <c r="V474" s="309"/>
      <c r="W474" s="309"/>
      <c r="X474" s="309"/>
      <c r="Y474" s="309"/>
      <c r="Z474" s="309"/>
      <c r="AA474" s="309"/>
      <c r="AB474" s="309"/>
      <c r="AC474" s="309"/>
      <c r="AD474" s="309"/>
      <c r="AE474" s="309"/>
      <c r="AF474" s="309"/>
      <c r="AG474" s="309"/>
      <c r="AH474" s="309"/>
      <c r="AI474" s="309"/>
      <c r="AJ474" s="309"/>
      <c r="AK474" s="309"/>
      <c r="AL474" s="309"/>
      <c r="AM474" s="309"/>
      <c r="AN474" s="309"/>
      <c r="AO474" s="309"/>
      <c r="AP474" s="309"/>
      <c r="AQ474" s="309"/>
      <c r="AR474" s="309"/>
      <c r="AS474" s="309"/>
      <c r="AT474" s="309"/>
      <c r="AU474" s="309"/>
      <c r="AV474" s="309"/>
      <c r="AW474" s="309"/>
      <c r="AX474" s="309"/>
      <c r="AY474" s="309"/>
      <c r="AZ474" s="309"/>
      <c r="BA474" s="309"/>
      <c r="BB474" s="309"/>
      <c r="BC474" s="309"/>
      <c r="BD474" s="309"/>
      <c r="BE474" s="309"/>
      <c r="BF474" s="309"/>
      <c r="BG474" s="309"/>
      <c r="BH474" s="309"/>
      <c r="BI474" s="309"/>
      <c r="BJ474" s="309"/>
      <c r="BK474" s="309"/>
      <c r="BL474" s="309"/>
      <c r="BM474" s="309"/>
      <c r="BN474" s="309"/>
      <c r="BO474" s="309"/>
      <c r="BP474" s="309"/>
      <c r="BQ474" s="309"/>
      <c r="BR474" s="309"/>
      <c r="BS474" s="309"/>
      <c r="BT474" s="309"/>
      <c r="BU474" s="309"/>
      <c r="BV474" s="309"/>
      <c r="BW474" s="309"/>
      <c r="BX474" s="309"/>
      <c r="BY474" s="309"/>
      <c r="BZ474" s="309"/>
      <c r="CA474" s="285"/>
      <c r="CB474" s="286"/>
      <c r="CC474" s="286"/>
      <c r="CD474" s="286"/>
      <c r="CE474" s="286"/>
      <c r="CF474" s="286"/>
      <c r="CG474" s="286"/>
      <c r="CH474" s="286"/>
      <c r="CI474" s="286"/>
      <c r="CJ474" s="286"/>
      <c r="CK474" s="286"/>
      <c r="CL474" s="286"/>
      <c r="CM474" s="286"/>
      <c r="CN474" s="286"/>
      <c r="CO474" s="286"/>
      <c r="CP474" s="286"/>
      <c r="CQ474" s="286"/>
      <c r="CR474" s="286"/>
      <c r="CS474" s="286"/>
      <c r="CT474" s="286"/>
      <c r="CU474" s="286"/>
      <c r="CV474" s="286"/>
      <c r="CW474" s="286"/>
      <c r="CX474" s="286"/>
      <c r="CY474" s="286"/>
      <c r="CZ474" s="286"/>
      <c r="DA474" s="286"/>
      <c r="DB474" s="286"/>
      <c r="DC474" s="286"/>
      <c r="DD474" s="286"/>
      <c r="DE474" s="286"/>
      <c r="DF474" s="286"/>
      <c r="DG474" s="286"/>
      <c r="DH474" s="286"/>
      <c r="DI474" s="286"/>
      <c r="DJ474" s="286"/>
      <c r="DK474" s="286"/>
      <c r="DL474" s="286"/>
      <c r="DM474" s="286"/>
      <c r="DN474" s="286"/>
      <c r="DO474" s="286"/>
      <c r="DP474" s="286"/>
      <c r="DR474" s="58" t="s">
        <v>11</v>
      </c>
    </row>
    <row r="475" spans="1:122" ht="33" hidden="1" thickBot="1" x14ac:dyDescent="0.25">
      <c r="A475" s="334">
        <v>483</v>
      </c>
      <c r="B475" s="303" t="s">
        <v>622</v>
      </c>
      <c r="C475" s="305" t="s">
        <v>636</v>
      </c>
      <c r="D475" s="302"/>
      <c r="E475" s="304"/>
      <c r="F475" s="305"/>
      <c r="G475" s="310">
        <v>8</v>
      </c>
      <c r="H475" s="307"/>
      <c r="I475" s="307"/>
      <c r="J475" s="308"/>
      <c r="K475" s="305"/>
      <c r="L475" s="309"/>
      <c r="M475" s="309"/>
      <c r="N475" s="309"/>
      <c r="O475" s="309"/>
      <c r="P475" s="309"/>
      <c r="Q475" s="309"/>
      <c r="R475" s="309"/>
      <c r="S475" s="309"/>
      <c r="T475" s="309"/>
      <c r="U475" s="309"/>
      <c r="V475" s="309"/>
      <c r="W475" s="309"/>
      <c r="X475" s="309"/>
      <c r="Y475" s="309"/>
      <c r="Z475" s="309"/>
      <c r="AA475" s="309"/>
      <c r="AB475" s="309"/>
      <c r="AC475" s="309"/>
      <c r="AD475" s="309"/>
      <c r="AE475" s="309"/>
      <c r="AF475" s="309"/>
      <c r="AG475" s="309"/>
      <c r="AH475" s="309"/>
      <c r="AI475" s="309"/>
      <c r="AJ475" s="309"/>
      <c r="AK475" s="309"/>
      <c r="AL475" s="309"/>
      <c r="AM475" s="309"/>
      <c r="AN475" s="309"/>
      <c r="AO475" s="309"/>
      <c r="AP475" s="309"/>
      <c r="AQ475" s="309"/>
      <c r="AR475" s="309"/>
      <c r="AS475" s="309"/>
      <c r="AT475" s="309"/>
      <c r="AU475" s="309"/>
      <c r="AV475" s="309"/>
      <c r="AW475" s="309"/>
      <c r="AX475" s="309"/>
      <c r="AY475" s="309"/>
      <c r="AZ475" s="309"/>
      <c r="BA475" s="309"/>
      <c r="BB475" s="309"/>
      <c r="BC475" s="309"/>
      <c r="BD475" s="309"/>
      <c r="BE475" s="309"/>
      <c r="BF475" s="309"/>
      <c r="BG475" s="309"/>
      <c r="BH475" s="309"/>
      <c r="BI475" s="309"/>
      <c r="BJ475" s="309"/>
      <c r="BK475" s="309"/>
      <c r="BL475" s="309"/>
      <c r="BM475" s="309"/>
      <c r="BN475" s="309"/>
      <c r="BO475" s="309"/>
      <c r="BP475" s="309"/>
      <c r="BQ475" s="309"/>
      <c r="BR475" s="309"/>
      <c r="BS475" s="309"/>
      <c r="BT475" s="309"/>
      <c r="BU475" s="309"/>
      <c r="BV475" s="309"/>
      <c r="BW475" s="309"/>
      <c r="BX475" s="309"/>
      <c r="BY475" s="309"/>
      <c r="BZ475" s="309"/>
      <c r="CA475" s="285"/>
      <c r="CB475" s="286"/>
      <c r="CC475" s="286"/>
      <c r="CD475" s="286"/>
      <c r="CE475" s="286"/>
      <c r="CF475" s="286"/>
      <c r="CG475" s="286"/>
      <c r="CH475" s="286"/>
      <c r="CI475" s="286"/>
      <c r="CJ475" s="286"/>
      <c r="CK475" s="286"/>
      <c r="CL475" s="286"/>
      <c r="CM475" s="286"/>
      <c r="CN475" s="286"/>
      <c r="CO475" s="286"/>
      <c r="CP475" s="286"/>
      <c r="CQ475" s="286"/>
      <c r="CR475" s="286"/>
      <c r="CS475" s="286"/>
      <c r="CT475" s="286"/>
      <c r="CU475" s="286"/>
      <c r="CV475" s="286"/>
      <c r="CW475" s="286"/>
      <c r="CX475" s="286"/>
      <c r="CY475" s="286"/>
      <c r="CZ475" s="286"/>
      <c r="DA475" s="286"/>
      <c r="DB475" s="286"/>
      <c r="DC475" s="286"/>
      <c r="DD475" s="286"/>
      <c r="DE475" s="286"/>
      <c r="DF475" s="286"/>
      <c r="DG475" s="286"/>
      <c r="DH475" s="286"/>
      <c r="DI475" s="286"/>
      <c r="DJ475" s="286"/>
      <c r="DK475" s="286"/>
      <c r="DL475" s="286"/>
      <c r="DM475" s="286"/>
      <c r="DN475" s="286"/>
      <c r="DO475" s="286"/>
      <c r="DP475" s="286"/>
      <c r="DR475" s="58" t="s">
        <v>11</v>
      </c>
    </row>
    <row r="476" spans="1:122" ht="33" hidden="1" thickBot="1" x14ac:dyDescent="0.25">
      <c r="A476" s="334">
        <v>484</v>
      </c>
      <c r="B476" s="303" t="s">
        <v>622</v>
      </c>
      <c r="C476" s="305" t="s">
        <v>637</v>
      </c>
      <c r="D476" s="302"/>
      <c r="E476" s="304"/>
      <c r="F476" s="305"/>
      <c r="G476" s="310">
        <v>5</v>
      </c>
      <c r="H476" s="307"/>
      <c r="I476" s="307"/>
      <c r="J476" s="308"/>
      <c r="K476" s="305"/>
      <c r="L476" s="309"/>
      <c r="M476" s="309"/>
      <c r="N476" s="309"/>
      <c r="O476" s="309"/>
      <c r="P476" s="309"/>
      <c r="Q476" s="309"/>
      <c r="R476" s="309"/>
      <c r="S476" s="309"/>
      <c r="T476" s="309"/>
      <c r="U476" s="309"/>
      <c r="V476" s="309"/>
      <c r="W476" s="309"/>
      <c r="X476" s="309"/>
      <c r="Y476" s="309"/>
      <c r="Z476" s="309"/>
      <c r="AA476" s="309"/>
      <c r="AB476" s="309"/>
      <c r="AC476" s="309"/>
      <c r="AD476" s="309"/>
      <c r="AE476" s="309"/>
      <c r="AF476" s="309"/>
      <c r="AG476" s="309"/>
      <c r="AH476" s="309"/>
      <c r="AI476" s="309"/>
      <c r="AJ476" s="309"/>
      <c r="AK476" s="309"/>
      <c r="AL476" s="309"/>
      <c r="AM476" s="309"/>
      <c r="AN476" s="309"/>
      <c r="AO476" s="309"/>
      <c r="AP476" s="309"/>
      <c r="AQ476" s="309"/>
      <c r="AR476" s="309"/>
      <c r="AS476" s="309"/>
      <c r="AT476" s="309"/>
      <c r="AU476" s="309"/>
      <c r="AV476" s="309"/>
      <c r="AW476" s="309"/>
      <c r="AX476" s="309"/>
      <c r="AY476" s="309"/>
      <c r="AZ476" s="309"/>
      <c r="BA476" s="309"/>
      <c r="BB476" s="309"/>
      <c r="BC476" s="309"/>
      <c r="BD476" s="309"/>
      <c r="BE476" s="309"/>
      <c r="BF476" s="309"/>
      <c r="BG476" s="309"/>
      <c r="BH476" s="309"/>
      <c r="BI476" s="309"/>
      <c r="BJ476" s="309"/>
      <c r="BK476" s="309"/>
      <c r="BL476" s="309"/>
      <c r="BM476" s="309"/>
      <c r="BN476" s="309"/>
      <c r="BO476" s="309"/>
      <c r="BP476" s="309"/>
      <c r="BQ476" s="309"/>
      <c r="BR476" s="309"/>
      <c r="BS476" s="309"/>
      <c r="BT476" s="309"/>
      <c r="BU476" s="309"/>
      <c r="BV476" s="309"/>
      <c r="BW476" s="309"/>
      <c r="BX476" s="309"/>
      <c r="BY476" s="309"/>
      <c r="BZ476" s="309"/>
      <c r="CA476" s="285"/>
      <c r="CB476" s="286"/>
      <c r="CC476" s="286"/>
      <c r="CD476" s="286"/>
      <c r="CE476" s="286"/>
      <c r="CF476" s="286"/>
      <c r="CG476" s="286"/>
      <c r="CH476" s="286"/>
      <c r="CI476" s="286"/>
      <c r="CJ476" s="286"/>
      <c r="CK476" s="286"/>
      <c r="CL476" s="286"/>
      <c r="CM476" s="286"/>
      <c r="CN476" s="286"/>
      <c r="CO476" s="286"/>
      <c r="CP476" s="286"/>
      <c r="CQ476" s="286"/>
      <c r="CR476" s="286"/>
      <c r="CS476" s="286"/>
      <c r="CT476" s="286"/>
      <c r="CU476" s="286"/>
      <c r="CV476" s="286"/>
      <c r="CW476" s="286"/>
      <c r="CX476" s="286"/>
      <c r="CY476" s="286"/>
      <c r="CZ476" s="286"/>
      <c r="DA476" s="286"/>
      <c r="DB476" s="286"/>
      <c r="DC476" s="286"/>
      <c r="DD476" s="286"/>
      <c r="DE476" s="286"/>
      <c r="DF476" s="286"/>
      <c r="DG476" s="286"/>
      <c r="DH476" s="286"/>
      <c r="DI476" s="286"/>
      <c r="DJ476" s="286"/>
      <c r="DK476" s="286"/>
      <c r="DL476" s="286"/>
      <c r="DM476" s="286"/>
      <c r="DN476" s="286"/>
      <c r="DO476" s="286"/>
      <c r="DP476" s="286"/>
      <c r="DR476" s="58" t="s">
        <v>11</v>
      </c>
    </row>
    <row r="477" spans="1:122" ht="33" hidden="1" thickBot="1" x14ac:dyDescent="0.25">
      <c r="A477" s="334">
        <v>485</v>
      </c>
      <c r="B477" s="303" t="s">
        <v>622</v>
      </c>
      <c r="C477" s="305" t="s">
        <v>638</v>
      </c>
      <c r="D477" s="302"/>
      <c r="E477" s="304"/>
      <c r="F477" s="305"/>
      <c r="G477" s="310">
        <v>6</v>
      </c>
      <c r="H477" s="307"/>
      <c r="I477" s="307"/>
      <c r="J477" s="308"/>
      <c r="K477" s="305"/>
      <c r="L477" s="309"/>
      <c r="M477" s="309"/>
      <c r="N477" s="309"/>
      <c r="O477" s="309"/>
      <c r="P477" s="309"/>
      <c r="Q477" s="309"/>
      <c r="R477" s="309"/>
      <c r="S477" s="309"/>
      <c r="T477" s="309"/>
      <c r="U477" s="309"/>
      <c r="V477" s="309"/>
      <c r="W477" s="309"/>
      <c r="X477" s="309"/>
      <c r="Y477" s="309"/>
      <c r="Z477" s="309"/>
      <c r="AA477" s="309"/>
      <c r="AB477" s="309"/>
      <c r="AC477" s="309"/>
      <c r="AD477" s="309"/>
      <c r="AE477" s="309"/>
      <c r="AF477" s="309"/>
      <c r="AG477" s="309"/>
      <c r="AH477" s="309"/>
      <c r="AI477" s="309"/>
      <c r="AJ477" s="309"/>
      <c r="AK477" s="309"/>
      <c r="AL477" s="309"/>
      <c r="AM477" s="309"/>
      <c r="AN477" s="309"/>
      <c r="AO477" s="309"/>
      <c r="AP477" s="309"/>
      <c r="AQ477" s="309"/>
      <c r="AR477" s="309"/>
      <c r="AS477" s="309"/>
      <c r="AT477" s="309"/>
      <c r="AU477" s="309"/>
      <c r="AV477" s="309"/>
      <c r="AW477" s="309"/>
      <c r="AX477" s="309"/>
      <c r="AY477" s="309"/>
      <c r="AZ477" s="309"/>
      <c r="BA477" s="309"/>
      <c r="BB477" s="309"/>
      <c r="BC477" s="309"/>
      <c r="BD477" s="309"/>
      <c r="BE477" s="309"/>
      <c r="BF477" s="309"/>
      <c r="BG477" s="309"/>
      <c r="BH477" s="309"/>
      <c r="BI477" s="309"/>
      <c r="BJ477" s="309"/>
      <c r="BK477" s="309"/>
      <c r="BL477" s="309"/>
      <c r="BM477" s="309"/>
      <c r="BN477" s="309"/>
      <c r="BO477" s="309"/>
      <c r="BP477" s="309"/>
      <c r="BQ477" s="309"/>
      <c r="BR477" s="309"/>
      <c r="BS477" s="309"/>
      <c r="BT477" s="309"/>
      <c r="BU477" s="309"/>
      <c r="BV477" s="309"/>
      <c r="BW477" s="309"/>
      <c r="BX477" s="309"/>
      <c r="BY477" s="309"/>
      <c r="BZ477" s="309"/>
      <c r="CA477" s="285"/>
      <c r="CB477" s="286"/>
      <c r="CC477" s="286"/>
      <c r="CD477" s="286"/>
      <c r="CE477" s="286"/>
      <c r="CF477" s="286"/>
      <c r="CG477" s="286"/>
      <c r="CH477" s="286"/>
      <c r="CI477" s="286"/>
      <c r="CJ477" s="286"/>
      <c r="CK477" s="286"/>
      <c r="CL477" s="286"/>
      <c r="CM477" s="286"/>
      <c r="CN477" s="286"/>
      <c r="CO477" s="286"/>
      <c r="CP477" s="286"/>
      <c r="CQ477" s="286"/>
      <c r="CR477" s="286"/>
      <c r="CS477" s="286"/>
      <c r="CT477" s="286"/>
      <c r="CU477" s="286"/>
      <c r="CV477" s="286"/>
      <c r="CW477" s="286"/>
      <c r="CX477" s="286"/>
      <c r="CY477" s="286"/>
      <c r="CZ477" s="286"/>
      <c r="DA477" s="286"/>
      <c r="DB477" s="286"/>
      <c r="DC477" s="286"/>
      <c r="DD477" s="286"/>
      <c r="DE477" s="286"/>
      <c r="DF477" s="286"/>
      <c r="DG477" s="286"/>
      <c r="DH477" s="286"/>
      <c r="DI477" s="286"/>
      <c r="DJ477" s="286"/>
      <c r="DK477" s="286"/>
      <c r="DL477" s="286"/>
      <c r="DM477" s="286"/>
      <c r="DN477" s="286"/>
      <c r="DO477" s="286"/>
      <c r="DP477" s="286"/>
      <c r="DR477" s="58" t="s">
        <v>11</v>
      </c>
    </row>
    <row r="478" spans="1:122" ht="33" hidden="1" thickBot="1" x14ac:dyDescent="0.25">
      <c r="A478" s="334">
        <v>486</v>
      </c>
      <c r="B478" s="303" t="s">
        <v>622</v>
      </c>
      <c r="C478" s="305" t="s">
        <v>639</v>
      </c>
      <c r="D478" s="302"/>
      <c r="E478" s="304"/>
      <c r="F478" s="305"/>
      <c r="G478" s="310">
        <v>6</v>
      </c>
      <c r="H478" s="307"/>
      <c r="I478" s="307"/>
      <c r="J478" s="308"/>
      <c r="K478" s="305"/>
      <c r="L478" s="309"/>
      <c r="M478" s="309"/>
      <c r="N478" s="309"/>
      <c r="O478" s="309"/>
      <c r="P478" s="309"/>
      <c r="Q478" s="309"/>
      <c r="R478" s="309"/>
      <c r="S478" s="309"/>
      <c r="T478" s="309"/>
      <c r="U478" s="309"/>
      <c r="V478" s="309"/>
      <c r="W478" s="309"/>
      <c r="X478" s="309"/>
      <c r="Y478" s="309"/>
      <c r="Z478" s="309"/>
      <c r="AA478" s="309"/>
      <c r="AB478" s="309"/>
      <c r="AC478" s="309"/>
      <c r="AD478" s="309"/>
      <c r="AE478" s="309"/>
      <c r="AF478" s="309"/>
      <c r="AG478" s="309"/>
      <c r="AH478" s="309"/>
      <c r="AI478" s="309"/>
      <c r="AJ478" s="309"/>
      <c r="AK478" s="309"/>
      <c r="AL478" s="309"/>
      <c r="AM478" s="309"/>
      <c r="AN478" s="309"/>
      <c r="AO478" s="309"/>
      <c r="AP478" s="309"/>
      <c r="AQ478" s="309"/>
      <c r="AR478" s="309"/>
      <c r="AS478" s="309"/>
      <c r="AT478" s="309"/>
      <c r="AU478" s="309"/>
      <c r="AV478" s="309"/>
      <c r="AW478" s="309"/>
      <c r="AX478" s="309"/>
      <c r="AY478" s="309"/>
      <c r="AZ478" s="309"/>
      <c r="BA478" s="309"/>
      <c r="BB478" s="309"/>
      <c r="BC478" s="309"/>
      <c r="BD478" s="309"/>
      <c r="BE478" s="309"/>
      <c r="BF478" s="309"/>
      <c r="BG478" s="309"/>
      <c r="BH478" s="309"/>
      <c r="BI478" s="309"/>
      <c r="BJ478" s="309"/>
      <c r="BK478" s="309"/>
      <c r="BL478" s="309"/>
      <c r="BM478" s="309"/>
      <c r="BN478" s="309"/>
      <c r="BO478" s="309"/>
      <c r="BP478" s="309"/>
      <c r="BQ478" s="309"/>
      <c r="BR478" s="309"/>
      <c r="BS478" s="309"/>
      <c r="BT478" s="309"/>
      <c r="BU478" s="309"/>
      <c r="BV478" s="309"/>
      <c r="BW478" s="309"/>
      <c r="BX478" s="309"/>
      <c r="BY478" s="309"/>
      <c r="BZ478" s="309"/>
      <c r="CA478" s="285"/>
      <c r="CB478" s="286"/>
      <c r="CC478" s="286"/>
      <c r="CD478" s="286"/>
      <c r="CE478" s="286"/>
      <c r="CF478" s="286"/>
      <c r="CG478" s="286"/>
      <c r="CH478" s="286"/>
      <c r="CI478" s="286"/>
      <c r="CJ478" s="286"/>
      <c r="CK478" s="286"/>
      <c r="CL478" s="286"/>
      <c r="CM478" s="286"/>
      <c r="CN478" s="286"/>
      <c r="CO478" s="286"/>
      <c r="CP478" s="286"/>
      <c r="CQ478" s="286"/>
      <c r="CR478" s="286"/>
      <c r="CS478" s="286"/>
      <c r="CT478" s="286"/>
      <c r="CU478" s="286"/>
      <c r="CV478" s="286"/>
      <c r="CW478" s="286"/>
      <c r="CX478" s="286"/>
      <c r="CY478" s="286"/>
      <c r="CZ478" s="286"/>
      <c r="DA478" s="286"/>
      <c r="DB478" s="286"/>
      <c r="DC478" s="286"/>
      <c r="DD478" s="286"/>
      <c r="DE478" s="286"/>
      <c r="DF478" s="286"/>
      <c r="DG478" s="286"/>
      <c r="DH478" s="286"/>
      <c r="DI478" s="286"/>
      <c r="DJ478" s="286"/>
      <c r="DK478" s="286"/>
      <c r="DL478" s="286"/>
      <c r="DM478" s="286"/>
      <c r="DN478" s="286"/>
      <c r="DO478" s="286"/>
      <c r="DP478" s="286"/>
      <c r="DR478" s="58" t="s">
        <v>11</v>
      </c>
    </row>
    <row r="479" spans="1:122" ht="33" hidden="1" thickBot="1" x14ac:dyDescent="0.25">
      <c r="A479" s="334">
        <v>487</v>
      </c>
      <c r="B479" s="303" t="s">
        <v>622</v>
      </c>
      <c r="C479" s="305" t="s">
        <v>640</v>
      </c>
      <c r="D479" s="302"/>
      <c r="E479" s="304"/>
      <c r="F479" s="305"/>
      <c r="G479" s="310">
        <v>6</v>
      </c>
      <c r="H479" s="307"/>
      <c r="I479" s="307"/>
      <c r="J479" s="308"/>
      <c r="K479" s="305"/>
      <c r="L479" s="309"/>
      <c r="M479" s="309"/>
      <c r="N479" s="309"/>
      <c r="O479" s="309"/>
      <c r="P479" s="309"/>
      <c r="Q479" s="309"/>
      <c r="R479" s="309"/>
      <c r="S479" s="309"/>
      <c r="T479" s="309"/>
      <c r="U479" s="309"/>
      <c r="V479" s="309"/>
      <c r="W479" s="309"/>
      <c r="X479" s="309"/>
      <c r="Y479" s="309"/>
      <c r="Z479" s="309"/>
      <c r="AA479" s="309"/>
      <c r="AB479" s="309"/>
      <c r="AC479" s="309"/>
      <c r="AD479" s="309"/>
      <c r="AE479" s="309"/>
      <c r="AF479" s="309"/>
      <c r="AG479" s="309"/>
      <c r="AH479" s="309"/>
      <c r="AI479" s="309"/>
      <c r="AJ479" s="309"/>
      <c r="AK479" s="309"/>
      <c r="AL479" s="309"/>
      <c r="AM479" s="309"/>
      <c r="AN479" s="309"/>
      <c r="AO479" s="309"/>
      <c r="AP479" s="309"/>
      <c r="AQ479" s="309"/>
      <c r="AR479" s="309"/>
      <c r="AS479" s="309"/>
      <c r="AT479" s="309"/>
      <c r="AU479" s="309"/>
      <c r="AV479" s="309"/>
      <c r="AW479" s="309"/>
      <c r="AX479" s="309"/>
      <c r="AY479" s="309"/>
      <c r="AZ479" s="309"/>
      <c r="BA479" s="309"/>
      <c r="BB479" s="309"/>
      <c r="BC479" s="309"/>
      <c r="BD479" s="309"/>
      <c r="BE479" s="309"/>
      <c r="BF479" s="309"/>
      <c r="BG479" s="309"/>
      <c r="BH479" s="309"/>
      <c r="BI479" s="309"/>
      <c r="BJ479" s="309"/>
      <c r="BK479" s="309"/>
      <c r="BL479" s="309"/>
      <c r="BM479" s="309"/>
      <c r="BN479" s="309"/>
      <c r="BO479" s="309"/>
      <c r="BP479" s="309"/>
      <c r="BQ479" s="309"/>
      <c r="BR479" s="309"/>
      <c r="BS479" s="309"/>
      <c r="BT479" s="309"/>
      <c r="BU479" s="309"/>
      <c r="BV479" s="309"/>
      <c r="BW479" s="309"/>
      <c r="BX479" s="309"/>
      <c r="BY479" s="309"/>
      <c r="BZ479" s="309"/>
      <c r="CA479" s="285"/>
      <c r="CB479" s="286"/>
      <c r="CC479" s="286"/>
      <c r="CD479" s="286"/>
      <c r="CE479" s="286"/>
      <c r="CF479" s="286"/>
      <c r="CG479" s="286"/>
      <c r="CH479" s="286"/>
      <c r="CI479" s="286"/>
      <c r="CJ479" s="286"/>
      <c r="CK479" s="286"/>
      <c r="CL479" s="286"/>
      <c r="CM479" s="286"/>
      <c r="CN479" s="286"/>
      <c r="CO479" s="286"/>
      <c r="CP479" s="286"/>
      <c r="CQ479" s="286"/>
      <c r="CR479" s="286"/>
      <c r="CS479" s="286"/>
      <c r="CT479" s="286"/>
      <c r="CU479" s="286"/>
      <c r="CV479" s="286"/>
      <c r="CW479" s="286"/>
      <c r="CX479" s="286"/>
      <c r="CY479" s="286"/>
      <c r="CZ479" s="286"/>
      <c r="DA479" s="286"/>
      <c r="DB479" s="286"/>
      <c r="DC479" s="286"/>
      <c r="DD479" s="286"/>
      <c r="DE479" s="286"/>
      <c r="DF479" s="286"/>
      <c r="DG479" s="286"/>
      <c r="DH479" s="286"/>
      <c r="DI479" s="286"/>
      <c r="DJ479" s="286"/>
      <c r="DK479" s="286"/>
      <c r="DL479" s="286"/>
      <c r="DM479" s="286"/>
      <c r="DN479" s="286"/>
      <c r="DO479" s="286"/>
      <c r="DP479" s="286"/>
      <c r="DR479" s="58" t="s">
        <v>11</v>
      </c>
    </row>
    <row r="480" spans="1:122" ht="33" hidden="1" thickBot="1" x14ac:dyDescent="0.25">
      <c r="A480" s="334">
        <v>488</v>
      </c>
      <c r="B480" s="303" t="s">
        <v>641</v>
      </c>
      <c r="C480" s="305" t="s">
        <v>642</v>
      </c>
      <c r="D480" s="302"/>
      <c r="E480" s="304"/>
      <c r="F480" s="305"/>
      <c r="G480" s="312" t="s">
        <v>658</v>
      </c>
      <c r="H480" s="307"/>
      <c r="I480" s="307"/>
      <c r="J480" s="308"/>
      <c r="K480" s="305"/>
      <c r="L480" s="309"/>
      <c r="M480" s="309"/>
      <c r="N480" s="309"/>
      <c r="O480" s="309"/>
      <c r="P480" s="309"/>
      <c r="Q480" s="309"/>
      <c r="R480" s="309"/>
      <c r="S480" s="309"/>
      <c r="T480" s="309"/>
      <c r="U480" s="309"/>
      <c r="V480" s="309"/>
      <c r="W480" s="309"/>
      <c r="X480" s="309"/>
      <c r="Y480" s="309"/>
      <c r="Z480" s="309"/>
      <c r="AA480" s="309"/>
      <c r="AB480" s="309"/>
      <c r="AC480" s="309"/>
      <c r="AD480" s="309"/>
      <c r="AE480" s="309"/>
      <c r="AF480" s="309"/>
      <c r="AG480" s="309"/>
      <c r="AH480" s="309"/>
      <c r="AI480" s="309"/>
      <c r="AJ480" s="309"/>
      <c r="AK480" s="309"/>
      <c r="AL480" s="309"/>
      <c r="AM480" s="309"/>
      <c r="AN480" s="309"/>
      <c r="AO480" s="309"/>
      <c r="AP480" s="309"/>
      <c r="AQ480" s="309"/>
      <c r="AR480" s="309"/>
      <c r="AS480" s="309"/>
      <c r="AT480" s="309"/>
      <c r="AU480" s="309"/>
      <c r="AV480" s="309"/>
      <c r="AW480" s="309"/>
      <c r="AX480" s="309"/>
      <c r="AY480" s="309"/>
      <c r="AZ480" s="309"/>
      <c r="BA480" s="309"/>
      <c r="BB480" s="309"/>
      <c r="BC480" s="309"/>
      <c r="BD480" s="309"/>
      <c r="BE480" s="309"/>
      <c r="BF480" s="309"/>
      <c r="BG480" s="309"/>
      <c r="BH480" s="309"/>
      <c r="BI480" s="309"/>
      <c r="BJ480" s="309"/>
      <c r="BK480" s="309"/>
      <c r="BL480" s="309"/>
      <c r="BM480" s="309"/>
      <c r="BN480" s="309"/>
      <c r="BO480" s="309"/>
      <c r="BP480" s="309"/>
      <c r="BQ480" s="309"/>
      <c r="BR480" s="309"/>
      <c r="BS480" s="309"/>
      <c r="BT480" s="309"/>
      <c r="BU480" s="309"/>
      <c r="BV480" s="309"/>
      <c r="BW480" s="309"/>
      <c r="BX480" s="309"/>
      <c r="BY480" s="309"/>
      <c r="BZ480" s="309"/>
      <c r="CA480" s="285"/>
      <c r="CB480" s="286"/>
      <c r="CC480" s="286"/>
      <c r="CD480" s="286"/>
      <c r="CE480" s="286"/>
      <c r="CF480" s="286"/>
      <c r="CG480" s="286"/>
      <c r="CH480" s="286"/>
      <c r="CI480" s="286"/>
      <c r="CJ480" s="286"/>
      <c r="CK480" s="286"/>
      <c r="CL480" s="286"/>
      <c r="CM480" s="286"/>
      <c r="CN480" s="286"/>
      <c r="CO480" s="286"/>
      <c r="CP480" s="286"/>
      <c r="CQ480" s="286"/>
      <c r="CR480" s="286"/>
      <c r="CS480" s="286"/>
      <c r="CT480" s="286"/>
      <c r="CU480" s="286"/>
      <c r="CV480" s="286"/>
      <c r="CW480" s="286"/>
      <c r="CX480" s="286"/>
      <c r="CY480" s="286"/>
      <c r="CZ480" s="286"/>
      <c r="DA480" s="286"/>
      <c r="DB480" s="286"/>
      <c r="DC480" s="286"/>
      <c r="DD480" s="286"/>
      <c r="DE480" s="286"/>
      <c r="DF480" s="286"/>
      <c r="DG480" s="286"/>
      <c r="DH480" s="286"/>
      <c r="DI480" s="286"/>
      <c r="DJ480" s="286"/>
      <c r="DK480" s="286"/>
      <c r="DL480" s="286"/>
      <c r="DM480" s="286"/>
      <c r="DN480" s="286"/>
      <c r="DO480" s="286"/>
      <c r="DP480" s="286"/>
      <c r="DR480" s="58" t="s">
        <v>11</v>
      </c>
    </row>
    <row r="481" spans="1:131" ht="33" hidden="1" thickBot="1" x14ac:dyDescent="0.25">
      <c r="A481" s="334">
        <v>489</v>
      </c>
      <c r="B481" s="303" t="s">
        <v>641</v>
      </c>
      <c r="C481" s="305" t="s">
        <v>643</v>
      </c>
      <c r="D481" s="302"/>
      <c r="E481" s="304"/>
      <c r="F481" s="305"/>
      <c r="G481" s="312"/>
      <c r="H481" s="307"/>
      <c r="I481" s="307"/>
      <c r="J481" s="308"/>
      <c r="K481" s="305"/>
      <c r="L481" s="309"/>
      <c r="M481" s="309"/>
      <c r="N481" s="309"/>
      <c r="O481" s="309"/>
      <c r="P481" s="309"/>
      <c r="Q481" s="309"/>
      <c r="R481" s="309"/>
      <c r="S481" s="309"/>
      <c r="T481" s="309"/>
      <c r="U481" s="309"/>
      <c r="V481" s="309"/>
      <c r="W481" s="309"/>
      <c r="X481" s="309"/>
      <c r="Y481" s="309"/>
      <c r="Z481" s="309"/>
      <c r="AA481" s="309"/>
      <c r="AB481" s="309"/>
      <c r="AC481" s="309"/>
      <c r="AD481" s="309"/>
      <c r="AE481" s="309"/>
      <c r="AF481" s="309"/>
      <c r="AG481" s="309"/>
      <c r="AH481" s="309"/>
      <c r="AI481" s="309"/>
      <c r="AJ481" s="309"/>
      <c r="AK481" s="309"/>
      <c r="AL481" s="309"/>
      <c r="AM481" s="309"/>
      <c r="AN481" s="309"/>
      <c r="AO481" s="309"/>
      <c r="AP481" s="309"/>
      <c r="AQ481" s="309"/>
      <c r="AR481" s="309"/>
      <c r="AS481" s="309"/>
      <c r="AT481" s="309"/>
      <c r="AU481" s="309"/>
      <c r="AV481" s="309"/>
      <c r="AW481" s="309"/>
      <c r="AX481" s="309"/>
      <c r="AY481" s="309"/>
      <c r="AZ481" s="309"/>
      <c r="BA481" s="309"/>
      <c r="BB481" s="309"/>
      <c r="BC481" s="309"/>
      <c r="BD481" s="309"/>
      <c r="BE481" s="309"/>
      <c r="BF481" s="309"/>
      <c r="BG481" s="309"/>
      <c r="BH481" s="309"/>
      <c r="BI481" s="309"/>
      <c r="BJ481" s="309"/>
      <c r="BK481" s="309"/>
      <c r="BL481" s="309"/>
      <c r="BM481" s="309"/>
      <c r="BN481" s="309"/>
      <c r="BO481" s="309"/>
      <c r="BP481" s="309"/>
      <c r="BQ481" s="309"/>
      <c r="BR481" s="309"/>
      <c r="BS481" s="309"/>
      <c r="BT481" s="309"/>
      <c r="BU481" s="309"/>
      <c r="BV481" s="309"/>
      <c r="BW481" s="309"/>
      <c r="BX481" s="309"/>
      <c r="BY481" s="309"/>
      <c r="BZ481" s="309"/>
      <c r="CA481" s="285"/>
      <c r="CB481" s="286"/>
      <c r="CC481" s="286"/>
      <c r="CD481" s="286"/>
      <c r="CE481" s="286"/>
      <c r="CF481" s="286"/>
      <c r="CG481" s="286"/>
      <c r="CH481" s="286"/>
      <c r="CI481" s="286"/>
      <c r="CJ481" s="286"/>
      <c r="CK481" s="286"/>
      <c r="CL481" s="286"/>
      <c r="CM481" s="286"/>
      <c r="CN481" s="286"/>
      <c r="CO481" s="286"/>
      <c r="CP481" s="286"/>
      <c r="CQ481" s="286"/>
      <c r="CR481" s="286"/>
      <c r="CS481" s="286"/>
      <c r="CT481" s="286"/>
      <c r="CU481" s="286"/>
      <c r="CV481" s="286"/>
      <c r="CW481" s="286"/>
      <c r="CX481" s="286"/>
      <c r="CY481" s="286"/>
      <c r="CZ481" s="286"/>
      <c r="DA481" s="286"/>
      <c r="DB481" s="286"/>
      <c r="DC481" s="286"/>
      <c r="DD481" s="286"/>
      <c r="DE481" s="286"/>
      <c r="DF481" s="286"/>
      <c r="DG481" s="286"/>
      <c r="DH481" s="286"/>
      <c r="DI481" s="286"/>
      <c r="DJ481" s="286"/>
      <c r="DK481" s="286"/>
      <c r="DL481" s="286"/>
      <c r="DM481" s="286"/>
      <c r="DN481" s="286"/>
      <c r="DO481" s="286"/>
      <c r="DP481" s="286"/>
      <c r="DR481" s="58" t="s">
        <v>11</v>
      </c>
    </row>
    <row r="482" spans="1:131" ht="17" hidden="1" thickBot="1" x14ac:dyDescent="0.25">
      <c r="A482" s="334">
        <v>490</v>
      </c>
      <c r="B482" s="303" t="s">
        <v>641</v>
      </c>
      <c r="C482" s="305" t="s">
        <v>629</v>
      </c>
      <c r="D482" s="302"/>
      <c r="E482" s="304"/>
      <c r="F482" s="305"/>
      <c r="G482" s="310" t="s">
        <v>658</v>
      </c>
      <c r="H482" s="307"/>
      <c r="I482" s="307"/>
      <c r="J482" s="308"/>
      <c r="K482" s="305"/>
      <c r="L482" s="309"/>
      <c r="M482" s="309"/>
      <c r="N482" s="309"/>
      <c r="O482" s="309"/>
      <c r="P482" s="309"/>
      <c r="Q482" s="309"/>
      <c r="R482" s="309"/>
      <c r="S482" s="309"/>
      <c r="T482" s="309"/>
      <c r="U482" s="309"/>
      <c r="V482" s="309"/>
      <c r="W482" s="309"/>
      <c r="X482" s="309"/>
      <c r="Y482" s="309"/>
      <c r="Z482" s="309"/>
      <c r="AA482" s="309"/>
      <c r="AB482" s="309"/>
      <c r="AC482" s="309"/>
      <c r="AD482" s="309"/>
      <c r="AE482" s="309"/>
      <c r="AF482" s="309"/>
      <c r="AG482" s="309"/>
      <c r="AH482" s="309"/>
      <c r="AI482" s="309"/>
      <c r="AJ482" s="309"/>
      <c r="AK482" s="309"/>
      <c r="AL482" s="309"/>
      <c r="AM482" s="309"/>
      <c r="AN482" s="309"/>
      <c r="AO482" s="309"/>
      <c r="AP482" s="309"/>
      <c r="AQ482" s="309"/>
      <c r="AR482" s="309"/>
      <c r="AS482" s="309"/>
      <c r="AT482" s="309"/>
      <c r="AU482" s="309"/>
      <c r="AV482" s="309"/>
      <c r="AW482" s="309"/>
      <c r="AX482" s="309"/>
      <c r="AY482" s="309"/>
      <c r="AZ482" s="309"/>
      <c r="BA482" s="309"/>
      <c r="BB482" s="309"/>
      <c r="BC482" s="309"/>
      <c r="BD482" s="309"/>
      <c r="BE482" s="309"/>
      <c r="BF482" s="309"/>
      <c r="BG482" s="309"/>
      <c r="BH482" s="309"/>
      <c r="BI482" s="309"/>
      <c r="BJ482" s="309"/>
      <c r="BK482" s="309"/>
      <c r="BL482" s="309"/>
      <c r="BM482" s="309"/>
      <c r="BN482" s="309"/>
      <c r="BO482" s="309"/>
      <c r="BP482" s="309"/>
      <c r="BQ482" s="309"/>
      <c r="BR482" s="309"/>
      <c r="BS482" s="309"/>
      <c r="BT482" s="309"/>
      <c r="BU482" s="309"/>
      <c r="BV482" s="309"/>
      <c r="BW482" s="309"/>
      <c r="BX482" s="309"/>
      <c r="BY482" s="309"/>
      <c r="BZ482" s="309"/>
      <c r="CA482" s="285"/>
      <c r="CB482" s="286"/>
      <c r="CC482" s="286"/>
      <c r="CD482" s="286"/>
      <c r="CE482" s="286"/>
      <c r="CF482" s="286"/>
      <c r="CG482" s="286"/>
      <c r="CH482" s="286"/>
      <c r="CI482" s="286"/>
      <c r="CJ482" s="286"/>
      <c r="CK482" s="286"/>
      <c r="CL482" s="286"/>
      <c r="CM482" s="286"/>
      <c r="CN482" s="286"/>
      <c r="CO482" s="286"/>
      <c r="CP482" s="286"/>
      <c r="CQ482" s="286"/>
      <c r="CR482" s="286"/>
      <c r="CS482" s="286"/>
      <c r="CT482" s="286"/>
      <c r="CU482" s="286"/>
      <c r="CV482" s="286"/>
      <c r="CW482" s="286"/>
      <c r="CX482" s="286"/>
      <c r="CY482" s="286"/>
      <c r="CZ482" s="286"/>
      <c r="DA482" s="286"/>
      <c r="DB482" s="286"/>
      <c r="DC482" s="286"/>
      <c r="DD482" s="286"/>
      <c r="DE482" s="286"/>
      <c r="DF482" s="286"/>
      <c r="DG482" s="286"/>
      <c r="DH482" s="286"/>
      <c r="DI482" s="286"/>
      <c r="DJ482" s="286"/>
      <c r="DK482" s="286"/>
      <c r="DL482" s="286"/>
      <c r="DM482" s="286"/>
      <c r="DN482" s="286"/>
      <c r="DO482" s="286"/>
      <c r="DP482" s="286"/>
      <c r="DR482" s="58" t="s">
        <v>11</v>
      </c>
    </row>
    <row r="483" spans="1:131" ht="33" hidden="1" thickBot="1" x14ac:dyDescent="0.25">
      <c r="A483" s="334">
        <v>491</v>
      </c>
      <c r="B483" s="303" t="s">
        <v>641</v>
      </c>
      <c r="C483" s="305" t="s">
        <v>644</v>
      </c>
      <c r="D483" s="302"/>
      <c r="E483" s="304"/>
      <c r="F483" s="305"/>
      <c r="G483" s="310" t="s">
        <v>678</v>
      </c>
      <c r="H483" s="307"/>
      <c r="I483" s="307"/>
      <c r="J483" s="308"/>
      <c r="K483" s="305"/>
      <c r="L483" s="309"/>
      <c r="M483" s="309"/>
      <c r="N483" s="309"/>
      <c r="O483" s="309"/>
      <c r="P483" s="309"/>
      <c r="Q483" s="309"/>
      <c r="R483" s="309"/>
      <c r="S483" s="309"/>
      <c r="T483" s="309"/>
      <c r="U483" s="309"/>
      <c r="V483" s="309"/>
      <c r="W483" s="309"/>
      <c r="X483" s="309"/>
      <c r="Y483" s="309"/>
      <c r="Z483" s="309"/>
      <c r="AA483" s="309"/>
      <c r="AB483" s="309"/>
      <c r="AC483" s="309"/>
      <c r="AD483" s="309"/>
      <c r="AE483" s="309"/>
      <c r="AF483" s="309"/>
      <c r="AG483" s="309"/>
      <c r="AH483" s="309"/>
      <c r="AI483" s="309"/>
      <c r="AJ483" s="309"/>
      <c r="AK483" s="309"/>
      <c r="AL483" s="309"/>
      <c r="AM483" s="309"/>
      <c r="AN483" s="309"/>
      <c r="AO483" s="309"/>
      <c r="AP483" s="309"/>
      <c r="AQ483" s="309"/>
      <c r="AR483" s="309"/>
      <c r="AS483" s="309"/>
      <c r="AT483" s="309"/>
      <c r="AU483" s="309"/>
      <c r="AV483" s="309"/>
      <c r="AW483" s="309"/>
      <c r="AX483" s="309"/>
      <c r="AY483" s="309"/>
      <c r="AZ483" s="309"/>
      <c r="BA483" s="309"/>
      <c r="BB483" s="309"/>
      <c r="BC483" s="309"/>
      <c r="BD483" s="309"/>
      <c r="BE483" s="309"/>
      <c r="BF483" s="309"/>
      <c r="BG483" s="309"/>
      <c r="BH483" s="309"/>
      <c r="BI483" s="309"/>
      <c r="BJ483" s="309"/>
      <c r="BK483" s="309"/>
      <c r="BL483" s="309"/>
      <c r="BM483" s="309"/>
      <c r="BN483" s="309"/>
      <c r="BO483" s="309"/>
      <c r="BP483" s="309"/>
      <c r="BQ483" s="309"/>
      <c r="BR483" s="309"/>
      <c r="BS483" s="309"/>
      <c r="BT483" s="309"/>
      <c r="BU483" s="309"/>
      <c r="BV483" s="309"/>
      <c r="BW483" s="309"/>
      <c r="BX483" s="309"/>
      <c r="BY483" s="309"/>
      <c r="BZ483" s="309"/>
      <c r="CA483" s="285"/>
      <c r="CB483" s="286"/>
      <c r="CC483" s="286"/>
      <c r="CD483" s="286"/>
      <c r="CE483" s="286"/>
      <c r="CF483" s="286"/>
      <c r="CG483" s="286"/>
      <c r="CH483" s="286"/>
      <c r="CI483" s="286"/>
      <c r="CJ483" s="286"/>
      <c r="CK483" s="286"/>
      <c r="CL483" s="286"/>
      <c r="CM483" s="286"/>
      <c r="CN483" s="286"/>
      <c r="CO483" s="286"/>
      <c r="CP483" s="286"/>
      <c r="CQ483" s="286"/>
      <c r="CR483" s="286"/>
      <c r="CS483" s="286"/>
      <c r="CT483" s="286"/>
      <c r="CU483" s="286"/>
      <c r="CV483" s="286"/>
      <c r="CW483" s="286"/>
      <c r="CX483" s="286"/>
      <c r="CY483" s="286"/>
      <c r="CZ483" s="286"/>
      <c r="DA483" s="286"/>
      <c r="DB483" s="286"/>
      <c r="DC483" s="286"/>
      <c r="DD483" s="286"/>
      <c r="DE483" s="286"/>
      <c r="DF483" s="286"/>
      <c r="DG483" s="286"/>
      <c r="DH483" s="286"/>
      <c r="DI483" s="286"/>
      <c r="DJ483" s="286"/>
      <c r="DK483" s="286"/>
      <c r="DL483" s="286"/>
      <c r="DM483" s="286"/>
      <c r="DN483" s="286"/>
      <c r="DO483" s="286"/>
      <c r="DP483" s="286"/>
      <c r="DR483" s="58" t="s">
        <v>11</v>
      </c>
    </row>
    <row r="484" spans="1:131" ht="33" hidden="1" thickBot="1" x14ac:dyDescent="0.25">
      <c r="A484" s="334">
        <v>492</v>
      </c>
      <c r="B484" s="303" t="s">
        <v>641</v>
      </c>
      <c r="C484" s="305" t="s">
        <v>645</v>
      </c>
      <c r="D484" s="302"/>
      <c r="E484" s="304"/>
      <c r="F484" s="305"/>
      <c r="G484" s="310" t="s">
        <v>658</v>
      </c>
      <c r="H484" s="307"/>
      <c r="I484" s="307"/>
      <c r="J484" s="308"/>
      <c r="K484" s="305"/>
      <c r="L484" s="309"/>
      <c r="M484" s="309"/>
      <c r="N484" s="309"/>
      <c r="O484" s="309"/>
      <c r="P484" s="309"/>
      <c r="Q484" s="309"/>
      <c r="R484" s="309"/>
      <c r="S484" s="309"/>
      <c r="T484" s="309"/>
      <c r="U484" s="309"/>
      <c r="V484" s="309"/>
      <c r="W484" s="309"/>
      <c r="X484" s="309"/>
      <c r="Y484" s="309"/>
      <c r="Z484" s="309"/>
      <c r="AA484" s="309"/>
      <c r="AB484" s="309"/>
      <c r="AC484" s="309"/>
      <c r="AD484" s="309"/>
      <c r="AE484" s="309"/>
      <c r="AF484" s="309"/>
      <c r="AG484" s="309"/>
      <c r="AH484" s="309"/>
      <c r="AI484" s="309"/>
      <c r="AJ484" s="309"/>
      <c r="AK484" s="309"/>
      <c r="AL484" s="309"/>
      <c r="AM484" s="309"/>
      <c r="AN484" s="309"/>
      <c r="AO484" s="309"/>
      <c r="AP484" s="309"/>
      <c r="AQ484" s="309"/>
      <c r="AR484" s="309"/>
      <c r="AS484" s="309"/>
      <c r="AT484" s="309"/>
      <c r="AU484" s="309"/>
      <c r="AV484" s="309"/>
      <c r="AW484" s="309"/>
      <c r="AX484" s="309"/>
      <c r="AY484" s="309"/>
      <c r="AZ484" s="309"/>
      <c r="BA484" s="309"/>
      <c r="BB484" s="309"/>
      <c r="BC484" s="309"/>
      <c r="BD484" s="309"/>
      <c r="BE484" s="309"/>
      <c r="BF484" s="309"/>
      <c r="BG484" s="309"/>
      <c r="BH484" s="309"/>
      <c r="BI484" s="309"/>
      <c r="BJ484" s="309"/>
      <c r="BK484" s="309"/>
      <c r="BL484" s="309"/>
      <c r="BM484" s="309"/>
      <c r="BN484" s="309"/>
      <c r="BO484" s="309"/>
      <c r="BP484" s="309"/>
      <c r="BQ484" s="309"/>
      <c r="BR484" s="309"/>
      <c r="BS484" s="309"/>
      <c r="BT484" s="309"/>
      <c r="BU484" s="309"/>
      <c r="BV484" s="309"/>
      <c r="BW484" s="309"/>
      <c r="BX484" s="309"/>
      <c r="BY484" s="309"/>
      <c r="BZ484" s="309"/>
      <c r="CA484" s="285"/>
      <c r="CB484" s="286"/>
      <c r="CC484" s="286"/>
      <c r="CD484" s="286"/>
      <c r="CE484" s="286"/>
      <c r="CF484" s="286"/>
      <c r="CG484" s="286"/>
      <c r="CH484" s="286"/>
      <c r="CI484" s="286"/>
      <c r="CJ484" s="286"/>
      <c r="CK484" s="286"/>
      <c r="CL484" s="286"/>
      <c r="CM484" s="286"/>
      <c r="CN484" s="286"/>
      <c r="CO484" s="286"/>
      <c r="CP484" s="286"/>
      <c r="CQ484" s="286"/>
      <c r="CR484" s="286"/>
      <c r="CS484" s="286"/>
      <c r="CT484" s="286"/>
      <c r="CU484" s="286"/>
      <c r="CV484" s="286"/>
      <c r="CW484" s="286"/>
      <c r="CX484" s="286"/>
      <c r="CY484" s="286"/>
      <c r="CZ484" s="286"/>
      <c r="DA484" s="286"/>
      <c r="DB484" s="286"/>
      <c r="DC484" s="286"/>
      <c r="DD484" s="286"/>
      <c r="DE484" s="286"/>
      <c r="DF484" s="286"/>
      <c r="DG484" s="286"/>
      <c r="DH484" s="286"/>
      <c r="DI484" s="286"/>
      <c r="DJ484" s="286"/>
      <c r="DK484" s="286"/>
      <c r="DL484" s="286"/>
      <c r="DM484" s="286"/>
      <c r="DN484" s="286"/>
      <c r="DO484" s="286"/>
      <c r="DP484" s="286"/>
      <c r="DR484" s="58" t="s">
        <v>11</v>
      </c>
    </row>
    <row r="485" spans="1:131" ht="33" hidden="1" thickBot="1" x14ac:dyDescent="0.25">
      <c r="A485" s="334">
        <v>493</v>
      </c>
      <c r="B485" s="303" t="s">
        <v>641</v>
      </c>
      <c r="C485" s="305" t="s">
        <v>646</v>
      </c>
      <c r="D485" s="302"/>
      <c r="E485" s="304"/>
      <c r="F485" s="305"/>
      <c r="G485" s="312" t="s">
        <v>658</v>
      </c>
      <c r="H485" s="307"/>
      <c r="I485" s="307"/>
      <c r="J485" s="308"/>
      <c r="K485" s="305"/>
      <c r="L485" s="309"/>
      <c r="M485" s="309"/>
      <c r="N485" s="309"/>
      <c r="O485" s="309"/>
      <c r="P485" s="309"/>
      <c r="Q485" s="309"/>
      <c r="R485" s="309"/>
      <c r="S485" s="309"/>
      <c r="T485" s="309"/>
      <c r="U485" s="309"/>
      <c r="V485" s="309"/>
      <c r="W485" s="309"/>
      <c r="X485" s="309"/>
      <c r="Y485" s="309"/>
      <c r="Z485" s="309"/>
      <c r="AA485" s="309"/>
      <c r="AB485" s="309"/>
      <c r="AC485" s="309"/>
      <c r="AD485" s="309"/>
      <c r="AE485" s="309"/>
      <c r="AF485" s="309"/>
      <c r="AG485" s="309"/>
      <c r="AH485" s="309"/>
      <c r="AI485" s="309"/>
      <c r="AJ485" s="309"/>
      <c r="AK485" s="309"/>
      <c r="AL485" s="309"/>
      <c r="AM485" s="309"/>
      <c r="AN485" s="309"/>
      <c r="AO485" s="309"/>
      <c r="AP485" s="309"/>
      <c r="AQ485" s="309"/>
      <c r="AR485" s="309"/>
      <c r="AS485" s="309"/>
      <c r="AT485" s="309"/>
      <c r="AU485" s="309"/>
      <c r="AV485" s="309"/>
      <c r="AW485" s="309"/>
      <c r="AX485" s="309"/>
      <c r="AY485" s="309"/>
      <c r="AZ485" s="309"/>
      <c r="BA485" s="309"/>
      <c r="BB485" s="309"/>
      <c r="BC485" s="309"/>
      <c r="BD485" s="309"/>
      <c r="BE485" s="309"/>
      <c r="BF485" s="309"/>
      <c r="BG485" s="309"/>
      <c r="BH485" s="309"/>
      <c r="BI485" s="309"/>
      <c r="BJ485" s="309"/>
      <c r="BK485" s="309"/>
      <c r="BL485" s="309"/>
      <c r="BM485" s="309"/>
      <c r="BN485" s="309"/>
      <c r="BO485" s="309"/>
      <c r="BP485" s="309"/>
      <c r="BQ485" s="309"/>
      <c r="BR485" s="309"/>
      <c r="BS485" s="309"/>
      <c r="BT485" s="309"/>
      <c r="BU485" s="309"/>
      <c r="BV485" s="309"/>
      <c r="BW485" s="309"/>
      <c r="BX485" s="309"/>
      <c r="BY485" s="309"/>
      <c r="BZ485" s="309"/>
      <c r="CA485" s="285"/>
      <c r="CB485" s="286"/>
      <c r="CC485" s="286"/>
      <c r="CD485" s="286"/>
      <c r="CE485" s="286"/>
      <c r="CF485" s="286"/>
      <c r="CG485" s="286"/>
      <c r="CH485" s="286"/>
      <c r="CI485" s="286"/>
      <c r="CJ485" s="286"/>
      <c r="CK485" s="286"/>
      <c r="CL485" s="286"/>
      <c r="CM485" s="286"/>
      <c r="CN485" s="286"/>
      <c r="CO485" s="286"/>
      <c r="CP485" s="286"/>
      <c r="CQ485" s="286"/>
      <c r="CR485" s="286"/>
      <c r="CS485" s="286"/>
      <c r="CT485" s="286"/>
      <c r="CU485" s="286"/>
      <c r="CV485" s="286"/>
      <c r="CW485" s="286"/>
      <c r="CX485" s="286"/>
      <c r="CY485" s="286"/>
      <c r="CZ485" s="286"/>
      <c r="DA485" s="286"/>
      <c r="DB485" s="286"/>
      <c r="DC485" s="286"/>
      <c r="DD485" s="286"/>
      <c r="DE485" s="286"/>
      <c r="DF485" s="286"/>
      <c r="DG485" s="286"/>
      <c r="DH485" s="286"/>
      <c r="DI485" s="286"/>
      <c r="DJ485" s="286"/>
      <c r="DK485" s="286"/>
      <c r="DL485" s="286"/>
      <c r="DM485" s="286"/>
      <c r="DN485" s="286"/>
      <c r="DO485" s="286"/>
      <c r="DP485" s="286"/>
      <c r="DR485" s="58" t="s">
        <v>11</v>
      </c>
    </row>
    <row r="486" spans="1:131" s="171" customFormat="1" ht="33" hidden="1" thickBot="1" x14ac:dyDescent="0.25">
      <c r="A486" s="334">
        <v>494</v>
      </c>
      <c r="B486" s="303" t="s">
        <v>641</v>
      </c>
      <c r="C486" s="305" t="s">
        <v>647</v>
      </c>
      <c r="D486" s="302"/>
      <c r="E486" s="304"/>
      <c r="F486" s="305"/>
      <c r="G486" s="312"/>
      <c r="H486" s="307"/>
      <c r="I486" s="307"/>
      <c r="J486" s="308"/>
      <c r="K486" s="305"/>
      <c r="L486" s="309"/>
      <c r="M486" s="309"/>
      <c r="N486" s="309"/>
      <c r="O486" s="309"/>
      <c r="P486" s="309"/>
      <c r="Q486" s="309"/>
      <c r="R486" s="309"/>
      <c r="S486" s="309"/>
      <c r="T486" s="309"/>
      <c r="U486" s="309"/>
      <c r="V486" s="309"/>
      <c r="W486" s="309"/>
      <c r="X486" s="309"/>
      <c r="Y486" s="309"/>
      <c r="Z486" s="309"/>
      <c r="AA486" s="309"/>
      <c r="AB486" s="309"/>
      <c r="AC486" s="309"/>
      <c r="AD486" s="309"/>
      <c r="AE486" s="309"/>
      <c r="AF486" s="309"/>
      <c r="AG486" s="309"/>
      <c r="AH486" s="309"/>
      <c r="AI486" s="309"/>
      <c r="AJ486" s="309"/>
      <c r="AK486" s="309"/>
      <c r="AL486" s="309"/>
      <c r="AM486" s="309"/>
      <c r="AN486" s="309"/>
      <c r="AO486" s="309"/>
      <c r="AP486" s="309"/>
      <c r="AQ486" s="309"/>
      <c r="AR486" s="309"/>
      <c r="AS486" s="309"/>
      <c r="AT486" s="309"/>
      <c r="AU486" s="309"/>
      <c r="AV486" s="309"/>
      <c r="AW486" s="309"/>
      <c r="AX486" s="309"/>
      <c r="AY486" s="309"/>
      <c r="AZ486" s="309"/>
      <c r="BA486" s="309"/>
      <c r="BB486" s="309"/>
      <c r="BC486" s="309"/>
      <c r="BD486" s="309"/>
      <c r="BE486" s="309"/>
      <c r="BF486" s="309"/>
      <c r="BG486" s="309"/>
      <c r="BH486" s="309"/>
      <c r="BI486" s="309"/>
      <c r="BJ486" s="309"/>
      <c r="BK486" s="309"/>
      <c r="BL486" s="309"/>
      <c r="BM486" s="309"/>
      <c r="BN486" s="309"/>
      <c r="BO486" s="309"/>
      <c r="BP486" s="309"/>
      <c r="BQ486" s="309"/>
      <c r="BR486" s="309"/>
      <c r="BS486" s="309"/>
      <c r="BT486" s="309"/>
      <c r="BU486" s="309"/>
      <c r="BV486" s="309"/>
      <c r="BW486" s="309"/>
      <c r="BX486" s="309"/>
      <c r="BY486" s="309"/>
      <c r="BZ486" s="309"/>
      <c r="CA486" s="285"/>
      <c r="CB486" s="286"/>
      <c r="CC486" s="286"/>
      <c r="CD486" s="286"/>
      <c r="CE486" s="286"/>
      <c r="CF486" s="286"/>
      <c r="CG486" s="286"/>
      <c r="CH486" s="286"/>
      <c r="CI486" s="286"/>
      <c r="CJ486" s="286"/>
      <c r="CK486" s="286"/>
      <c r="CL486" s="286"/>
      <c r="CM486" s="286"/>
      <c r="CN486" s="286"/>
      <c r="CO486" s="286"/>
      <c r="CP486" s="286"/>
      <c r="CQ486" s="286"/>
      <c r="CR486" s="286"/>
      <c r="CS486" s="286"/>
      <c r="CT486" s="286"/>
      <c r="CU486" s="286"/>
      <c r="CV486" s="286"/>
      <c r="CW486" s="286"/>
      <c r="CX486" s="286"/>
      <c r="CY486" s="286"/>
      <c r="CZ486" s="286"/>
      <c r="DA486" s="286"/>
      <c r="DB486" s="286"/>
      <c r="DC486" s="286"/>
      <c r="DD486" s="286"/>
      <c r="DE486" s="286"/>
      <c r="DF486" s="286"/>
      <c r="DG486" s="286"/>
      <c r="DH486" s="286"/>
      <c r="DI486" s="286"/>
      <c r="DJ486" s="286"/>
      <c r="DK486" s="286"/>
      <c r="DL486" s="286"/>
      <c r="DM486" s="286"/>
      <c r="DN486" s="286"/>
      <c r="DO486" s="286"/>
      <c r="DP486" s="286"/>
      <c r="DQ486"/>
      <c r="DR486" s="58" t="s">
        <v>11</v>
      </c>
      <c r="DS486" s="58"/>
      <c r="DT486" s="58"/>
      <c r="DU486" s="58"/>
      <c r="DV486" s="58"/>
      <c r="DW486" s="58"/>
      <c r="DX486" s="58"/>
      <c r="DY486" s="58"/>
      <c r="DZ486" s="58"/>
      <c r="EA486" s="58"/>
    </row>
    <row r="487" spans="1:131" ht="17" hidden="1" thickBot="1" x14ac:dyDescent="0.25">
      <c r="A487" s="334">
        <v>495</v>
      </c>
      <c r="B487" s="303" t="s">
        <v>641</v>
      </c>
      <c r="C487" s="305" t="s">
        <v>638</v>
      </c>
      <c r="D487" s="302"/>
      <c r="E487" s="304"/>
      <c r="F487" s="305"/>
      <c r="G487" s="310" t="s">
        <v>658</v>
      </c>
      <c r="H487" s="307"/>
      <c r="I487" s="307"/>
      <c r="J487" s="308"/>
      <c r="K487" s="305"/>
      <c r="L487" s="309"/>
      <c r="M487" s="309"/>
      <c r="N487" s="309"/>
      <c r="O487" s="309"/>
      <c r="P487" s="309"/>
      <c r="Q487" s="309"/>
      <c r="R487" s="309"/>
      <c r="S487" s="309"/>
      <c r="T487" s="309"/>
      <c r="U487" s="309"/>
      <c r="V487" s="309"/>
      <c r="W487" s="309"/>
      <c r="X487" s="309"/>
      <c r="Y487" s="309"/>
      <c r="Z487" s="309"/>
      <c r="AA487" s="309"/>
      <c r="AB487" s="309"/>
      <c r="AC487" s="309"/>
      <c r="AD487" s="309"/>
      <c r="AE487" s="309"/>
      <c r="AF487" s="309"/>
      <c r="AG487" s="309"/>
      <c r="AH487" s="309"/>
      <c r="AI487" s="309"/>
      <c r="AJ487" s="309"/>
      <c r="AK487" s="309"/>
      <c r="AL487" s="309"/>
      <c r="AM487" s="309"/>
      <c r="AN487" s="309"/>
      <c r="AO487" s="309"/>
      <c r="AP487" s="309"/>
      <c r="AQ487" s="309"/>
      <c r="AR487" s="309"/>
      <c r="AS487" s="309"/>
      <c r="AT487" s="309"/>
      <c r="AU487" s="309"/>
      <c r="AV487" s="309"/>
      <c r="AW487" s="309"/>
      <c r="AX487" s="309"/>
      <c r="AY487" s="309"/>
      <c r="AZ487" s="309"/>
      <c r="BA487" s="309"/>
      <c r="BB487" s="309"/>
      <c r="BC487" s="309"/>
      <c r="BD487" s="309"/>
      <c r="BE487" s="309"/>
      <c r="BF487" s="309"/>
      <c r="BG487" s="309"/>
      <c r="BH487" s="309"/>
      <c r="BI487" s="309"/>
      <c r="BJ487" s="309"/>
      <c r="BK487" s="309"/>
      <c r="BL487" s="309"/>
      <c r="BM487" s="309"/>
      <c r="BN487" s="309"/>
      <c r="BO487" s="309"/>
      <c r="BP487" s="309"/>
      <c r="BQ487" s="309"/>
      <c r="BR487" s="309"/>
      <c r="BS487" s="309"/>
      <c r="BT487" s="309"/>
      <c r="BU487" s="309"/>
      <c r="BV487" s="309"/>
      <c r="BW487" s="309"/>
      <c r="BX487" s="309"/>
      <c r="BY487" s="309"/>
      <c r="BZ487" s="309"/>
      <c r="CA487" s="285"/>
      <c r="CB487" s="286"/>
      <c r="CC487" s="286"/>
      <c r="CD487" s="286"/>
      <c r="CE487" s="286"/>
      <c r="CF487" s="286"/>
      <c r="CG487" s="286"/>
      <c r="CH487" s="286"/>
      <c r="CI487" s="286"/>
      <c r="CJ487" s="286"/>
      <c r="CK487" s="286"/>
      <c r="CL487" s="286"/>
      <c r="CM487" s="286"/>
      <c r="CN487" s="286"/>
      <c r="CO487" s="286"/>
      <c r="CP487" s="286"/>
      <c r="CQ487" s="286"/>
      <c r="CR487" s="286"/>
      <c r="CS487" s="286"/>
      <c r="CT487" s="286"/>
      <c r="CU487" s="286"/>
      <c r="CV487" s="286"/>
      <c r="CW487" s="286"/>
      <c r="CX487" s="286"/>
      <c r="CY487" s="286"/>
      <c r="CZ487" s="286"/>
      <c r="DA487" s="286"/>
      <c r="DB487" s="286"/>
      <c r="DC487" s="286"/>
      <c r="DD487" s="286"/>
      <c r="DE487" s="286"/>
      <c r="DF487" s="286"/>
      <c r="DG487" s="286"/>
      <c r="DH487" s="286"/>
      <c r="DI487" s="286"/>
      <c r="DJ487" s="286"/>
      <c r="DK487" s="286"/>
      <c r="DL487" s="286"/>
      <c r="DM487" s="286"/>
      <c r="DN487" s="286"/>
      <c r="DO487" s="286"/>
      <c r="DP487" s="286"/>
      <c r="DR487" s="58" t="s">
        <v>11</v>
      </c>
    </row>
    <row r="488" spans="1:131" ht="33" hidden="1" thickBot="1" x14ac:dyDescent="0.25">
      <c r="A488" s="334">
        <v>496</v>
      </c>
      <c r="B488" s="303" t="s">
        <v>641</v>
      </c>
      <c r="C488" s="305" t="s">
        <v>648</v>
      </c>
      <c r="D488" s="302"/>
      <c r="E488" s="304"/>
      <c r="F488" s="305"/>
      <c r="G488" s="310" t="s">
        <v>678</v>
      </c>
      <c r="H488" s="307"/>
      <c r="I488" s="307"/>
      <c r="J488" s="308"/>
      <c r="K488" s="305"/>
      <c r="L488" s="309"/>
      <c r="M488" s="309"/>
      <c r="N488" s="309"/>
      <c r="O488" s="309"/>
      <c r="P488" s="309"/>
      <c r="Q488" s="309"/>
      <c r="R488" s="309"/>
      <c r="S488" s="309"/>
      <c r="T488" s="309"/>
      <c r="U488" s="309"/>
      <c r="V488" s="309"/>
      <c r="W488" s="309"/>
      <c r="X488" s="309"/>
      <c r="Y488" s="309"/>
      <c r="Z488" s="309"/>
      <c r="AA488" s="309"/>
      <c r="AB488" s="309"/>
      <c r="AC488" s="309"/>
      <c r="AD488" s="309"/>
      <c r="AE488" s="309"/>
      <c r="AF488" s="309"/>
      <c r="AG488" s="309"/>
      <c r="AH488" s="309"/>
      <c r="AI488" s="309"/>
      <c r="AJ488" s="309"/>
      <c r="AK488" s="309"/>
      <c r="AL488" s="309"/>
      <c r="AM488" s="309"/>
      <c r="AN488" s="309"/>
      <c r="AO488" s="309"/>
      <c r="AP488" s="309"/>
      <c r="AQ488" s="309"/>
      <c r="AR488" s="309"/>
      <c r="AS488" s="309"/>
      <c r="AT488" s="309"/>
      <c r="AU488" s="309"/>
      <c r="AV488" s="309"/>
      <c r="AW488" s="309"/>
      <c r="AX488" s="309"/>
      <c r="AY488" s="309"/>
      <c r="AZ488" s="309"/>
      <c r="BA488" s="309"/>
      <c r="BB488" s="309"/>
      <c r="BC488" s="309"/>
      <c r="BD488" s="309"/>
      <c r="BE488" s="309"/>
      <c r="BF488" s="309"/>
      <c r="BG488" s="309"/>
      <c r="BH488" s="309"/>
      <c r="BI488" s="309"/>
      <c r="BJ488" s="309"/>
      <c r="BK488" s="309"/>
      <c r="BL488" s="309"/>
      <c r="BM488" s="309"/>
      <c r="BN488" s="309"/>
      <c r="BO488" s="309"/>
      <c r="BP488" s="309"/>
      <c r="BQ488" s="309"/>
      <c r="BR488" s="309"/>
      <c r="BS488" s="309"/>
      <c r="BT488" s="309"/>
      <c r="BU488" s="309"/>
      <c r="BV488" s="309"/>
      <c r="BW488" s="309"/>
      <c r="BX488" s="309"/>
      <c r="BY488" s="309"/>
      <c r="BZ488" s="309"/>
      <c r="CA488" s="285"/>
      <c r="CB488" s="286"/>
      <c r="CC488" s="286"/>
      <c r="CD488" s="286"/>
      <c r="CE488" s="286"/>
      <c r="CF488" s="286"/>
      <c r="CG488" s="286"/>
      <c r="CH488" s="286"/>
      <c r="CI488" s="286"/>
      <c r="CJ488" s="286"/>
      <c r="CK488" s="286"/>
      <c r="CL488" s="286"/>
      <c r="CM488" s="286"/>
      <c r="CN488" s="286"/>
      <c r="CO488" s="286"/>
      <c r="CP488" s="286"/>
      <c r="CQ488" s="286"/>
      <c r="CR488" s="286"/>
      <c r="CS488" s="286"/>
      <c r="CT488" s="286"/>
      <c r="CU488" s="286"/>
      <c r="CV488" s="286"/>
      <c r="CW488" s="286"/>
      <c r="CX488" s="286"/>
      <c r="CY488" s="286"/>
      <c r="CZ488" s="286"/>
      <c r="DA488" s="286"/>
      <c r="DB488" s="286"/>
      <c r="DC488" s="286"/>
      <c r="DD488" s="286"/>
      <c r="DE488" s="286"/>
      <c r="DF488" s="286"/>
      <c r="DG488" s="286"/>
      <c r="DH488" s="286"/>
      <c r="DI488" s="286"/>
      <c r="DJ488" s="286"/>
      <c r="DK488" s="286"/>
      <c r="DL488" s="286"/>
      <c r="DM488" s="286"/>
      <c r="DN488" s="286"/>
      <c r="DO488" s="286"/>
      <c r="DP488" s="286"/>
    </row>
    <row r="489" spans="1:131" ht="33" hidden="1" thickBot="1" x14ac:dyDescent="0.25">
      <c r="A489" s="334">
        <v>497</v>
      </c>
      <c r="B489" s="303" t="s">
        <v>641</v>
      </c>
      <c r="C489" s="305" t="s">
        <v>649</v>
      </c>
      <c r="D489" s="302"/>
      <c r="E489" s="304"/>
      <c r="F489" s="305"/>
      <c r="G489" s="310" t="s">
        <v>658</v>
      </c>
      <c r="H489" s="307"/>
      <c r="I489" s="307"/>
      <c r="J489" s="308"/>
      <c r="K489" s="305"/>
      <c r="L489" s="309"/>
      <c r="M489" s="309"/>
      <c r="N489" s="309"/>
      <c r="O489" s="309"/>
      <c r="P489" s="309"/>
      <c r="Q489" s="309"/>
      <c r="R489" s="309"/>
      <c r="S489" s="309"/>
      <c r="T489" s="309"/>
      <c r="U489" s="309"/>
      <c r="V489" s="309"/>
      <c r="W489" s="309"/>
      <c r="X489" s="309"/>
      <c r="Y489" s="309"/>
      <c r="Z489" s="309"/>
      <c r="AA489" s="309"/>
      <c r="AB489" s="309"/>
      <c r="AC489" s="309"/>
      <c r="AD489" s="309"/>
      <c r="AE489" s="309"/>
      <c r="AF489" s="309"/>
      <c r="AG489" s="309"/>
      <c r="AH489" s="309"/>
      <c r="AI489" s="309"/>
      <c r="AJ489" s="309"/>
      <c r="AK489" s="309"/>
      <c r="AL489" s="309"/>
      <c r="AM489" s="309"/>
      <c r="AN489" s="309"/>
      <c r="AO489" s="309"/>
      <c r="AP489" s="309"/>
      <c r="AQ489" s="309"/>
      <c r="AR489" s="309"/>
      <c r="AS489" s="309"/>
      <c r="AT489" s="309"/>
      <c r="AU489" s="309"/>
      <c r="AV489" s="309"/>
      <c r="AW489" s="309"/>
      <c r="AX489" s="309"/>
      <c r="AY489" s="309"/>
      <c r="AZ489" s="309"/>
      <c r="BA489" s="309"/>
      <c r="BB489" s="309"/>
      <c r="BC489" s="309"/>
      <c r="BD489" s="309"/>
      <c r="BE489" s="309"/>
      <c r="BF489" s="309"/>
      <c r="BG489" s="309"/>
      <c r="BH489" s="309"/>
      <c r="BI489" s="309"/>
      <c r="BJ489" s="309"/>
      <c r="BK489" s="309"/>
      <c r="BL489" s="309"/>
      <c r="BM489" s="309"/>
      <c r="BN489" s="309"/>
      <c r="BO489" s="309"/>
      <c r="BP489" s="309"/>
      <c r="BQ489" s="309"/>
      <c r="BR489" s="309"/>
      <c r="BS489" s="309"/>
      <c r="BT489" s="309"/>
      <c r="BU489" s="309"/>
      <c r="BV489" s="309"/>
      <c r="BW489" s="309"/>
      <c r="BX489" s="309"/>
      <c r="BY489" s="309"/>
      <c r="BZ489" s="309"/>
      <c r="CA489" s="285"/>
      <c r="CB489" s="286"/>
      <c r="CC489" s="286"/>
      <c r="CD489" s="286"/>
      <c r="CE489" s="286"/>
      <c r="CF489" s="286"/>
      <c r="CG489" s="286"/>
      <c r="CH489" s="286"/>
      <c r="CI489" s="286"/>
      <c r="CJ489" s="286"/>
      <c r="CK489" s="286"/>
      <c r="CL489" s="286"/>
      <c r="CM489" s="286"/>
      <c r="CN489" s="286"/>
      <c r="CO489" s="286"/>
      <c r="CP489" s="286"/>
      <c r="CQ489" s="286"/>
      <c r="CR489" s="286"/>
      <c r="CS489" s="286"/>
      <c r="CT489" s="286"/>
      <c r="CU489" s="286"/>
      <c r="CV489" s="286"/>
      <c r="CW489" s="286"/>
      <c r="CX489" s="286"/>
      <c r="CY489" s="286"/>
      <c r="CZ489" s="286"/>
      <c r="DA489" s="286"/>
      <c r="DB489" s="286"/>
      <c r="DC489" s="286"/>
      <c r="DD489" s="286"/>
      <c r="DE489" s="286"/>
      <c r="DF489" s="286"/>
      <c r="DG489" s="286"/>
      <c r="DH489" s="286"/>
      <c r="DI489" s="286"/>
      <c r="DJ489" s="286"/>
      <c r="DK489" s="286"/>
      <c r="DL489" s="286"/>
      <c r="DM489" s="286"/>
      <c r="DN489" s="286"/>
      <c r="DO489" s="286"/>
      <c r="DP489" s="286"/>
    </row>
    <row r="490" spans="1:131" ht="33" thickBot="1" x14ac:dyDescent="0.25">
      <c r="A490" s="333"/>
      <c r="B490" s="313"/>
      <c r="C490" s="314" t="s">
        <v>650</v>
      </c>
      <c r="D490" s="313"/>
      <c r="E490" s="313"/>
      <c r="F490" s="315" t="s">
        <v>20</v>
      </c>
      <c r="G490" s="315"/>
      <c r="H490" s="315"/>
      <c r="I490" s="315"/>
      <c r="J490" s="315"/>
      <c r="K490" s="315"/>
      <c r="L490" s="383">
        <f>AVERAGE(L2:L461)</f>
        <v>2</v>
      </c>
      <c r="M490" s="383"/>
      <c r="N490" s="383"/>
      <c r="O490" s="383"/>
      <c r="P490" s="383"/>
      <c r="Q490" s="383"/>
      <c r="R490" s="383"/>
      <c r="S490" s="383"/>
      <c r="T490" s="383"/>
      <c r="U490" s="383"/>
      <c r="V490" s="383"/>
      <c r="W490" s="383"/>
      <c r="X490" s="383"/>
      <c r="Y490" s="383"/>
      <c r="Z490" s="383"/>
      <c r="AA490" s="383"/>
      <c r="AB490" s="383"/>
      <c r="AC490" s="383"/>
      <c r="AD490" s="383"/>
      <c r="AE490" s="383"/>
      <c r="AF490" s="383"/>
      <c r="AG490" s="383"/>
      <c r="AH490" s="383"/>
      <c r="AI490" s="383"/>
      <c r="AJ490" s="383"/>
      <c r="AK490" s="383"/>
      <c r="AL490" s="383"/>
      <c r="AM490" s="383"/>
      <c r="AN490" s="383"/>
      <c r="AO490" s="383"/>
      <c r="AP490" s="383"/>
      <c r="AQ490" s="383"/>
      <c r="AR490" s="383"/>
      <c r="AS490" s="383"/>
      <c r="AT490" s="383"/>
      <c r="AU490" s="383"/>
      <c r="AV490" s="383"/>
      <c r="AW490" s="383"/>
      <c r="AX490" s="383"/>
      <c r="AY490" s="383"/>
      <c r="AZ490" s="383"/>
      <c r="BA490" s="383"/>
      <c r="BB490" s="383"/>
      <c r="BC490" s="383"/>
      <c r="BD490" s="383"/>
      <c r="BE490" s="383"/>
      <c r="BF490" s="383"/>
      <c r="BG490" s="383"/>
      <c r="BH490" s="383"/>
      <c r="BI490" s="383"/>
      <c r="BJ490" s="383"/>
      <c r="BK490" s="383"/>
      <c r="BL490" s="383"/>
      <c r="BM490" s="383"/>
      <c r="BN490" s="383"/>
      <c r="BO490" s="383"/>
      <c r="BP490" s="383"/>
      <c r="BQ490" s="383"/>
      <c r="BR490" s="383"/>
      <c r="BS490" s="383"/>
      <c r="BT490" s="383"/>
      <c r="BU490" s="383"/>
      <c r="BV490" s="383"/>
      <c r="BW490" s="383"/>
      <c r="BX490" s="383"/>
      <c r="BY490" s="383"/>
      <c r="BZ490" s="383"/>
      <c r="CA490" s="316"/>
      <c r="CB490" s="316"/>
      <c r="CC490" s="316"/>
      <c r="CD490" s="316"/>
      <c r="CE490" s="316"/>
      <c r="CF490" s="316"/>
      <c r="CG490" s="316"/>
      <c r="CH490" s="316"/>
      <c r="CI490" s="316"/>
      <c r="CJ490" s="316"/>
      <c r="CK490" s="316"/>
      <c r="CL490" s="316"/>
      <c r="CM490" s="316"/>
      <c r="CN490" s="316"/>
      <c r="CO490" s="316"/>
      <c r="CP490" s="316"/>
      <c r="CQ490" s="316"/>
      <c r="CR490" s="316"/>
      <c r="CS490" s="316"/>
      <c r="CT490" s="316"/>
      <c r="CU490" s="316"/>
      <c r="CV490" s="316"/>
      <c r="CW490" s="316"/>
      <c r="CX490" s="316"/>
      <c r="CY490" s="316"/>
      <c r="CZ490" s="316"/>
      <c r="DA490" s="316"/>
      <c r="DB490" s="316"/>
      <c r="DC490" s="316"/>
      <c r="DD490" s="316"/>
      <c r="DE490" s="316"/>
      <c r="DF490" s="316"/>
      <c r="DG490" s="316"/>
      <c r="DH490" s="316"/>
      <c r="DI490" s="316"/>
      <c r="DJ490" s="316"/>
      <c r="DK490" s="316"/>
      <c r="DL490" s="316"/>
      <c r="DM490" s="316"/>
      <c r="DN490" s="316"/>
      <c r="DO490" s="316"/>
      <c r="DP490" s="316"/>
    </row>
    <row r="491" spans="1:131" ht="17" thickBot="1" x14ac:dyDescent="0.25">
      <c r="A491" s="333"/>
      <c r="B491" s="317"/>
      <c r="C491" s="317"/>
      <c r="D491" s="317"/>
      <c r="E491" s="317"/>
      <c r="F491" s="318" t="s">
        <v>21</v>
      </c>
      <c r="G491" s="318"/>
      <c r="H491" s="318"/>
      <c r="I491" s="318"/>
      <c r="J491" s="318"/>
      <c r="K491" s="318"/>
      <c r="L491" s="323"/>
      <c r="M491" s="323">
        <f>AVERAGE(M2:M461)</f>
        <v>1</v>
      </c>
      <c r="N491" s="323"/>
      <c r="O491" s="323"/>
      <c r="P491" s="323"/>
      <c r="Q491" s="323"/>
      <c r="R491" s="323"/>
      <c r="S491" s="323"/>
      <c r="T491" s="323"/>
      <c r="U491" s="323"/>
      <c r="V491" s="323"/>
      <c r="W491" s="323"/>
      <c r="X491" s="323"/>
      <c r="Y491" s="323"/>
      <c r="Z491" s="323"/>
      <c r="AA491" s="323"/>
      <c r="AB491" s="323"/>
      <c r="AC491" s="323"/>
      <c r="AD491" s="323"/>
      <c r="AE491" s="323"/>
      <c r="AF491" s="323"/>
      <c r="AG491" s="323"/>
      <c r="AH491" s="323"/>
      <c r="AI491" s="323"/>
      <c r="AJ491" s="323"/>
      <c r="AK491" s="323"/>
      <c r="AL491" s="323"/>
      <c r="AM491" s="323"/>
      <c r="AN491" s="323"/>
      <c r="AO491" s="323"/>
      <c r="AP491" s="323"/>
      <c r="AQ491" s="323"/>
      <c r="AR491" s="323"/>
      <c r="AS491" s="323"/>
      <c r="AT491" s="323"/>
      <c r="AU491" s="323"/>
      <c r="AV491" s="323"/>
      <c r="AW491" s="323"/>
      <c r="AX491" s="323"/>
      <c r="AY491" s="323"/>
      <c r="AZ491" s="323"/>
      <c r="BA491" s="323"/>
      <c r="BB491" s="323"/>
      <c r="BC491" s="323"/>
      <c r="BD491" s="323"/>
      <c r="BE491" s="323"/>
      <c r="BF491" s="323"/>
      <c r="BG491" s="323"/>
      <c r="BH491" s="323"/>
      <c r="BI491" s="323"/>
      <c r="BJ491" s="323"/>
      <c r="BK491" s="323"/>
      <c r="BL491" s="323"/>
      <c r="BM491" s="323"/>
      <c r="BN491" s="323"/>
      <c r="BO491" s="323"/>
      <c r="BP491" s="323"/>
      <c r="BQ491" s="323"/>
      <c r="BR491" s="323"/>
      <c r="BS491" s="323"/>
      <c r="BT491" s="323"/>
      <c r="BU491" s="323"/>
      <c r="BV491" s="323"/>
      <c r="BW491" s="323"/>
      <c r="BX491" s="323"/>
      <c r="BY491" s="323"/>
      <c r="BZ491" s="323"/>
      <c r="CA491" s="286"/>
      <c r="CB491" s="286"/>
      <c r="CC491" s="286"/>
      <c r="CD491" s="286"/>
      <c r="CE491" s="286"/>
      <c r="CF491" s="286"/>
      <c r="CG491" s="286"/>
      <c r="CH491" s="286"/>
      <c r="CI491" s="286"/>
      <c r="CJ491" s="286"/>
      <c r="CK491" s="286"/>
      <c r="CL491" s="286"/>
      <c r="CM491" s="286"/>
      <c r="CN491" s="286"/>
      <c r="CO491" s="286"/>
      <c r="CP491" s="286"/>
      <c r="CQ491" s="286"/>
      <c r="CR491" s="286"/>
      <c r="CS491" s="286"/>
      <c r="CT491" s="286"/>
      <c r="CU491" s="286"/>
      <c r="CV491" s="286"/>
      <c r="CW491" s="286"/>
      <c r="CX491" s="286"/>
      <c r="CY491" s="286"/>
      <c r="CZ491" s="286"/>
      <c r="DA491" s="286"/>
      <c r="DB491" s="286"/>
      <c r="DC491" s="286"/>
      <c r="DD491" s="286"/>
      <c r="DE491" s="286"/>
      <c r="DF491" s="286"/>
      <c r="DG491" s="286"/>
      <c r="DH491" s="286"/>
      <c r="DI491" s="286"/>
      <c r="DJ491" s="286"/>
      <c r="DK491" s="286"/>
      <c r="DL491" s="286"/>
      <c r="DM491" s="286"/>
      <c r="DN491" s="286"/>
      <c r="DO491" s="286"/>
      <c r="DP491" s="286"/>
    </row>
    <row r="492" spans="1:131" ht="33" thickBot="1" x14ac:dyDescent="0.25">
      <c r="A492" s="333"/>
      <c r="B492" s="319"/>
      <c r="C492" s="319"/>
      <c r="D492" s="319"/>
      <c r="E492" s="319"/>
      <c r="F492" s="318" t="s">
        <v>22</v>
      </c>
      <c r="G492" s="318"/>
      <c r="H492" s="318"/>
      <c r="I492" s="318"/>
      <c r="J492" s="318"/>
      <c r="K492" s="318"/>
      <c r="L492" s="384"/>
      <c r="M492" s="384"/>
      <c r="N492" s="384">
        <f>AVERAGE(N2:N461)</f>
        <v>1.6666666666666667</v>
      </c>
      <c r="O492" s="384"/>
      <c r="P492" s="384"/>
      <c r="Q492" s="384"/>
      <c r="R492" s="384"/>
      <c r="S492" s="384"/>
      <c r="T492" s="384"/>
      <c r="U492" s="384"/>
      <c r="V492" s="384"/>
      <c r="W492" s="384"/>
      <c r="X492" s="384"/>
      <c r="Y492" s="384"/>
      <c r="Z492" s="384"/>
      <c r="AA492" s="384"/>
      <c r="AB492" s="384"/>
      <c r="AC492" s="384"/>
      <c r="AD492" s="384"/>
      <c r="AE492" s="384"/>
      <c r="AF492" s="384"/>
      <c r="AG492" s="384"/>
      <c r="AH492" s="384"/>
      <c r="AI492" s="384"/>
      <c r="AJ492" s="384"/>
      <c r="AK492" s="384"/>
      <c r="AL492" s="384"/>
      <c r="AM492" s="384"/>
      <c r="AN492" s="384"/>
      <c r="AO492" s="384"/>
      <c r="AP492" s="384"/>
      <c r="AQ492" s="384"/>
      <c r="AR492" s="384"/>
      <c r="AS492" s="384"/>
      <c r="AT492" s="384"/>
      <c r="AU492" s="384"/>
      <c r="AV492" s="384"/>
      <c r="AW492" s="384"/>
      <c r="AX492" s="384"/>
      <c r="AY492" s="384"/>
      <c r="AZ492" s="384"/>
      <c r="BA492" s="384"/>
      <c r="BB492" s="384"/>
      <c r="BC492" s="384"/>
      <c r="BD492" s="384"/>
      <c r="BE492" s="384"/>
      <c r="BF492" s="384"/>
      <c r="BG492" s="384"/>
      <c r="BH492" s="384"/>
      <c r="BI492" s="384"/>
      <c r="BJ492" s="384"/>
      <c r="BK492" s="384"/>
      <c r="BL492" s="384"/>
      <c r="BM492" s="384"/>
      <c r="BN492" s="384"/>
      <c r="BO492" s="384"/>
      <c r="BP492" s="384"/>
      <c r="BQ492" s="384"/>
      <c r="BR492" s="384"/>
      <c r="BS492" s="384"/>
      <c r="BT492" s="384"/>
      <c r="BU492" s="384"/>
      <c r="BV492" s="384"/>
      <c r="BW492" s="384"/>
      <c r="BX492" s="384"/>
      <c r="BY492" s="384"/>
      <c r="BZ492" s="384"/>
      <c r="CA492" s="286"/>
      <c r="CB492" s="286"/>
      <c r="CC492" s="286"/>
      <c r="CD492" s="286"/>
      <c r="CE492" s="286"/>
      <c r="CF492" s="286"/>
      <c r="CG492" s="286"/>
      <c r="CH492" s="286"/>
      <c r="CI492" s="286"/>
      <c r="CJ492" s="286"/>
      <c r="CK492" s="286"/>
      <c r="CL492" s="286"/>
      <c r="CM492" s="286"/>
      <c r="CN492" s="286"/>
      <c r="CO492" s="286"/>
      <c r="CP492" s="286"/>
      <c r="CQ492" s="286"/>
      <c r="CR492" s="286"/>
      <c r="CS492" s="286"/>
      <c r="CT492" s="286"/>
      <c r="CU492" s="286"/>
      <c r="CV492" s="286"/>
      <c r="CW492" s="286"/>
      <c r="CX492" s="286"/>
      <c r="CY492" s="286"/>
      <c r="CZ492" s="286"/>
      <c r="DA492" s="286"/>
      <c r="DB492" s="286"/>
      <c r="DC492" s="286"/>
      <c r="DD492" s="286"/>
      <c r="DE492" s="286"/>
      <c r="DF492" s="286"/>
      <c r="DG492" s="286"/>
      <c r="DH492" s="286"/>
      <c r="DI492" s="286"/>
      <c r="DJ492" s="286"/>
      <c r="DK492" s="286"/>
      <c r="DL492" s="286"/>
      <c r="DM492" s="286"/>
      <c r="DN492" s="286"/>
      <c r="DO492" s="286"/>
      <c r="DP492" s="286"/>
    </row>
    <row r="493" spans="1:131" ht="33" thickBot="1" x14ac:dyDescent="0.25">
      <c r="A493" s="333"/>
      <c r="B493" s="317"/>
      <c r="C493" s="317"/>
      <c r="D493" s="317"/>
      <c r="E493" s="317"/>
      <c r="F493" s="318" t="s">
        <v>23</v>
      </c>
      <c r="G493" s="318"/>
      <c r="H493" s="318"/>
      <c r="I493" s="318"/>
      <c r="J493" s="318"/>
      <c r="K493" s="318"/>
      <c r="L493" s="385"/>
      <c r="M493" s="385"/>
      <c r="N493" s="385"/>
      <c r="O493" s="385">
        <f>AVERAGE(O2:O461)</f>
        <v>1</v>
      </c>
      <c r="P493" s="385"/>
      <c r="Q493" s="385"/>
      <c r="R493" s="385"/>
      <c r="S493" s="385"/>
      <c r="T493" s="385"/>
      <c r="U493" s="385"/>
      <c r="V493" s="385"/>
      <c r="W493" s="385"/>
      <c r="X493" s="385"/>
      <c r="Y493" s="385"/>
      <c r="Z493" s="385"/>
      <c r="AA493" s="385"/>
      <c r="AB493" s="385"/>
      <c r="AC493" s="385"/>
      <c r="AD493" s="385"/>
      <c r="AE493" s="385"/>
      <c r="AF493" s="385"/>
      <c r="AG493" s="385"/>
      <c r="AH493" s="385"/>
      <c r="AI493" s="385"/>
      <c r="AJ493" s="385"/>
      <c r="AK493" s="385"/>
      <c r="AL493" s="385"/>
      <c r="AM493" s="385"/>
      <c r="AN493" s="385"/>
      <c r="AO493" s="385"/>
      <c r="AP493" s="385"/>
      <c r="AQ493" s="385"/>
      <c r="AR493" s="385"/>
      <c r="AS493" s="385"/>
      <c r="AT493" s="385"/>
      <c r="AU493" s="385"/>
      <c r="AV493" s="385"/>
      <c r="AW493" s="385"/>
      <c r="AX493" s="385"/>
      <c r="AY493" s="385"/>
      <c r="AZ493" s="385"/>
      <c r="BA493" s="385"/>
      <c r="BB493" s="385"/>
      <c r="BC493" s="385"/>
      <c r="BD493" s="385"/>
      <c r="BE493" s="385"/>
      <c r="BF493" s="385"/>
      <c r="BG493" s="385"/>
      <c r="BH493" s="385"/>
      <c r="BI493" s="385"/>
      <c r="BJ493" s="385"/>
      <c r="BK493" s="385"/>
      <c r="BL493" s="385"/>
      <c r="BM493" s="385"/>
      <c r="BN493" s="385"/>
      <c r="BO493" s="385"/>
      <c r="BP493" s="385"/>
      <c r="BQ493" s="385"/>
      <c r="BR493" s="385"/>
      <c r="BS493" s="385"/>
      <c r="BT493" s="385"/>
      <c r="BU493" s="385"/>
      <c r="BV493" s="385"/>
      <c r="BW493" s="385"/>
      <c r="BX493" s="385"/>
      <c r="BY493" s="385"/>
      <c r="BZ493" s="385"/>
      <c r="CA493" s="286"/>
      <c r="CB493" s="286"/>
      <c r="CC493" s="286"/>
      <c r="CD493" s="286"/>
      <c r="CE493" s="286"/>
      <c r="CF493" s="286"/>
      <c r="CG493" s="286"/>
      <c r="CH493" s="286"/>
      <c r="CI493" s="286"/>
      <c r="CJ493" s="286"/>
      <c r="CK493" s="286"/>
      <c r="CL493" s="286"/>
      <c r="CM493" s="286"/>
      <c r="CN493" s="286"/>
      <c r="CO493" s="286"/>
      <c r="CP493" s="286"/>
      <c r="CQ493" s="286"/>
      <c r="CR493" s="286"/>
      <c r="CS493" s="286"/>
      <c r="CT493" s="286"/>
      <c r="CU493" s="286"/>
      <c r="CV493" s="286"/>
      <c r="CW493" s="286"/>
      <c r="CX493" s="286"/>
      <c r="CY493" s="286"/>
      <c r="CZ493" s="286"/>
      <c r="DA493" s="286"/>
      <c r="DB493" s="286"/>
      <c r="DC493" s="286"/>
      <c r="DD493" s="286"/>
      <c r="DE493" s="286"/>
      <c r="DF493" s="286"/>
      <c r="DG493" s="286"/>
      <c r="DH493" s="286"/>
      <c r="DI493" s="286"/>
      <c r="DJ493" s="286"/>
      <c r="DK493" s="286"/>
      <c r="DL493" s="286"/>
      <c r="DM493" s="286"/>
      <c r="DN493" s="286"/>
      <c r="DO493" s="286"/>
      <c r="DP493" s="286"/>
    </row>
    <row r="494" spans="1:131" ht="33" thickBot="1" x14ac:dyDescent="0.25">
      <c r="A494" s="333"/>
      <c r="B494" s="319"/>
      <c r="C494" s="319"/>
      <c r="D494" s="319"/>
      <c r="E494" s="319"/>
      <c r="F494" s="318" t="s">
        <v>24</v>
      </c>
      <c r="G494" s="318"/>
      <c r="H494" s="318"/>
      <c r="I494" s="318"/>
      <c r="J494" s="318"/>
      <c r="K494" s="318"/>
      <c r="L494" s="384"/>
      <c r="M494" s="384"/>
      <c r="N494" s="384"/>
      <c r="O494" s="384"/>
      <c r="P494" s="384" t="e">
        <f>AVERAGE(P2:P461)</f>
        <v>#N/A</v>
      </c>
      <c r="Q494" s="384"/>
      <c r="R494" s="384"/>
      <c r="S494" s="384"/>
      <c r="T494" s="384"/>
      <c r="U494" s="384"/>
      <c r="V494" s="384"/>
      <c r="W494" s="384"/>
      <c r="X494" s="384"/>
      <c r="Y494" s="384"/>
      <c r="Z494" s="384"/>
      <c r="AA494" s="384"/>
      <c r="AB494" s="384"/>
      <c r="AC494" s="384"/>
      <c r="AD494" s="384"/>
      <c r="AE494" s="384"/>
      <c r="AF494" s="384"/>
      <c r="AG494" s="384"/>
      <c r="AH494" s="384"/>
      <c r="AI494" s="384"/>
      <c r="AJ494" s="384"/>
      <c r="AK494" s="384"/>
      <c r="AL494" s="384"/>
      <c r="AM494" s="384"/>
      <c r="AN494" s="384"/>
      <c r="AO494" s="384"/>
      <c r="AP494" s="384"/>
      <c r="AQ494" s="384"/>
      <c r="AR494" s="384"/>
      <c r="AS494" s="384"/>
      <c r="AT494" s="384"/>
      <c r="AU494" s="384"/>
      <c r="AV494" s="384"/>
      <c r="AW494" s="384"/>
      <c r="AX494" s="384"/>
      <c r="AY494" s="384"/>
      <c r="AZ494" s="384"/>
      <c r="BA494" s="384"/>
      <c r="BB494" s="384"/>
      <c r="BC494" s="384"/>
      <c r="BD494" s="384"/>
      <c r="BE494" s="384"/>
      <c r="BF494" s="384"/>
      <c r="BG494" s="384"/>
      <c r="BH494" s="384"/>
      <c r="BI494" s="384"/>
      <c r="BJ494" s="384"/>
      <c r="BK494" s="384"/>
      <c r="BL494" s="384"/>
      <c r="BM494" s="384"/>
      <c r="BN494" s="384"/>
      <c r="BO494" s="384"/>
      <c r="BP494" s="384"/>
      <c r="BQ494" s="384"/>
      <c r="BR494" s="384"/>
      <c r="BS494" s="384"/>
      <c r="BT494" s="384"/>
      <c r="BU494" s="384"/>
      <c r="BV494" s="384"/>
      <c r="BW494" s="384"/>
      <c r="BX494" s="384"/>
      <c r="BY494" s="384"/>
      <c r="BZ494" s="384"/>
      <c r="CA494" s="286"/>
      <c r="CB494" s="286"/>
      <c r="CC494" s="286"/>
      <c r="CD494" s="286"/>
      <c r="CE494" s="286"/>
      <c r="CF494" s="286"/>
      <c r="CG494" s="286"/>
      <c r="CH494" s="286"/>
      <c r="CI494" s="286"/>
      <c r="CJ494" s="286"/>
      <c r="CK494" s="286"/>
      <c r="CL494" s="286"/>
      <c r="CM494" s="286"/>
      <c r="CN494" s="286"/>
      <c r="CO494" s="286"/>
      <c r="CP494" s="286"/>
      <c r="CQ494" s="286"/>
      <c r="CR494" s="286"/>
      <c r="CS494" s="286"/>
      <c r="CT494" s="286"/>
      <c r="CU494" s="286"/>
      <c r="CV494" s="286"/>
      <c r="CW494" s="286"/>
      <c r="CX494" s="286"/>
      <c r="CY494" s="286"/>
      <c r="CZ494" s="286"/>
      <c r="DA494" s="286"/>
      <c r="DB494" s="286"/>
      <c r="DC494" s="286"/>
      <c r="DD494" s="286"/>
      <c r="DE494" s="286"/>
      <c r="DF494" s="286"/>
      <c r="DG494" s="286"/>
      <c r="DH494" s="286"/>
      <c r="DI494" s="286"/>
      <c r="DJ494" s="286"/>
      <c r="DK494" s="286"/>
      <c r="DL494" s="286"/>
      <c r="DM494" s="286"/>
      <c r="DN494" s="286"/>
      <c r="DO494" s="286"/>
      <c r="DP494" s="286"/>
    </row>
    <row r="495" spans="1:131" ht="17" thickBot="1" x14ac:dyDescent="0.25">
      <c r="A495" s="333"/>
      <c r="B495" s="317"/>
      <c r="C495" s="317"/>
      <c r="D495" s="317"/>
      <c r="E495" s="317"/>
      <c r="F495" s="318" t="s">
        <v>25</v>
      </c>
      <c r="G495" s="318"/>
      <c r="H495" s="318"/>
      <c r="I495" s="318"/>
      <c r="J495" s="318"/>
      <c r="K495" s="318"/>
      <c r="L495" s="385"/>
      <c r="M495" s="385"/>
      <c r="N495" s="385"/>
      <c r="O495" s="385"/>
      <c r="P495" s="385"/>
      <c r="Q495" s="385" t="e">
        <f>AVERAGE(L490:P494)</f>
        <v>#N/A</v>
      </c>
      <c r="R495" s="385"/>
      <c r="S495" s="385"/>
      <c r="T495" s="385"/>
      <c r="U495" s="385"/>
      <c r="V495" s="385"/>
      <c r="W495" s="385"/>
      <c r="X495" s="385"/>
      <c r="Y495" s="385"/>
      <c r="Z495" s="385"/>
      <c r="AA495" s="385"/>
      <c r="AB495" s="385"/>
      <c r="AC495" s="385"/>
      <c r="AD495" s="385"/>
      <c r="AE495" s="385"/>
      <c r="AF495" s="385"/>
      <c r="AG495" s="385"/>
      <c r="AH495" s="385"/>
      <c r="AI495" s="385"/>
      <c r="AJ495" s="385"/>
      <c r="AK495" s="385"/>
      <c r="AL495" s="385"/>
      <c r="AM495" s="385"/>
      <c r="AN495" s="385"/>
      <c r="AO495" s="385"/>
      <c r="AP495" s="385"/>
      <c r="AQ495" s="385"/>
      <c r="AR495" s="385"/>
      <c r="AS495" s="385"/>
      <c r="AT495" s="385"/>
      <c r="AU495" s="385"/>
      <c r="AV495" s="385"/>
      <c r="AW495" s="385"/>
      <c r="AX495" s="385"/>
      <c r="AY495" s="385"/>
      <c r="AZ495" s="385"/>
      <c r="BA495" s="385"/>
      <c r="BB495" s="385"/>
      <c r="BC495" s="385"/>
      <c r="BD495" s="385"/>
      <c r="BE495" s="385"/>
      <c r="BF495" s="385"/>
      <c r="BG495" s="385"/>
      <c r="BH495" s="385"/>
      <c r="BI495" s="385"/>
      <c r="BJ495" s="385"/>
      <c r="BK495" s="385"/>
      <c r="BL495" s="385"/>
      <c r="BM495" s="385"/>
      <c r="BN495" s="385"/>
      <c r="BO495" s="385"/>
      <c r="BP495" s="385"/>
      <c r="BQ495" s="385"/>
      <c r="BR495" s="385"/>
      <c r="BS495" s="385"/>
      <c r="BT495" s="385"/>
      <c r="BU495" s="385"/>
      <c r="BV495" s="385"/>
      <c r="BW495" s="385"/>
      <c r="BX495" s="385"/>
      <c r="BY495" s="385"/>
      <c r="BZ495" s="385"/>
      <c r="CA495" s="286"/>
      <c r="CB495" s="286"/>
      <c r="CC495" s="286"/>
      <c r="CD495" s="286"/>
      <c r="CE495" s="286"/>
      <c r="CF495" s="286"/>
      <c r="CG495" s="286"/>
      <c r="CH495" s="286"/>
      <c r="CI495" s="286"/>
      <c r="CJ495" s="286"/>
      <c r="CK495" s="286"/>
      <c r="CL495" s="286"/>
      <c r="CM495" s="286"/>
      <c r="CN495" s="286"/>
      <c r="CO495" s="286"/>
      <c r="CP495" s="286"/>
      <c r="CQ495" s="286"/>
      <c r="CR495" s="286"/>
      <c r="CS495" s="286"/>
      <c r="CT495" s="286"/>
      <c r="CU495" s="286"/>
      <c r="CV495" s="286"/>
      <c r="CW495" s="286"/>
      <c r="CX495" s="286"/>
      <c r="CY495" s="286"/>
      <c r="CZ495" s="286"/>
      <c r="DA495" s="286"/>
      <c r="DB495" s="286"/>
      <c r="DC495" s="286"/>
      <c r="DD495" s="286"/>
      <c r="DE495" s="286"/>
      <c r="DF495" s="286"/>
      <c r="DG495" s="286"/>
      <c r="DH495" s="286"/>
      <c r="DI495" s="286"/>
      <c r="DJ495" s="286"/>
      <c r="DK495" s="286"/>
      <c r="DL495" s="286"/>
      <c r="DM495" s="286"/>
      <c r="DN495" s="286"/>
      <c r="DO495" s="286"/>
      <c r="DP495" s="286"/>
    </row>
    <row r="496" spans="1:131" ht="17" thickBot="1" x14ac:dyDescent="0.25">
      <c r="A496" s="333"/>
      <c r="B496" s="319"/>
      <c r="C496" s="319"/>
      <c r="D496" s="319"/>
      <c r="E496" s="319"/>
      <c r="F496" s="318" t="s">
        <v>26</v>
      </c>
      <c r="G496" s="318"/>
      <c r="H496" s="318"/>
      <c r="I496" s="318"/>
      <c r="J496" s="318"/>
      <c r="K496" s="318"/>
      <c r="L496" s="384"/>
      <c r="M496" s="384"/>
      <c r="N496" s="384"/>
      <c r="O496" s="384"/>
      <c r="P496" s="384"/>
      <c r="Q496" s="384"/>
      <c r="R496" s="384" t="e" cm="1">
        <f t="array" ref="R496">LinLogIntp2D1('Slope stability'!E5:H5,'Slope stability'!D6:D24,'Slope stability'!E6:H24,Q495,R80)</f>
        <v>#VALUE!</v>
      </c>
      <c r="S496" s="384"/>
      <c r="T496" s="384"/>
      <c r="U496" s="384"/>
      <c r="V496" s="384"/>
      <c r="W496" s="384"/>
      <c r="X496" s="384"/>
      <c r="Y496" s="384"/>
      <c r="Z496" s="384"/>
      <c r="AA496" s="384"/>
      <c r="AB496" s="384"/>
      <c r="AC496" s="384"/>
      <c r="AD496" s="384"/>
      <c r="AE496" s="384"/>
      <c r="AF496" s="384"/>
      <c r="AG496" s="384"/>
      <c r="AH496" s="384"/>
      <c r="AI496" s="384"/>
      <c r="AJ496" s="384"/>
      <c r="AK496" s="384"/>
      <c r="AL496" s="384"/>
      <c r="AM496" s="384"/>
      <c r="AN496" s="384"/>
      <c r="AO496" s="384"/>
      <c r="AP496" s="384"/>
      <c r="AQ496" s="384"/>
      <c r="AR496" s="384"/>
      <c r="AS496" s="384"/>
      <c r="AT496" s="384"/>
      <c r="AU496" s="384"/>
      <c r="AV496" s="384"/>
      <c r="AW496" s="384"/>
      <c r="AX496" s="384"/>
      <c r="AY496" s="384"/>
      <c r="AZ496" s="384"/>
      <c r="BA496" s="384"/>
      <c r="BB496" s="384"/>
      <c r="BC496" s="384"/>
      <c r="BD496" s="384"/>
      <c r="BE496" s="384"/>
      <c r="BF496" s="384"/>
      <c r="BG496" s="384"/>
      <c r="BH496" s="384"/>
      <c r="BI496" s="384"/>
      <c r="BJ496" s="384"/>
      <c r="BK496" s="384"/>
      <c r="BL496" s="384"/>
      <c r="BM496" s="384"/>
      <c r="BN496" s="384"/>
      <c r="BO496" s="384"/>
      <c r="BP496" s="384"/>
      <c r="BQ496" s="384"/>
      <c r="BR496" s="384"/>
      <c r="BS496" s="384"/>
      <c r="BT496" s="384"/>
      <c r="BU496" s="384"/>
      <c r="BV496" s="384"/>
      <c r="BW496" s="384"/>
      <c r="BX496" s="384"/>
      <c r="BY496" s="384"/>
      <c r="BZ496" s="384"/>
      <c r="CA496" s="286"/>
      <c r="CB496" s="286"/>
      <c r="CC496" s="286"/>
      <c r="CD496" s="286"/>
      <c r="CE496" s="286"/>
      <c r="CF496" s="286"/>
      <c r="CG496" s="286"/>
      <c r="CH496" s="286"/>
      <c r="CI496" s="286"/>
      <c r="CJ496" s="286"/>
      <c r="CK496" s="286"/>
      <c r="CL496" s="286"/>
      <c r="CM496" s="286"/>
      <c r="CN496" s="286"/>
      <c r="CO496" s="286"/>
      <c r="CP496" s="286"/>
      <c r="CQ496" s="286"/>
      <c r="CR496" s="286"/>
      <c r="CS496" s="286"/>
      <c r="CT496" s="286"/>
      <c r="CU496" s="286"/>
      <c r="CV496" s="286"/>
      <c r="CW496" s="286"/>
      <c r="CX496" s="286"/>
      <c r="CY496" s="286"/>
      <c r="CZ496" s="286"/>
      <c r="DA496" s="286"/>
      <c r="DB496" s="286"/>
      <c r="DC496" s="286"/>
      <c r="DD496" s="286"/>
      <c r="DE496" s="286"/>
      <c r="DF496" s="286"/>
      <c r="DG496" s="286"/>
      <c r="DH496" s="286"/>
      <c r="DI496" s="286"/>
      <c r="DJ496" s="286"/>
      <c r="DK496" s="286"/>
      <c r="DL496" s="286"/>
      <c r="DM496" s="286"/>
      <c r="DN496" s="286"/>
      <c r="DO496" s="286"/>
      <c r="DP496" s="286"/>
    </row>
    <row r="497" spans="1:120" ht="33" thickBot="1" x14ac:dyDescent="0.25">
      <c r="A497" s="333"/>
      <c r="B497" s="317"/>
      <c r="C497" s="317"/>
      <c r="D497" s="317"/>
      <c r="E497" s="317"/>
      <c r="F497" s="320" t="s">
        <v>27</v>
      </c>
      <c r="G497" s="320"/>
      <c r="H497" s="320"/>
      <c r="I497" s="320"/>
      <c r="J497" s="320"/>
      <c r="K497" s="320"/>
      <c r="L497" s="385"/>
      <c r="M497" s="385"/>
      <c r="N497" s="385"/>
      <c r="O497" s="385"/>
      <c r="P497" s="385"/>
      <c r="Q497" s="385"/>
      <c r="R497" s="385"/>
      <c r="S497" s="385">
        <f>AVERAGE(S2:S461)</f>
        <v>2</v>
      </c>
      <c r="T497" s="385"/>
      <c r="U497" s="385"/>
      <c r="V497" s="385"/>
      <c r="W497" s="385"/>
      <c r="X497" s="385"/>
      <c r="Y497" s="385"/>
      <c r="Z497" s="385"/>
      <c r="AA497" s="385"/>
      <c r="AB497" s="385"/>
      <c r="AC497" s="385"/>
      <c r="AD497" s="385"/>
      <c r="AE497" s="385"/>
      <c r="AF497" s="385"/>
      <c r="AG497" s="385"/>
      <c r="AH497" s="385"/>
      <c r="AI497" s="385"/>
      <c r="AJ497" s="385"/>
      <c r="AK497" s="385"/>
      <c r="AL497" s="385"/>
      <c r="AM497" s="385"/>
      <c r="AN497" s="385"/>
      <c r="AO497" s="385"/>
      <c r="AP497" s="385"/>
      <c r="AQ497" s="385"/>
      <c r="AR497" s="385"/>
      <c r="AS497" s="385"/>
      <c r="AT497" s="385"/>
      <c r="AU497" s="385"/>
      <c r="AV497" s="385"/>
      <c r="AW497" s="385"/>
      <c r="AX497" s="385"/>
      <c r="AY497" s="385"/>
      <c r="AZ497" s="385"/>
      <c r="BA497" s="385"/>
      <c r="BB497" s="385"/>
      <c r="BC497" s="385"/>
      <c r="BD497" s="385"/>
      <c r="BE497" s="385"/>
      <c r="BF497" s="385"/>
      <c r="BG497" s="385"/>
      <c r="BH497" s="385"/>
      <c r="BI497" s="385"/>
      <c r="BJ497" s="385"/>
      <c r="BK497" s="385"/>
      <c r="BL497" s="385"/>
      <c r="BM497" s="385"/>
      <c r="BN497" s="385"/>
      <c r="BO497" s="385"/>
      <c r="BP497" s="385"/>
      <c r="BQ497" s="385"/>
      <c r="BR497" s="385"/>
      <c r="BS497" s="385"/>
      <c r="BT497" s="385"/>
      <c r="BU497" s="385"/>
      <c r="BV497" s="385"/>
      <c r="BW497" s="385"/>
      <c r="BX497" s="385"/>
      <c r="BY497" s="385"/>
      <c r="BZ497" s="385"/>
      <c r="CA497" s="286"/>
      <c r="CB497" s="286"/>
      <c r="CC497" s="286"/>
      <c r="CD497" s="286"/>
      <c r="CE497" s="286"/>
      <c r="CF497" s="286"/>
      <c r="CG497" s="286"/>
      <c r="CH497" s="286"/>
      <c r="CI497" s="286"/>
      <c r="CJ497" s="286"/>
      <c r="CK497" s="286"/>
      <c r="CL497" s="286"/>
      <c r="CM497" s="286"/>
      <c r="CN497" s="286"/>
      <c r="CO497" s="286"/>
      <c r="CP497" s="286"/>
      <c r="CQ497" s="286"/>
      <c r="CR497" s="286"/>
      <c r="CS497" s="286"/>
      <c r="CT497" s="286"/>
      <c r="CU497" s="286"/>
      <c r="CV497" s="286"/>
      <c r="CW497" s="286"/>
      <c r="CX497" s="286"/>
      <c r="CY497" s="286"/>
      <c r="CZ497" s="286"/>
      <c r="DA497" s="286"/>
      <c r="DB497" s="286"/>
      <c r="DC497" s="286"/>
      <c r="DD497" s="286"/>
      <c r="DE497" s="286"/>
      <c r="DF497" s="286"/>
      <c r="DG497" s="286"/>
      <c r="DH497" s="286"/>
      <c r="DI497" s="286"/>
      <c r="DJ497" s="286"/>
      <c r="DK497" s="286"/>
      <c r="DL497" s="286"/>
      <c r="DM497" s="286"/>
      <c r="DN497" s="286"/>
      <c r="DO497" s="286"/>
      <c r="DP497" s="286"/>
    </row>
    <row r="498" spans="1:120" ht="33" thickBot="1" x14ac:dyDescent="0.25">
      <c r="A498" s="333"/>
      <c r="B498" s="319"/>
      <c r="C498" s="319"/>
      <c r="D498" s="319"/>
      <c r="E498" s="319"/>
      <c r="F498" s="320" t="s">
        <v>28</v>
      </c>
      <c r="G498" s="320"/>
      <c r="H498" s="320"/>
      <c r="I498" s="320"/>
      <c r="J498" s="320"/>
      <c r="K498" s="320"/>
      <c r="L498" s="384"/>
      <c r="M498" s="384"/>
      <c r="N498" s="384"/>
      <c r="O498" s="384"/>
      <c r="P498" s="384"/>
      <c r="Q498" s="384"/>
      <c r="R498" s="384"/>
      <c r="S498" s="384"/>
      <c r="T498" s="384">
        <f>AVERAGE(T2:T461)</f>
        <v>1</v>
      </c>
      <c r="U498" s="384"/>
      <c r="V498" s="384"/>
      <c r="W498" s="384"/>
      <c r="X498" s="384"/>
      <c r="Y498" s="384"/>
      <c r="Z498" s="384"/>
      <c r="AA498" s="384"/>
      <c r="AB498" s="384"/>
      <c r="AC498" s="384"/>
      <c r="AD498" s="384"/>
      <c r="AE498" s="384"/>
      <c r="AF498" s="384"/>
      <c r="AG498" s="384"/>
      <c r="AH498" s="384"/>
      <c r="AI498" s="384"/>
      <c r="AJ498" s="384"/>
      <c r="AK498" s="384"/>
      <c r="AL498" s="384"/>
      <c r="AM498" s="384"/>
      <c r="AN498" s="384"/>
      <c r="AO498" s="384"/>
      <c r="AP498" s="384"/>
      <c r="AQ498" s="384"/>
      <c r="AR498" s="384"/>
      <c r="AS498" s="384"/>
      <c r="AT498" s="384"/>
      <c r="AU498" s="384"/>
      <c r="AV498" s="384"/>
      <c r="AW498" s="384"/>
      <c r="AX498" s="384"/>
      <c r="AY498" s="384"/>
      <c r="AZ498" s="384"/>
      <c r="BA498" s="384"/>
      <c r="BB498" s="384"/>
      <c r="BC498" s="384"/>
      <c r="BD498" s="384"/>
      <c r="BE498" s="384"/>
      <c r="BF498" s="384"/>
      <c r="BG498" s="384"/>
      <c r="BH498" s="384"/>
      <c r="BI498" s="384"/>
      <c r="BJ498" s="384"/>
      <c r="BK498" s="384"/>
      <c r="BL498" s="384"/>
      <c r="BM498" s="384"/>
      <c r="BN498" s="384"/>
      <c r="BO498" s="384"/>
      <c r="BP498" s="384"/>
      <c r="BQ498" s="384"/>
      <c r="BR498" s="384"/>
      <c r="BS498" s="384"/>
      <c r="BT498" s="384"/>
      <c r="BU498" s="384"/>
      <c r="BV498" s="384"/>
      <c r="BW498" s="384"/>
      <c r="BX498" s="384"/>
      <c r="BY498" s="384"/>
      <c r="BZ498" s="384"/>
      <c r="CA498" s="286"/>
      <c r="CB498" s="286"/>
      <c r="CC498" s="286"/>
      <c r="CD498" s="286"/>
      <c r="CE498" s="286"/>
      <c r="CF498" s="286"/>
      <c r="CG498" s="286"/>
      <c r="CH498" s="286"/>
      <c r="CI498" s="286"/>
      <c r="CJ498" s="286"/>
      <c r="CK498" s="286"/>
      <c r="CL498" s="286"/>
      <c r="CM498" s="286"/>
      <c r="CN498" s="286"/>
      <c r="CO498" s="286"/>
      <c r="CP498" s="286"/>
      <c r="CQ498" s="286"/>
      <c r="CR498" s="286"/>
      <c r="CS498" s="286"/>
      <c r="CT498" s="286"/>
      <c r="CU498" s="286"/>
      <c r="CV498" s="286"/>
      <c r="CW498" s="286"/>
      <c r="CX498" s="286"/>
      <c r="CY498" s="286"/>
      <c r="CZ498" s="286"/>
      <c r="DA498" s="286"/>
      <c r="DB498" s="286"/>
      <c r="DC498" s="286"/>
      <c r="DD498" s="286"/>
      <c r="DE498" s="286"/>
      <c r="DF498" s="286"/>
      <c r="DG498" s="286"/>
      <c r="DH498" s="286"/>
      <c r="DI498" s="286"/>
      <c r="DJ498" s="286"/>
      <c r="DK498" s="286"/>
      <c r="DL498" s="286"/>
      <c r="DM498" s="286"/>
      <c r="DN498" s="286"/>
      <c r="DO498" s="286"/>
      <c r="DP498" s="286"/>
    </row>
    <row r="499" spans="1:120" ht="33" thickBot="1" x14ac:dyDescent="0.25">
      <c r="A499" s="333"/>
      <c r="B499" s="317"/>
      <c r="C499" s="317"/>
      <c r="D499" s="317"/>
      <c r="E499" s="317"/>
      <c r="F499" s="320" t="s">
        <v>29</v>
      </c>
      <c r="G499" s="320"/>
      <c r="H499" s="320"/>
      <c r="I499" s="320"/>
      <c r="J499" s="320"/>
      <c r="K499" s="320"/>
      <c r="L499" s="385"/>
      <c r="M499" s="385"/>
      <c r="N499" s="385"/>
      <c r="O499" s="385"/>
      <c r="P499" s="385"/>
      <c r="Q499" s="385"/>
      <c r="R499" s="385"/>
      <c r="S499" s="385"/>
      <c r="T499" s="385"/>
      <c r="U499" s="385">
        <f>AVERAGE(U2:U461)</f>
        <v>1.6666666666666667</v>
      </c>
      <c r="V499" s="385"/>
      <c r="W499" s="385"/>
      <c r="X499" s="385"/>
      <c r="Y499" s="385"/>
      <c r="Z499" s="385"/>
      <c r="AA499" s="385"/>
      <c r="AB499" s="385"/>
      <c r="AC499" s="385"/>
      <c r="AD499" s="385"/>
      <c r="AE499" s="385"/>
      <c r="AF499" s="385"/>
      <c r="AG499" s="385"/>
      <c r="AH499" s="385"/>
      <c r="AI499" s="385"/>
      <c r="AJ499" s="385"/>
      <c r="AK499" s="385"/>
      <c r="AL499" s="385"/>
      <c r="AM499" s="385"/>
      <c r="AN499" s="385"/>
      <c r="AO499" s="385"/>
      <c r="AP499" s="385"/>
      <c r="AQ499" s="385"/>
      <c r="AR499" s="385"/>
      <c r="AS499" s="385"/>
      <c r="AT499" s="385"/>
      <c r="AU499" s="385"/>
      <c r="AV499" s="385"/>
      <c r="AW499" s="385"/>
      <c r="AX499" s="385"/>
      <c r="AY499" s="385"/>
      <c r="AZ499" s="385"/>
      <c r="BA499" s="385"/>
      <c r="BB499" s="385"/>
      <c r="BC499" s="385"/>
      <c r="BD499" s="385"/>
      <c r="BE499" s="385"/>
      <c r="BF499" s="385"/>
      <c r="BG499" s="385"/>
      <c r="BH499" s="385"/>
      <c r="BI499" s="385"/>
      <c r="BJ499" s="385"/>
      <c r="BK499" s="385"/>
      <c r="BL499" s="385"/>
      <c r="BM499" s="385"/>
      <c r="BN499" s="385"/>
      <c r="BO499" s="385"/>
      <c r="BP499" s="385"/>
      <c r="BQ499" s="385"/>
      <c r="BR499" s="385"/>
      <c r="BS499" s="385"/>
      <c r="BT499" s="385"/>
      <c r="BU499" s="385"/>
      <c r="BV499" s="385"/>
      <c r="BW499" s="385"/>
      <c r="BX499" s="385"/>
      <c r="BY499" s="385"/>
      <c r="BZ499" s="385"/>
      <c r="CA499" s="286"/>
      <c r="CB499" s="286"/>
      <c r="CC499" s="286"/>
      <c r="CD499" s="286"/>
      <c r="CE499" s="286"/>
      <c r="CF499" s="286"/>
      <c r="CG499" s="286"/>
      <c r="CH499" s="286"/>
      <c r="CI499" s="286"/>
      <c r="CJ499" s="286"/>
      <c r="CK499" s="286"/>
      <c r="CL499" s="286"/>
      <c r="CM499" s="286"/>
      <c r="CN499" s="286"/>
      <c r="CO499" s="286"/>
      <c r="CP499" s="286"/>
      <c r="CQ499" s="286"/>
      <c r="CR499" s="286"/>
      <c r="CS499" s="286"/>
      <c r="CT499" s="286"/>
      <c r="CU499" s="286"/>
      <c r="CV499" s="286"/>
      <c r="CW499" s="286"/>
      <c r="CX499" s="286"/>
      <c r="CY499" s="286"/>
      <c r="CZ499" s="286"/>
      <c r="DA499" s="286"/>
      <c r="DB499" s="286"/>
      <c r="DC499" s="286"/>
      <c r="DD499" s="286"/>
      <c r="DE499" s="286"/>
      <c r="DF499" s="286"/>
      <c r="DG499" s="286"/>
      <c r="DH499" s="286"/>
      <c r="DI499" s="286"/>
      <c r="DJ499" s="286"/>
      <c r="DK499" s="286"/>
      <c r="DL499" s="286"/>
      <c r="DM499" s="286"/>
      <c r="DN499" s="286"/>
      <c r="DO499" s="286"/>
      <c r="DP499" s="286"/>
    </row>
    <row r="500" spans="1:120" ht="33" thickBot="1" x14ac:dyDescent="0.25">
      <c r="A500" s="333"/>
      <c r="B500" s="319"/>
      <c r="C500" s="319"/>
      <c r="D500" s="319"/>
      <c r="E500" s="319"/>
      <c r="F500" s="320" t="s">
        <v>30</v>
      </c>
      <c r="G500" s="320"/>
      <c r="H500" s="320"/>
      <c r="I500" s="320"/>
      <c r="J500" s="320"/>
      <c r="K500" s="320"/>
      <c r="L500" s="384"/>
      <c r="M500" s="384"/>
      <c r="N500" s="384"/>
      <c r="O500" s="384"/>
      <c r="P500" s="384"/>
      <c r="Q500" s="384"/>
      <c r="R500" s="384"/>
      <c r="S500" s="384"/>
      <c r="T500" s="384"/>
      <c r="U500" s="384"/>
      <c r="V500" s="384">
        <f>AVERAGE(V2:V461)</f>
        <v>1</v>
      </c>
      <c r="W500" s="384"/>
      <c r="X500" s="384"/>
      <c r="Y500" s="384"/>
      <c r="Z500" s="384"/>
      <c r="AA500" s="384"/>
      <c r="AB500" s="384"/>
      <c r="AC500" s="384"/>
      <c r="AD500" s="384"/>
      <c r="AE500" s="384"/>
      <c r="AF500" s="384"/>
      <c r="AG500" s="384"/>
      <c r="AH500" s="384"/>
      <c r="AI500" s="384"/>
      <c r="AJ500" s="384"/>
      <c r="AK500" s="384"/>
      <c r="AL500" s="384"/>
      <c r="AM500" s="384"/>
      <c r="AN500" s="384"/>
      <c r="AO500" s="384"/>
      <c r="AP500" s="384"/>
      <c r="AQ500" s="384"/>
      <c r="AR500" s="384"/>
      <c r="AS500" s="384"/>
      <c r="AT500" s="384"/>
      <c r="AU500" s="384"/>
      <c r="AV500" s="384"/>
      <c r="AW500" s="384"/>
      <c r="AX500" s="384"/>
      <c r="AY500" s="384"/>
      <c r="AZ500" s="384"/>
      <c r="BA500" s="384"/>
      <c r="BB500" s="384"/>
      <c r="BC500" s="384"/>
      <c r="BD500" s="384"/>
      <c r="BE500" s="384"/>
      <c r="BF500" s="384"/>
      <c r="BG500" s="384"/>
      <c r="BH500" s="384"/>
      <c r="BI500" s="384"/>
      <c r="BJ500" s="384"/>
      <c r="BK500" s="384"/>
      <c r="BL500" s="384"/>
      <c r="BM500" s="384"/>
      <c r="BN500" s="384"/>
      <c r="BO500" s="384"/>
      <c r="BP500" s="384"/>
      <c r="BQ500" s="384"/>
      <c r="BR500" s="384"/>
      <c r="BS500" s="384"/>
      <c r="BT500" s="384"/>
      <c r="BU500" s="384"/>
      <c r="BV500" s="384"/>
      <c r="BW500" s="384"/>
      <c r="BX500" s="384"/>
      <c r="BY500" s="384"/>
      <c r="BZ500" s="384"/>
      <c r="CA500" s="286"/>
      <c r="CB500" s="286"/>
      <c r="CC500" s="286"/>
      <c r="CD500" s="286"/>
      <c r="CE500" s="286"/>
      <c r="CF500" s="286"/>
      <c r="CG500" s="286"/>
      <c r="CH500" s="286"/>
      <c r="CI500" s="286"/>
      <c r="CJ500" s="286"/>
      <c r="CK500" s="286"/>
      <c r="CL500" s="286"/>
      <c r="CM500" s="286"/>
      <c r="CN500" s="286"/>
      <c r="CO500" s="286"/>
      <c r="CP500" s="286"/>
      <c r="CQ500" s="286"/>
      <c r="CR500" s="286"/>
      <c r="CS500" s="286"/>
      <c r="CT500" s="286"/>
      <c r="CU500" s="286"/>
      <c r="CV500" s="286"/>
      <c r="CW500" s="286"/>
      <c r="CX500" s="286"/>
      <c r="CY500" s="286"/>
      <c r="CZ500" s="286"/>
      <c r="DA500" s="286"/>
      <c r="DB500" s="286"/>
      <c r="DC500" s="286"/>
      <c r="DD500" s="286"/>
      <c r="DE500" s="286"/>
      <c r="DF500" s="286"/>
      <c r="DG500" s="286"/>
      <c r="DH500" s="286"/>
      <c r="DI500" s="286"/>
      <c r="DJ500" s="286"/>
      <c r="DK500" s="286"/>
      <c r="DL500" s="286"/>
      <c r="DM500" s="286"/>
      <c r="DN500" s="286"/>
      <c r="DO500" s="286"/>
      <c r="DP500" s="286"/>
    </row>
    <row r="501" spans="1:120" ht="33" thickBot="1" x14ac:dyDescent="0.25">
      <c r="A501" s="333"/>
      <c r="B501" s="317"/>
      <c r="C501" s="317"/>
      <c r="D501" s="317"/>
      <c r="E501" s="317"/>
      <c r="F501" s="320" t="s">
        <v>31</v>
      </c>
      <c r="G501" s="320"/>
      <c r="H501" s="320"/>
      <c r="I501" s="320"/>
      <c r="J501" s="320"/>
      <c r="K501" s="320"/>
      <c r="L501" s="385"/>
      <c r="M501" s="385"/>
      <c r="N501" s="385"/>
      <c r="O501" s="385"/>
      <c r="P501" s="385"/>
      <c r="Q501" s="385"/>
      <c r="R501" s="385"/>
      <c r="S501" s="385"/>
      <c r="T501" s="385"/>
      <c r="U501" s="385"/>
      <c r="V501" s="385"/>
      <c r="W501" s="385" t="e">
        <f>AVERAGE(W2:W461)</f>
        <v>#N/A</v>
      </c>
      <c r="X501" s="385"/>
      <c r="Y501" s="385"/>
      <c r="Z501" s="385"/>
      <c r="AA501" s="385"/>
      <c r="AB501" s="385"/>
      <c r="AC501" s="385"/>
      <c r="AD501" s="385"/>
      <c r="AE501" s="385"/>
      <c r="AF501" s="385"/>
      <c r="AG501" s="385"/>
      <c r="AH501" s="385"/>
      <c r="AI501" s="385"/>
      <c r="AJ501" s="385"/>
      <c r="AK501" s="385"/>
      <c r="AL501" s="385"/>
      <c r="AM501" s="385"/>
      <c r="AN501" s="385"/>
      <c r="AO501" s="385"/>
      <c r="AP501" s="385"/>
      <c r="AQ501" s="385"/>
      <c r="AR501" s="385"/>
      <c r="AS501" s="385"/>
      <c r="AT501" s="385"/>
      <c r="AU501" s="385"/>
      <c r="AV501" s="385"/>
      <c r="AW501" s="385"/>
      <c r="AX501" s="385"/>
      <c r="AY501" s="385"/>
      <c r="AZ501" s="385"/>
      <c r="BA501" s="385"/>
      <c r="BB501" s="385"/>
      <c r="BC501" s="385"/>
      <c r="BD501" s="385"/>
      <c r="BE501" s="385"/>
      <c r="BF501" s="385"/>
      <c r="BG501" s="385"/>
      <c r="BH501" s="385"/>
      <c r="BI501" s="385"/>
      <c r="BJ501" s="385"/>
      <c r="BK501" s="385"/>
      <c r="BL501" s="385"/>
      <c r="BM501" s="385"/>
      <c r="BN501" s="385"/>
      <c r="BO501" s="385"/>
      <c r="BP501" s="385"/>
      <c r="BQ501" s="385"/>
      <c r="BR501" s="385"/>
      <c r="BS501" s="385"/>
      <c r="BT501" s="385"/>
      <c r="BU501" s="385"/>
      <c r="BV501" s="385"/>
      <c r="BW501" s="385"/>
      <c r="BX501" s="385"/>
      <c r="BY501" s="385"/>
      <c r="BZ501" s="385"/>
      <c r="CA501" s="286"/>
      <c r="CB501" s="286"/>
      <c r="CC501" s="286"/>
      <c r="CD501" s="286"/>
      <c r="CE501" s="286"/>
      <c r="CF501" s="286"/>
      <c r="CG501" s="286"/>
      <c r="CH501" s="286"/>
      <c r="CI501" s="286"/>
      <c r="CJ501" s="286"/>
      <c r="CK501" s="286"/>
      <c r="CL501" s="286"/>
      <c r="CM501" s="286"/>
      <c r="CN501" s="286"/>
      <c r="CO501" s="286"/>
      <c r="CP501" s="286"/>
      <c r="CQ501" s="286"/>
      <c r="CR501" s="286"/>
      <c r="CS501" s="286"/>
      <c r="CT501" s="286"/>
      <c r="CU501" s="286"/>
      <c r="CV501" s="286"/>
      <c r="CW501" s="286"/>
      <c r="CX501" s="286"/>
      <c r="CY501" s="286"/>
      <c r="CZ501" s="286"/>
      <c r="DA501" s="286"/>
      <c r="DB501" s="286"/>
      <c r="DC501" s="286"/>
      <c r="DD501" s="286"/>
      <c r="DE501" s="286"/>
      <c r="DF501" s="286"/>
      <c r="DG501" s="286"/>
      <c r="DH501" s="286"/>
      <c r="DI501" s="286"/>
      <c r="DJ501" s="286"/>
      <c r="DK501" s="286"/>
      <c r="DL501" s="286"/>
      <c r="DM501" s="286"/>
      <c r="DN501" s="286"/>
      <c r="DO501" s="286"/>
      <c r="DP501" s="286"/>
    </row>
    <row r="502" spans="1:120" ht="17" thickBot="1" x14ac:dyDescent="0.25">
      <c r="A502" s="333"/>
      <c r="B502" s="319"/>
      <c r="C502" s="319"/>
      <c r="D502" s="319"/>
      <c r="E502" s="319"/>
      <c r="F502" s="320" t="s">
        <v>32</v>
      </c>
      <c r="G502" s="320"/>
      <c r="H502" s="320"/>
      <c r="I502" s="320"/>
      <c r="J502" s="320"/>
      <c r="K502" s="320"/>
      <c r="L502" s="384"/>
      <c r="M502" s="384"/>
      <c r="N502" s="384"/>
      <c r="O502" s="384"/>
      <c r="P502" s="384"/>
      <c r="Q502" s="384"/>
      <c r="R502" s="384"/>
      <c r="S502" s="384"/>
      <c r="T502" s="384"/>
      <c r="U502" s="384"/>
      <c r="V502" s="384"/>
      <c r="W502" s="384"/>
      <c r="X502" s="384" t="e">
        <f>IF(AND(X72=4,AVERAGE(X144,X146)&gt;2,X394=4),4,AVERAGE(S497:W501))</f>
        <v>#N/A</v>
      </c>
      <c r="Y502" s="384"/>
      <c r="Z502" s="384"/>
      <c r="AA502" s="384"/>
      <c r="AB502" s="384"/>
      <c r="AC502" s="384"/>
      <c r="AD502" s="384"/>
      <c r="AE502" s="384"/>
      <c r="AF502" s="384"/>
      <c r="AG502" s="384"/>
      <c r="AH502" s="384"/>
      <c r="AI502" s="384"/>
      <c r="AJ502" s="384"/>
      <c r="AK502" s="384"/>
      <c r="AL502" s="384"/>
      <c r="AM502" s="384"/>
      <c r="AN502" s="384"/>
      <c r="AO502" s="384"/>
      <c r="AP502" s="384"/>
      <c r="AQ502" s="384"/>
      <c r="AR502" s="384"/>
      <c r="AS502" s="384"/>
      <c r="AT502" s="384"/>
      <c r="AU502" s="384"/>
      <c r="AV502" s="384"/>
      <c r="AW502" s="384"/>
      <c r="AX502" s="384"/>
      <c r="AY502" s="384"/>
      <c r="AZ502" s="384"/>
      <c r="BA502" s="384"/>
      <c r="BB502" s="384"/>
      <c r="BC502" s="384"/>
      <c r="BD502" s="384"/>
      <c r="BE502" s="384"/>
      <c r="BF502" s="384"/>
      <c r="BG502" s="384"/>
      <c r="BH502" s="384"/>
      <c r="BI502" s="384"/>
      <c r="BJ502" s="384"/>
      <c r="BK502" s="384"/>
      <c r="BL502" s="384"/>
      <c r="BM502" s="384"/>
      <c r="BN502" s="384"/>
      <c r="BO502" s="384"/>
      <c r="BP502" s="384"/>
      <c r="BQ502" s="384"/>
      <c r="BR502" s="384"/>
      <c r="BS502" s="384"/>
      <c r="BT502" s="384"/>
      <c r="BU502" s="384"/>
      <c r="BV502" s="384"/>
      <c r="BW502" s="384"/>
      <c r="BX502" s="384"/>
      <c r="BY502" s="384"/>
      <c r="BZ502" s="384"/>
      <c r="CA502" s="286"/>
      <c r="CB502" s="286"/>
      <c r="CC502" s="286"/>
      <c r="CD502" s="286"/>
      <c r="CE502" s="286"/>
      <c r="CF502" s="286"/>
      <c r="CG502" s="286"/>
      <c r="CH502" s="286"/>
      <c r="CI502" s="286"/>
      <c r="CJ502" s="286"/>
      <c r="CK502" s="286"/>
      <c r="CL502" s="286"/>
      <c r="CM502" s="286"/>
      <c r="CN502" s="286"/>
      <c r="CO502" s="286"/>
      <c r="CP502" s="286"/>
      <c r="CQ502" s="286"/>
      <c r="CR502" s="286"/>
      <c r="CS502" s="286"/>
      <c r="CT502" s="286"/>
      <c r="CU502" s="286"/>
      <c r="CV502" s="286"/>
      <c r="CW502" s="286"/>
      <c r="CX502" s="286"/>
      <c r="CY502" s="286"/>
      <c r="CZ502" s="286"/>
      <c r="DA502" s="286"/>
      <c r="DB502" s="286"/>
      <c r="DC502" s="286"/>
      <c r="DD502" s="286"/>
      <c r="DE502" s="286"/>
      <c r="DF502" s="286"/>
      <c r="DG502" s="286"/>
      <c r="DH502" s="286"/>
      <c r="DI502" s="286"/>
      <c r="DJ502" s="286"/>
      <c r="DK502" s="286"/>
      <c r="DL502" s="286"/>
      <c r="DM502" s="286"/>
      <c r="DN502" s="286"/>
      <c r="DO502" s="286"/>
      <c r="DP502" s="286"/>
    </row>
    <row r="503" spans="1:120" ht="17" thickBot="1" x14ac:dyDescent="0.25">
      <c r="A503" s="333"/>
      <c r="B503" s="317"/>
      <c r="C503" s="317"/>
      <c r="D503" s="317"/>
      <c r="E503" s="317"/>
      <c r="F503" s="320" t="s">
        <v>33</v>
      </c>
      <c r="G503" s="320"/>
      <c r="H503" s="320"/>
      <c r="I503" s="320"/>
      <c r="J503" s="320"/>
      <c r="K503" s="320"/>
      <c r="L503" s="385"/>
      <c r="M503" s="385"/>
      <c r="N503" s="385"/>
      <c r="O503" s="385"/>
      <c r="P503" s="385"/>
      <c r="Q503" s="385"/>
      <c r="R503" s="385"/>
      <c r="S503" s="385"/>
      <c r="T503" s="385"/>
      <c r="U503" s="385"/>
      <c r="V503" s="385"/>
      <c r="W503" s="385"/>
      <c r="X503" s="385"/>
      <c r="Y503" s="385" t="e" cm="1">
        <f t="array" ref="Y503">LinLogIntp2D1('Slope stability'!$E$5:$H$5,'Slope stability'!D6:$D$24,'Slope stability'!$E$6:Y46,X502,Y81)</f>
        <v>#VALUE!</v>
      </c>
      <c r="Z503" s="385"/>
      <c r="AA503" s="385"/>
      <c r="AB503" s="385"/>
      <c r="AC503" s="385"/>
      <c r="AD503" s="385"/>
      <c r="AE503" s="385"/>
      <c r="AF503" s="385"/>
      <c r="AG503" s="385"/>
      <c r="AH503" s="385"/>
      <c r="AI503" s="385"/>
      <c r="AJ503" s="385"/>
      <c r="AK503" s="385"/>
      <c r="AL503" s="385"/>
      <c r="AM503" s="385"/>
      <c r="AN503" s="385"/>
      <c r="AO503" s="385"/>
      <c r="AP503" s="385"/>
      <c r="AQ503" s="385"/>
      <c r="AR503" s="385"/>
      <c r="AS503" s="385"/>
      <c r="AT503" s="385"/>
      <c r="AU503" s="385"/>
      <c r="AV503" s="385"/>
      <c r="AW503" s="385"/>
      <c r="AX503" s="385"/>
      <c r="AY503" s="385"/>
      <c r="AZ503" s="385"/>
      <c r="BA503" s="385"/>
      <c r="BB503" s="385"/>
      <c r="BC503" s="385"/>
      <c r="BD503" s="385"/>
      <c r="BE503" s="385"/>
      <c r="BF503" s="385"/>
      <c r="BG503" s="385"/>
      <c r="BH503" s="385"/>
      <c r="BI503" s="385"/>
      <c r="BJ503" s="385"/>
      <c r="BK503" s="385"/>
      <c r="BL503" s="385"/>
      <c r="BM503" s="385"/>
      <c r="BN503" s="385"/>
      <c r="BO503" s="385"/>
      <c r="BP503" s="385"/>
      <c r="BQ503" s="385"/>
      <c r="BR503" s="385"/>
      <c r="BS503" s="385"/>
      <c r="BT503" s="385"/>
      <c r="BU503" s="385"/>
      <c r="BV503" s="385"/>
      <c r="BW503" s="385"/>
      <c r="BX503" s="385"/>
      <c r="BY503" s="385"/>
      <c r="BZ503" s="385"/>
      <c r="CA503" s="286"/>
      <c r="CB503" s="286"/>
      <c r="CC503" s="286"/>
      <c r="CD503" s="286"/>
      <c r="CE503" s="286"/>
      <c r="CF503" s="286"/>
      <c r="CG503" s="286"/>
      <c r="CH503" s="286"/>
      <c r="CI503" s="286"/>
      <c r="CJ503" s="286"/>
      <c r="CK503" s="286"/>
      <c r="CL503" s="286"/>
      <c r="CM503" s="286"/>
      <c r="CN503" s="286"/>
      <c r="CO503" s="286"/>
      <c r="CP503" s="286"/>
      <c r="CQ503" s="286"/>
      <c r="CR503" s="286"/>
      <c r="CS503" s="286"/>
      <c r="CT503" s="286"/>
      <c r="CU503" s="286"/>
      <c r="CV503" s="286"/>
      <c r="CW503" s="286"/>
      <c r="CX503" s="286"/>
      <c r="CY503" s="286"/>
      <c r="CZ503" s="286"/>
      <c r="DA503" s="286"/>
      <c r="DB503" s="286"/>
      <c r="DC503" s="286"/>
      <c r="DD503" s="286"/>
      <c r="DE503" s="286"/>
      <c r="DF503" s="286"/>
      <c r="DG503" s="286"/>
      <c r="DH503" s="286"/>
      <c r="DI503" s="286"/>
      <c r="DJ503" s="286"/>
      <c r="DK503" s="286"/>
      <c r="DL503" s="286"/>
      <c r="DM503" s="286"/>
      <c r="DN503" s="286"/>
      <c r="DO503" s="286"/>
      <c r="DP503" s="286"/>
    </row>
    <row r="504" spans="1:120" ht="17" thickBot="1" x14ac:dyDescent="0.25">
      <c r="A504" s="333"/>
      <c r="B504" s="319"/>
      <c r="C504" s="319"/>
      <c r="D504" s="319"/>
      <c r="E504" s="319"/>
      <c r="F504" s="321" t="s">
        <v>34</v>
      </c>
      <c r="G504" s="321"/>
      <c r="H504" s="321"/>
      <c r="I504" s="321"/>
      <c r="J504" s="321"/>
      <c r="K504" s="321"/>
      <c r="L504" s="384"/>
      <c r="M504" s="384"/>
      <c r="N504" s="384"/>
      <c r="O504" s="384"/>
      <c r="P504" s="384"/>
      <c r="Q504" s="384"/>
      <c r="R504" s="384"/>
      <c r="S504" s="384"/>
      <c r="T504" s="384"/>
      <c r="U504" s="384"/>
      <c r="V504" s="384"/>
      <c r="W504" s="384"/>
      <c r="X504" s="384"/>
      <c r="Y504" s="384"/>
      <c r="Z504" s="384">
        <f>AVERAGE(Z2:Z461)</f>
        <v>1.9090909090909092</v>
      </c>
      <c r="AA504" s="384"/>
      <c r="AB504" s="384"/>
      <c r="AC504" s="384"/>
      <c r="AD504" s="384"/>
      <c r="AE504" s="384"/>
      <c r="AF504" s="384"/>
      <c r="AG504" s="384"/>
      <c r="AH504" s="384"/>
      <c r="AI504" s="384"/>
      <c r="AJ504" s="384"/>
      <c r="AK504" s="384"/>
      <c r="AL504" s="384"/>
      <c r="AM504" s="384"/>
      <c r="AN504" s="384"/>
      <c r="AO504" s="384"/>
      <c r="AP504" s="384"/>
      <c r="AQ504" s="384"/>
      <c r="AR504" s="384"/>
      <c r="AS504" s="384"/>
      <c r="AT504" s="384"/>
      <c r="AU504" s="384"/>
      <c r="AV504" s="384"/>
      <c r="AW504" s="384"/>
      <c r="AX504" s="384"/>
      <c r="AY504" s="384"/>
      <c r="AZ504" s="384"/>
      <c r="BA504" s="384"/>
      <c r="BB504" s="384"/>
      <c r="BC504" s="384"/>
      <c r="BD504" s="384"/>
      <c r="BE504" s="384"/>
      <c r="BF504" s="384"/>
      <c r="BG504" s="384"/>
      <c r="BH504" s="384"/>
      <c r="BI504" s="384"/>
      <c r="BJ504" s="384"/>
      <c r="BK504" s="384"/>
      <c r="BL504" s="384"/>
      <c r="BM504" s="384"/>
      <c r="BN504" s="384"/>
      <c r="BO504" s="384"/>
      <c r="BP504" s="384"/>
      <c r="BQ504" s="384"/>
      <c r="BR504" s="384"/>
      <c r="BS504" s="384"/>
      <c r="BT504" s="384"/>
      <c r="BU504" s="384"/>
      <c r="BV504" s="384"/>
      <c r="BW504" s="384"/>
      <c r="BX504" s="384"/>
      <c r="BY504" s="384"/>
      <c r="BZ504" s="384"/>
      <c r="CA504" s="286"/>
      <c r="CB504" s="286"/>
      <c r="CC504" s="286"/>
      <c r="CD504" s="286"/>
      <c r="CE504" s="286"/>
      <c r="CF504" s="286"/>
      <c r="CG504" s="286"/>
      <c r="CH504" s="286"/>
      <c r="CI504" s="286"/>
      <c r="CJ504" s="286"/>
      <c r="CK504" s="286"/>
      <c r="CL504" s="286"/>
      <c r="CM504" s="286"/>
      <c r="CN504" s="286"/>
      <c r="CO504" s="286"/>
      <c r="CP504" s="286"/>
      <c r="CQ504" s="286"/>
      <c r="CR504" s="286"/>
      <c r="CS504" s="286"/>
      <c r="CT504" s="286"/>
      <c r="CU504" s="286"/>
      <c r="CV504" s="286"/>
      <c r="CW504" s="286"/>
      <c r="CX504" s="286"/>
      <c r="CY504" s="286"/>
      <c r="CZ504" s="286"/>
      <c r="DA504" s="286"/>
      <c r="DB504" s="286"/>
      <c r="DC504" s="286"/>
      <c r="DD504" s="286"/>
      <c r="DE504" s="286"/>
      <c r="DF504" s="286"/>
      <c r="DG504" s="286"/>
      <c r="DH504" s="286"/>
      <c r="DI504" s="286"/>
      <c r="DJ504" s="286"/>
      <c r="DK504" s="286"/>
      <c r="DL504" s="286"/>
      <c r="DM504" s="286"/>
      <c r="DN504" s="286"/>
      <c r="DO504" s="286"/>
      <c r="DP504" s="286"/>
    </row>
    <row r="505" spans="1:120" ht="17" thickBot="1" x14ac:dyDescent="0.25">
      <c r="A505" s="333"/>
      <c r="B505" s="317"/>
      <c r="C505" s="317"/>
      <c r="D505" s="317"/>
      <c r="E505" s="317"/>
      <c r="F505" s="321" t="s">
        <v>35</v>
      </c>
      <c r="G505" s="321"/>
      <c r="H505" s="321"/>
      <c r="I505" s="321"/>
      <c r="J505" s="321"/>
      <c r="K505" s="321"/>
      <c r="L505" s="385"/>
      <c r="M505" s="385"/>
      <c r="N505" s="385"/>
      <c r="O505" s="385"/>
      <c r="P505" s="385"/>
      <c r="Q505" s="385"/>
      <c r="R505" s="385"/>
      <c r="S505" s="385"/>
      <c r="T505" s="385"/>
      <c r="U505" s="385"/>
      <c r="V505" s="385"/>
      <c r="W505" s="385"/>
      <c r="X505" s="385"/>
      <c r="Y505" s="385"/>
      <c r="Z505" s="385"/>
      <c r="AA505" s="385">
        <f>AVERAGE(AA2:AA461)</f>
        <v>1</v>
      </c>
      <c r="AB505" s="385"/>
      <c r="AC505" s="385"/>
      <c r="AD505" s="385"/>
      <c r="AE505" s="385"/>
      <c r="AF505" s="385"/>
      <c r="AG505" s="385"/>
      <c r="AH505" s="385"/>
      <c r="AI505" s="385"/>
      <c r="AJ505" s="385"/>
      <c r="AK505" s="385"/>
      <c r="AL505" s="385"/>
      <c r="AM505" s="385"/>
      <c r="AN505" s="385"/>
      <c r="AO505" s="385"/>
      <c r="AP505" s="385"/>
      <c r="AQ505" s="385"/>
      <c r="AR505" s="385"/>
      <c r="AS505" s="385"/>
      <c r="AT505" s="385"/>
      <c r="AU505" s="385"/>
      <c r="AV505" s="385"/>
      <c r="AW505" s="385"/>
      <c r="AX505" s="385"/>
      <c r="AY505" s="385"/>
      <c r="AZ505" s="385"/>
      <c r="BA505" s="385"/>
      <c r="BB505" s="385"/>
      <c r="BC505" s="385"/>
      <c r="BD505" s="385"/>
      <c r="BE505" s="385"/>
      <c r="BF505" s="385"/>
      <c r="BG505" s="385"/>
      <c r="BH505" s="385"/>
      <c r="BI505" s="385"/>
      <c r="BJ505" s="385"/>
      <c r="BK505" s="385"/>
      <c r="BL505" s="385"/>
      <c r="BM505" s="385"/>
      <c r="BN505" s="385"/>
      <c r="BO505" s="385"/>
      <c r="BP505" s="385"/>
      <c r="BQ505" s="385"/>
      <c r="BR505" s="385"/>
      <c r="BS505" s="385"/>
      <c r="BT505" s="385"/>
      <c r="BU505" s="385"/>
      <c r="BV505" s="385"/>
      <c r="BW505" s="385"/>
      <c r="BX505" s="385"/>
      <c r="BY505" s="385"/>
      <c r="BZ505" s="385"/>
      <c r="CA505" s="286"/>
      <c r="CB505" s="286"/>
      <c r="CC505" s="286"/>
      <c r="CD505" s="286"/>
      <c r="CE505" s="286"/>
      <c r="CF505" s="286"/>
      <c r="CG505" s="286"/>
      <c r="CH505" s="286"/>
      <c r="CI505" s="286"/>
      <c r="CJ505" s="286"/>
      <c r="CK505" s="286"/>
      <c r="CL505" s="286"/>
      <c r="CM505" s="286"/>
      <c r="CN505" s="286"/>
      <c r="CO505" s="286"/>
      <c r="CP505" s="286"/>
      <c r="CQ505" s="286"/>
      <c r="CR505" s="286"/>
      <c r="CS505" s="286"/>
      <c r="CT505" s="286"/>
      <c r="CU505" s="286"/>
      <c r="CV505" s="286"/>
      <c r="CW505" s="286"/>
      <c r="CX505" s="286"/>
      <c r="CY505" s="286"/>
      <c r="CZ505" s="286"/>
      <c r="DA505" s="286"/>
      <c r="DB505" s="286"/>
      <c r="DC505" s="286"/>
      <c r="DD505" s="286"/>
      <c r="DE505" s="286"/>
      <c r="DF505" s="286"/>
      <c r="DG505" s="286"/>
      <c r="DH505" s="286"/>
      <c r="DI505" s="286"/>
      <c r="DJ505" s="286"/>
      <c r="DK505" s="286"/>
      <c r="DL505" s="286"/>
      <c r="DM505" s="286"/>
      <c r="DN505" s="286"/>
      <c r="DO505" s="286"/>
      <c r="DP505" s="286"/>
    </row>
    <row r="506" spans="1:120" ht="17" thickBot="1" x14ac:dyDescent="0.25">
      <c r="A506" s="333"/>
      <c r="B506" s="319"/>
      <c r="C506" s="319"/>
      <c r="D506" s="319"/>
      <c r="E506" s="319"/>
      <c r="F506" s="321" t="s">
        <v>36</v>
      </c>
      <c r="G506" s="321"/>
      <c r="H506" s="321"/>
      <c r="I506" s="321"/>
      <c r="J506" s="321"/>
      <c r="K506" s="321"/>
      <c r="L506" s="384"/>
      <c r="M506" s="384"/>
      <c r="N506" s="384"/>
      <c r="O506" s="384"/>
      <c r="P506" s="384"/>
      <c r="Q506" s="384"/>
      <c r="R506" s="384"/>
      <c r="S506" s="384"/>
      <c r="T506" s="384"/>
      <c r="U506" s="384"/>
      <c r="V506" s="384"/>
      <c r="W506" s="384"/>
      <c r="X506" s="384"/>
      <c r="Y506" s="384"/>
      <c r="Z506" s="384"/>
      <c r="AA506" s="384"/>
      <c r="AB506" s="384">
        <f>AVERAGE(AB2:AB461)</f>
        <v>1.6666666666666667</v>
      </c>
      <c r="AC506" s="384"/>
      <c r="AD506" s="384"/>
      <c r="AE506" s="384"/>
      <c r="AF506" s="384"/>
      <c r="AG506" s="384"/>
      <c r="AH506" s="384"/>
      <c r="AI506" s="384"/>
      <c r="AJ506" s="384"/>
      <c r="AK506" s="384"/>
      <c r="AL506" s="384"/>
      <c r="AM506" s="384"/>
      <c r="AN506" s="384"/>
      <c r="AO506" s="384"/>
      <c r="AP506" s="384"/>
      <c r="AQ506" s="384"/>
      <c r="AR506" s="384"/>
      <c r="AS506" s="384"/>
      <c r="AT506" s="384"/>
      <c r="AU506" s="384"/>
      <c r="AV506" s="384"/>
      <c r="AW506" s="384"/>
      <c r="AX506" s="384"/>
      <c r="AY506" s="384"/>
      <c r="AZ506" s="384"/>
      <c r="BA506" s="384"/>
      <c r="BB506" s="384"/>
      <c r="BC506" s="384"/>
      <c r="BD506" s="384"/>
      <c r="BE506" s="384"/>
      <c r="BF506" s="384"/>
      <c r="BG506" s="384"/>
      <c r="BH506" s="384"/>
      <c r="BI506" s="384"/>
      <c r="BJ506" s="384"/>
      <c r="BK506" s="384"/>
      <c r="BL506" s="384"/>
      <c r="BM506" s="384"/>
      <c r="BN506" s="384"/>
      <c r="BO506" s="384"/>
      <c r="BP506" s="384"/>
      <c r="BQ506" s="384"/>
      <c r="BR506" s="384"/>
      <c r="BS506" s="384"/>
      <c r="BT506" s="384"/>
      <c r="BU506" s="384"/>
      <c r="BV506" s="384"/>
      <c r="BW506" s="384"/>
      <c r="BX506" s="384"/>
      <c r="BY506" s="384"/>
      <c r="BZ506" s="384"/>
      <c r="CA506" s="286"/>
      <c r="CB506" s="286"/>
      <c r="CC506" s="286"/>
      <c r="CD506" s="286"/>
      <c r="CE506" s="286"/>
      <c r="CF506" s="286"/>
      <c r="CG506" s="286"/>
      <c r="CH506" s="286"/>
      <c r="CI506" s="286"/>
      <c r="CJ506" s="286"/>
      <c r="CK506" s="286"/>
      <c r="CL506" s="286"/>
      <c r="CM506" s="286"/>
      <c r="CN506" s="286"/>
      <c r="CO506" s="286"/>
      <c r="CP506" s="286"/>
      <c r="CQ506" s="286"/>
      <c r="CR506" s="286"/>
      <c r="CS506" s="286"/>
      <c r="CT506" s="286"/>
      <c r="CU506" s="286"/>
      <c r="CV506" s="286"/>
      <c r="CW506" s="286"/>
      <c r="CX506" s="286"/>
      <c r="CY506" s="286"/>
      <c r="CZ506" s="286"/>
      <c r="DA506" s="286"/>
      <c r="DB506" s="286"/>
      <c r="DC506" s="286"/>
      <c r="DD506" s="286"/>
      <c r="DE506" s="286"/>
      <c r="DF506" s="286"/>
      <c r="DG506" s="286"/>
      <c r="DH506" s="286"/>
      <c r="DI506" s="286"/>
      <c r="DJ506" s="286"/>
      <c r="DK506" s="286"/>
      <c r="DL506" s="286"/>
      <c r="DM506" s="286"/>
      <c r="DN506" s="286"/>
      <c r="DO506" s="286"/>
      <c r="DP506" s="286"/>
    </row>
    <row r="507" spans="1:120" ht="17" thickBot="1" x14ac:dyDescent="0.25">
      <c r="A507" s="333"/>
      <c r="B507" s="317"/>
      <c r="C507" s="317"/>
      <c r="D507" s="317"/>
      <c r="E507" s="317"/>
      <c r="F507" s="321" t="s">
        <v>37</v>
      </c>
      <c r="G507" s="321"/>
      <c r="H507" s="321"/>
      <c r="I507" s="321"/>
      <c r="J507" s="321"/>
      <c r="K507" s="321"/>
      <c r="L507" s="385"/>
      <c r="M507" s="385"/>
      <c r="N507" s="385"/>
      <c r="O507" s="385"/>
      <c r="P507" s="385"/>
      <c r="Q507" s="385"/>
      <c r="R507" s="385"/>
      <c r="S507" s="385"/>
      <c r="T507" s="385"/>
      <c r="U507" s="385"/>
      <c r="V507" s="385"/>
      <c r="W507" s="385"/>
      <c r="X507" s="385"/>
      <c r="Y507" s="385"/>
      <c r="Z507" s="385"/>
      <c r="AA507" s="385"/>
      <c r="AB507" s="385"/>
      <c r="AC507" s="385">
        <f>AVERAGE(AC2:AC461)</f>
        <v>1</v>
      </c>
      <c r="AD507" s="385"/>
      <c r="AE507" s="385"/>
      <c r="AF507" s="385"/>
      <c r="AG507" s="385"/>
      <c r="AH507" s="385"/>
      <c r="AI507" s="385"/>
      <c r="AJ507" s="385"/>
      <c r="AK507" s="385"/>
      <c r="AL507" s="385"/>
      <c r="AM507" s="385"/>
      <c r="AN507" s="385"/>
      <c r="AO507" s="385"/>
      <c r="AP507" s="385"/>
      <c r="AQ507" s="385"/>
      <c r="AR507" s="385"/>
      <c r="AS507" s="385"/>
      <c r="AT507" s="385"/>
      <c r="AU507" s="385"/>
      <c r="AV507" s="385"/>
      <c r="AW507" s="385"/>
      <c r="AX507" s="385"/>
      <c r="AY507" s="385"/>
      <c r="AZ507" s="385"/>
      <c r="BA507" s="385"/>
      <c r="BB507" s="385"/>
      <c r="BC507" s="385"/>
      <c r="BD507" s="385"/>
      <c r="BE507" s="385"/>
      <c r="BF507" s="385"/>
      <c r="BG507" s="385"/>
      <c r="BH507" s="385"/>
      <c r="BI507" s="385"/>
      <c r="BJ507" s="385"/>
      <c r="BK507" s="385"/>
      <c r="BL507" s="385"/>
      <c r="BM507" s="385"/>
      <c r="BN507" s="385"/>
      <c r="BO507" s="385"/>
      <c r="BP507" s="385"/>
      <c r="BQ507" s="385"/>
      <c r="BR507" s="385"/>
      <c r="BS507" s="385"/>
      <c r="BT507" s="385"/>
      <c r="BU507" s="385"/>
      <c r="BV507" s="385"/>
      <c r="BW507" s="385"/>
      <c r="BX507" s="385"/>
      <c r="BY507" s="385"/>
      <c r="BZ507" s="385"/>
      <c r="CA507" s="286"/>
      <c r="CB507" s="286"/>
      <c r="CC507" s="286"/>
      <c r="CD507" s="286"/>
      <c r="CE507" s="286"/>
      <c r="CF507" s="286"/>
      <c r="CG507" s="286"/>
      <c r="CH507" s="286"/>
      <c r="CI507" s="286"/>
      <c r="CJ507" s="286"/>
      <c r="CK507" s="286"/>
      <c r="CL507" s="286"/>
      <c r="CM507" s="286"/>
      <c r="CN507" s="286"/>
      <c r="CO507" s="286"/>
      <c r="CP507" s="286"/>
      <c r="CQ507" s="286"/>
      <c r="CR507" s="286"/>
      <c r="CS507" s="286"/>
      <c r="CT507" s="286"/>
      <c r="CU507" s="286"/>
      <c r="CV507" s="286"/>
      <c r="CW507" s="286"/>
      <c r="CX507" s="286"/>
      <c r="CY507" s="286"/>
      <c r="CZ507" s="286"/>
      <c r="DA507" s="286"/>
      <c r="DB507" s="286"/>
      <c r="DC507" s="286"/>
      <c r="DD507" s="286"/>
      <c r="DE507" s="286"/>
      <c r="DF507" s="286"/>
      <c r="DG507" s="286"/>
      <c r="DH507" s="286"/>
      <c r="DI507" s="286"/>
      <c r="DJ507" s="286"/>
      <c r="DK507" s="286"/>
      <c r="DL507" s="286"/>
      <c r="DM507" s="286"/>
      <c r="DN507" s="286"/>
      <c r="DO507" s="286"/>
      <c r="DP507" s="286"/>
    </row>
    <row r="508" spans="1:120" ht="33" thickBot="1" x14ac:dyDescent="0.25">
      <c r="A508" s="333"/>
      <c r="B508" s="319"/>
      <c r="C508" s="319"/>
      <c r="D508" s="319"/>
      <c r="E508" s="319"/>
      <c r="F508" s="321" t="s">
        <v>38</v>
      </c>
      <c r="G508" s="321"/>
      <c r="H508" s="321"/>
      <c r="I508" s="321"/>
      <c r="J508" s="321"/>
      <c r="K508" s="321"/>
      <c r="L508" s="384"/>
      <c r="M508" s="384"/>
      <c r="N508" s="384"/>
      <c r="O508" s="384"/>
      <c r="P508" s="384"/>
      <c r="Q508" s="384"/>
      <c r="R508" s="384"/>
      <c r="S508" s="384"/>
      <c r="T508" s="384"/>
      <c r="U508" s="384"/>
      <c r="V508" s="384"/>
      <c r="W508" s="384"/>
      <c r="X508" s="384"/>
      <c r="Y508" s="384"/>
      <c r="Z508" s="384"/>
      <c r="AA508" s="384"/>
      <c r="AB508" s="384"/>
      <c r="AC508" s="384"/>
      <c r="AD508" s="384" t="e">
        <f>AVERAGE(AD2:AD461)</f>
        <v>#N/A</v>
      </c>
      <c r="AE508" s="384"/>
      <c r="AF508" s="384"/>
      <c r="AG508" s="384"/>
      <c r="AH508" s="384"/>
      <c r="AI508" s="384"/>
      <c r="AJ508" s="384"/>
      <c r="AK508" s="384"/>
      <c r="AL508" s="384"/>
      <c r="AM508" s="384"/>
      <c r="AN508" s="384"/>
      <c r="AO508" s="384"/>
      <c r="AP508" s="384"/>
      <c r="AQ508" s="384"/>
      <c r="AR508" s="384"/>
      <c r="AS508" s="384"/>
      <c r="AT508" s="384"/>
      <c r="AU508" s="384"/>
      <c r="AV508" s="384"/>
      <c r="AW508" s="384"/>
      <c r="AX508" s="384"/>
      <c r="AY508" s="384"/>
      <c r="AZ508" s="384"/>
      <c r="BA508" s="384"/>
      <c r="BB508" s="384"/>
      <c r="BC508" s="384"/>
      <c r="BD508" s="384"/>
      <c r="BE508" s="384"/>
      <c r="BF508" s="384"/>
      <c r="BG508" s="384"/>
      <c r="BH508" s="384"/>
      <c r="BI508" s="384"/>
      <c r="BJ508" s="384"/>
      <c r="BK508" s="384"/>
      <c r="BL508" s="384"/>
      <c r="BM508" s="384"/>
      <c r="BN508" s="384"/>
      <c r="BO508" s="384"/>
      <c r="BP508" s="384"/>
      <c r="BQ508" s="384"/>
      <c r="BR508" s="384"/>
      <c r="BS508" s="384"/>
      <c r="BT508" s="384"/>
      <c r="BU508" s="384"/>
      <c r="BV508" s="384"/>
      <c r="BW508" s="384"/>
      <c r="BX508" s="384"/>
      <c r="BY508" s="384"/>
      <c r="BZ508" s="384"/>
      <c r="CA508" s="286"/>
      <c r="CB508" s="286"/>
      <c r="CC508" s="286"/>
      <c r="CD508" s="286"/>
      <c r="CE508" s="286"/>
      <c r="CF508" s="286"/>
      <c r="CG508" s="286"/>
      <c r="CH508" s="286"/>
      <c r="CI508" s="286"/>
      <c r="CJ508" s="286"/>
      <c r="CK508" s="286"/>
      <c r="CL508" s="286"/>
      <c r="CM508" s="286"/>
      <c r="CN508" s="286"/>
      <c r="CO508" s="286"/>
      <c r="CP508" s="286"/>
      <c r="CQ508" s="286"/>
      <c r="CR508" s="286"/>
      <c r="CS508" s="286"/>
      <c r="CT508" s="286"/>
      <c r="CU508" s="286"/>
      <c r="CV508" s="286"/>
      <c r="CW508" s="286"/>
      <c r="CX508" s="286"/>
      <c r="CY508" s="286"/>
      <c r="CZ508" s="286"/>
      <c r="DA508" s="286"/>
      <c r="DB508" s="286"/>
      <c r="DC508" s="286"/>
      <c r="DD508" s="286"/>
      <c r="DE508" s="286"/>
      <c r="DF508" s="286"/>
      <c r="DG508" s="286"/>
      <c r="DH508" s="286"/>
      <c r="DI508" s="286"/>
      <c r="DJ508" s="286"/>
      <c r="DK508" s="286"/>
      <c r="DL508" s="286"/>
      <c r="DM508" s="286"/>
      <c r="DN508" s="286"/>
      <c r="DO508" s="286"/>
      <c r="DP508" s="286"/>
    </row>
    <row r="509" spans="1:120" ht="17" thickBot="1" x14ac:dyDescent="0.25">
      <c r="A509" s="333"/>
      <c r="B509" s="317"/>
      <c r="C509" s="317"/>
      <c r="D509" s="317"/>
      <c r="E509" s="317"/>
      <c r="F509" s="321" t="s">
        <v>39</v>
      </c>
      <c r="G509" s="321"/>
      <c r="H509" s="321"/>
      <c r="I509" s="321"/>
      <c r="J509" s="321"/>
      <c r="K509" s="321"/>
      <c r="L509" s="385"/>
      <c r="M509" s="385"/>
      <c r="N509" s="385"/>
      <c r="O509" s="385"/>
      <c r="P509" s="385"/>
      <c r="Q509" s="385"/>
      <c r="R509" s="385"/>
      <c r="S509" s="385"/>
      <c r="T509" s="385"/>
      <c r="U509" s="385"/>
      <c r="V509" s="385"/>
      <c r="W509" s="385"/>
      <c r="X509" s="385"/>
      <c r="Y509" s="385"/>
      <c r="Z509" s="385"/>
      <c r="AA509" s="385"/>
      <c r="AB509" s="385"/>
      <c r="AC509" s="385"/>
      <c r="AD509" s="385"/>
      <c r="AE509" s="385" t="e">
        <f>IF(AND(AE72=4,AVERAGE(AE144,AE146)&gt;2,AE394=4),4,AVERAGE(Z504:AD508))</f>
        <v>#N/A</v>
      </c>
      <c r="AF509" s="385"/>
      <c r="AG509" s="385"/>
      <c r="AH509" s="385"/>
      <c r="AI509" s="385"/>
      <c r="AJ509" s="385"/>
      <c r="AK509" s="385"/>
      <c r="AL509" s="385"/>
      <c r="AM509" s="385"/>
      <c r="AN509" s="385"/>
      <c r="AO509" s="385"/>
      <c r="AP509" s="385"/>
      <c r="AQ509" s="385"/>
      <c r="AR509" s="385"/>
      <c r="AS509" s="385"/>
      <c r="AT509" s="385"/>
      <c r="AU509" s="385"/>
      <c r="AV509" s="385"/>
      <c r="AW509" s="385"/>
      <c r="AX509" s="385"/>
      <c r="AY509" s="385"/>
      <c r="AZ509" s="385"/>
      <c r="BA509" s="385"/>
      <c r="BB509" s="385"/>
      <c r="BC509" s="385"/>
      <c r="BD509" s="385"/>
      <c r="BE509" s="385"/>
      <c r="BF509" s="385"/>
      <c r="BG509" s="385"/>
      <c r="BH509" s="385"/>
      <c r="BI509" s="385"/>
      <c r="BJ509" s="385"/>
      <c r="BK509" s="385"/>
      <c r="BL509" s="385"/>
      <c r="BM509" s="385"/>
      <c r="BN509" s="385"/>
      <c r="BO509" s="385"/>
      <c r="BP509" s="385"/>
      <c r="BQ509" s="385"/>
      <c r="BR509" s="385"/>
      <c r="BS509" s="385"/>
      <c r="BT509" s="385"/>
      <c r="BU509" s="385"/>
      <c r="BV509" s="385"/>
      <c r="BW509" s="385"/>
      <c r="BX509" s="385"/>
      <c r="BY509" s="385"/>
      <c r="BZ509" s="385"/>
      <c r="CA509" s="286"/>
      <c r="CB509" s="286"/>
      <c r="CC509" s="286"/>
      <c r="CD509" s="286"/>
      <c r="CE509" s="286"/>
      <c r="CF509" s="286"/>
      <c r="CG509" s="286"/>
      <c r="CH509" s="286"/>
      <c r="CI509" s="286"/>
      <c r="CJ509" s="286"/>
      <c r="CK509" s="286"/>
      <c r="CL509" s="286"/>
      <c r="CM509" s="286"/>
      <c r="CN509" s="286"/>
      <c r="CO509" s="286"/>
      <c r="CP509" s="286"/>
      <c r="CQ509" s="286"/>
      <c r="CR509" s="286"/>
      <c r="CS509" s="286"/>
      <c r="CT509" s="286"/>
      <c r="CU509" s="286"/>
      <c r="CV509" s="286"/>
      <c r="CW509" s="286"/>
      <c r="CX509" s="286"/>
      <c r="CY509" s="286"/>
      <c r="CZ509" s="286"/>
      <c r="DA509" s="286"/>
      <c r="DB509" s="286"/>
      <c r="DC509" s="286"/>
      <c r="DD509" s="286"/>
      <c r="DE509" s="286"/>
      <c r="DF509" s="286"/>
      <c r="DG509" s="286"/>
      <c r="DH509" s="286"/>
      <c r="DI509" s="286"/>
      <c r="DJ509" s="286"/>
      <c r="DK509" s="286"/>
      <c r="DL509" s="286"/>
      <c r="DM509" s="286"/>
      <c r="DN509" s="286"/>
      <c r="DO509" s="286"/>
      <c r="DP509" s="286"/>
    </row>
    <row r="510" spans="1:120" ht="17" thickBot="1" x14ac:dyDescent="0.25">
      <c r="A510" s="333"/>
      <c r="B510" s="319"/>
      <c r="C510" s="319"/>
      <c r="D510" s="319"/>
      <c r="E510" s="319"/>
      <c r="F510" s="321" t="s">
        <v>40</v>
      </c>
      <c r="G510" s="321"/>
      <c r="H510" s="321"/>
      <c r="I510" s="321"/>
      <c r="J510" s="321"/>
      <c r="K510" s="321"/>
      <c r="L510" s="384"/>
      <c r="M510" s="384"/>
      <c r="N510" s="384"/>
      <c r="O510" s="384"/>
      <c r="P510" s="384"/>
      <c r="Q510" s="384"/>
      <c r="R510" s="384"/>
      <c r="S510" s="384"/>
      <c r="T510" s="384"/>
      <c r="U510" s="384"/>
      <c r="V510" s="384"/>
      <c r="W510" s="384"/>
      <c r="X510" s="384"/>
      <c r="Y510" s="384"/>
      <c r="Z510" s="384"/>
      <c r="AA510" s="384"/>
      <c r="AB510" s="384"/>
      <c r="AC510" s="384"/>
      <c r="AD510" s="384"/>
      <c r="AE510" s="384"/>
      <c r="AF510" s="384" t="e" cm="1">
        <f t="array" ref="AF510">LinLogIntp2D1('Slope stability'!$E$5:$H$5,'Slope stability'!D6:$D$24,'Slope stability'!$E$6:Y46,AE509,AF82)*AF95</f>
        <v>#VALUE!</v>
      </c>
      <c r="AG510" s="384"/>
      <c r="AH510" s="384"/>
      <c r="AI510" s="384"/>
      <c r="AJ510" s="384"/>
      <c r="AK510" s="384"/>
      <c r="AL510" s="384"/>
      <c r="AM510" s="384"/>
      <c r="AN510" s="384"/>
      <c r="AO510" s="384"/>
      <c r="AP510" s="384"/>
      <c r="AQ510" s="384"/>
      <c r="AR510" s="384"/>
      <c r="AS510" s="384"/>
      <c r="AT510" s="384"/>
      <c r="AU510" s="384"/>
      <c r="AV510" s="384"/>
      <c r="AW510" s="384"/>
      <c r="AX510" s="384"/>
      <c r="AY510" s="384"/>
      <c r="AZ510" s="384"/>
      <c r="BA510" s="384"/>
      <c r="BB510" s="384"/>
      <c r="BC510" s="384"/>
      <c r="BD510" s="384"/>
      <c r="BE510" s="384"/>
      <c r="BF510" s="384"/>
      <c r="BG510" s="384"/>
      <c r="BH510" s="384"/>
      <c r="BI510" s="384"/>
      <c r="BJ510" s="384"/>
      <c r="BK510" s="384"/>
      <c r="BL510" s="384"/>
      <c r="BM510" s="384"/>
      <c r="BN510" s="384"/>
      <c r="BO510" s="384"/>
      <c r="BP510" s="384"/>
      <c r="BQ510" s="384"/>
      <c r="BR510" s="384"/>
      <c r="BS510" s="384"/>
      <c r="BT510" s="384"/>
      <c r="BU510" s="384"/>
      <c r="BV510" s="384"/>
      <c r="BW510" s="384"/>
      <c r="BX510" s="384"/>
      <c r="BY510" s="384"/>
      <c r="BZ510" s="384"/>
      <c r="CA510" s="286"/>
      <c r="CB510" s="286"/>
      <c r="CC510" s="286"/>
      <c r="CD510" s="286"/>
      <c r="CE510" s="286"/>
      <c r="CF510" s="286"/>
      <c r="CG510" s="286"/>
      <c r="CH510" s="286"/>
      <c r="CI510" s="286"/>
      <c r="CJ510" s="286"/>
      <c r="CK510" s="286"/>
      <c r="CL510" s="286"/>
      <c r="CM510" s="286"/>
      <c r="CN510" s="286"/>
      <c r="CO510" s="286"/>
      <c r="CP510" s="286"/>
      <c r="CQ510" s="286"/>
      <c r="CR510" s="286"/>
      <c r="CS510" s="286"/>
      <c r="CT510" s="286"/>
      <c r="CU510" s="286"/>
      <c r="CV510" s="286"/>
      <c r="CW510" s="286"/>
      <c r="CX510" s="286"/>
      <c r="CY510" s="286"/>
      <c r="CZ510" s="286"/>
      <c r="DA510" s="286"/>
      <c r="DB510" s="286"/>
      <c r="DC510" s="286"/>
      <c r="DD510" s="286"/>
      <c r="DE510" s="286"/>
      <c r="DF510" s="286"/>
      <c r="DG510" s="286"/>
      <c r="DH510" s="286"/>
      <c r="DI510" s="286"/>
      <c r="DJ510" s="286"/>
      <c r="DK510" s="286"/>
      <c r="DL510" s="286"/>
      <c r="DM510" s="286"/>
      <c r="DN510" s="286"/>
      <c r="DO510" s="286"/>
      <c r="DP510" s="286"/>
    </row>
    <row r="511" spans="1:120" ht="17" thickBot="1" x14ac:dyDescent="0.25">
      <c r="A511" s="333"/>
      <c r="B511" s="317"/>
      <c r="C511" s="317"/>
      <c r="D511" s="317"/>
      <c r="E511" s="317"/>
      <c r="F511" s="322" t="s">
        <v>41</v>
      </c>
      <c r="G511" s="322"/>
      <c r="H511" s="322"/>
      <c r="I511" s="322"/>
      <c r="J511" s="322"/>
      <c r="K511" s="322"/>
      <c r="L511" s="385"/>
      <c r="M511" s="385"/>
      <c r="N511" s="385"/>
      <c r="O511" s="385"/>
      <c r="P511" s="385"/>
      <c r="Q511" s="385"/>
      <c r="R511" s="385"/>
      <c r="S511" s="385"/>
      <c r="T511" s="385"/>
      <c r="U511" s="385"/>
      <c r="V511" s="385"/>
      <c r="W511" s="385"/>
      <c r="X511" s="385"/>
      <c r="Y511" s="385"/>
      <c r="Z511" s="385"/>
      <c r="AA511" s="385"/>
      <c r="AB511" s="385"/>
      <c r="AC511" s="385"/>
      <c r="AD511" s="385"/>
      <c r="AE511" s="385"/>
      <c r="AF511" s="385"/>
      <c r="AG511" s="385">
        <f>AVERAGE(AG2:AG461)</f>
        <v>9.9999999999999995E-7</v>
      </c>
      <c r="AH511" s="385"/>
      <c r="AI511" s="385"/>
      <c r="AJ511" s="385"/>
      <c r="AK511" s="385"/>
      <c r="AL511" s="385"/>
      <c r="AM511" s="385"/>
      <c r="AN511" s="385"/>
      <c r="AO511" s="385"/>
      <c r="AP511" s="385"/>
      <c r="AQ511" s="385"/>
      <c r="AR511" s="385"/>
      <c r="AS511" s="385"/>
      <c r="AT511" s="385"/>
      <c r="AU511" s="385"/>
      <c r="AV511" s="385"/>
      <c r="AW511" s="385"/>
      <c r="AX511" s="385"/>
      <c r="AY511" s="385"/>
      <c r="AZ511" s="385"/>
      <c r="BA511" s="385"/>
      <c r="BB511" s="385"/>
      <c r="BC511" s="385"/>
      <c r="BD511" s="385"/>
      <c r="BE511" s="385"/>
      <c r="BF511" s="385"/>
      <c r="BG511" s="385"/>
      <c r="BH511" s="385"/>
      <c r="BI511" s="385"/>
      <c r="BJ511" s="385"/>
      <c r="BK511" s="385"/>
      <c r="BL511" s="385"/>
      <c r="BM511" s="385"/>
      <c r="BN511" s="385"/>
      <c r="BO511" s="385"/>
      <c r="BP511" s="385"/>
      <c r="BQ511" s="385"/>
      <c r="BR511" s="385"/>
      <c r="BS511" s="385"/>
      <c r="BT511" s="385"/>
      <c r="BU511" s="385"/>
      <c r="BV511" s="385"/>
      <c r="BW511" s="385"/>
      <c r="BX511" s="385"/>
      <c r="BY511" s="385"/>
      <c r="BZ511" s="385"/>
      <c r="CA511" s="286"/>
      <c r="CB511" s="286"/>
      <c r="CC511" s="286"/>
      <c r="CD511" s="286"/>
      <c r="CE511" s="286"/>
      <c r="CF511" s="286"/>
      <c r="CG511" s="286"/>
      <c r="CH511" s="286"/>
      <c r="CI511" s="286"/>
      <c r="CJ511" s="286"/>
      <c r="CK511" s="286"/>
      <c r="CL511" s="286"/>
      <c r="CM511" s="286"/>
      <c r="CN511" s="286"/>
      <c r="CO511" s="286"/>
      <c r="CP511" s="286"/>
      <c r="CQ511" s="286"/>
      <c r="CR511" s="286"/>
      <c r="CS511" s="286"/>
      <c r="CT511" s="286"/>
      <c r="CU511" s="286"/>
      <c r="CV511" s="286"/>
      <c r="CW511" s="286"/>
      <c r="CX511" s="286"/>
      <c r="CY511" s="286"/>
      <c r="CZ511" s="286"/>
      <c r="DA511" s="286"/>
      <c r="DB511" s="286"/>
      <c r="DC511" s="286"/>
      <c r="DD511" s="286"/>
      <c r="DE511" s="286"/>
      <c r="DF511" s="286"/>
      <c r="DG511" s="286"/>
      <c r="DH511" s="286"/>
      <c r="DI511" s="286"/>
      <c r="DJ511" s="286"/>
      <c r="DK511" s="286"/>
      <c r="DL511" s="286"/>
      <c r="DM511" s="286"/>
      <c r="DN511" s="286"/>
      <c r="DO511" s="286"/>
      <c r="DP511" s="286"/>
    </row>
    <row r="512" spans="1:120" ht="17" thickBot="1" x14ac:dyDescent="0.25">
      <c r="A512" s="333"/>
      <c r="B512" s="319"/>
      <c r="C512" s="319"/>
      <c r="D512" s="319"/>
      <c r="E512" s="319"/>
      <c r="F512" s="324" t="s">
        <v>42</v>
      </c>
      <c r="G512" s="324"/>
      <c r="H512" s="324"/>
      <c r="I512" s="324"/>
      <c r="J512" s="324"/>
      <c r="K512" s="324"/>
      <c r="L512" s="384"/>
      <c r="M512" s="384"/>
      <c r="N512" s="384"/>
      <c r="O512" s="384"/>
      <c r="P512" s="384"/>
      <c r="Q512" s="384"/>
      <c r="R512" s="384"/>
      <c r="S512" s="384"/>
      <c r="T512" s="384"/>
      <c r="U512" s="384"/>
      <c r="V512" s="384"/>
      <c r="W512" s="384"/>
      <c r="X512" s="384"/>
      <c r="Y512" s="384"/>
      <c r="Z512" s="384"/>
      <c r="AA512" s="384"/>
      <c r="AB512" s="384"/>
      <c r="AC512" s="384"/>
      <c r="AD512" s="384"/>
      <c r="AE512" s="384"/>
      <c r="AF512" s="384"/>
      <c r="AG512" s="384"/>
      <c r="AH512" s="386">
        <f>MAX(1-AH119/AH74,0)</f>
        <v>0.81818181818181812</v>
      </c>
      <c r="AI512" s="384"/>
      <c r="AJ512" s="384"/>
      <c r="AK512" s="384"/>
      <c r="AL512" s="384"/>
      <c r="AM512" s="384"/>
      <c r="AN512" s="384"/>
      <c r="AO512" s="384"/>
      <c r="AP512" s="384"/>
      <c r="AQ512" s="384"/>
      <c r="AR512" s="384"/>
      <c r="AS512" s="384"/>
      <c r="AT512" s="384"/>
      <c r="AU512" s="384"/>
      <c r="AV512" s="384"/>
      <c r="AW512" s="384"/>
      <c r="AX512" s="384"/>
      <c r="AY512" s="384"/>
      <c r="AZ512" s="384"/>
      <c r="BA512" s="384"/>
      <c r="BB512" s="384"/>
      <c r="BC512" s="384"/>
      <c r="BD512" s="384"/>
      <c r="BE512" s="384"/>
      <c r="BF512" s="384"/>
      <c r="BG512" s="384"/>
      <c r="BH512" s="384"/>
      <c r="BI512" s="384"/>
      <c r="BJ512" s="384"/>
      <c r="BK512" s="384"/>
      <c r="BL512" s="384"/>
      <c r="BM512" s="384"/>
      <c r="BN512" s="384"/>
      <c r="BO512" s="384"/>
      <c r="BP512" s="384"/>
      <c r="BQ512" s="384"/>
      <c r="BR512" s="384"/>
      <c r="BS512" s="384"/>
      <c r="BT512" s="384"/>
      <c r="BU512" s="384"/>
      <c r="BV512" s="384"/>
      <c r="BW512" s="384"/>
      <c r="BX512" s="384"/>
      <c r="BY512" s="384"/>
      <c r="BZ512" s="384"/>
      <c r="CA512" s="286"/>
      <c r="CB512" s="286"/>
      <c r="CC512" s="286"/>
      <c r="CD512" s="286"/>
      <c r="CE512" s="286"/>
      <c r="CF512" s="286"/>
      <c r="CG512" s="286"/>
      <c r="CH512" s="286"/>
      <c r="CI512" s="286"/>
      <c r="CJ512" s="286"/>
      <c r="CK512" s="286"/>
      <c r="CL512" s="286"/>
      <c r="CM512" s="286"/>
      <c r="CN512" s="286"/>
      <c r="CO512" s="286"/>
      <c r="CP512" s="286"/>
      <c r="CQ512" s="286"/>
      <c r="CR512" s="286"/>
      <c r="CS512" s="286"/>
      <c r="CT512" s="286"/>
      <c r="CU512" s="286"/>
      <c r="CV512" s="286"/>
      <c r="CW512" s="286"/>
      <c r="CX512" s="286"/>
      <c r="CY512" s="286"/>
      <c r="CZ512" s="286"/>
      <c r="DA512" s="286"/>
      <c r="DB512" s="286"/>
      <c r="DC512" s="286"/>
      <c r="DD512" s="286"/>
      <c r="DE512" s="286"/>
      <c r="DF512" s="286"/>
      <c r="DG512" s="286"/>
      <c r="DH512" s="286"/>
      <c r="DI512" s="286"/>
      <c r="DJ512" s="286"/>
      <c r="DK512" s="286"/>
      <c r="DL512" s="286"/>
      <c r="DM512" s="286"/>
      <c r="DN512" s="286"/>
      <c r="DO512" s="286"/>
      <c r="DP512" s="286"/>
    </row>
    <row r="513" spans="1:120" ht="33" thickBot="1" x14ac:dyDescent="0.25">
      <c r="A513" s="333"/>
      <c r="B513" s="317"/>
      <c r="C513" s="317"/>
      <c r="D513" s="317"/>
      <c r="E513" s="317"/>
      <c r="F513" s="325" t="s">
        <v>43</v>
      </c>
      <c r="G513" s="325"/>
      <c r="H513" s="325"/>
      <c r="I513" s="325"/>
      <c r="J513" s="325"/>
      <c r="K513" s="325"/>
      <c r="L513" s="385"/>
      <c r="M513" s="385"/>
      <c r="N513" s="385"/>
      <c r="O513" s="385"/>
      <c r="P513" s="385"/>
      <c r="Q513" s="385"/>
      <c r="R513" s="385"/>
      <c r="S513" s="385"/>
      <c r="T513" s="385"/>
      <c r="U513" s="385"/>
      <c r="V513" s="385"/>
      <c r="W513" s="385"/>
      <c r="X513" s="385"/>
      <c r="Y513" s="385"/>
      <c r="Z513" s="385"/>
      <c r="AA513" s="385"/>
      <c r="AB513" s="385"/>
      <c r="AC513" s="385"/>
      <c r="AD513" s="385"/>
      <c r="AE513" s="385"/>
      <c r="AF513" s="385"/>
      <c r="AG513" s="385"/>
      <c r="AH513" s="385"/>
      <c r="AI513" s="385">
        <f>IF(AI83*AI398&lt;3,0.2425*(AVERAGE(AI206:AI281))^2-0.5535*AVERAGE(AI206:AI281)+0.3325,IF(AI398&lt;3,1,2))</f>
        <v>2.1500000000000019E-2</v>
      </c>
      <c r="AJ513" s="385"/>
      <c r="AK513" s="385"/>
      <c r="AL513" s="385"/>
      <c r="AM513" s="385"/>
      <c r="AN513" s="385"/>
      <c r="AO513" s="385"/>
      <c r="AP513" s="385"/>
      <c r="AQ513" s="385"/>
      <c r="AR513" s="385"/>
      <c r="AS513" s="385"/>
      <c r="AT513" s="385"/>
      <c r="AU513" s="385"/>
      <c r="AV513" s="385"/>
      <c r="AW513" s="385"/>
      <c r="AX513" s="385"/>
      <c r="AY513" s="385"/>
      <c r="AZ513" s="385"/>
      <c r="BA513" s="385"/>
      <c r="BB513" s="385"/>
      <c r="BC513" s="385"/>
      <c r="BD513" s="385"/>
      <c r="BE513" s="385"/>
      <c r="BF513" s="385"/>
      <c r="BG513" s="385"/>
      <c r="BH513" s="385"/>
      <c r="BI513" s="385"/>
      <c r="BJ513" s="385"/>
      <c r="BK513" s="385"/>
      <c r="BL513" s="385"/>
      <c r="BM513" s="385"/>
      <c r="BN513" s="385"/>
      <c r="BO513" s="385"/>
      <c r="BP513" s="385"/>
      <c r="BQ513" s="385"/>
      <c r="BR513" s="385"/>
      <c r="BS513" s="385"/>
      <c r="BT513" s="385"/>
      <c r="BU513" s="385"/>
      <c r="BV513" s="385"/>
      <c r="BW513" s="385"/>
      <c r="BX513" s="385"/>
      <c r="BY513" s="385"/>
      <c r="BZ513" s="385"/>
      <c r="CA513" s="286"/>
      <c r="CB513" s="286"/>
      <c r="CC513" s="286"/>
      <c r="CD513" s="286"/>
      <c r="CE513" s="286"/>
      <c r="CF513" s="286"/>
      <c r="CG513" s="286"/>
      <c r="CH513" s="286"/>
      <c r="CI513" s="286"/>
      <c r="CJ513" s="286"/>
      <c r="CK513" s="286"/>
      <c r="CL513" s="286"/>
      <c r="CM513" s="286"/>
      <c r="CN513" s="286"/>
      <c r="CO513" s="286"/>
      <c r="CP513" s="286"/>
      <c r="CQ513" s="286"/>
      <c r="CR513" s="286"/>
      <c r="CS513" s="286"/>
      <c r="CT513" s="286"/>
      <c r="CU513" s="286"/>
      <c r="CV513" s="286"/>
      <c r="CW513" s="286"/>
      <c r="CX513" s="286"/>
      <c r="CY513" s="286"/>
      <c r="CZ513" s="286"/>
      <c r="DA513" s="286"/>
      <c r="DB513" s="286"/>
      <c r="DC513" s="286"/>
      <c r="DD513" s="286"/>
      <c r="DE513" s="286"/>
      <c r="DF513" s="286"/>
      <c r="DG513" s="286"/>
      <c r="DH513" s="286"/>
      <c r="DI513" s="286"/>
      <c r="DJ513" s="286"/>
      <c r="DK513" s="286"/>
      <c r="DL513" s="286"/>
      <c r="DM513" s="286"/>
      <c r="DN513" s="286"/>
      <c r="DO513" s="286"/>
      <c r="DP513" s="286"/>
    </row>
    <row r="514" spans="1:120" ht="33" thickBot="1" x14ac:dyDescent="0.25">
      <c r="A514" s="333"/>
      <c r="B514" s="319"/>
      <c r="C514" s="319"/>
      <c r="D514" s="319"/>
      <c r="E514" s="319"/>
      <c r="F514" s="325" t="s">
        <v>44</v>
      </c>
      <c r="G514" s="325"/>
      <c r="H514" s="325"/>
      <c r="I514" s="325"/>
      <c r="J514" s="325"/>
      <c r="K514" s="325"/>
      <c r="L514" s="384"/>
      <c r="M514" s="384"/>
      <c r="N514" s="384"/>
      <c r="O514" s="384"/>
      <c r="P514" s="384"/>
      <c r="Q514" s="384"/>
      <c r="R514" s="384"/>
      <c r="S514" s="384"/>
      <c r="T514" s="384"/>
      <c r="U514" s="384"/>
      <c r="V514" s="384"/>
      <c r="W514" s="384"/>
      <c r="X514" s="384"/>
      <c r="Y514" s="384"/>
      <c r="Z514" s="384"/>
      <c r="AA514" s="384"/>
      <c r="AB514" s="384"/>
      <c r="AC514" s="384"/>
      <c r="AD514" s="384"/>
      <c r="AE514" s="384"/>
      <c r="AF514" s="384"/>
      <c r="AG514" s="384"/>
      <c r="AH514" s="384"/>
      <c r="AI514" s="384"/>
      <c r="AJ514" s="384">
        <f>AVERAGE(AJ2:AJ461)</f>
        <v>1</v>
      </c>
      <c r="AK514" s="384"/>
      <c r="AL514" s="384"/>
      <c r="AM514" s="384"/>
      <c r="AN514" s="384"/>
      <c r="AO514" s="384"/>
      <c r="AP514" s="384"/>
      <c r="AQ514" s="384"/>
      <c r="AR514" s="384"/>
      <c r="AS514" s="384"/>
      <c r="AT514" s="384"/>
      <c r="AU514" s="384"/>
      <c r="AV514" s="384"/>
      <c r="AW514" s="384"/>
      <c r="AX514" s="384"/>
      <c r="AY514" s="384"/>
      <c r="AZ514" s="384"/>
      <c r="BA514" s="384"/>
      <c r="BB514" s="384"/>
      <c r="BC514" s="384"/>
      <c r="BD514" s="384"/>
      <c r="BE514" s="384"/>
      <c r="BF514" s="384"/>
      <c r="BG514" s="384"/>
      <c r="BH514" s="384"/>
      <c r="BI514" s="384"/>
      <c r="BJ514" s="384"/>
      <c r="BK514" s="384"/>
      <c r="BL514" s="384"/>
      <c r="BM514" s="384"/>
      <c r="BN514" s="384"/>
      <c r="BO514" s="384"/>
      <c r="BP514" s="384"/>
      <c r="BQ514" s="384"/>
      <c r="BR514" s="384"/>
      <c r="BS514" s="384"/>
      <c r="BT514" s="384"/>
      <c r="BU514" s="384"/>
      <c r="BV514" s="384"/>
      <c r="BW514" s="384"/>
      <c r="BX514" s="384"/>
      <c r="BY514" s="384"/>
      <c r="BZ514" s="384"/>
      <c r="CA514" s="286"/>
      <c r="CB514" s="286"/>
      <c r="CC514" s="286"/>
      <c r="CD514" s="286"/>
      <c r="CE514" s="286"/>
      <c r="CF514" s="286"/>
      <c r="CG514" s="286"/>
      <c r="CH514" s="286"/>
      <c r="CI514" s="286"/>
      <c r="CJ514" s="286"/>
      <c r="CK514" s="286"/>
      <c r="CL514" s="286"/>
      <c r="CM514" s="286"/>
      <c r="CN514" s="286"/>
      <c r="CO514" s="286"/>
      <c r="CP514" s="286"/>
      <c r="CQ514" s="286"/>
      <c r="CR514" s="286"/>
      <c r="CS514" s="286"/>
      <c r="CT514" s="286"/>
      <c r="CU514" s="286"/>
      <c r="CV514" s="286"/>
      <c r="CW514" s="286"/>
      <c r="CX514" s="286"/>
      <c r="CY514" s="286"/>
      <c r="CZ514" s="286"/>
      <c r="DA514" s="286"/>
      <c r="DB514" s="286"/>
      <c r="DC514" s="286"/>
      <c r="DD514" s="286"/>
      <c r="DE514" s="286"/>
      <c r="DF514" s="286"/>
      <c r="DG514" s="286"/>
      <c r="DH514" s="286"/>
      <c r="DI514" s="286"/>
      <c r="DJ514" s="286"/>
      <c r="DK514" s="286"/>
      <c r="DL514" s="286"/>
      <c r="DM514" s="286"/>
      <c r="DN514" s="286"/>
      <c r="DO514" s="286"/>
      <c r="DP514" s="286"/>
    </row>
    <row r="515" spans="1:120" ht="33" thickBot="1" x14ac:dyDescent="0.25">
      <c r="A515" s="333"/>
      <c r="B515" s="317"/>
      <c r="C515" s="317"/>
      <c r="D515" s="317"/>
      <c r="E515" s="317"/>
      <c r="F515" s="325" t="s">
        <v>45</v>
      </c>
      <c r="G515" s="325"/>
      <c r="H515" s="325"/>
      <c r="I515" s="325"/>
      <c r="J515" s="325"/>
      <c r="K515" s="325"/>
      <c r="L515" s="385"/>
      <c r="M515" s="385"/>
      <c r="N515" s="385"/>
      <c r="O515" s="385"/>
      <c r="P515" s="385"/>
      <c r="Q515" s="385"/>
      <c r="R515" s="385"/>
      <c r="S515" s="385"/>
      <c r="T515" s="385"/>
      <c r="U515" s="385"/>
      <c r="V515" s="385"/>
      <c r="W515" s="385"/>
      <c r="X515" s="385"/>
      <c r="Y515" s="385"/>
      <c r="Z515" s="385"/>
      <c r="AA515" s="385"/>
      <c r="AB515" s="385"/>
      <c r="AC515" s="385"/>
      <c r="AD515" s="385"/>
      <c r="AE515" s="385"/>
      <c r="AF515" s="385"/>
      <c r="AG515" s="385"/>
      <c r="AH515" s="385"/>
      <c r="AI515" s="385"/>
      <c r="AJ515" s="385"/>
      <c r="AK515" s="385">
        <f>AVERAGE(AK3:AK490)</f>
        <v>0.8</v>
      </c>
      <c r="AL515" s="385"/>
      <c r="AM515" s="385"/>
      <c r="AN515" s="385"/>
      <c r="AO515" s="385"/>
      <c r="AP515" s="385"/>
      <c r="AQ515" s="385"/>
      <c r="AR515" s="385"/>
      <c r="AS515" s="385"/>
      <c r="AT515" s="385"/>
      <c r="AU515" s="385"/>
      <c r="AV515" s="385"/>
      <c r="AW515" s="385"/>
      <c r="AX515" s="385"/>
      <c r="AY515" s="385"/>
      <c r="AZ515" s="385"/>
      <c r="BA515" s="385"/>
      <c r="BB515" s="385"/>
      <c r="BC515" s="385"/>
      <c r="BD515" s="385"/>
      <c r="BE515" s="385"/>
      <c r="BF515" s="385"/>
      <c r="BG515" s="385"/>
      <c r="BH515" s="385"/>
      <c r="BI515" s="385"/>
      <c r="BJ515" s="385"/>
      <c r="BK515" s="385"/>
      <c r="BL515" s="385"/>
      <c r="BM515" s="385"/>
      <c r="BN515" s="385"/>
      <c r="BO515" s="385"/>
      <c r="BP515" s="385"/>
      <c r="BQ515" s="385"/>
      <c r="BR515" s="385"/>
      <c r="BS515" s="385"/>
      <c r="BT515" s="385"/>
      <c r="BU515" s="385"/>
      <c r="BV515" s="385"/>
      <c r="BW515" s="385"/>
      <c r="BX515" s="385"/>
      <c r="BY515" s="385"/>
      <c r="BZ515" s="385"/>
      <c r="CA515" s="286"/>
      <c r="CB515" s="286"/>
      <c r="CC515" s="286"/>
      <c r="CD515" s="286"/>
      <c r="CE515" s="286"/>
      <c r="CF515" s="286"/>
      <c r="CG515" s="286"/>
      <c r="CH515" s="286"/>
      <c r="CI515" s="286"/>
      <c r="CJ515" s="286"/>
      <c r="CK515" s="286"/>
      <c r="CL515" s="286"/>
      <c r="CM515" s="286"/>
      <c r="CN515" s="286"/>
      <c r="CO515" s="286"/>
      <c r="CP515" s="286"/>
      <c r="CQ515" s="286"/>
      <c r="CR515" s="286"/>
      <c r="CS515" s="286"/>
      <c r="CT515" s="286"/>
      <c r="CU515" s="286"/>
      <c r="CV515" s="286"/>
      <c r="CW515" s="286"/>
      <c r="CX515" s="286"/>
      <c r="CY515" s="286"/>
      <c r="CZ515" s="286"/>
      <c r="DA515" s="286"/>
      <c r="DB515" s="286"/>
      <c r="DC515" s="286"/>
      <c r="DD515" s="286"/>
      <c r="DE515" s="286"/>
      <c r="DF515" s="286"/>
      <c r="DG515" s="286"/>
      <c r="DH515" s="286"/>
      <c r="DI515" s="286"/>
      <c r="DJ515" s="286"/>
      <c r="DK515" s="286"/>
      <c r="DL515" s="286"/>
      <c r="DM515" s="286"/>
      <c r="DN515" s="286"/>
      <c r="DO515" s="286"/>
      <c r="DP515" s="286"/>
    </row>
    <row r="516" spans="1:120" ht="33" thickBot="1" x14ac:dyDescent="0.25">
      <c r="A516" s="333"/>
      <c r="B516" s="319"/>
      <c r="C516" s="319"/>
      <c r="D516" s="319"/>
      <c r="E516" s="319"/>
      <c r="F516" s="325" t="s">
        <v>46</v>
      </c>
      <c r="G516" s="325"/>
      <c r="H516" s="325"/>
      <c r="I516" s="325"/>
      <c r="J516" s="325"/>
      <c r="K516" s="325"/>
      <c r="L516" s="384"/>
      <c r="M516" s="384"/>
      <c r="N516" s="384"/>
      <c r="O516" s="384"/>
      <c r="P516" s="384"/>
      <c r="Q516" s="384"/>
      <c r="R516" s="384"/>
      <c r="S516" s="384"/>
      <c r="T516" s="384"/>
      <c r="U516" s="384"/>
      <c r="V516" s="384"/>
      <c r="W516" s="384"/>
      <c r="X516" s="384"/>
      <c r="Y516" s="384"/>
      <c r="Z516" s="384"/>
      <c r="AA516" s="384"/>
      <c r="AB516" s="384"/>
      <c r="AC516" s="384"/>
      <c r="AD516" s="384"/>
      <c r="AE516" s="384"/>
      <c r="AF516" s="384"/>
      <c r="AG516" s="384"/>
      <c r="AH516" s="384"/>
      <c r="AI516" s="384"/>
      <c r="AJ516" s="384"/>
      <c r="AK516" s="384"/>
      <c r="AL516" s="384">
        <f>0.5*(AVERAGE(AL2:AL461))^2-AVERAGE(AL2:AL461)+ 1</f>
        <v>0.5</v>
      </c>
      <c r="AM516" s="384"/>
      <c r="AN516" s="384"/>
      <c r="AO516" s="384"/>
      <c r="AP516" s="384"/>
      <c r="AQ516" s="384"/>
      <c r="AR516" s="384"/>
      <c r="AS516" s="384"/>
      <c r="AT516" s="384"/>
      <c r="AU516" s="384"/>
      <c r="AV516" s="384"/>
      <c r="AW516" s="384"/>
      <c r="AX516" s="384"/>
      <c r="AY516" s="384"/>
      <c r="AZ516" s="384"/>
      <c r="BA516" s="384"/>
      <c r="BB516" s="384"/>
      <c r="BC516" s="384"/>
      <c r="BD516" s="384"/>
      <c r="BE516" s="384"/>
      <c r="BF516" s="384"/>
      <c r="BG516" s="384"/>
      <c r="BH516" s="384"/>
      <c r="BI516" s="384"/>
      <c r="BJ516" s="384"/>
      <c r="BK516" s="384"/>
      <c r="BL516" s="384"/>
      <c r="BM516" s="384"/>
      <c r="BN516" s="384"/>
      <c r="BO516" s="384"/>
      <c r="BP516" s="384"/>
      <c r="BQ516" s="384"/>
      <c r="BR516" s="384"/>
      <c r="BS516" s="384"/>
      <c r="BT516" s="384"/>
      <c r="BU516" s="384"/>
      <c r="BV516" s="384"/>
      <c r="BW516" s="384"/>
      <c r="BX516" s="384"/>
      <c r="BY516" s="384"/>
      <c r="BZ516" s="384"/>
      <c r="CA516" s="286"/>
      <c r="CB516" s="286"/>
      <c r="CC516" s="286"/>
      <c r="CD516" s="286"/>
      <c r="CE516" s="286"/>
      <c r="CF516" s="286"/>
      <c r="CG516" s="286"/>
      <c r="CH516" s="286"/>
      <c r="CI516" s="286"/>
      <c r="CJ516" s="286"/>
      <c r="CK516" s="286"/>
      <c r="CL516" s="286"/>
      <c r="CM516" s="286"/>
      <c r="CN516" s="286"/>
      <c r="CO516" s="286"/>
      <c r="CP516" s="286"/>
      <c r="CQ516" s="286"/>
      <c r="CR516" s="286"/>
      <c r="CS516" s="286"/>
      <c r="CT516" s="286"/>
      <c r="CU516" s="286"/>
      <c r="CV516" s="286"/>
      <c r="CW516" s="286"/>
      <c r="CX516" s="286"/>
      <c r="CY516" s="286"/>
      <c r="CZ516" s="286"/>
      <c r="DA516" s="286"/>
      <c r="DB516" s="286"/>
      <c r="DC516" s="286"/>
      <c r="DD516" s="286"/>
      <c r="DE516" s="286"/>
      <c r="DF516" s="286"/>
      <c r="DG516" s="286"/>
      <c r="DH516" s="286"/>
      <c r="DI516" s="286"/>
      <c r="DJ516" s="286"/>
      <c r="DK516" s="286"/>
      <c r="DL516" s="286"/>
      <c r="DM516" s="286"/>
      <c r="DN516" s="286"/>
      <c r="DO516" s="286"/>
      <c r="DP516" s="286"/>
    </row>
    <row r="517" spans="1:120" ht="33" thickBot="1" x14ac:dyDescent="0.25">
      <c r="A517" s="333"/>
      <c r="B517" s="317"/>
      <c r="C517" s="317"/>
      <c r="D517" s="317"/>
      <c r="E517" s="317"/>
      <c r="F517" s="325" t="s">
        <v>47</v>
      </c>
      <c r="G517" s="325"/>
      <c r="H517" s="325"/>
      <c r="I517" s="325"/>
      <c r="J517" s="325"/>
      <c r="K517" s="325"/>
      <c r="L517" s="385"/>
      <c r="M517" s="385"/>
      <c r="N517" s="385"/>
      <c r="O517" s="385"/>
      <c r="P517" s="385"/>
      <c r="Q517" s="385"/>
      <c r="R517" s="385"/>
      <c r="S517" s="385"/>
      <c r="T517" s="385"/>
      <c r="U517" s="385"/>
      <c r="V517" s="385"/>
      <c r="W517" s="385"/>
      <c r="X517" s="385"/>
      <c r="Y517" s="385"/>
      <c r="Z517" s="385"/>
      <c r="AA517" s="385"/>
      <c r="AB517" s="385"/>
      <c r="AC517" s="385"/>
      <c r="AD517" s="385"/>
      <c r="AE517" s="385"/>
      <c r="AF517" s="385"/>
      <c r="AG517" s="385"/>
      <c r="AH517" s="385"/>
      <c r="AI517" s="385"/>
      <c r="AJ517" s="385"/>
      <c r="AK517" s="385"/>
      <c r="AL517" s="385"/>
      <c r="AM517" s="385">
        <f>AVERAGE(AM15:AM398)</f>
        <v>0.5</v>
      </c>
      <c r="AN517" s="385"/>
      <c r="AO517" s="385"/>
      <c r="AP517" s="385"/>
      <c r="AQ517" s="385"/>
      <c r="AR517" s="385"/>
      <c r="AS517" s="385"/>
      <c r="AT517" s="385"/>
      <c r="AU517" s="385"/>
      <c r="AV517" s="385"/>
      <c r="AW517" s="385"/>
      <c r="AX517" s="385"/>
      <c r="AY517" s="385"/>
      <c r="AZ517" s="385"/>
      <c r="BA517" s="385"/>
      <c r="BB517" s="385"/>
      <c r="BC517" s="385"/>
      <c r="BD517" s="385"/>
      <c r="BE517" s="385"/>
      <c r="BF517" s="385"/>
      <c r="BG517" s="385"/>
      <c r="BH517" s="385"/>
      <c r="BI517" s="385"/>
      <c r="BJ517" s="385"/>
      <c r="BK517" s="385"/>
      <c r="BL517" s="385"/>
      <c r="BM517" s="385"/>
      <c r="BN517" s="385"/>
      <c r="BO517" s="385"/>
      <c r="BP517" s="385"/>
      <c r="BQ517" s="385"/>
      <c r="BR517" s="385"/>
      <c r="BS517" s="385"/>
      <c r="BT517" s="385"/>
      <c r="BU517" s="385"/>
      <c r="BV517" s="385"/>
      <c r="BW517" s="385"/>
      <c r="BX517" s="385"/>
      <c r="BY517" s="385"/>
      <c r="BZ517" s="385"/>
      <c r="CA517" s="286"/>
      <c r="CB517" s="286"/>
      <c r="CC517" s="286"/>
      <c r="CD517" s="286"/>
      <c r="CE517" s="286"/>
      <c r="CF517" s="286"/>
      <c r="CG517" s="286"/>
      <c r="CH517" s="286"/>
      <c r="CI517" s="286"/>
      <c r="CJ517" s="286"/>
      <c r="CK517" s="286"/>
      <c r="CL517" s="286"/>
      <c r="CM517" s="286"/>
      <c r="CN517" s="286"/>
      <c r="CO517" s="286"/>
      <c r="CP517" s="286"/>
      <c r="CQ517" s="286"/>
      <c r="CR517" s="286"/>
      <c r="CS517" s="286"/>
      <c r="CT517" s="286"/>
      <c r="CU517" s="286"/>
      <c r="CV517" s="286"/>
      <c r="CW517" s="286"/>
      <c r="CX517" s="286"/>
      <c r="CY517" s="286"/>
      <c r="CZ517" s="286"/>
      <c r="DA517" s="286"/>
      <c r="DB517" s="286"/>
      <c r="DC517" s="286"/>
      <c r="DD517" s="286"/>
      <c r="DE517" s="286"/>
      <c r="DF517" s="286"/>
      <c r="DG517" s="286"/>
      <c r="DH517" s="286"/>
      <c r="DI517" s="286"/>
      <c r="DJ517" s="286"/>
      <c r="DK517" s="286"/>
      <c r="DL517" s="286"/>
      <c r="DM517" s="286"/>
      <c r="DN517" s="286"/>
      <c r="DO517" s="286"/>
      <c r="DP517" s="286"/>
    </row>
    <row r="518" spans="1:120" ht="33" thickBot="1" x14ac:dyDescent="0.25">
      <c r="A518" s="333"/>
      <c r="B518" s="319"/>
      <c r="C518" s="319"/>
      <c r="D518" s="319"/>
      <c r="E518" s="319"/>
      <c r="F518" s="325" t="s">
        <v>1199</v>
      </c>
      <c r="G518" s="325"/>
      <c r="H518" s="325"/>
      <c r="I518" s="325"/>
      <c r="J518" s="325"/>
      <c r="K518" s="325"/>
      <c r="L518" s="384"/>
      <c r="M518" s="384"/>
      <c r="N518" s="384"/>
      <c r="O518" s="384"/>
      <c r="P518" s="384"/>
      <c r="Q518" s="384"/>
      <c r="R518" s="384"/>
      <c r="S518" s="384"/>
      <c r="T518" s="384"/>
      <c r="U518" s="384"/>
      <c r="V518" s="384"/>
      <c r="W518" s="384"/>
      <c r="X518" s="384"/>
      <c r="Y518" s="384"/>
      <c r="Z518" s="384"/>
      <c r="AA518" s="384"/>
      <c r="AB518" s="384"/>
      <c r="AC518" s="384"/>
      <c r="AD518" s="384"/>
      <c r="AE518" s="384"/>
      <c r="AF518" s="384"/>
      <c r="AG518" s="384"/>
      <c r="AH518" s="384"/>
      <c r="AI518" s="384"/>
      <c r="AJ518" s="384"/>
      <c r="AK518" s="384"/>
      <c r="AL518" s="384"/>
      <c r="AM518" s="384"/>
      <c r="AN518" s="384">
        <f>AVERAGE(AN15:AN398)</f>
        <v>1</v>
      </c>
      <c r="AO518" s="384"/>
      <c r="AP518" s="384"/>
      <c r="AQ518" s="384"/>
      <c r="AR518" s="384"/>
      <c r="AS518" s="384"/>
      <c r="AT518" s="384"/>
      <c r="AU518" s="384"/>
      <c r="AV518" s="384"/>
      <c r="AW518" s="384"/>
      <c r="AX518" s="384"/>
      <c r="AY518" s="384"/>
      <c r="AZ518" s="384"/>
      <c r="BA518" s="384"/>
      <c r="BB518" s="384"/>
      <c r="BC518" s="384"/>
      <c r="BD518" s="384"/>
      <c r="BE518" s="384"/>
      <c r="BF518" s="384"/>
      <c r="BG518" s="384"/>
      <c r="BH518" s="384"/>
      <c r="BI518" s="384"/>
      <c r="BJ518" s="384"/>
      <c r="BK518" s="384"/>
      <c r="BL518" s="384"/>
      <c r="BM518" s="384"/>
      <c r="BN518" s="384"/>
      <c r="BO518" s="384"/>
      <c r="BP518" s="384"/>
      <c r="BQ518" s="384"/>
      <c r="BR518" s="384"/>
      <c r="BS518" s="384"/>
      <c r="BT518" s="384"/>
      <c r="BU518" s="384"/>
      <c r="BV518" s="384"/>
      <c r="BW518" s="384"/>
      <c r="BX518" s="384"/>
      <c r="BY518" s="384"/>
      <c r="BZ518" s="384"/>
      <c r="CA518" s="286"/>
      <c r="CB518" s="286"/>
      <c r="CC518" s="286"/>
      <c r="CD518" s="286"/>
      <c r="CE518" s="286"/>
      <c r="CF518" s="286"/>
      <c r="CG518" s="286"/>
      <c r="CH518" s="286"/>
      <c r="CI518" s="286"/>
      <c r="CJ518" s="286"/>
      <c r="CK518" s="286"/>
      <c r="CL518" s="286"/>
      <c r="CM518" s="286"/>
      <c r="CN518" s="286"/>
      <c r="CO518" s="286"/>
      <c r="CP518" s="286"/>
      <c r="CQ518" s="286"/>
      <c r="CR518" s="286"/>
      <c r="CS518" s="286"/>
      <c r="CT518" s="286"/>
      <c r="CU518" s="286"/>
      <c r="CV518" s="286"/>
      <c r="CW518" s="286"/>
      <c r="CX518" s="286"/>
      <c r="CY518" s="286"/>
      <c r="CZ518" s="286"/>
      <c r="DA518" s="286"/>
      <c r="DB518" s="286"/>
      <c r="DC518" s="286"/>
      <c r="DD518" s="286"/>
      <c r="DE518" s="286"/>
      <c r="DF518" s="286"/>
      <c r="DG518" s="286"/>
      <c r="DH518" s="286"/>
      <c r="DI518" s="286"/>
      <c r="DJ518" s="286"/>
      <c r="DK518" s="286"/>
      <c r="DL518" s="286"/>
      <c r="DM518" s="286"/>
      <c r="DN518" s="286"/>
      <c r="DO518" s="286"/>
      <c r="DP518" s="286"/>
    </row>
    <row r="519" spans="1:120" ht="33" thickBot="1" x14ac:dyDescent="0.25">
      <c r="A519" s="333"/>
      <c r="B519" s="317"/>
      <c r="C519" s="317"/>
      <c r="D519" s="317"/>
      <c r="E519" s="317"/>
      <c r="F519" s="325" t="s">
        <v>48</v>
      </c>
      <c r="G519" s="325"/>
      <c r="H519" s="325"/>
      <c r="I519" s="325"/>
      <c r="J519" s="325"/>
      <c r="K519" s="325"/>
      <c r="L519" s="385"/>
      <c r="M519" s="385"/>
      <c r="N519" s="385"/>
      <c r="O519" s="385"/>
      <c r="P519" s="385"/>
      <c r="Q519" s="385"/>
      <c r="R519" s="385"/>
      <c r="S519" s="385"/>
      <c r="T519" s="385"/>
      <c r="U519" s="385"/>
      <c r="V519" s="385"/>
      <c r="W519" s="385"/>
      <c r="X519" s="385"/>
      <c r="Y519" s="385"/>
      <c r="Z519" s="385"/>
      <c r="AA519" s="385"/>
      <c r="AB519" s="385"/>
      <c r="AC519" s="385"/>
      <c r="AD519" s="385"/>
      <c r="AE519" s="385"/>
      <c r="AF519" s="385"/>
      <c r="AG519" s="385"/>
      <c r="AH519" s="385"/>
      <c r="AI519" s="385"/>
      <c r="AJ519" s="385"/>
      <c r="AK519" s="385"/>
      <c r="AL519" s="385"/>
      <c r="AM519" s="385"/>
      <c r="AN519" s="385"/>
      <c r="AO519" s="385">
        <f>AVERAGE(AO15:AO398)</f>
        <v>0.5</v>
      </c>
      <c r="AP519" s="385"/>
      <c r="AQ519" s="385"/>
      <c r="AR519" s="385"/>
      <c r="AS519" s="385"/>
      <c r="AT519" s="385"/>
      <c r="AU519" s="385"/>
      <c r="AV519" s="385"/>
      <c r="AW519" s="385"/>
      <c r="AX519" s="385"/>
      <c r="AY519" s="385"/>
      <c r="AZ519" s="385"/>
      <c r="BA519" s="385"/>
      <c r="BB519" s="385"/>
      <c r="BC519" s="385"/>
      <c r="BD519" s="385"/>
      <c r="BE519" s="385"/>
      <c r="BF519" s="385"/>
      <c r="BG519" s="385"/>
      <c r="BH519" s="385"/>
      <c r="BI519" s="385"/>
      <c r="BJ519" s="385"/>
      <c r="BK519" s="385"/>
      <c r="BL519" s="385"/>
      <c r="BM519" s="385"/>
      <c r="BN519" s="385"/>
      <c r="BO519" s="385"/>
      <c r="BP519" s="385"/>
      <c r="BQ519" s="385"/>
      <c r="BR519" s="385"/>
      <c r="BS519" s="385"/>
      <c r="BT519" s="385"/>
      <c r="BU519" s="385"/>
      <c r="BV519" s="385"/>
      <c r="BW519" s="385"/>
      <c r="BX519" s="385"/>
      <c r="BY519" s="385"/>
      <c r="BZ519" s="385"/>
      <c r="CA519" s="286"/>
      <c r="CB519" s="286"/>
      <c r="CC519" s="286"/>
      <c r="CD519" s="286"/>
      <c r="CE519" s="286"/>
      <c r="CF519" s="286"/>
      <c r="CG519" s="286"/>
      <c r="CH519" s="286"/>
      <c r="CI519" s="286"/>
      <c r="CJ519" s="286"/>
      <c r="CK519" s="286"/>
      <c r="CL519" s="286"/>
      <c r="CM519" s="286"/>
      <c r="CN519" s="286"/>
      <c r="CO519" s="286"/>
      <c r="CP519" s="286"/>
      <c r="CQ519" s="286"/>
      <c r="CR519" s="286"/>
      <c r="CS519" s="286"/>
      <c r="CT519" s="286"/>
      <c r="CU519" s="286"/>
      <c r="CV519" s="286"/>
      <c r="CW519" s="286"/>
      <c r="CX519" s="286"/>
      <c r="CY519" s="286"/>
      <c r="CZ519" s="286"/>
      <c r="DA519" s="286"/>
      <c r="DB519" s="286"/>
      <c r="DC519" s="286"/>
      <c r="DD519" s="286"/>
      <c r="DE519" s="286"/>
      <c r="DF519" s="286"/>
      <c r="DG519" s="286"/>
      <c r="DH519" s="286"/>
      <c r="DI519" s="286"/>
      <c r="DJ519" s="286"/>
      <c r="DK519" s="286"/>
      <c r="DL519" s="286"/>
      <c r="DM519" s="286"/>
      <c r="DN519" s="286"/>
      <c r="DO519" s="286"/>
      <c r="DP519" s="286"/>
    </row>
    <row r="520" spans="1:120" ht="33" thickBot="1" x14ac:dyDescent="0.25">
      <c r="A520" s="333"/>
      <c r="B520" s="319"/>
      <c r="C520" s="319"/>
      <c r="D520" s="319"/>
      <c r="E520" s="319"/>
      <c r="F520" s="325" t="s">
        <v>49</v>
      </c>
      <c r="G520" s="325"/>
      <c r="H520" s="325"/>
      <c r="I520" s="325"/>
      <c r="J520" s="325"/>
      <c r="K520" s="325"/>
      <c r="L520" s="384"/>
      <c r="M520" s="384"/>
      <c r="N520" s="384"/>
      <c r="O520" s="384"/>
      <c r="P520" s="384"/>
      <c r="Q520" s="384"/>
      <c r="R520" s="384"/>
      <c r="S520" s="384"/>
      <c r="T520" s="384"/>
      <c r="U520" s="384"/>
      <c r="V520" s="384"/>
      <c r="W520" s="384"/>
      <c r="X520" s="384"/>
      <c r="Y520" s="384"/>
      <c r="Z520" s="384"/>
      <c r="AA520" s="384"/>
      <c r="AB520" s="384"/>
      <c r="AC520" s="384"/>
      <c r="AD520" s="384"/>
      <c r="AE520" s="384"/>
      <c r="AF520" s="384"/>
      <c r="AG520" s="384"/>
      <c r="AH520" s="384"/>
      <c r="AI520" s="384"/>
      <c r="AJ520" s="384"/>
      <c r="AK520" s="384"/>
      <c r="AL520" s="384"/>
      <c r="AM520" s="384"/>
      <c r="AN520" s="384"/>
      <c r="AO520" s="384"/>
      <c r="AP520" s="384">
        <f>0.1*AVERAGE(AP2:AP461)^2 + 0.4</f>
        <v>0.8</v>
      </c>
      <c r="AQ520" s="384"/>
      <c r="AR520" s="384"/>
      <c r="AS520" s="384"/>
      <c r="AT520" s="384"/>
      <c r="AU520" s="384"/>
      <c r="AV520" s="384"/>
      <c r="AW520" s="384"/>
      <c r="AX520" s="384"/>
      <c r="AY520" s="384"/>
      <c r="AZ520" s="384"/>
      <c r="BA520" s="384"/>
      <c r="BB520" s="384"/>
      <c r="BC520" s="384"/>
      <c r="BD520" s="384"/>
      <c r="BE520" s="384"/>
      <c r="BF520" s="384"/>
      <c r="BG520" s="384"/>
      <c r="BH520" s="384"/>
      <c r="BI520" s="384"/>
      <c r="BJ520" s="384"/>
      <c r="BK520" s="384"/>
      <c r="BL520" s="384"/>
      <c r="BM520" s="384"/>
      <c r="BN520" s="384"/>
      <c r="BO520" s="384"/>
      <c r="BP520" s="384"/>
      <c r="BQ520" s="384"/>
      <c r="BR520" s="384"/>
      <c r="BS520" s="384"/>
      <c r="BT520" s="384"/>
      <c r="BU520" s="384"/>
      <c r="BV520" s="384"/>
      <c r="BW520" s="384"/>
      <c r="BX520" s="384"/>
      <c r="BY520" s="384"/>
      <c r="BZ520" s="384"/>
      <c r="CA520" s="286"/>
      <c r="CB520" s="286"/>
      <c r="CC520" s="286"/>
      <c r="CD520" s="286"/>
      <c r="CE520" s="286"/>
      <c r="CF520" s="286"/>
      <c r="CG520" s="286"/>
      <c r="CH520" s="286"/>
      <c r="CI520" s="286"/>
      <c r="CJ520" s="286"/>
      <c r="CK520" s="286"/>
      <c r="CL520" s="286"/>
      <c r="CM520" s="286"/>
      <c r="CN520" s="286"/>
      <c r="CO520" s="286"/>
      <c r="CP520" s="286"/>
      <c r="CQ520" s="286"/>
      <c r="CR520" s="286"/>
      <c r="CS520" s="286"/>
      <c r="CT520" s="286"/>
      <c r="CU520" s="286"/>
      <c r="CV520" s="286"/>
      <c r="CW520" s="286"/>
      <c r="CX520" s="286"/>
      <c r="CY520" s="286"/>
      <c r="CZ520" s="286"/>
      <c r="DA520" s="286"/>
      <c r="DB520" s="286"/>
      <c r="DC520" s="286"/>
      <c r="DD520" s="286"/>
      <c r="DE520" s="286"/>
      <c r="DF520" s="286"/>
      <c r="DG520" s="286"/>
      <c r="DH520" s="286"/>
      <c r="DI520" s="286"/>
      <c r="DJ520" s="286"/>
      <c r="DK520" s="286"/>
      <c r="DL520" s="286"/>
      <c r="DM520" s="286"/>
      <c r="DN520" s="286"/>
      <c r="DO520" s="286"/>
      <c r="DP520" s="286"/>
    </row>
    <row r="521" spans="1:120" ht="17" thickBot="1" x14ac:dyDescent="0.25">
      <c r="A521" s="333"/>
      <c r="B521" s="317"/>
      <c r="C521" s="317"/>
      <c r="D521" s="317"/>
      <c r="E521" s="317"/>
      <c r="F521" s="326" t="s">
        <v>50</v>
      </c>
      <c r="G521" s="326"/>
      <c r="H521" s="326"/>
      <c r="I521" s="326"/>
      <c r="J521" s="326"/>
      <c r="K521" s="326"/>
      <c r="L521" s="385"/>
      <c r="M521" s="385"/>
      <c r="N521" s="385"/>
      <c r="O521" s="385"/>
      <c r="P521" s="385"/>
      <c r="Q521" s="385"/>
      <c r="R521" s="385"/>
      <c r="S521" s="385"/>
      <c r="T521" s="385"/>
      <c r="U521" s="385"/>
      <c r="V521" s="385"/>
      <c r="W521" s="385"/>
      <c r="X521" s="385"/>
      <c r="Y521" s="385"/>
      <c r="Z521" s="385"/>
      <c r="AA521" s="385"/>
      <c r="AB521" s="385"/>
      <c r="AC521" s="385"/>
      <c r="AD521" s="385"/>
      <c r="AE521" s="385"/>
      <c r="AF521" s="385"/>
      <c r="AG521" s="385"/>
      <c r="AH521" s="385"/>
      <c r="AI521" s="385"/>
      <c r="AJ521" s="385"/>
      <c r="AK521" s="385"/>
      <c r="AL521" s="385"/>
      <c r="AM521" s="385"/>
      <c r="AN521" s="385"/>
      <c r="AO521" s="385"/>
      <c r="AP521" s="385"/>
      <c r="AQ521" s="385"/>
      <c r="AR521" s="385"/>
      <c r="AS521" s="385"/>
      <c r="AT521" s="385"/>
      <c r="AU521" s="385"/>
      <c r="AV521" s="385"/>
      <c r="AW521" s="385"/>
      <c r="AX521" s="385"/>
      <c r="AY521" s="385"/>
      <c r="AZ521" s="385"/>
      <c r="BA521" s="385"/>
      <c r="BB521" s="385"/>
      <c r="BC521" s="385"/>
      <c r="BD521" s="385"/>
      <c r="BE521" s="385"/>
      <c r="BF521" s="385"/>
      <c r="BG521" s="385"/>
      <c r="BH521" s="385"/>
      <c r="BI521" s="385"/>
      <c r="BJ521" s="385"/>
      <c r="BK521" s="385"/>
      <c r="BL521" s="385"/>
      <c r="BM521" s="385"/>
      <c r="BN521" s="385"/>
      <c r="BO521" s="385"/>
      <c r="BP521" s="385"/>
      <c r="BQ521" s="385"/>
      <c r="BR521" s="385"/>
      <c r="BS521" s="385"/>
      <c r="BT521" s="385"/>
      <c r="BU521" s="385"/>
      <c r="BV521" s="385"/>
      <c r="BW521" s="385"/>
      <c r="BX521" s="385"/>
      <c r="BY521" s="385"/>
      <c r="BZ521" s="385"/>
      <c r="CA521" s="286"/>
      <c r="CB521" s="286"/>
      <c r="CC521" s="286"/>
      <c r="CD521" s="286"/>
      <c r="CE521" s="286"/>
      <c r="CF521" s="286"/>
      <c r="CG521" s="286"/>
      <c r="CH521" s="286"/>
      <c r="CI521" s="286"/>
      <c r="CJ521" s="286"/>
      <c r="CK521" s="286"/>
      <c r="CL521" s="286"/>
      <c r="CM521" s="286"/>
      <c r="CN521" s="286"/>
      <c r="CO521" s="286"/>
      <c r="CP521" s="286"/>
      <c r="CQ521" s="286"/>
      <c r="CR521" s="286"/>
      <c r="CS521" s="286"/>
      <c r="CT521" s="286"/>
      <c r="CU521" s="286"/>
      <c r="CV521" s="286"/>
      <c r="CW521" s="286"/>
      <c r="CX521" s="286"/>
      <c r="CY521" s="286"/>
      <c r="CZ521" s="286"/>
      <c r="DA521" s="286"/>
      <c r="DB521" s="286"/>
      <c r="DC521" s="286"/>
      <c r="DD521" s="286"/>
      <c r="DE521" s="286"/>
      <c r="DF521" s="286"/>
      <c r="DG521" s="286"/>
      <c r="DH521" s="286"/>
      <c r="DI521" s="286"/>
      <c r="DJ521" s="286"/>
      <c r="DK521" s="286"/>
      <c r="DL521" s="286"/>
      <c r="DM521" s="286"/>
      <c r="DN521" s="286"/>
      <c r="DO521" s="286"/>
      <c r="DP521" s="286"/>
    </row>
    <row r="522" spans="1:120" ht="17" thickBot="1" x14ac:dyDescent="0.25">
      <c r="A522" s="333"/>
      <c r="B522" s="319"/>
      <c r="C522" s="319"/>
      <c r="D522" s="319"/>
      <c r="E522" s="319"/>
      <c r="F522" s="325" t="s">
        <v>51</v>
      </c>
      <c r="G522" s="325"/>
      <c r="H522" s="325"/>
      <c r="I522" s="325"/>
      <c r="J522" s="325"/>
      <c r="K522" s="325"/>
      <c r="L522" s="384"/>
      <c r="M522" s="384"/>
      <c r="N522" s="384"/>
      <c r="O522" s="384"/>
      <c r="P522" s="384"/>
      <c r="Q522" s="384"/>
      <c r="R522" s="384"/>
      <c r="S522" s="384"/>
      <c r="T522" s="384"/>
      <c r="U522" s="384"/>
      <c r="V522" s="384"/>
      <c r="W522" s="384"/>
      <c r="X522" s="384"/>
      <c r="Y522" s="384"/>
      <c r="Z522" s="384"/>
      <c r="AA522" s="384"/>
      <c r="AB522" s="384"/>
      <c r="AC522" s="384"/>
      <c r="AD522" s="384"/>
      <c r="AE522" s="384"/>
      <c r="AF522" s="384"/>
      <c r="AG522" s="384"/>
      <c r="AH522" s="384"/>
      <c r="AI522" s="384"/>
      <c r="AJ522" s="384"/>
      <c r="AK522" s="384"/>
      <c r="AL522" s="384"/>
      <c r="AM522" s="384"/>
      <c r="AN522" s="384"/>
      <c r="AO522" s="384"/>
      <c r="AP522" s="384"/>
      <c r="AQ522" s="384">
        <f>AVERAGE(AQ2:AQ461)/1000000</f>
        <v>1.9000000000000001E-4</v>
      </c>
      <c r="AR522" s="384"/>
      <c r="AS522" s="384"/>
      <c r="AT522" s="384"/>
      <c r="AU522" s="384"/>
      <c r="AV522" s="384"/>
      <c r="AW522" s="384"/>
      <c r="AX522" s="384"/>
      <c r="AY522" s="384"/>
      <c r="AZ522" s="384"/>
      <c r="BA522" s="384"/>
      <c r="BB522" s="384"/>
      <c r="BC522" s="384"/>
      <c r="BD522" s="384"/>
      <c r="BE522" s="384"/>
      <c r="BF522" s="384"/>
      <c r="BG522" s="384"/>
      <c r="BH522" s="384"/>
      <c r="BI522" s="384"/>
      <c r="BJ522" s="384"/>
      <c r="BK522" s="384"/>
      <c r="BL522" s="384"/>
      <c r="BM522" s="384"/>
      <c r="BN522" s="384"/>
      <c r="BO522" s="384"/>
      <c r="BP522" s="384"/>
      <c r="BQ522" s="384"/>
      <c r="BR522" s="384"/>
      <c r="BS522" s="384"/>
      <c r="BT522" s="384"/>
      <c r="BU522" s="384"/>
      <c r="BV522" s="384"/>
      <c r="BW522" s="384"/>
      <c r="BX522" s="384"/>
      <c r="BY522" s="384"/>
      <c r="BZ522" s="384"/>
      <c r="CA522" s="286"/>
      <c r="CB522" s="286"/>
      <c r="CC522" s="286"/>
      <c r="CD522" s="286"/>
      <c r="CE522" s="286"/>
      <c r="CF522" s="286"/>
      <c r="CG522" s="286"/>
      <c r="CH522" s="286"/>
      <c r="CI522" s="286"/>
      <c r="CJ522" s="286"/>
      <c r="CK522" s="286"/>
      <c r="CL522" s="286"/>
      <c r="CM522" s="286"/>
      <c r="CN522" s="286"/>
      <c r="CO522" s="286"/>
      <c r="CP522" s="286"/>
      <c r="CQ522" s="286"/>
      <c r="CR522" s="286"/>
      <c r="CS522" s="286"/>
      <c r="CT522" s="286"/>
      <c r="CU522" s="286"/>
      <c r="CV522" s="286"/>
      <c r="CW522" s="286"/>
      <c r="CX522" s="286"/>
      <c r="CY522" s="286"/>
      <c r="CZ522" s="286"/>
      <c r="DA522" s="286"/>
      <c r="DB522" s="286"/>
      <c r="DC522" s="286"/>
      <c r="DD522" s="286"/>
      <c r="DE522" s="286"/>
      <c r="DF522" s="286"/>
      <c r="DG522" s="286"/>
      <c r="DH522" s="286"/>
      <c r="DI522" s="286"/>
      <c r="DJ522" s="286"/>
      <c r="DK522" s="286"/>
      <c r="DL522" s="286"/>
      <c r="DM522" s="286"/>
      <c r="DN522" s="286"/>
      <c r="DO522" s="286"/>
      <c r="DP522" s="286"/>
    </row>
    <row r="523" spans="1:120" ht="17" thickBot="1" x14ac:dyDescent="0.25">
      <c r="A523" s="333"/>
      <c r="B523" s="317"/>
      <c r="C523" s="317"/>
      <c r="D523" s="317"/>
      <c r="E523" s="317"/>
      <c r="F523" s="325" t="s">
        <v>1190</v>
      </c>
      <c r="G523" s="325"/>
      <c r="H523" s="325"/>
      <c r="I523" s="325"/>
      <c r="J523" s="325"/>
      <c r="K523" s="325"/>
      <c r="L523" s="385"/>
      <c r="M523" s="385"/>
      <c r="N523" s="385"/>
      <c r="O523" s="385"/>
      <c r="P523" s="385"/>
      <c r="Q523" s="385"/>
      <c r="R523" s="385"/>
      <c r="S523" s="385"/>
      <c r="T523" s="385"/>
      <c r="U523" s="385"/>
      <c r="V523" s="385"/>
      <c r="W523" s="385"/>
      <c r="X523" s="385"/>
      <c r="Y523" s="385"/>
      <c r="Z523" s="385"/>
      <c r="AA523" s="385"/>
      <c r="AB523" s="385"/>
      <c r="AC523" s="385"/>
      <c r="AD523" s="385"/>
      <c r="AE523" s="385"/>
      <c r="AF523" s="385"/>
      <c r="AG523" s="385"/>
      <c r="AH523" s="385"/>
      <c r="AI523" s="385"/>
      <c r="AJ523" s="385"/>
      <c r="AK523" s="385"/>
      <c r="AL523" s="385"/>
      <c r="AM523" s="385"/>
      <c r="AN523" s="385"/>
      <c r="AO523" s="385"/>
      <c r="AP523" s="385"/>
      <c r="AQ523" s="385"/>
      <c r="AR523" s="385"/>
      <c r="AS523" s="385"/>
      <c r="AT523" s="385"/>
      <c r="AU523" s="385"/>
      <c r="AV523" s="385"/>
      <c r="AW523" s="385"/>
      <c r="AX523" s="385"/>
      <c r="AY523" s="385"/>
      <c r="AZ523" s="385"/>
      <c r="BA523" s="385"/>
      <c r="BB523" s="385"/>
      <c r="BC523" s="385"/>
      <c r="BD523" s="385"/>
      <c r="BE523" s="385"/>
      <c r="BF523" s="385"/>
      <c r="BG523" s="385"/>
      <c r="BH523" s="385"/>
      <c r="BI523" s="385"/>
      <c r="BJ523" s="385"/>
      <c r="BK523" s="385"/>
      <c r="BL523" s="385"/>
      <c r="BM523" s="385"/>
      <c r="BN523" s="385"/>
      <c r="BO523" s="385"/>
      <c r="BP523" s="385"/>
      <c r="BQ523" s="385"/>
      <c r="BR523" s="385"/>
      <c r="BS523" s="385"/>
      <c r="BT523" s="385"/>
      <c r="BU523" s="385"/>
      <c r="BV523" s="385"/>
      <c r="BW523" s="385"/>
      <c r="BX523" s="385"/>
      <c r="BY523" s="385"/>
      <c r="BZ523" s="385"/>
      <c r="CA523" s="286"/>
      <c r="CB523" s="286"/>
      <c r="CC523" s="286"/>
      <c r="CD523" s="286"/>
      <c r="CE523" s="286"/>
      <c r="CF523" s="286"/>
      <c r="CG523" s="286"/>
      <c r="CH523" s="286"/>
      <c r="CI523" s="286"/>
      <c r="CJ523" s="286"/>
      <c r="CK523" s="286"/>
      <c r="CL523" s="286"/>
      <c r="CM523" s="286"/>
      <c r="CN523" s="286"/>
      <c r="CO523" s="286"/>
      <c r="CP523" s="286"/>
      <c r="CQ523" s="286"/>
      <c r="CR523" s="286"/>
      <c r="CS523" s="286"/>
      <c r="CT523" s="286"/>
      <c r="CU523" s="286"/>
      <c r="CV523" s="286"/>
      <c r="CW523" s="286"/>
      <c r="CX523" s="286"/>
      <c r="CY523" s="286"/>
      <c r="CZ523" s="286"/>
      <c r="DA523" s="286"/>
      <c r="DB523" s="286"/>
      <c r="DC523" s="286"/>
      <c r="DD523" s="286"/>
      <c r="DE523" s="286"/>
      <c r="DF523" s="286"/>
      <c r="DG523" s="286"/>
      <c r="DH523" s="286"/>
      <c r="DI523" s="286"/>
      <c r="DJ523" s="286"/>
      <c r="DK523" s="286"/>
      <c r="DL523" s="286"/>
      <c r="DM523" s="286"/>
      <c r="DN523" s="286"/>
      <c r="DO523" s="286"/>
      <c r="DP523" s="286"/>
    </row>
    <row r="524" spans="1:120" ht="17" thickBot="1" x14ac:dyDescent="0.25">
      <c r="A524" s="333"/>
      <c r="B524" s="319"/>
      <c r="C524" s="319"/>
      <c r="D524" s="319"/>
      <c r="E524" s="319"/>
      <c r="F524" s="326" t="s">
        <v>52</v>
      </c>
      <c r="G524" s="326"/>
      <c r="H524" s="326"/>
      <c r="I524" s="326"/>
      <c r="J524" s="326"/>
      <c r="K524" s="326"/>
      <c r="L524" s="384"/>
      <c r="M524" s="384"/>
      <c r="N524" s="384"/>
      <c r="O524" s="384"/>
      <c r="P524" s="384"/>
      <c r="Q524" s="384"/>
      <c r="R524" s="384"/>
      <c r="S524" s="384"/>
      <c r="T524" s="384"/>
      <c r="U524" s="384"/>
      <c r="V524" s="384"/>
      <c r="W524" s="384"/>
      <c r="X524" s="384"/>
      <c r="Y524" s="384"/>
      <c r="Z524" s="384"/>
      <c r="AA524" s="384"/>
      <c r="AB524" s="384"/>
      <c r="AC524" s="384"/>
      <c r="AD524" s="384"/>
      <c r="AE524" s="384"/>
      <c r="AF524" s="384"/>
      <c r="AG524" s="384"/>
      <c r="AH524" s="384"/>
      <c r="AI524" s="384"/>
      <c r="AJ524" s="384"/>
      <c r="AK524" s="384"/>
      <c r="AL524" s="384"/>
      <c r="AM524" s="384"/>
      <c r="AN524" s="384"/>
      <c r="AO524" s="384"/>
      <c r="AP524" s="384"/>
      <c r="AQ524" s="384"/>
      <c r="AR524" s="386">
        <f>PRODUCT(AH512:AQ522)</f>
        <v>2.6738181818181846E-7</v>
      </c>
      <c r="AS524" s="384"/>
      <c r="AT524" s="384"/>
      <c r="AU524" s="384"/>
      <c r="AV524" s="384"/>
      <c r="AW524" s="384"/>
      <c r="AX524" s="384"/>
      <c r="AY524" s="384"/>
      <c r="AZ524" s="384"/>
      <c r="BA524" s="384"/>
      <c r="BB524" s="384"/>
      <c r="BC524" s="384"/>
      <c r="BD524" s="384"/>
      <c r="BE524" s="384"/>
      <c r="BF524" s="384"/>
      <c r="BG524" s="384"/>
      <c r="BH524" s="384"/>
      <c r="BI524" s="384"/>
      <c r="BJ524" s="384"/>
      <c r="BK524" s="384"/>
      <c r="BL524" s="384"/>
      <c r="BM524" s="384"/>
      <c r="BN524" s="384"/>
      <c r="BO524" s="384"/>
      <c r="BP524" s="384"/>
      <c r="BQ524" s="384"/>
      <c r="BR524" s="384"/>
      <c r="BS524" s="384"/>
      <c r="BT524" s="384"/>
      <c r="BU524" s="384"/>
      <c r="BV524" s="384"/>
      <c r="BW524" s="384"/>
      <c r="BX524" s="384"/>
      <c r="BY524" s="384"/>
      <c r="BZ524" s="384"/>
      <c r="CA524" s="286"/>
      <c r="CB524" s="286"/>
      <c r="CC524" s="286"/>
      <c r="CD524" s="286"/>
      <c r="CE524" s="286"/>
      <c r="CF524" s="286"/>
      <c r="CG524" s="286"/>
      <c r="CH524" s="286"/>
      <c r="CI524" s="286"/>
      <c r="CJ524" s="286"/>
      <c r="CK524" s="286"/>
      <c r="CL524" s="286"/>
      <c r="CM524" s="286"/>
      <c r="CN524" s="286"/>
      <c r="CO524" s="286"/>
      <c r="CP524" s="286"/>
      <c r="CQ524" s="286"/>
      <c r="CR524" s="286"/>
      <c r="CS524" s="286"/>
      <c r="CT524" s="286"/>
      <c r="CU524" s="286"/>
      <c r="CV524" s="286"/>
      <c r="CW524" s="286"/>
      <c r="CX524" s="286"/>
      <c r="CY524" s="286"/>
      <c r="CZ524" s="286"/>
      <c r="DA524" s="286"/>
      <c r="DB524" s="286"/>
      <c r="DC524" s="286"/>
      <c r="DD524" s="286"/>
      <c r="DE524" s="286"/>
      <c r="DF524" s="286"/>
      <c r="DG524" s="286"/>
      <c r="DH524" s="286"/>
      <c r="DI524" s="286"/>
      <c r="DJ524" s="286"/>
      <c r="DK524" s="286"/>
      <c r="DL524" s="286"/>
      <c r="DM524" s="286"/>
      <c r="DN524" s="286"/>
      <c r="DO524" s="286"/>
      <c r="DP524" s="286"/>
    </row>
    <row r="525" spans="1:120" ht="17" thickBot="1" x14ac:dyDescent="0.25">
      <c r="A525" s="333"/>
      <c r="B525" s="317"/>
      <c r="C525" s="317"/>
      <c r="D525" s="317"/>
      <c r="E525" s="317"/>
      <c r="F525" s="327" t="s">
        <v>53</v>
      </c>
      <c r="G525" s="327"/>
      <c r="H525" s="327"/>
      <c r="I525" s="327"/>
      <c r="J525" s="327"/>
      <c r="K525" s="327"/>
      <c r="L525" s="385"/>
      <c r="M525" s="385"/>
      <c r="N525" s="385"/>
      <c r="O525" s="385"/>
      <c r="P525" s="385"/>
      <c r="Q525" s="385"/>
      <c r="R525" s="385"/>
      <c r="S525" s="385"/>
      <c r="T525" s="385"/>
      <c r="U525" s="385"/>
      <c r="V525" s="385"/>
      <c r="W525" s="385"/>
      <c r="X525" s="385"/>
      <c r="Y525" s="385"/>
      <c r="Z525" s="385"/>
      <c r="AA525" s="385"/>
      <c r="AB525" s="385"/>
      <c r="AC525" s="385"/>
      <c r="AD525" s="385"/>
      <c r="AE525" s="385"/>
      <c r="AF525" s="385"/>
      <c r="AG525" s="385"/>
      <c r="AH525" s="385"/>
      <c r="AI525" s="385"/>
      <c r="AJ525" s="385"/>
      <c r="AK525" s="385"/>
      <c r="AL525" s="385"/>
      <c r="AM525" s="385"/>
      <c r="AN525" s="385"/>
      <c r="AO525" s="385"/>
      <c r="AP525" s="385"/>
      <c r="AQ525" s="385"/>
      <c r="AR525" s="385"/>
      <c r="AS525" s="385">
        <f>IF(AS84=1,0.8,IF(AS398&gt;2,1.2,1))</f>
        <v>1</v>
      </c>
      <c r="AT525" s="385"/>
      <c r="AU525" s="385"/>
      <c r="AV525" s="385"/>
      <c r="AW525" s="385"/>
      <c r="AX525" s="385"/>
      <c r="AY525" s="385"/>
      <c r="AZ525" s="385"/>
      <c r="BA525" s="385"/>
      <c r="BB525" s="385"/>
      <c r="BC525" s="385"/>
      <c r="BD525" s="385"/>
      <c r="BE525" s="385"/>
      <c r="BF525" s="385"/>
      <c r="BG525" s="385"/>
      <c r="BH525" s="385"/>
      <c r="BI525" s="385"/>
      <c r="BJ525" s="385"/>
      <c r="BK525" s="385"/>
      <c r="BL525" s="385"/>
      <c r="BM525" s="385"/>
      <c r="BN525" s="385"/>
      <c r="BO525" s="385"/>
      <c r="BP525" s="385"/>
      <c r="BQ525" s="385"/>
      <c r="BR525" s="385"/>
      <c r="BS525" s="385"/>
      <c r="BT525" s="385"/>
      <c r="BU525" s="385"/>
      <c r="BV525" s="385"/>
      <c r="BW525" s="385"/>
      <c r="BX525" s="385"/>
      <c r="BY525" s="385"/>
      <c r="BZ525" s="385"/>
      <c r="CA525" s="286"/>
      <c r="CB525" s="286"/>
      <c r="CC525" s="286"/>
      <c r="CD525" s="286"/>
      <c r="CE525" s="286"/>
      <c r="CF525" s="286"/>
      <c r="CG525" s="286"/>
      <c r="CH525" s="286"/>
      <c r="CI525" s="286"/>
      <c r="CJ525" s="286"/>
      <c r="CK525" s="286"/>
      <c r="CL525" s="286"/>
      <c r="CM525" s="286"/>
      <c r="CN525" s="286"/>
      <c r="CO525" s="286"/>
      <c r="CP525" s="286"/>
      <c r="CQ525" s="286"/>
      <c r="CR525" s="286"/>
      <c r="CS525" s="286"/>
      <c r="CT525" s="286"/>
      <c r="CU525" s="286"/>
      <c r="CV525" s="286"/>
      <c r="CW525" s="286"/>
      <c r="CX525" s="286"/>
      <c r="CY525" s="286"/>
      <c r="CZ525" s="286"/>
      <c r="DA525" s="286"/>
      <c r="DB525" s="286"/>
      <c r="DC525" s="286"/>
      <c r="DD525" s="286"/>
      <c r="DE525" s="286"/>
      <c r="DF525" s="286"/>
      <c r="DG525" s="286"/>
      <c r="DH525" s="286"/>
      <c r="DI525" s="286"/>
      <c r="DJ525" s="286"/>
      <c r="DK525" s="286"/>
      <c r="DL525" s="286"/>
      <c r="DM525" s="286"/>
      <c r="DN525" s="286"/>
      <c r="DO525" s="286"/>
      <c r="DP525" s="286"/>
    </row>
    <row r="526" spans="1:120" ht="33" thickBot="1" x14ac:dyDescent="0.25">
      <c r="A526" s="333"/>
      <c r="B526" s="319"/>
      <c r="C526" s="319"/>
      <c r="D526" s="319"/>
      <c r="E526" s="319"/>
      <c r="F526" s="327" t="s">
        <v>1226</v>
      </c>
      <c r="G526" s="327"/>
      <c r="H526" s="327"/>
      <c r="I526" s="327"/>
      <c r="J526" s="327"/>
      <c r="K526" s="327"/>
      <c r="L526" s="384"/>
      <c r="M526" s="384"/>
      <c r="N526" s="384"/>
      <c r="O526" s="384"/>
      <c r="P526" s="384"/>
      <c r="Q526" s="384"/>
      <c r="R526" s="384"/>
      <c r="S526" s="384"/>
      <c r="T526" s="384"/>
      <c r="U526" s="384"/>
      <c r="V526" s="384"/>
      <c r="W526" s="384"/>
      <c r="X526" s="384"/>
      <c r="Y526" s="384"/>
      <c r="Z526" s="384"/>
      <c r="AA526" s="384"/>
      <c r="AB526" s="384"/>
      <c r="AC526" s="384"/>
      <c r="AD526" s="384"/>
      <c r="AE526" s="384"/>
      <c r="AF526" s="384"/>
      <c r="AG526" s="384"/>
      <c r="AH526" s="384"/>
      <c r="AI526" s="384"/>
      <c r="AJ526" s="384"/>
      <c r="AK526" s="384"/>
      <c r="AL526" s="384"/>
      <c r="AM526" s="384"/>
      <c r="AN526" s="384"/>
      <c r="AO526" s="384"/>
      <c r="AP526" s="384"/>
      <c r="AQ526" s="384"/>
      <c r="AR526" s="384"/>
      <c r="AS526" s="384"/>
      <c r="AT526" s="384">
        <f>AVERAGE(AT2:AT489)</f>
        <v>0.05</v>
      </c>
      <c r="AU526" s="384"/>
      <c r="AV526" s="384"/>
      <c r="AW526" s="384"/>
      <c r="AX526" s="384"/>
      <c r="AY526" s="384"/>
      <c r="AZ526" s="384"/>
      <c r="BA526" s="384"/>
      <c r="BB526" s="384"/>
      <c r="BC526" s="384"/>
      <c r="BD526" s="384"/>
      <c r="BE526" s="384"/>
      <c r="BF526" s="384"/>
      <c r="BG526" s="384"/>
      <c r="BH526" s="384"/>
      <c r="BI526" s="384"/>
      <c r="BJ526" s="384"/>
      <c r="BK526" s="384"/>
      <c r="BL526" s="384"/>
      <c r="BM526" s="384"/>
      <c r="BN526" s="384"/>
      <c r="BO526" s="384"/>
      <c r="BP526" s="384"/>
      <c r="BQ526" s="384"/>
      <c r="BR526" s="384"/>
      <c r="BS526" s="384"/>
      <c r="BT526" s="384"/>
      <c r="BU526" s="384"/>
      <c r="BV526" s="384"/>
      <c r="BW526" s="384"/>
      <c r="BX526" s="384"/>
      <c r="BY526" s="384"/>
      <c r="BZ526" s="384"/>
      <c r="CA526" s="286"/>
      <c r="CB526" s="286"/>
      <c r="CC526" s="286"/>
      <c r="CD526" s="286"/>
      <c r="CE526" s="286"/>
      <c r="CF526" s="286"/>
      <c r="CG526" s="286"/>
      <c r="CH526" s="286"/>
      <c r="CI526" s="286"/>
      <c r="CJ526" s="286"/>
      <c r="CK526" s="286"/>
      <c r="CL526" s="286"/>
      <c r="CM526" s="286"/>
      <c r="CN526" s="286"/>
      <c r="CO526" s="286"/>
      <c r="CP526" s="286"/>
      <c r="CQ526" s="286"/>
      <c r="CR526" s="286"/>
      <c r="CS526" s="286"/>
      <c r="CT526" s="286"/>
      <c r="CU526" s="286"/>
      <c r="CV526" s="286"/>
      <c r="CW526" s="286"/>
      <c r="CX526" s="286"/>
      <c r="CY526" s="286"/>
      <c r="CZ526" s="286"/>
      <c r="DA526" s="286"/>
      <c r="DB526" s="286"/>
      <c r="DC526" s="286"/>
      <c r="DD526" s="286"/>
      <c r="DE526" s="286"/>
      <c r="DF526" s="286"/>
      <c r="DG526" s="286"/>
      <c r="DH526" s="286"/>
      <c r="DI526" s="286"/>
      <c r="DJ526" s="286"/>
      <c r="DK526" s="286"/>
      <c r="DL526" s="286"/>
      <c r="DM526" s="286"/>
      <c r="DN526" s="286"/>
      <c r="DO526" s="286"/>
      <c r="DP526" s="286"/>
    </row>
    <row r="527" spans="1:120" ht="33" thickBot="1" x14ac:dyDescent="0.25">
      <c r="A527" s="333"/>
      <c r="B527" s="319"/>
      <c r="C527" s="319"/>
      <c r="D527" s="319"/>
      <c r="E527" s="319"/>
      <c r="F527" s="327" t="s">
        <v>1227</v>
      </c>
      <c r="G527" s="327"/>
      <c r="H527" s="327"/>
      <c r="I527" s="327"/>
      <c r="J527" s="327"/>
      <c r="K527" s="327"/>
      <c r="L527" s="385"/>
      <c r="M527" s="385"/>
      <c r="N527" s="385"/>
      <c r="O527" s="385"/>
      <c r="P527" s="385"/>
      <c r="Q527" s="385"/>
      <c r="R527" s="385"/>
      <c r="S527" s="385"/>
      <c r="T527" s="385"/>
      <c r="U527" s="385"/>
      <c r="V527" s="385"/>
      <c r="W527" s="385"/>
      <c r="X527" s="385"/>
      <c r="Y527" s="385"/>
      <c r="Z527" s="385"/>
      <c r="AA527" s="385"/>
      <c r="AB527" s="385"/>
      <c r="AC527" s="385"/>
      <c r="AD527" s="385"/>
      <c r="AE527" s="385"/>
      <c r="AF527" s="385"/>
      <c r="AG527" s="385"/>
      <c r="AH527" s="385"/>
      <c r="AI527" s="385"/>
      <c r="AJ527" s="385"/>
      <c r="AK527" s="385"/>
      <c r="AL527" s="385"/>
      <c r="AM527" s="385"/>
      <c r="AN527" s="385"/>
      <c r="AO527" s="385"/>
      <c r="AP527" s="385"/>
      <c r="AQ527" s="385"/>
      <c r="AR527" s="385"/>
      <c r="AS527" s="385"/>
      <c r="AT527" s="385"/>
      <c r="AU527" s="385">
        <f>AVERAGE(AU2:AU475)</f>
        <v>0.59999999999999987</v>
      </c>
      <c r="AV527" s="385"/>
      <c r="AW527" s="385"/>
      <c r="AX527" s="385"/>
      <c r="AY527" s="385"/>
      <c r="AZ527" s="385"/>
      <c r="BA527" s="385"/>
      <c r="BB527" s="385"/>
      <c r="BC527" s="385"/>
      <c r="BD527" s="385"/>
      <c r="BE527" s="385"/>
      <c r="BF527" s="385"/>
      <c r="BG527" s="385"/>
      <c r="BH527" s="385"/>
      <c r="BI527" s="385"/>
      <c r="BJ527" s="385"/>
      <c r="BK527" s="385"/>
      <c r="BL527" s="385"/>
      <c r="BM527" s="385"/>
      <c r="BN527" s="385"/>
      <c r="BO527" s="385"/>
      <c r="BP527" s="385"/>
      <c r="BQ527" s="385"/>
      <c r="BR527" s="385"/>
      <c r="BS527" s="385"/>
      <c r="BT527" s="385"/>
      <c r="BU527" s="385"/>
      <c r="BV527" s="385"/>
      <c r="BW527" s="385"/>
      <c r="BX527" s="385"/>
      <c r="BY527" s="385"/>
      <c r="BZ527" s="385"/>
      <c r="CA527" s="286"/>
      <c r="CB527" s="286"/>
      <c r="CC527" s="286"/>
      <c r="CD527" s="286"/>
      <c r="CE527" s="286"/>
      <c r="CF527" s="286"/>
      <c r="CG527" s="286"/>
      <c r="CH527" s="286"/>
      <c r="CI527" s="286"/>
      <c r="CJ527" s="286"/>
      <c r="CK527" s="286"/>
      <c r="CL527" s="286"/>
      <c r="CM527" s="286"/>
      <c r="CN527" s="286"/>
      <c r="CO527" s="286"/>
      <c r="CP527" s="286"/>
      <c r="CQ527" s="286"/>
      <c r="CR527" s="286"/>
      <c r="CS527" s="286"/>
      <c r="CT527" s="286"/>
      <c r="CU527" s="286"/>
      <c r="CV527" s="286"/>
      <c r="CW527" s="286"/>
      <c r="CX527" s="286"/>
      <c r="CY527" s="286"/>
      <c r="CZ527" s="286"/>
      <c r="DA527" s="286"/>
      <c r="DB527" s="286"/>
      <c r="DC527" s="286"/>
      <c r="DD527" s="286"/>
      <c r="DE527" s="286"/>
      <c r="DF527" s="286"/>
      <c r="DG527" s="286"/>
      <c r="DH527" s="286"/>
      <c r="DI527" s="286"/>
      <c r="DJ527" s="286"/>
      <c r="DK527" s="286"/>
      <c r="DL527" s="286"/>
      <c r="DM527" s="286"/>
      <c r="DN527" s="286"/>
      <c r="DO527" s="286"/>
      <c r="DP527" s="286"/>
    </row>
    <row r="528" spans="1:120" ht="33" thickBot="1" x14ac:dyDescent="0.25">
      <c r="A528" s="333"/>
      <c r="B528" s="319"/>
      <c r="C528" s="319"/>
      <c r="D528" s="319"/>
      <c r="E528" s="319"/>
      <c r="F528" s="327" t="s">
        <v>1265</v>
      </c>
      <c r="G528" s="327"/>
      <c r="H528" s="327"/>
      <c r="I528" s="327"/>
      <c r="J528" s="327"/>
      <c r="K528" s="327"/>
      <c r="L528" s="384"/>
      <c r="M528" s="384"/>
      <c r="N528" s="384"/>
      <c r="O528" s="384"/>
      <c r="P528" s="384"/>
      <c r="Q528" s="384"/>
      <c r="R528" s="384"/>
      <c r="S528" s="384"/>
      <c r="T528" s="384"/>
      <c r="U528" s="384"/>
      <c r="V528" s="384"/>
      <c r="W528" s="384"/>
      <c r="X528" s="384"/>
      <c r="Y528" s="384"/>
      <c r="Z528" s="384"/>
      <c r="AA528" s="384"/>
      <c r="AB528" s="384"/>
      <c r="AC528" s="384"/>
      <c r="AD528" s="384"/>
      <c r="AE528" s="384"/>
      <c r="AF528" s="384"/>
      <c r="AG528" s="384"/>
      <c r="AH528" s="384"/>
      <c r="AI528" s="384"/>
      <c r="AJ528" s="384"/>
      <c r="AK528" s="384"/>
      <c r="AL528" s="384"/>
      <c r="AM528" s="384"/>
      <c r="AN528" s="384"/>
      <c r="AO528" s="384"/>
      <c r="AP528" s="384"/>
      <c r="AQ528" s="384"/>
      <c r="AR528" s="384"/>
      <c r="AS528" s="384"/>
      <c r="AT528" s="384"/>
      <c r="AU528" s="384"/>
      <c r="AV528" s="384">
        <f>AVERAGE(AV15:AV398)</f>
        <v>0.10000000000000002</v>
      </c>
      <c r="AW528" s="384"/>
      <c r="AX528" s="384"/>
      <c r="AY528" s="384"/>
      <c r="AZ528" s="384"/>
      <c r="BA528" s="384"/>
      <c r="BB528" s="384"/>
      <c r="BC528" s="384"/>
      <c r="BD528" s="384"/>
      <c r="BE528" s="384"/>
      <c r="BF528" s="384"/>
      <c r="BG528" s="384"/>
      <c r="BH528" s="384"/>
      <c r="BI528" s="384"/>
      <c r="BJ528" s="384"/>
      <c r="BK528" s="384"/>
      <c r="BL528" s="384"/>
      <c r="BM528" s="384"/>
      <c r="BN528" s="384"/>
      <c r="BO528" s="384"/>
      <c r="BP528" s="384"/>
      <c r="BQ528" s="384"/>
      <c r="BR528" s="384"/>
      <c r="BS528" s="384"/>
      <c r="BT528" s="384"/>
      <c r="BU528" s="384"/>
      <c r="BV528" s="384"/>
      <c r="BW528" s="384"/>
      <c r="BX528" s="384"/>
      <c r="BY528" s="384"/>
      <c r="BZ528" s="384"/>
      <c r="CA528" s="286"/>
      <c r="CB528" s="286"/>
      <c r="CC528" s="286"/>
      <c r="CD528" s="286"/>
      <c r="CE528" s="286"/>
      <c r="CF528" s="286"/>
      <c r="CG528" s="286"/>
      <c r="CH528" s="286"/>
      <c r="CI528" s="286"/>
      <c r="CJ528" s="286"/>
      <c r="CK528" s="286"/>
      <c r="CL528" s="286"/>
      <c r="CM528" s="286"/>
      <c r="CN528" s="286"/>
      <c r="CO528" s="286"/>
      <c r="CP528" s="286"/>
      <c r="CQ528" s="286"/>
      <c r="CR528" s="286"/>
      <c r="CS528" s="286"/>
      <c r="CT528" s="286"/>
      <c r="CU528" s="286"/>
      <c r="CV528" s="286"/>
      <c r="CW528" s="286"/>
      <c r="CX528" s="286"/>
      <c r="CY528" s="286"/>
      <c r="CZ528" s="286"/>
      <c r="DA528" s="286"/>
      <c r="DB528" s="286"/>
      <c r="DC528" s="286"/>
      <c r="DD528" s="286"/>
      <c r="DE528" s="286"/>
      <c r="DF528" s="286"/>
      <c r="DG528" s="286"/>
      <c r="DH528" s="286"/>
      <c r="DI528" s="286"/>
      <c r="DJ528" s="286"/>
      <c r="DK528" s="286"/>
      <c r="DL528" s="286"/>
      <c r="DM528" s="286"/>
      <c r="DN528" s="286"/>
      <c r="DO528" s="286"/>
      <c r="DP528" s="286"/>
    </row>
    <row r="529" spans="1:120" ht="17" thickBot="1" x14ac:dyDescent="0.25">
      <c r="A529" s="333"/>
      <c r="B529" s="317"/>
      <c r="C529" s="317"/>
      <c r="D529" s="317"/>
      <c r="E529" s="317"/>
      <c r="F529" s="327" t="s">
        <v>651</v>
      </c>
      <c r="G529" s="327"/>
      <c r="H529" s="327"/>
      <c r="I529" s="327"/>
      <c r="J529" s="327"/>
      <c r="K529" s="327"/>
      <c r="L529" s="385"/>
      <c r="M529" s="385"/>
      <c r="N529" s="385"/>
      <c r="O529" s="385"/>
      <c r="P529" s="385"/>
      <c r="Q529" s="385"/>
      <c r="R529" s="385"/>
      <c r="S529" s="385"/>
      <c r="T529" s="385"/>
      <c r="U529" s="385"/>
      <c r="V529" s="385"/>
      <c r="W529" s="385"/>
      <c r="X529" s="385"/>
      <c r="Y529" s="385"/>
      <c r="Z529" s="385"/>
      <c r="AA529" s="385"/>
      <c r="AB529" s="385"/>
      <c r="AC529" s="385"/>
      <c r="AD529" s="385"/>
      <c r="AE529" s="385"/>
      <c r="AF529" s="385"/>
      <c r="AG529" s="385"/>
      <c r="AH529" s="385"/>
      <c r="AI529" s="385"/>
      <c r="AJ529" s="385"/>
      <c r="AK529" s="385"/>
      <c r="AL529" s="385"/>
      <c r="AM529" s="385"/>
      <c r="AN529" s="385"/>
      <c r="AO529" s="385"/>
      <c r="AP529" s="385"/>
      <c r="AQ529" s="385"/>
      <c r="AR529" s="385"/>
      <c r="AS529" s="385"/>
      <c r="AT529" s="385"/>
      <c r="AU529" s="385"/>
      <c r="AV529" s="385"/>
      <c r="AW529" s="387">
        <f>AU527+AV528*AVERAGE(AW2:AW489)</f>
        <v>0.69999999999999984</v>
      </c>
      <c r="AX529" s="385"/>
      <c r="AY529" s="385"/>
      <c r="AZ529" s="385"/>
      <c r="BA529" s="385"/>
      <c r="BB529" s="385"/>
      <c r="BC529" s="385"/>
      <c r="BD529" s="385"/>
      <c r="BE529" s="385"/>
      <c r="BF529" s="385"/>
      <c r="BG529" s="385"/>
      <c r="BH529" s="385"/>
      <c r="BI529" s="385"/>
      <c r="BJ529" s="385"/>
      <c r="BK529" s="385"/>
      <c r="BL529" s="385"/>
      <c r="BM529" s="385"/>
      <c r="BN529" s="385"/>
      <c r="BO529" s="385"/>
      <c r="BP529" s="385"/>
      <c r="BQ529" s="385"/>
      <c r="BR529" s="385"/>
      <c r="BS529" s="385"/>
      <c r="BT529" s="385"/>
      <c r="BU529" s="385"/>
      <c r="BV529" s="385"/>
      <c r="BW529" s="385"/>
      <c r="BX529" s="385"/>
      <c r="BY529" s="385"/>
      <c r="BZ529" s="385"/>
      <c r="CA529" s="286"/>
      <c r="CB529" s="286"/>
      <c r="CC529" s="286"/>
      <c r="CD529" s="286"/>
      <c r="CE529" s="286"/>
      <c r="CF529" s="286"/>
      <c r="CG529" s="286"/>
      <c r="CH529" s="286"/>
      <c r="CI529" s="286"/>
      <c r="CJ529" s="286"/>
      <c r="CK529" s="286"/>
      <c r="CL529" s="286"/>
      <c r="CM529" s="286"/>
      <c r="CN529" s="286"/>
      <c r="CO529" s="286"/>
      <c r="CP529" s="286"/>
      <c r="CQ529" s="286"/>
      <c r="CR529" s="286"/>
      <c r="CS529" s="286"/>
      <c r="CT529" s="286"/>
      <c r="CU529" s="286"/>
      <c r="CV529" s="286"/>
      <c r="CW529" s="286"/>
      <c r="CX529" s="286"/>
      <c r="CY529" s="286"/>
      <c r="CZ529" s="286"/>
      <c r="DA529" s="286"/>
      <c r="DB529" s="286"/>
      <c r="DC529" s="286"/>
      <c r="DD529" s="286"/>
      <c r="DE529" s="286"/>
      <c r="DF529" s="286"/>
      <c r="DG529" s="286"/>
      <c r="DH529" s="286"/>
      <c r="DI529" s="286"/>
      <c r="DJ529" s="286"/>
      <c r="DK529" s="286"/>
      <c r="DL529" s="286"/>
      <c r="DM529" s="286"/>
      <c r="DN529" s="286"/>
      <c r="DO529" s="286"/>
      <c r="DP529" s="286"/>
    </row>
    <row r="530" spans="1:120" ht="33" thickBot="1" x14ac:dyDescent="0.25">
      <c r="A530" s="333"/>
      <c r="B530" s="319"/>
      <c r="C530" s="319"/>
      <c r="D530" s="319"/>
      <c r="E530" s="319"/>
      <c r="F530" s="327" t="s">
        <v>54</v>
      </c>
      <c r="G530" s="327"/>
      <c r="H530" s="327"/>
      <c r="I530" s="327"/>
      <c r="J530" s="327"/>
      <c r="K530" s="327"/>
      <c r="L530" s="384"/>
      <c r="M530" s="384"/>
      <c r="N530" s="384"/>
      <c r="O530" s="384"/>
      <c r="P530" s="384"/>
      <c r="Q530" s="384"/>
      <c r="R530" s="384"/>
      <c r="S530" s="384"/>
      <c r="T530" s="384"/>
      <c r="U530" s="384"/>
      <c r="V530" s="384"/>
      <c r="W530" s="384"/>
      <c r="X530" s="384"/>
      <c r="Y530" s="384"/>
      <c r="Z530" s="384"/>
      <c r="AA530" s="384"/>
      <c r="AB530" s="384"/>
      <c r="AC530" s="384"/>
      <c r="AD530" s="384"/>
      <c r="AE530" s="384"/>
      <c r="AF530" s="384"/>
      <c r="AG530" s="384"/>
      <c r="AH530" s="384"/>
      <c r="AI530" s="384"/>
      <c r="AJ530" s="384"/>
      <c r="AK530" s="384"/>
      <c r="AL530" s="384"/>
      <c r="AM530" s="384"/>
      <c r="AN530" s="384"/>
      <c r="AO530" s="384"/>
      <c r="AP530" s="384"/>
      <c r="AQ530" s="384"/>
      <c r="AR530" s="384"/>
      <c r="AS530" s="384"/>
      <c r="AT530" s="384"/>
      <c r="AU530" s="384"/>
      <c r="AV530" s="384"/>
      <c r="AW530" s="384"/>
      <c r="AX530" s="384">
        <f>AVERAGE(AX2:AX461)</f>
        <v>1.2</v>
      </c>
      <c r="AY530" s="384"/>
      <c r="AZ530" s="384"/>
      <c r="BA530" s="384"/>
      <c r="BB530" s="384"/>
      <c r="BC530" s="384"/>
      <c r="BD530" s="384"/>
      <c r="BE530" s="384"/>
      <c r="BF530" s="384"/>
      <c r="BG530" s="384"/>
      <c r="BH530" s="384"/>
      <c r="BI530" s="384"/>
      <c r="BJ530" s="384"/>
      <c r="BK530" s="384"/>
      <c r="BL530" s="384"/>
      <c r="BM530" s="384"/>
      <c r="BN530" s="384"/>
      <c r="BO530" s="384"/>
      <c r="BP530" s="384"/>
      <c r="BQ530" s="384"/>
      <c r="BR530" s="384"/>
      <c r="BS530" s="384"/>
      <c r="BT530" s="384"/>
      <c r="BU530" s="384"/>
      <c r="BV530" s="384"/>
      <c r="BW530" s="384"/>
      <c r="BX530" s="384"/>
      <c r="BY530" s="384"/>
      <c r="BZ530" s="384"/>
      <c r="CA530" s="286"/>
      <c r="CB530" s="286"/>
      <c r="CC530" s="286"/>
      <c r="CD530" s="286"/>
      <c r="CE530" s="286"/>
      <c r="CF530" s="286"/>
      <c r="CG530" s="286"/>
      <c r="CH530" s="286"/>
      <c r="CI530" s="286"/>
      <c r="CJ530" s="286"/>
      <c r="CK530" s="286"/>
      <c r="CL530" s="286"/>
      <c r="CM530" s="286"/>
      <c r="CN530" s="286"/>
      <c r="CO530" s="286"/>
      <c r="CP530" s="286"/>
      <c r="CQ530" s="286"/>
      <c r="CR530" s="286"/>
      <c r="CS530" s="286"/>
      <c r="CT530" s="286"/>
      <c r="CU530" s="286"/>
      <c r="CV530" s="286"/>
      <c r="CW530" s="286"/>
      <c r="CX530" s="286"/>
      <c r="CY530" s="286"/>
      <c r="CZ530" s="286"/>
      <c r="DA530" s="286"/>
      <c r="DB530" s="286"/>
      <c r="DC530" s="286"/>
      <c r="DD530" s="286"/>
      <c r="DE530" s="286"/>
      <c r="DF530" s="286"/>
      <c r="DG530" s="286"/>
      <c r="DH530" s="286"/>
      <c r="DI530" s="286"/>
      <c r="DJ530" s="286"/>
      <c r="DK530" s="286"/>
      <c r="DL530" s="286"/>
      <c r="DM530" s="286"/>
      <c r="DN530" s="286"/>
      <c r="DO530" s="286"/>
      <c r="DP530" s="286"/>
    </row>
    <row r="531" spans="1:120" ht="33" thickBot="1" x14ac:dyDescent="0.25">
      <c r="A531" s="333"/>
      <c r="B531" s="317"/>
      <c r="C531" s="317"/>
      <c r="D531" s="317"/>
      <c r="E531" s="317"/>
      <c r="F531" s="327" t="s">
        <v>55</v>
      </c>
      <c r="G531" s="327"/>
      <c r="H531" s="327"/>
      <c r="I531" s="327"/>
      <c r="J531" s="327"/>
      <c r="K531" s="327"/>
      <c r="L531" s="385"/>
      <c r="M531" s="385"/>
      <c r="N531" s="385"/>
      <c r="O531" s="385"/>
      <c r="P531" s="385"/>
      <c r="Q531" s="385"/>
      <c r="R531" s="385"/>
      <c r="S531" s="385"/>
      <c r="T531" s="385"/>
      <c r="U531" s="385"/>
      <c r="V531" s="385"/>
      <c r="W531" s="385"/>
      <c r="X531" s="385"/>
      <c r="Y531" s="385"/>
      <c r="Z531" s="385"/>
      <c r="AA531" s="385"/>
      <c r="AB531" s="385"/>
      <c r="AC531" s="385"/>
      <c r="AD531" s="385"/>
      <c r="AE531" s="385"/>
      <c r="AF531" s="385"/>
      <c r="AG531" s="385"/>
      <c r="AH531" s="385"/>
      <c r="AI531" s="385"/>
      <c r="AJ531" s="385"/>
      <c r="AK531" s="385"/>
      <c r="AL531" s="385"/>
      <c r="AM531" s="385"/>
      <c r="AN531" s="385"/>
      <c r="AO531" s="385"/>
      <c r="AP531" s="385"/>
      <c r="AQ531" s="385"/>
      <c r="AR531" s="385"/>
      <c r="AS531" s="385"/>
      <c r="AT531" s="385"/>
      <c r="AU531" s="385"/>
      <c r="AV531" s="385"/>
      <c r="AW531" s="385"/>
      <c r="AX531" s="385"/>
      <c r="AY531" s="385">
        <f>AVERAGE(AY3:AY462)</f>
        <v>0.5</v>
      </c>
      <c r="AZ531" s="385"/>
      <c r="BA531" s="385"/>
      <c r="BB531" s="385"/>
      <c r="BC531" s="385"/>
      <c r="BD531" s="385"/>
      <c r="BE531" s="385"/>
      <c r="BF531" s="385"/>
      <c r="BG531" s="385"/>
      <c r="BH531" s="385"/>
      <c r="BI531" s="385"/>
      <c r="BJ531" s="385"/>
      <c r="BK531" s="385"/>
      <c r="BL531" s="385"/>
      <c r="BM531" s="385"/>
      <c r="BN531" s="385"/>
      <c r="BO531" s="385"/>
      <c r="BP531" s="385"/>
      <c r="BQ531" s="385"/>
      <c r="BR531" s="385"/>
      <c r="BS531" s="385"/>
      <c r="BT531" s="385"/>
      <c r="BU531" s="385"/>
      <c r="BV531" s="385"/>
      <c r="BW531" s="385"/>
      <c r="BX531" s="385"/>
      <c r="BY531" s="385"/>
      <c r="BZ531" s="385"/>
      <c r="CA531" s="286"/>
      <c r="CB531" s="286"/>
      <c r="CC531" s="286"/>
      <c r="CD531" s="286"/>
      <c r="CE531" s="286"/>
      <c r="CF531" s="286"/>
      <c r="CG531" s="286"/>
      <c r="CH531" s="286"/>
      <c r="CI531" s="286"/>
      <c r="CJ531" s="286"/>
      <c r="CK531" s="286"/>
      <c r="CL531" s="286"/>
      <c r="CM531" s="286"/>
      <c r="CN531" s="286"/>
      <c r="CO531" s="286"/>
      <c r="CP531" s="286"/>
      <c r="CQ531" s="286"/>
      <c r="CR531" s="286"/>
      <c r="CS531" s="286"/>
      <c r="CT531" s="286"/>
      <c r="CU531" s="286"/>
      <c r="CV531" s="286"/>
      <c r="CW531" s="286"/>
      <c r="CX531" s="286"/>
      <c r="CY531" s="286"/>
      <c r="CZ531" s="286"/>
      <c r="DA531" s="286"/>
      <c r="DB531" s="286"/>
      <c r="DC531" s="286"/>
      <c r="DD531" s="286"/>
      <c r="DE531" s="286"/>
      <c r="DF531" s="286"/>
      <c r="DG531" s="286"/>
      <c r="DH531" s="286"/>
      <c r="DI531" s="286"/>
      <c r="DJ531" s="286"/>
      <c r="DK531" s="286"/>
      <c r="DL531" s="286"/>
      <c r="DM531" s="286"/>
      <c r="DN531" s="286"/>
      <c r="DO531" s="286"/>
      <c r="DP531" s="286"/>
    </row>
    <row r="532" spans="1:120" ht="33" thickBot="1" x14ac:dyDescent="0.25">
      <c r="A532" s="333"/>
      <c r="B532" s="319"/>
      <c r="C532" s="319"/>
      <c r="D532" s="319"/>
      <c r="E532" s="319"/>
      <c r="F532" s="327" t="s">
        <v>56</v>
      </c>
      <c r="G532" s="327"/>
      <c r="H532" s="327"/>
      <c r="I532" s="327"/>
      <c r="J532" s="327"/>
      <c r="K532" s="327"/>
      <c r="L532" s="384"/>
      <c r="M532" s="384"/>
      <c r="N532" s="384"/>
      <c r="O532" s="384"/>
      <c r="P532" s="384"/>
      <c r="Q532" s="384"/>
      <c r="R532" s="384"/>
      <c r="S532" s="384"/>
      <c r="T532" s="384"/>
      <c r="U532" s="384"/>
      <c r="V532" s="384"/>
      <c r="W532" s="384"/>
      <c r="X532" s="384"/>
      <c r="Y532" s="384"/>
      <c r="Z532" s="384"/>
      <c r="AA532" s="384"/>
      <c r="AB532" s="384"/>
      <c r="AC532" s="384"/>
      <c r="AD532" s="384"/>
      <c r="AE532" s="384"/>
      <c r="AF532" s="384"/>
      <c r="AG532" s="384"/>
      <c r="AH532" s="384"/>
      <c r="AI532" s="384"/>
      <c r="AJ532" s="384"/>
      <c r="AK532" s="384"/>
      <c r="AL532" s="384"/>
      <c r="AM532" s="384"/>
      <c r="AN532" s="384"/>
      <c r="AO532" s="384"/>
      <c r="AP532" s="384"/>
      <c r="AQ532" s="384"/>
      <c r="AR532" s="384"/>
      <c r="AS532" s="384"/>
      <c r="AT532" s="384"/>
      <c r="AU532" s="384"/>
      <c r="AV532" s="384"/>
      <c r="AW532" s="384"/>
      <c r="AX532" s="384"/>
      <c r="AY532" s="384"/>
      <c r="AZ532" s="384" t="e">
        <f>AVERAGE(Calculation!AZ2:AZ461)</f>
        <v>#N/A</v>
      </c>
      <c r="BA532" s="384"/>
      <c r="BB532" s="384"/>
      <c r="BC532" s="384"/>
      <c r="BD532" s="384"/>
      <c r="BE532" s="384"/>
      <c r="BF532" s="384"/>
      <c r="BG532" s="384"/>
      <c r="BH532" s="384"/>
      <c r="BI532" s="384"/>
      <c r="BJ532" s="384"/>
      <c r="BK532" s="384"/>
      <c r="BL532" s="384"/>
      <c r="BM532" s="384"/>
      <c r="BN532" s="384"/>
      <c r="BO532" s="384"/>
      <c r="BP532" s="384"/>
      <c r="BQ532" s="384"/>
      <c r="BR532" s="384"/>
      <c r="BS532" s="384"/>
      <c r="BT532" s="384"/>
      <c r="BU532" s="384"/>
      <c r="BV532" s="384"/>
      <c r="BW532" s="384"/>
      <c r="BX532" s="384"/>
      <c r="BY532" s="384"/>
      <c r="BZ532" s="384"/>
      <c r="CA532" s="286"/>
      <c r="CB532" s="286"/>
      <c r="CC532" s="286"/>
      <c r="CD532" s="286"/>
      <c r="CE532" s="286"/>
      <c r="CF532" s="286"/>
      <c r="CG532" s="286"/>
      <c r="CH532" s="286"/>
      <c r="CI532" s="286"/>
      <c r="CJ532" s="286"/>
      <c r="CK532" s="286"/>
      <c r="CL532" s="286"/>
      <c r="CM532" s="286"/>
      <c r="CN532" s="286"/>
      <c r="CO532" s="286"/>
      <c r="CP532" s="286"/>
      <c r="CQ532" s="286"/>
      <c r="CR532" s="286"/>
      <c r="CS532" s="286"/>
      <c r="CT532" s="286"/>
      <c r="CU532" s="286"/>
      <c r="CV532" s="286"/>
      <c r="CW532" s="286"/>
      <c r="CX532" s="286"/>
      <c r="CY532" s="286"/>
      <c r="CZ532" s="286"/>
      <c r="DA532" s="286"/>
      <c r="DB532" s="286"/>
      <c r="DC532" s="286"/>
      <c r="DD532" s="286"/>
      <c r="DE532" s="286"/>
      <c r="DF532" s="286"/>
      <c r="DG532" s="286"/>
      <c r="DH532" s="286"/>
      <c r="DI532" s="286"/>
      <c r="DJ532" s="286"/>
      <c r="DK532" s="286"/>
      <c r="DL532" s="286"/>
      <c r="DM532" s="286"/>
      <c r="DN532" s="286"/>
      <c r="DO532" s="286"/>
      <c r="DP532" s="286"/>
    </row>
    <row r="533" spans="1:120" ht="33" thickBot="1" x14ac:dyDescent="0.25">
      <c r="A533" s="333"/>
      <c r="B533" s="317"/>
      <c r="C533" s="317"/>
      <c r="D533" s="317"/>
      <c r="E533" s="317"/>
      <c r="F533" s="327" t="s">
        <v>57</v>
      </c>
      <c r="G533" s="327"/>
      <c r="H533" s="327"/>
      <c r="I533" s="327"/>
      <c r="J533" s="327"/>
      <c r="K533" s="327"/>
      <c r="L533" s="385"/>
      <c r="M533" s="385"/>
      <c r="N533" s="385"/>
      <c r="O533" s="385"/>
      <c r="P533" s="385"/>
      <c r="Q533" s="385"/>
      <c r="R533" s="385"/>
      <c r="S533" s="385"/>
      <c r="T533" s="385"/>
      <c r="U533" s="385"/>
      <c r="V533" s="385"/>
      <c r="W533" s="385"/>
      <c r="X533" s="385"/>
      <c r="Y533" s="385"/>
      <c r="Z533" s="385"/>
      <c r="AA533" s="385"/>
      <c r="AB533" s="385"/>
      <c r="AC533" s="385"/>
      <c r="AD533" s="385"/>
      <c r="AE533" s="385"/>
      <c r="AF533" s="385"/>
      <c r="AG533" s="385"/>
      <c r="AH533" s="385"/>
      <c r="AI533" s="385"/>
      <c r="AJ533" s="385"/>
      <c r="AK533" s="385"/>
      <c r="AL533" s="385"/>
      <c r="AM533" s="385"/>
      <c r="AN533" s="385"/>
      <c r="AO533" s="385"/>
      <c r="AP533" s="385"/>
      <c r="AQ533" s="385"/>
      <c r="AR533" s="385"/>
      <c r="AS533" s="385"/>
      <c r="AT533" s="385"/>
      <c r="AU533" s="385"/>
      <c r="AV533" s="385"/>
      <c r="AW533" s="385"/>
      <c r="AX533" s="385"/>
      <c r="AY533" s="385"/>
      <c r="AZ533" s="385"/>
      <c r="BA533" s="385">
        <f>0.1*AVERAGE(BA2:BA461)^2 + 0.4</f>
        <v>0.8</v>
      </c>
      <c r="BB533" s="385"/>
      <c r="BC533" s="385"/>
      <c r="BD533" s="385"/>
      <c r="BE533" s="385"/>
      <c r="BF533" s="385"/>
      <c r="BG533" s="385"/>
      <c r="BH533" s="385"/>
      <c r="BI533" s="385"/>
      <c r="BJ533" s="385"/>
      <c r="BK533" s="385"/>
      <c r="BL533" s="385"/>
      <c r="BM533" s="385"/>
      <c r="BN533" s="385"/>
      <c r="BO533" s="385"/>
      <c r="BP533" s="385"/>
      <c r="BQ533" s="385"/>
      <c r="BR533" s="385"/>
      <c r="BS533" s="385"/>
      <c r="BT533" s="385"/>
      <c r="BU533" s="385"/>
      <c r="BV533" s="385"/>
      <c r="BW533" s="385"/>
      <c r="BX533" s="385"/>
      <c r="BY533" s="385"/>
      <c r="BZ533" s="385"/>
      <c r="CA533" s="286"/>
      <c r="CB533" s="286"/>
      <c r="CC533" s="286"/>
      <c r="CD533" s="286"/>
      <c r="CE533" s="286"/>
      <c r="CF533" s="286"/>
      <c r="CG533" s="286"/>
      <c r="CH533" s="286"/>
      <c r="CI533" s="286"/>
      <c r="CJ533" s="286"/>
      <c r="CK533" s="286"/>
      <c r="CL533" s="286"/>
      <c r="CM533" s="286"/>
      <c r="CN533" s="286"/>
      <c r="CO533" s="286"/>
      <c r="CP533" s="286"/>
      <c r="CQ533" s="286"/>
      <c r="CR533" s="286"/>
      <c r="CS533" s="286"/>
      <c r="CT533" s="286"/>
      <c r="CU533" s="286"/>
      <c r="CV533" s="286"/>
      <c r="CW533" s="286"/>
      <c r="CX533" s="286"/>
      <c r="CY533" s="286"/>
      <c r="CZ533" s="286"/>
      <c r="DA533" s="286"/>
      <c r="DB533" s="286"/>
      <c r="DC533" s="286"/>
      <c r="DD533" s="286"/>
      <c r="DE533" s="286"/>
      <c r="DF533" s="286"/>
      <c r="DG533" s="286"/>
      <c r="DH533" s="286"/>
      <c r="DI533" s="286"/>
      <c r="DJ533" s="286"/>
      <c r="DK533" s="286"/>
      <c r="DL533" s="286"/>
      <c r="DM533" s="286"/>
      <c r="DN533" s="286"/>
      <c r="DO533" s="286"/>
      <c r="DP533" s="286"/>
    </row>
    <row r="534" spans="1:120" ht="17" thickBot="1" x14ac:dyDescent="0.25">
      <c r="A534" s="333"/>
      <c r="B534" s="319"/>
      <c r="C534" s="319"/>
      <c r="D534" s="319"/>
      <c r="E534" s="319"/>
      <c r="F534" s="328" t="s">
        <v>58</v>
      </c>
      <c r="G534" s="328"/>
      <c r="H534" s="328"/>
      <c r="I534" s="328"/>
      <c r="J534" s="328"/>
      <c r="K534" s="328"/>
      <c r="L534" s="384"/>
      <c r="M534" s="384"/>
      <c r="N534" s="384"/>
      <c r="O534" s="384"/>
      <c r="P534" s="384"/>
      <c r="Q534" s="384"/>
      <c r="R534" s="384"/>
      <c r="S534" s="384"/>
      <c r="T534" s="384"/>
      <c r="U534" s="384"/>
      <c r="V534" s="384"/>
      <c r="W534" s="384"/>
      <c r="X534" s="384"/>
      <c r="Y534" s="384"/>
      <c r="Z534" s="384"/>
      <c r="AA534" s="384"/>
      <c r="AB534" s="384"/>
      <c r="AC534" s="384"/>
      <c r="AD534" s="384"/>
      <c r="AE534" s="384"/>
      <c r="AF534" s="384"/>
      <c r="AG534" s="384"/>
      <c r="AH534" s="384"/>
      <c r="AI534" s="384"/>
      <c r="AJ534" s="384"/>
      <c r="AK534" s="384"/>
      <c r="AL534" s="384"/>
      <c r="AM534" s="384"/>
      <c r="AN534" s="384"/>
      <c r="AO534" s="384"/>
      <c r="AP534" s="384"/>
      <c r="AQ534" s="384"/>
      <c r="AR534" s="384"/>
      <c r="AS534" s="384"/>
      <c r="AT534" s="384"/>
      <c r="AU534" s="384"/>
      <c r="AV534" s="384"/>
      <c r="AW534" s="384"/>
      <c r="AX534" s="384"/>
      <c r="AY534" s="384"/>
      <c r="AZ534" s="384"/>
      <c r="BA534" s="384"/>
      <c r="BB534" s="386" t="e">
        <f>AS525*AT526*AW529*AX530*AY531*AZ532*BA533</f>
        <v>#N/A</v>
      </c>
      <c r="BC534" s="384"/>
      <c r="BD534" s="384"/>
      <c r="BE534" s="384"/>
      <c r="BF534" s="384"/>
      <c r="BG534" s="384"/>
      <c r="BH534" s="384"/>
      <c r="BI534" s="384"/>
      <c r="BJ534" s="384"/>
      <c r="BK534" s="384"/>
      <c r="BL534" s="384"/>
      <c r="BM534" s="384"/>
      <c r="BN534" s="384"/>
      <c r="BO534" s="384"/>
      <c r="BP534" s="384"/>
      <c r="BQ534" s="384"/>
      <c r="BR534" s="384"/>
      <c r="BS534" s="384"/>
      <c r="BT534" s="384"/>
      <c r="BU534" s="384"/>
      <c r="BV534" s="384"/>
      <c r="BW534" s="384"/>
      <c r="BX534" s="384"/>
      <c r="BY534" s="384"/>
      <c r="BZ534" s="384"/>
      <c r="CA534" s="286"/>
      <c r="CB534" s="286"/>
      <c r="CC534" s="286"/>
      <c r="CD534" s="286"/>
      <c r="CE534" s="286"/>
      <c r="CF534" s="286"/>
      <c r="CG534" s="286"/>
      <c r="CH534" s="286"/>
      <c r="CI534" s="286"/>
      <c r="CJ534" s="286"/>
      <c r="CK534" s="286"/>
      <c r="CL534" s="286"/>
      <c r="CM534" s="286"/>
      <c r="CN534" s="286"/>
      <c r="CO534" s="286"/>
      <c r="CP534" s="286"/>
      <c r="CQ534" s="286"/>
      <c r="CR534" s="286"/>
      <c r="CS534" s="286"/>
      <c r="CT534" s="286"/>
      <c r="CU534" s="286"/>
      <c r="CV534" s="286"/>
      <c r="CW534" s="286"/>
      <c r="CX534" s="286"/>
      <c r="CY534" s="286"/>
      <c r="CZ534" s="286"/>
      <c r="DA534" s="286"/>
      <c r="DB534" s="286"/>
      <c r="DC534" s="286"/>
      <c r="DD534" s="286"/>
      <c r="DE534" s="286"/>
      <c r="DF534" s="286"/>
      <c r="DG534" s="286"/>
      <c r="DH534" s="286"/>
      <c r="DI534" s="286"/>
      <c r="DJ534" s="286"/>
      <c r="DK534" s="286"/>
      <c r="DL534" s="286"/>
      <c r="DM534" s="286"/>
      <c r="DN534" s="286"/>
      <c r="DO534" s="286"/>
      <c r="DP534" s="286"/>
    </row>
    <row r="535" spans="1:120" ht="17" thickBot="1" x14ac:dyDescent="0.25">
      <c r="A535" s="333"/>
      <c r="B535" s="319"/>
      <c r="C535" s="319"/>
      <c r="D535" s="319"/>
      <c r="E535" s="319"/>
      <c r="F535" s="327" t="s">
        <v>59</v>
      </c>
      <c r="G535" s="327"/>
      <c r="H535" s="327"/>
      <c r="I535" s="327"/>
      <c r="J535" s="327"/>
      <c r="K535" s="327"/>
      <c r="L535" s="385"/>
      <c r="M535" s="385"/>
      <c r="N535" s="385"/>
      <c r="O535" s="385"/>
      <c r="P535" s="385"/>
      <c r="Q535" s="385"/>
      <c r="R535" s="385"/>
      <c r="S535" s="385"/>
      <c r="T535" s="385"/>
      <c r="U535" s="385"/>
      <c r="V535" s="385"/>
      <c r="W535" s="385"/>
      <c r="X535" s="385"/>
      <c r="Y535" s="385"/>
      <c r="Z535" s="385"/>
      <c r="AA535" s="385"/>
      <c r="AB535" s="385"/>
      <c r="AC535" s="385"/>
      <c r="AD535" s="385"/>
      <c r="AE535" s="385"/>
      <c r="AF535" s="385"/>
      <c r="AG535" s="385"/>
      <c r="AH535" s="385"/>
      <c r="AI535" s="385"/>
      <c r="AJ535" s="385"/>
      <c r="AK535" s="385"/>
      <c r="AL535" s="385"/>
      <c r="AM535" s="385"/>
      <c r="AN535" s="385"/>
      <c r="AO535" s="385"/>
      <c r="AP535" s="385"/>
      <c r="AQ535" s="385"/>
      <c r="AR535" s="385"/>
      <c r="AS535" s="385"/>
      <c r="AT535" s="385"/>
      <c r="AU535" s="385"/>
      <c r="AV535" s="385"/>
      <c r="AW535" s="385"/>
      <c r="AX535" s="385"/>
      <c r="AY535" s="385"/>
      <c r="AZ535" s="385"/>
      <c r="BA535" s="385"/>
      <c r="BB535" s="385"/>
      <c r="BC535" s="385">
        <f>19*(1+AVERAGE(BC2:BC461)*12.42)/1000000</f>
        <v>2.5497999999999997E-4</v>
      </c>
      <c r="BD535" s="385"/>
      <c r="BE535" s="385"/>
      <c r="BF535" s="385"/>
      <c r="BG535" s="385"/>
      <c r="BH535" s="385"/>
      <c r="BI535" s="385"/>
      <c r="BJ535" s="385"/>
      <c r="BK535" s="385"/>
      <c r="BL535" s="385"/>
      <c r="BM535" s="385"/>
      <c r="BN535" s="385"/>
      <c r="BO535" s="385"/>
      <c r="BP535" s="385"/>
      <c r="BQ535" s="385"/>
      <c r="BR535" s="385"/>
      <c r="BS535" s="385"/>
      <c r="BT535" s="385"/>
      <c r="BU535" s="385"/>
      <c r="BV535" s="385"/>
      <c r="BW535" s="385"/>
      <c r="BX535" s="385"/>
      <c r="BY535" s="385"/>
      <c r="BZ535" s="385"/>
      <c r="CA535" s="286"/>
      <c r="CB535" s="286"/>
      <c r="CC535" s="286"/>
      <c r="CD535" s="286"/>
      <c r="CE535" s="286"/>
      <c r="CF535" s="286"/>
      <c r="CG535" s="286"/>
      <c r="CH535" s="286"/>
      <c r="CI535" s="286"/>
      <c r="CJ535" s="286"/>
      <c r="CK535" s="286"/>
      <c r="CL535" s="286"/>
      <c r="CM535" s="286"/>
      <c r="CN535" s="286"/>
      <c r="CO535" s="286"/>
      <c r="CP535" s="286"/>
      <c r="CQ535" s="286"/>
      <c r="CR535" s="286"/>
      <c r="CS535" s="286"/>
      <c r="CT535" s="286"/>
      <c r="CU535" s="286"/>
      <c r="CV535" s="286"/>
      <c r="CW535" s="286"/>
      <c r="CX535" s="286"/>
      <c r="CY535" s="286"/>
      <c r="CZ535" s="286"/>
      <c r="DA535" s="286"/>
      <c r="DB535" s="286"/>
      <c r="DC535" s="286"/>
      <c r="DD535" s="286"/>
      <c r="DE535" s="286"/>
      <c r="DF535" s="286"/>
      <c r="DG535" s="286"/>
      <c r="DH535" s="286"/>
      <c r="DI535" s="286"/>
      <c r="DJ535" s="286"/>
      <c r="DK535" s="286"/>
      <c r="DL535" s="286"/>
      <c r="DM535" s="286"/>
      <c r="DN535" s="286"/>
      <c r="DO535" s="286"/>
      <c r="DP535" s="286"/>
    </row>
    <row r="536" spans="1:120" ht="17" thickBot="1" x14ac:dyDescent="0.25">
      <c r="A536" s="333"/>
      <c r="B536" s="317"/>
      <c r="C536" s="317"/>
      <c r="D536" s="317"/>
      <c r="E536" s="317"/>
      <c r="F536" s="328" t="s">
        <v>60</v>
      </c>
      <c r="G536" s="328"/>
      <c r="H536" s="328"/>
      <c r="I536" s="328"/>
      <c r="J536" s="328"/>
      <c r="K536" s="328"/>
      <c r="L536" s="384"/>
      <c r="M536" s="384"/>
      <c r="N536" s="384"/>
      <c r="O536" s="384"/>
      <c r="P536" s="384"/>
      <c r="Q536" s="384"/>
      <c r="R536" s="384"/>
      <c r="S536" s="384"/>
      <c r="T536" s="384"/>
      <c r="U536" s="384"/>
      <c r="V536" s="384"/>
      <c r="W536" s="384"/>
      <c r="X536" s="384"/>
      <c r="Y536" s="384"/>
      <c r="Z536" s="384"/>
      <c r="AA536" s="384"/>
      <c r="AB536" s="384"/>
      <c r="AC536" s="384"/>
      <c r="AD536" s="384"/>
      <c r="AE536" s="384"/>
      <c r="AF536" s="384"/>
      <c r="AG536" s="384"/>
      <c r="AH536" s="384"/>
      <c r="AI536" s="384"/>
      <c r="AJ536" s="384"/>
      <c r="AK536" s="384"/>
      <c r="AL536" s="384"/>
      <c r="AM536" s="384"/>
      <c r="AN536" s="384"/>
      <c r="AO536" s="384"/>
      <c r="AP536" s="384"/>
      <c r="AQ536" s="384"/>
      <c r="AR536" s="384"/>
      <c r="AS536" s="384"/>
      <c r="AT536" s="384"/>
      <c r="AU536" s="384"/>
      <c r="AV536" s="384"/>
      <c r="AW536" s="384"/>
      <c r="AX536" s="384"/>
      <c r="AY536" s="384"/>
      <c r="AZ536" s="384"/>
      <c r="BA536" s="384"/>
      <c r="BB536" s="384"/>
      <c r="BC536" s="384"/>
      <c r="BD536" s="384" t="e">
        <f>BC535*BB534</f>
        <v>#N/A</v>
      </c>
      <c r="BE536" s="384"/>
      <c r="BF536" s="384"/>
      <c r="BG536" s="384"/>
      <c r="BH536" s="384"/>
      <c r="BI536" s="384"/>
      <c r="BJ536" s="384"/>
      <c r="BK536" s="384"/>
      <c r="BL536" s="384"/>
      <c r="BM536" s="384"/>
      <c r="BN536" s="384"/>
      <c r="BO536" s="384"/>
      <c r="BP536" s="384"/>
      <c r="BQ536" s="384"/>
      <c r="BR536" s="384"/>
      <c r="BS536" s="384"/>
      <c r="BT536" s="384"/>
      <c r="BU536" s="384"/>
      <c r="BV536" s="384"/>
      <c r="BW536" s="384"/>
      <c r="BX536" s="384"/>
      <c r="BY536" s="384"/>
      <c r="BZ536" s="384"/>
      <c r="CA536" s="286"/>
      <c r="CB536" s="286"/>
      <c r="CC536" s="286"/>
      <c r="CD536" s="286"/>
      <c r="CE536" s="286"/>
      <c r="CF536" s="286"/>
      <c r="CG536" s="286"/>
      <c r="CH536" s="286"/>
      <c r="CI536" s="286"/>
      <c r="CJ536" s="286"/>
      <c r="CK536" s="286"/>
      <c r="CL536" s="286"/>
      <c r="CM536" s="286"/>
      <c r="CN536" s="286"/>
      <c r="CO536" s="286"/>
      <c r="CP536" s="286"/>
      <c r="CQ536" s="286"/>
      <c r="CR536" s="286"/>
      <c r="CS536" s="286"/>
      <c r="CT536" s="286"/>
      <c r="CU536" s="286"/>
      <c r="CV536" s="286"/>
      <c r="CW536" s="286"/>
      <c r="CX536" s="286"/>
      <c r="CY536" s="286"/>
      <c r="CZ536" s="286"/>
      <c r="DA536" s="286"/>
      <c r="DB536" s="286"/>
      <c r="DC536" s="286"/>
      <c r="DD536" s="286"/>
      <c r="DE536" s="286"/>
      <c r="DF536" s="286"/>
      <c r="DG536" s="286"/>
      <c r="DH536" s="286"/>
      <c r="DI536" s="286"/>
      <c r="DJ536" s="286"/>
      <c r="DK536" s="286"/>
      <c r="DL536" s="286"/>
      <c r="DM536" s="286"/>
      <c r="DN536" s="286"/>
      <c r="DO536" s="286"/>
      <c r="DP536" s="286"/>
    </row>
    <row r="537" spans="1:120" ht="33" thickBot="1" x14ac:dyDescent="0.25">
      <c r="A537" s="333"/>
      <c r="B537" s="319"/>
      <c r="C537" s="319"/>
      <c r="D537" s="319"/>
      <c r="E537" s="319"/>
      <c r="F537" s="329" t="s">
        <v>61</v>
      </c>
      <c r="G537" s="329"/>
      <c r="H537" s="329"/>
      <c r="I537" s="329"/>
      <c r="J537" s="329"/>
      <c r="K537" s="329"/>
      <c r="L537" s="385"/>
      <c r="M537" s="385"/>
      <c r="N537" s="385"/>
      <c r="O537" s="385"/>
      <c r="P537" s="385"/>
      <c r="Q537" s="385"/>
      <c r="R537" s="385"/>
      <c r="S537" s="385"/>
      <c r="T537" s="385"/>
      <c r="U537" s="385"/>
      <c r="V537" s="385"/>
      <c r="W537" s="385"/>
      <c r="X537" s="385"/>
      <c r="Y537" s="385"/>
      <c r="Z537" s="385"/>
      <c r="AA537" s="385"/>
      <c r="AB537" s="385"/>
      <c r="AC537" s="385"/>
      <c r="AD537" s="385"/>
      <c r="AE537" s="385"/>
      <c r="AF537" s="385"/>
      <c r="AG537" s="385"/>
      <c r="AH537" s="385"/>
      <c r="AI537" s="385"/>
      <c r="AJ537" s="385"/>
      <c r="AK537" s="385"/>
      <c r="AL537" s="385"/>
      <c r="AM537" s="385"/>
      <c r="AN537" s="385"/>
      <c r="AO537" s="385"/>
      <c r="AP537" s="385"/>
      <c r="AQ537" s="385"/>
      <c r="AR537" s="385"/>
      <c r="AS537" s="385"/>
      <c r="AT537" s="385"/>
      <c r="AU537" s="385"/>
      <c r="AV537" s="385"/>
      <c r="AW537" s="385"/>
      <c r="AX537" s="385"/>
      <c r="AY537" s="385"/>
      <c r="AZ537" s="385"/>
      <c r="BA537" s="385"/>
      <c r="BB537" s="385"/>
      <c r="BC537" s="385"/>
      <c r="BD537" s="385"/>
      <c r="BE537" s="385">
        <f>AVERAGE(BE2:BE461)</f>
        <v>1</v>
      </c>
      <c r="BF537" s="385"/>
      <c r="BG537" s="385"/>
      <c r="BH537" s="385"/>
      <c r="BI537" s="385"/>
      <c r="BJ537" s="385"/>
      <c r="BK537" s="385"/>
      <c r="BL537" s="385"/>
      <c r="BM537" s="385"/>
      <c r="BN537" s="385"/>
      <c r="BO537" s="385"/>
      <c r="BP537" s="385"/>
      <c r="BQ537" s="385"/>
      <c r="BR537" s="385"/>
      <c r="BS537" s="385"/>
      <c r="BT537" s="385"/>
      <c r="BU537" s="385"/>
      <c r="BV537" s="385"/>
      <c r="BW537" s="385"/>
      <c r="BX537" s="385"/>
      <c r="BY537" s="385"/>
      <c r="BZ537" s="385"/>
      <c r="CA537" s="286"/>
      <c r="CB537" s="286"/>
      <c r="CC537" s="286"/>
      <c r="CD537" s="286"/>
      <c r="CE537" s="286"/>
      <c r="CF537" s="286"/>
      <c r="CG537" s="286"/>
      <c r="CH537" s="286"/>
      <c r="CI537" s="286"/>
      <c r="CJ537" s="286"/>
      <c r="CK537" s="286"/>
      <c r="CL537" s="286"/>
      <c r="CM537" s="286"/>
      <c r="CN537" s="286"/>
      <c r="CO537" s="286"/>
      <c r="CP537" s="286"/>
      <c r="CQ537" s="286"/>
      <c r="CR537" s="286"/>
      <c r="CS537" s="286"/>
      <c r="CT537" s="286"/>
      <c r="CU537" s="286"/>
      <c r="CV537" s="286"/>
      <c r="CW537" s="286"/>
      <c r="CX537" s="286"/>
      <c r="CY537" s="286"/>
      <c r="CZ537" s="286"/>
      <c r="DA537" s="286"/>
      <c r="DB537" s="286"/>
      <c r="DC537" s="286"/>
      <c r="DD537" s="286"/>
      <c r="DE537" s="286"/>
      <c r="DF537" s="286"/>
      <c r="DG537" s="286"/>
      <c r="DH537" s="286"/>
      <c r="DI537" s="286"/>
      <c r="DJ537" s="286"/>
      <c r="DK537" s="286"/>
      <c r="DL537" s="286"/>
      <c r="DM537" s="286"/>
      <c r="DN537" s="286"/>
      <c r="DO537" s="286"/>
      <c r="DP537" s="286"/>
    </row>
    <row r="538" spans="1:120" ht="33" thickBot="1" x14ac:dyDescent="0.25">
      <c r="A538" s="333"/>
      <c r="B538" s="317"/>
      <c r="C538" s="317"/>
      <c r="D538" s="317"/>
      <c r="E538" s="317"/>
      <c r="F538" s="329" t="s">
        <v>62</v>
      </c>
      <c r="G538" s="329"/>
      <c r="H538" s="329"/>
      <c r="I538" s="329"/>
      <c r="J538" s="329"/>
      <c r="K538" s="329"/>
      <c r="L538" s="384"/>
      <c r="M538" s="384"/>
      <c r="N538" s="384"/>
      <c r="O538" s="384"/>
      <c r="P538" s="384"/>
      <c r="Q538" s="384"/>
      <c r="R538" s="384"/>
      <c r="S538" s="384"/>
      <c r="T538" s="384"/>
      <c r="U538" s="384"/>
      <c r="V538" s="384"/>
      <c r="W538" s="384"/>
      <c r="X538" s="384"/>
      <c r="Y538" s="384"/>
      <c r="Z538" s="384"/>
      <c r="AA538" s="384"/>
      <c r="AB538" s="384"/>
      <c r="AC538" s="384"/>
      <c r="AD538" s="384"/>
      <c r="AE538" s="384"/>
      <c r="AF538" s="384"/>
      <c r="AG538" s="384"/>
      <c r="AH538" s="384"/>
      <c r="AI538" s="384"/>
      <c r="AJ538" s="384"/>
      <c r="AK538" s="384"/>
      <c r="AL538" s="384"/>
      <c r="AM538" s="384"/>
      <c r="AN538" s="384"/>
      <c r="AO538" s="384"/>
      <c r="AP538" s="384"/>
      <c r="AQ538" s="384"/>
      <c r="AR538" s="384"/>
      <c r="AS538" s="384"/>
      <c r="AT538" s="384"/>
      <c r="AU538" s="384"/>
      <c r="AV538" s="384"/>
      <c r="AW538" s="384"/>
      <c r="AX538" s="384"/>
      <c r="AY538" s="384"/>
      <c r="AZ538" s="384"/>
      <c r="BA538" s="384"/>
      <c r="BB538" s="384"/>
      <c r="BC538" s="384"/>
      <c r="BD538" s="384"/>
      <c r="BE538" s="384"/>
      <c r="BF538" s="384">
        <f>AVERAGE(BF2:BF461)</f>
        <v>0.4</v>
      </c>
      <c r="BG538" s="384"/>
      <c r="BH538" s="384"/>
      <c r="BI538" s="384"/>
      <c r="BJ538" s="384"/>
      <c r="BK538" s="384"/>
      <c r="BL538" s="384"/>
      <c r="BM538" s="384"/>
      <c r="BN538" s="384"/>
      <c r="BO538" s="384"/>
      <c r="BP538" s="384"/>
      <c r="BQ538" s="384"/>
      <c r="BR538" s="384"/>
      <c r="BS538" s="384"/>
      <c r="BT538" s="384"/>
      <c r="BU538" s="384"/>
      <c r="BV538" s="384"/>
      <c r="BW538" s="384"/>
      <c r="BX538" s="384"/>
      <c r="BY538" s="384"/>
      <c r="BZ538" s="384"/>
      <c r="CA538" s="286"/>
      <c r="CB538" s="286"/>
      <c r="CC538" s="286"/>
      <c r="CD538" s="286"/>
      <c r="CE538" s="286"/>
      <c r="CF538" s="286"/>
      <c r="CG538" s="286"/>
      <c r="CH538" s="286"/>
      <c r="CI538" s="286"/>
      <c r="CJ538" s="286"/>
      <c r="CK538" s="286"/>
      <c r="CL538" s="286"/>
      <c r="CM538" s="286"/>
      <c r="CN538" s="286"/>
      <c r="CO538" s="286"/>
      <c r="CP538" s="286"/>
      <c r="CQ538" s="286"/>
      <c r="CR538" s="286"/>
      <c r="CS538" s="286"/>
      <c r="CT538" s="286"/>
      <c r="CU538" s="286"/>
      <c r="CV538" s="286"/>
      <c r="CW538" s="286"/>
      <c r="CX538" s="286"/>
      <c r="CY538" s="286"/>
      <c r="CZ538" s="286"/>
      <c r="DA538" s="286"/>
      <c r="DB538" s="286"/>
      <c r="DC538" s="286"/>
      <c r="DD538" s="286"/>
      <c r="DE538" s="286"/>
      <c r="DF538" s="286"/>
      <c r="DG538" s="286"/>
      <c r="DH538" s="286"/>
      <c r="DI538" s="286"/>
      <c r="DJ538" s="286"/>
      <c r="DK538" s="286"/>
      <c r="DL538" s="286"/>
      <c r="DM538" s="286"/>
      <c r="DN538" s="286"/>
      <c r="DO538" s="286"/>
      <c r="DP538" s="286"/>
    </row>
    <row r="539" spans="1:120" ht="33" thickBot="1" x14ac:dyDescent="0.25">
      <c r="A539" s="333"/>
      <c r="B539" s="317"/>
      <c r="C539" s="317"/>
      <c r="D539" s="317"/>
      <c r="E539" s="317"/>
      <c r="F539" s="264" t="s">
        <v>1234</v>
      </c>
      <c r="G539" s="329"/>
      <c r="H539" s="329"/>
      <c r="I539" s="329"/>
      <c r="J539" s="329"/>
      <c r="K539" s="329"/>
      <c r="L539" s="385"/>
      <c r="M539" s="385"/>
      <c r="N539" s="385"/>
      <c r="O539" s="385"/>
      <c r="P539" s="385"/>
      <c r="Q539" s="385"/>
      <c r="R539" s="385"/>
      <c r="S539" s="385"/>
      <c r="T539" s="385"/>
      <c r="U539" s="385"/>
      <c r="V539" s="385"/>
      <c r="W539" s="385"/>
      <c r="X539" s="385"/>
      <c r="Y539" s="385"/>
      <c r="Z539" s="385"/>
      <c r="AA539" s="385"/>
      <c r="AB539" s="385"/>
      <c r="AC539" s="385"/>
      <c r="AD539" s="385"/>
      <c r="AE539" s="385"/>
      <c r="AF539" s="385"/>
      <c r="AG539" s="385"/>
      <c r="AH539" s="385"/>
      <c r="AI539" s="385"/>
      <c r="AJ539" s="385"/>
      <c r="AK539" s="385"/>
      <c r="AL539" s="385"/>
      <c r="AM539" s="385"/>
      <c r="AN539" s="385"/>
      <c r="AO539" s="385"/>
      <c r="AP539" s="385"/>
      <c r="AQ539" s="385"/>
      <c r="AR539" s="385"/>
      <c r="AS539" s="385"/>
      <c r="AT539" s="385"/>
      <c r="AU539" s="385"/>
      <c r="AV539" s="385"/>
      <c r="AW539" s="385"/>
      <c r="AX539" s="385"/>
      <c r="AY539" s="385"/>
      <c r="AZ539" s="385"/>
      <c r="BA539" s="385"/>
      <c r="BB539" s="385"/>
      <c r="BC539" s="385"/>
      <c r="BD539" s="385"/>
      <c r="BE539" s="385"/>
      <c r="BF539" s="385"/>
      <c r="BG539" s="385">
        <f>AVERAGE(BG2:BG461)</f>
        <v>2.5</v>
      </c>
      <c r="BH539" s="385"/>
      <c r="BI539" s="385"/>
      <c r="BJ539" s="385"/>
      <c r="BK539" s="385"/>
      <c r="BL539" s="385"/>
      <c r="BM539" s="385"/>
      <c r="BN539" s="385"/>
      <c r="BO539" s="385"/>
      <c r="BP539" s="385"/>
      <c r="BQ539" s="385"/>
      <c r="BR539" s="385"/>
      <c r="BS539" s="385"/>
      <c r="BT539" s="385"/>
      <c r="BU539" s="385"/>
      <c r="BV539" s="385"/>
      <c r="BW539" s="385"/>
      <c r="BX539" s="385"/>
      <c r="BY539" s="385"/>
      <c r="BZ539" s="385"/>
      <c r="CA539" s="286"/>
      <c r="CB539" s="286"/>
      <c r="CC539" s="286"/>
      <c r="CD539" s="286"/>
      <c r="CE539" s="286"/>
      <c r="CF539" s="286"/>
      <c r="CG539" s="286"/>
      <c r="CH539" s="286"/>
      <c r="CI539" s="286"/>
      <c r="CJ539" s="286"/>
      <c r="CK539" s="286"/>
      <c r="CL539" s="286"/>
      <c r="CM539" s="286"/>
      <c r="CN539" s="286"/>
      <c r="CO539" s="286"/>
      <c r="CP539" s="286"/>
      <c r="CQ539" s="286"/>
      <c r="CR539" s="286"/>
      <c r="CS539" s="286"/>
      <c r="CT539" s="286"/>
      <c r="CU539" s="286"/>
      <c r="CV539" s="286"/>
      <c r="CW539" s="286"/>
      <c r="CX539" s="286"/>
      <c r="CY539" s="286"/>
      <c r="CZ539" s="286"/>
      <c r="DA539" s="286"/>
      <c r="DB539" s="286"/>
      <c r="DC539" s="286"/>
      <c r="DD539" s="286"/>
      <c r="DE539" s="286"/>
      <c r="DF539" s="286"/>
      <c r="DG539" s="286"/>
      <c r="DH539" s="286"/>
      <c r="DI539" s="286"/>
      <c r="DJ539" s="286"/>
      <c r="DK539" s="286"/>
      <c r="DL539" s="286"/>
      <c r="DM539" s="286"/>
      <c r="DN539" s="286"/>
      <c r="DO539" s="286"/>
      <c r="DP539" s="286"/>
    </row>
    <row r="540" spans="1:120" ht="33" thickBot="1" x14ac:dyDescent="0.25">
      <c r="A540" s="333"/>
      <c r="B540" s="319"/>
      <c r="C540" s="319"/>
      <c r="D540" s="319"/>
      <c r="E540" s="319"/>
      <c r="F540" s="329" t="s">
        <v>63</v>
      </c>
      <c r="G540" s="329"/>
      <c r="H540" s="329"/>
      <c r="I540" s="329"/>
      <c r="J540" s="329"/>
      <c r="K540" s="329"/>
      <c r="L540" s="384"/>
      <c r="M540" s="384"/>
      <c r="N540" s="384"/>
      <c r="O540" s="384"/>
      <c r="P540" s="384"/>
      <c r="Q540" s="384"/>
      <c r="R540" s="384"/>
      <c r="S540" s="384"/>
      <c r="T540" s="384"/>
      <c r="U540" s="384"/>
      <c r="V540" s="384"/>
      <c r="W540" s="384"/>
      <c r="X540" s="384"/>
      <c r="Y540" s="384"/>
      <c r="Z540" s="384"/>
      <c r="AA540" s="384"/>
      <c r="AB540" s="384"/>
      <c r="AC540" s="384"/>
      <c r="AD540" s="384"/>
      <c r="AE540" s="384"/>
      <c r="AF540" s="384"/>
      <c r="AG540" s="384"/>
      <c r="AH540" s="384"/>
      <c r="AI540" s="384"/>
      <c r="AJ540" s="384"/>
      <c r="AK540" s="384"/>
      <c r="AL540" s="384"/>
      <c r="AM540" s="384"/>
      <c r="AN540" s="384"/>
      <c r="AO540" s="384"/>
      <c r="AP540" s="384"/>
      <c r="AQ540" s="384"/>
      <c r="AR540" s="384"/>
      <c r="AS540" s="384"/>
      <c r="AT540" s="384"/>
      <c r="AU540" s="384"/>
      <c r="AV540" s="384"/>
      <c r="AW540" s="384"/>
      <c r="AX540" s="384"/>
      <c r="AY540" s="384"/>
      <c r="AZ540" s="384"/>
      <c r="BA540" s="384"/>
      <c r="BB540" s="384"/>
      <c r="BC540" s="384"/>
      <c r="BD540" s="384"/>
      <c r="BE540" s="384"/>
      <c r="BF540" s="384"/>
      <c r="BG540" s="384"/>
      <c r="BH540" s="384">
        <f>AVERAGE(BH2:BH461)</f>
        <v>0.4</v>
      </c>
      <c r="BI540" s="384"/>
      <c r="BJ540" s="384"/>
      <c r="BK540" s="384"/>
      <c r="BL540" s="384"/>
      <c r="BM540" s="384"/>
      <c r="BN540" s="384"/>
      <c r="BO540" s="384"/>
      <c r="BP540" s="384"/>
      <c r="BQ540" s="384"/>
      <c r="BR540" s="384"/>
      <c r="BS540" s="384"/>
      <c r="BT540" s="384"/>
      <c r="BU540" s="384"/>
      <c r="BV540" s="384"/>
      <c r="BW540" s="384"/>
      <c r="BX540" s="384"/>
      <c r="BY540" s="384"/>
      <c r="BZ540" s="384"/>
      <c r="CA540" s="286"/>
      <c r="CB540" s="286"/>
      <c r="CC540" s="286"/>
      <c r="CD540" s="286"/>
      <c r="CE540" s="286"/>
      <c r="CF540" s="286"/>
      <c r="CG540" s="286"/>
      <c r="CH540" s="286"/>
      <c r="CI540" s="286"/>
      <c r="CJ540" s="286"/>
      <c r="CK540" s="286"/>
      <c r="CL540" s="286"/>
      <c r="CM540" s="286"/>
      <c r="CN540" s="286"/>
      <c r="CO540" s="286"/>
      <c r="CP540" s="286"/>
      <c r="CQ540" s="286"/>
      <c r="CR540" s="286"/>
      <c r="CS540" s="286"/>
      <c r="CT540" s="286"/>
      <c r="CU540" s="286"/>
      <c r="CV540" s="286"/>
      <c r="CW540" s="286"/>
      <c r="CX540" s="286"/>
      <c r="CY540" s="286"/>
      <c r="CZ540" s="286"/>
      <c r="DA540" s="286"/>
      <c r="DB540" s="286"/>
      <c r="DC540" s="286"/>
      <c r="DD540" s="286"/>
      <c r="DE540" s="286"/>
      <c r="DF540" s="286"/>
      <c r="DG540" s="286"/>
      <c r="DH540" s="286"/>
      <c r="DI540" s="286"/>
      <c r="DJ540" s="286"/>
      <c r="DK540" s="286"/>
      <c r="DL540" s="286"/>
      <c r="DM540" s="286"/>
      <c r="DN540" s="286"/>
      <c r="DO540" s="286"/>
      <c r="DP540" s="286"/>
    </row>
    <row r="541" spans="1:120" ht="33" thickBot="1" x14ac:dyDescent="0.25">
      <c r="A541" s="333"/>
      <c r="B541" s="317"/>
      <c r="C541" s="317"/>
      <c r="D541" s="317"/>
      <c r="E541" s="317"/>
      <c r="F541" s="329" t="s">
        <v>64</v>
      </c>
      <c r="G541" s="329"/>
      <c r="H541" s="329"/>
      <c r="I541" s="329"/>
      <c r="J541" s="329"/>
      <c r="K541" s="329"/>
      <c r="L541" s="385"/>
      <c r="M541" s="385"/>
      <c r="N541" s="385"/>
      <c r="O541" s="385"/>
      <c r="P541" s="385"/>
      <c r="Q541" s="385"/>
      <c r="R541" s="385"/>
      <c r="S541" s="385"/>
      <c r="T541" s="385"/>
      <c r="U541" s="385"/>
      <c r="V541" s="385"/>
      <c r="W541" s="385"/>
      <c r="X541" s="385"/>
      <c r="Y541" s="385"/>
      <c r="Z541" s="385"/>
      <c r="AA541" s="385"/>
      <c r="AB541" s="385"/>
      <c r="AC541" s="385"/>
      <c r="AD541" s="385"/>
      <c r="AE541" s="385"/>
      <c r="AF541" s="385"/>
      <c r="AG541" s="385"/>
      <c r="AH541" s="385"/>
      <c r="AI541" s="385"/>
      <c r="AJ541" s="385"/>
      <c r="AK541" s="385"/>
      <c r="AL541" s="385"/>
      <c r="AM541" s="385"/>
      <c r="AN541" s="385"/>
      <c r="AO541" s="385"/>
      <c r="AP541" s="385"/>
      <c r="AQ541" s="385"/>
      <c r="AR541" s="385"/>
      <c r="AS541" s="385"/>
      <c r="AT541" s="385"/>
      <c r="AU541" s="385"/>
      <c r="AV541" s="385"/>
      <c r="AW541" s="385"/>
      <c r="AX541" s="385"/>
      <c r="AY541" s="385"/>
      <c r="AZ541" s="385"/>
      <c r="BA541" s="385"/>
      <c r="BB541" s="385"/>
      <c r="BC541" s="385"/>
      <c r="BD541" s="385"/>
      <c r="BE541" s="385"/>
      <c r="BF541" s="385"/>
      <c r="BG541" s="385"/>
      <c r="BH541" s="385"/>
      <c r="BI541" s="385">
        <f>AVERAGE(BI2:BI461)</f>
        <v>1</v>
      </c>
      <c r="BJ541" s="385"/>
      <c r="BK541" s="385"/>
      <c r="BL541" s="385"/>
      <c r="BM541" s="385"/>
      <c r="BN541" s="385"/>
      <c r="BO541" s="385"/>
      <c r="BP541" s="385"/>
      <c r="BQ541" s="385"/>
      <c r="BR541" s="385"/>
      <c r="BS541" s="385"/>
      <c r="BT541" s="385"/>
      <c r="BU541" s="385"/>
      <c r="BV541" s="385"/>
      <c r="BW541" s="385"/>
      <c r="BX541" s="385"/>
      <c r="BY541" s="385"/>
      <c r="BZ541" s="385"/>
      <c r="CA541" s="286"/>
      <c r="CB541" s="286"/>
      <c r="CC541" s="286"/>
      <c r="CD541" s="286"/>
      <c r="CE541" s="286"/>
      <c r="CF541" s="286"/>
      <c r="CG541" s="286"/>
      <c r="CH541" s="286"/>
      <c r="CI541" s="286"/>
      <c r="CJ541" s="286"/>
      <c r="CK541" s="286"/>
      <c r="CL541" s="286"/>
      <c r="CM541" s="286"/>
      <c r="CN541" s="286"/>
      <c r="CO541" s="286"/>
      <c r="CP541" s="286"/>
      <c r="CQ541" s="286"/>
      <c r="CR541" s="286"/>
      <c r="CS541" s="286"/>
      <c r="CT541" s="286"/>
      <c r="CU541" s="286"/>
      <c r="CV541" s="286"/>
      <c r="CW541" s="286"/>
      <c r="CX541" s="286"/>
      <c r="CY541" s="286"/>
      <c r="CZ541" s="286"/>
      <c r="DA541" s="286"/>
      <c r="DB541" s="286"/>
      <c r="DC541" s="286"/>
      <c r="DD541" s="286"/>
      <c r="DE541" s="286"/>
      <c r="DF541" s="286"/>
      <c r="DG541" s="286"/>
      <c r="DH541" s="286"/>
      <c r="DI541" s="286"/>
      <c r="DJ541" s="286"/>
      <c r="DK541" s="286"/>
      <c r="DL541" s="286"/>
      <c r="DM541" s="286"/>
      <c r="DN541" s="286"/>
      <c r="DO541" s="286"/>
      <c r="DP541" s="286"/>
    </row>
    <row r="542" spans="1:120" ht="33" thickBot="1" x14ac:dyDescent="0.25">
      <c r="A542" s="333"/>
      <c r="B542" s="317"/>
      <c r="C542" s="317"/>
      <c r="D542" s="317"/>
      <c r="E542" s="317"/>
      <c r="F542" s="329" t="s">
        <v>65</v>
      </c>
      <c r="G542" s="329"/>
      <c r="H542" s="329"/>
      <c r="I542" s="329"/>
      <c r="J542" s="329"/>
      <c r="K542" s="329"/>
      <c r="L542" s="384"/>
      <c r="M542" s="384"/>
      <c r="N542" s="384"/>
      <c r="O542" s="384"/>
      <c r="P542" s="384"/>
      <c r="Q542" s="384"/>
      <c r="R542" s="384"/>
      <c r="S542" s="384"/>
      <c r="T542" s="384"/>
      <c r="U542" s="384"/>
      <c r="V542" s="384"/>
      <c r="W542" s="384"/>
      <c r="X542" s="384"/>
      <c r="Y542" s="384"/>
      <c r="Z542" s="384"/>
      <c r="AA542" s="384"/>
      <c r="AB542" s="384"/>
      <c r="AC542" s="384"/>
      <c r="AD542" s="384"/>
      <c r="AE542" s="384"/>
      <c r="AF542" s="384"/>
      <c r="AG542" s="384"/>
      <c r="AH542" s="384"/>
      <c r="AI542" s="384"/>
      <c r="AJ542" s="384"/>
      <c r="AK542" s="384"/>
      <c r="AL542" s="384"/>
      <c r="AM542" s="384"/>
      <c r="AN542" s="384"/>
      <c r="AO542" s="384"/>
      <c r="AP542" s="384"/>
      <c r="AQ542" s="384"/>
      <c r="AR542" s="384"/>
      <c r="AS542" s="384"/>
      <c r="AT542" s="384"/>
      <c r="AU542" s="384"/>
      <c r="AV542" s="384"/>
      <c r="AW542" s="384"/>
      <c r="AX542" s="384"/>
      <c r="AY542" s="384"/>
      <c r="AZ542" s="384"/>
      <c r="BA542" s="384"/>
      <c r="BB542" s="384"/>
      <c r="BC542" s="384"/>
      <c r="BD542" s="384"/>
      <c r="BE542" s="384"/>
      <c r="BF542" s="384"/>
      <c r="BG542" s="384"/>
      <c r="BH542" s="384"/>
      <c r="BI542" s="384"/>
      <c r="BJ542" s="384">
        <f>AVERAGE(BJ2:BJ461)</f>
        <v>1</v>
      </c>
      <c r="BK542" s="384"/>
      <c r="BL542" s="384"/>
      <c r="BM542" s="384"/>
      <c r="BN542" s="384"/>
      <c r="BO542" s="384"/>
      <c r="BP542" s="384"/>
      <c r="BQ542" s="384"/>
      <c r="BR542" s="384"/>
      <c r="BS542" s="384"/>
      <c r="BT542" s="384"/>
      <c r="BU542" s="384"/>
      <c r="BV542" s="384"/>
      <c r="BW542" s="384"/>
      <c r="BX542" s="384"/>
      <c r="BY542" s="384"/>
      <c r="BZ542" s="384"/>
      <c r="CA542" s="286"/>
      <c r="CB542" s="286"/>
      <c r="CC542" s="286"/>
      <c r="CD542" s="286"/>
      <c r="CE542" s="286"/>
      <c r="CF542" s="286"/>
      <c r="CG542" s="286"/>
      <c r="CH542" s="286"/>
      <c r="CI542" s="286"/>
      <c r="CJ542" s="286"/>
      <c r="CK542" s="286"/>
      <c r="CL542" s="286"/>
      <c r="CM542" s="286"/>
      <c r="CN542" s="286"/>
      <c r="CO542" s="286"/>
      <c r="CP542" s="286"/>
      <c r="CQ542" s="286"/>
      <c r="CR542" s="286"/>
      <c r="CS542" s="286"/>
      <c r="CT542" s="286"/>
      <c r="CU542" s="286"/>
      <c r="CV542" s="286"/>
      <c r="CW542" s="286"/>
      <c r="CX542" s="286"/>
      <c r="CY542" s="286"/>
      <c r="CZ542" s="286"/>
      <c r="DA542" s="286"/>
      <c r="DB542" s="286"/>
      <c r="DC542" s="286"/>
      <c r="DD542" s="286"/>
      <c r="DE542" s="286"/>
      <c r="DF542" s="286"/>
      <c r="DG542" s="286"/>
      <c r="DH542" s="286"/>
      <c r="DI542" s="286"/>
      <c r="DJ542" s="286"/>
      <c r="DK542" s="286"/>
      <c r="DL542" s="286"/>
      <c r="DM542" s="286"/>
      <c r="DN542" s="286"/>
      <c r="DO542" s="286"/>
      <c r="DP542" s="286"/>
    </row>
    <row r="543" spans="1:120" ht="33" thickBot="1" x14ac:dyDescent="0.25">
      <c r="A543" s="333"/>
      <c r="B543" s="319"/>
      <c r="C543" s="319"/>
      <c r="D543" s="319"/>
      <c r="E543" s="319"/>
      <c r="F543" s="329" t="s">
        <v>66</v>
      </c>
      <c r="G543" s="329"/>
      <c r="H543" s="329"/>
      <c r="I543" s="329"/>
      <c r="J543" s="329"/>
      <c r="K543" s="329"/>
      <c r="L543" s="385"/>
      <c r="M543" s="385"/>
      <c r="N543" s="385"/>
      <c r="O543" s="385"/>
      <c r="P543" s="385"/>
      <c r="Q543" s="385"/>
      <c r="R543" s="385"/>
      <c r="S543" s="385"/>
      <c r="T543" s="385"/>
      <c r="U543" s="385"/>
      <c r="V543" s="385"/>
      <c r="W543" s="385"/>
      <c r="X543" s="385"/>
      <c r="Y543" s="385"/>
      <c r="Z543" s="385"/>
      <c r="AA543" s="385"/>
      <c r="AB543" s="385"/>
      <c r="AC543" s="385"/>
      <c r="AD543" s="385"/>
      <c r="AE543" s="385"/>
      <c r="AF543" s="385"/>
      <c r="AG543" s="385"/>
      <c r="AH543" s="385"/>
      <c r="AI543" s="385"/>
      <c r="AJ543" s="385"/>
      <c r="AK543" s="385"/>
      <c r="AL543" s="385"/>
      <c r="AM543" s="385"/>
      <c r="AN543" s="385"/>
      <c r="AO543" s="385"/>
      <c r="AP543" s="385"/>
      <c r="AQ543" s="385"/>
      <c r="AR543" s="385"/>
      <c r="AS543" s="385"/>
      <c r="AT543" s="385"/>
      <c r="AU543" s="385"/>
      <c r="AV543" s="385"/>
      <c r="AW543" s="385"/>
      <c r="AX543" s="385"/>
      <c r="AY543" s="385"/>
      <c r="AZ543" s="385"/>
      <c r="BA543" s="385"/>
      <c r="BB543" s="385"/>
      <c r="BC543" s="385"/>
      <c r="BD543" s="385"/>
      <c r="BE543" s="385"/>
      <c r="BF543" s="385"/>
      <c r="BG543" s="385"/>
      <c r="BH543" s="385"/>
      <c r="BI543" s="385"/>
      <c r="BJ543" s="385"/>
      <c r="BK543" s="385">
        <f>AVERAGE(BK2:BK461)</f>
        <v>0.8</v>
      </c>
      <c r="BL543" s="385"/>
      <c r="BM543" s="385"/>
      <c r="BN543" s="385"/>
      <c r="BO543" s="385"/>
      <c r="BP543" s="385"/>
      <c r="BQ543" s="385"/>
      <c r="BR543" s="385"/>
      <c r="BS543" s="385"/>
      <c r="BT543" s="385"/>
      <c r="BU543" s="385"/>
      <c r="BV543" s="385"/>
      <c r="BW543" s="385"/>
      <c r="BX543" s="385"/>
      <c r="BY543" s="385"/>
      <c r="BZ543" s="385"/>
      <c r="CA543" s="286"/>
      <c r="CB543" s="286"/>
      <c r="CC543" s="286"/>
      <c r="CD543" s="286"/>
      <c r="CE543" s="286"/>
      <c r="CF543" s="286"/>
      <c r="CG543" s="286"/>
      <c r="CH543" s="286"/>
      <c r="CI543" s="286"/>
      <c r="CJ543" s="286"/>
      <c r="CK543" s="286"/>
      <c r="CL543" s="286"/>
      <c r="CM543" s="286"/>
      <c r="CN543" s="286"/>
      <c r="CO543" s="286"/>
      <c r="CP543" s="286"/>
      <c r="CQ543" s="286"/>
      <c r="CR543" s="286"/>
      <c r="CS543" s="286"/>
      <c r="CT543" s="286"/>
      <c r="CU543" s="286"/>
      <c r="CV543" s="286"/>
      <c r="CW543" s="286"/>
      <c r="CX543" s="286"/>
      <c r="CY543" s="286"/>
      <c r="CZ543" s="286"/>
      <c r="DA543" s="286"/>
      <c r="DB543" s="286"/>
      <c r="DC543" s="286"/>
      <c r="DD543" s="286"/>
      <c r="DE543" s="286"/>
      <c r="DF543" s="286"/>
      <c r="DG543" s="286"/>
      <c r="DH543" s="286"/>
      <c r="DI543" s="286"/>
      <c r="DJ543" s="286"/>
      <c r="DK543" s="286"/>
      <c r="DL543" s="286"/>
      <c r="DM543" s="286"/>
      <c r="DN543" s="286"/>
      <c r="DO543" s="286"/>
      <c r="DP543" s="286"/>
    </row>
    <row r="544" spans="1:120" ht="33" thickBot="1" x14ac:dyDescent="0.25">
      <c r="A544" s="333"/>
      <c r="B544" s="317"/>
      <c r="C544" s="317"/>
      <c r="D544" s="317"/>
      <c r="E544" s="317"/>
      <c r="F544" s="329" t="s">
        <v>67</v>
      </c>
      <c r="G544" s="329"/>
      <c r="H544" s="329"/>
      <c r="I544" s="329"/>
      <c r="J544" s="329"/>
      <c r="K544" s="329"/>
      <c r="L544" s="384"/>
      <c r="M544" s="384"/>
      <c r="N544" s="384"/>
      <c r="O544" s="384"/>
      <c r="P544" s="384"/>
      <c r="Q544" s="384"/>
      <c r="R544" s="384"/>
      <c r="S544" s="384"/>
      <c r="T544" s="384"/>
      <c r="U544" s="384"/>
      <c r="V544" s="384"/>
      <c r="W544" s="384"/>
      <c r="X544" s="384"/>
      <c r="Y544" s="384"/>
      <c r="Z544" s="384"/>
      <c r="AA544" s="384"/>
      <c r="AB544" s="384"/>
      <c r="AC544" s="384"/>
      <c r="AD544" s="384"/>
      <c r="AE544" s="384"/>
      <c r="AF544" s="384"/>
      <c r="AG544" s="384"/>
      <c r="AH544" s="384"/>
      <c r="AI544" s="384"/>
      <c r="AJ544" s="384"/>
      <c r="AK544" s="384"/>
      <c r="AL544" s="384"/>
      <c r="AM544" s="384"/>
      <c r="AN544" s="384"/>
      <c r="AO544" s="384"/>
      <c r="AP544" s="384"/>
      <c r="AQ544" s="384"/>
      <c r="AR544" s="384"/>
      <c r="AS544" s="384"/>
      <c r="AT544" s="384"/>
      <c r="AU544" s="384"/>
      <c r="AV544" s="384"/>
      <c r="AW544" s="384"/>
      <c r="AX544" s="384"/>
      <c r="AY544" s="384"/>
      <c r="AZ544" s="384"/>
      <c r="BA544" s="384"/>
      <c r="BB544" s="384"/>
      <c r="BC544" s="384"/>
      <c r="BD544" s="384"/>
      <c r="BE544" s="384"/>
      <c r="BF544" s="384"/>
      <c r="BG544" s="384"/>
      <c r="BH544" s="384"/>
      <c r="BI544" s="384"/>
      <c r="BJ544" s="384"/>
      <c r="BK544" s="384"/>
      <c r="BL544" s="384">
        <f>AVERAGE(BL2:BL461)</f>
        <v>0.9</v>
      </c>
      <c r="BM544" s="384"/>
      <c r="BN544" s="384"/>
      <c r="BO544" s="384"/>
      <c r="BP544" s="384"/>
      <c r="BQ544" s="384"/>
      <c r="BR544" s="384"/>
      <c r="BS544" s="384"/>
      <c r="BT544" s="384"/>
      <c r="BU544" s="384"/>
      <c r="BV544" s="384"/>
      <c r="BW544" s="384"/>
      <c r="BX544" s="384"/>
      <c r="BY544" s="384"/>
      <c r="BZ544" s="384"/>
      <c r="CA544" s="286"/>
      <c r="CB544" s="286"/>
      <c r="CC544" s="286"/>
      <c r="CD544" s="286"/>
      <c r="CE544" s="286"/>
      <c r="CF544" s="286"/>
      <c r="CG544" s="286"/>
      <c r="CH544" s="286"/>
      <c r="CI544" s="286"/>
      <c r="CJ544" s="286"/>
      <c r="CK544" s="286"/>
      <c r="CL544" s="286"/>
      <c r="CM544" s="286"/>
      <c r="CN544" s="286"/>
      <c r="CO544" s="286"/>
      <c r="CP544" s="286"/>
      <c r="CQ544" s="286"/>
      <c r="CR544" s="286"/>
      <c r="CS544" s="286"/>
      <c r="CT544" s="286"/>
      <c r="CU544" s="286"/>
      <c r="CV544" s="286"/>
      <c r="CW544" s="286"/>
      <c r="CX544" s="286"/>
      <c r="CY544" s="286"/>
      <c r="CZ544" s="286"/>
      <c r="DA544" s="286"/>
      <c r="DB544" s="286"/>
      <c r="DC544" s="286"/>
      <c r="DD544" s="286"/>
      <c r="DE544" s="286"/>
      <c r="DF544" s="286"/>
      <c r="DG544" s="286"/>
      <c r="DH544" s="286"/>
      <c r="DI544" s="286"/>
      <c r="DJ544" s="286"/>
      <c r="DK544" s="286"/>
      <c r="DL544" s="286"/>
      <c r="DM544" s="286"/>
      <c r="DN544" s="286"/>
      <c r="DO544" s="286"/>
      <c r="DP544" s="286"/>
    </row>
    <row r="545" spans="1:120" ht="33" thickBot="1" x14ac:dyDescent="0.25">
      <c r="A545" s="333"/>
      <c r="B545" s="319"/>
      <c r="C545" s="319"/>
      <c r="D545" s="319"/>
      <c r="E545" s="319"/>
      <c r="F545" s="329" t="s">
        <v>68</v>
      </c>
      <c r="G545" s="329"/>
      <c r="H545" s="329"/>
      <c r="I545" s="329"/>
      <c r="J545" s="329"/>
      <c r="K545" s="329"/>
      <c r="L545" s="385"/>
      <c r="M545" s="385"/>
      <c r="N545" s="385"/>
      <c r="O545" s="385"/>
      <c r="P545" s="385"/>
      <c r="Q545" s="385"/>
      <c r="R545" s="385"/>
      <c r="S545" s="385"/>
      <c r="T545" s="385"/>
      <c r="U545" s="385"/>
      <c r="V545" s="385"/>
      <c r="W545" s="385"/>
      <c r="X545" s="385"/>
      <c r="Y545" s="385"/>
      <c r="Z545" s="385"/>
      <c r="AA545" s="385"/>
      <c r="AB545" s="385"/>
      <c r="AC545" s="385"/>
      <c r="AD545" s="385"/>
      <c r="AE545" s="385"/>
      <c r="AF545" s="385"/>
      <c r="AG545" s="385"/>
      <c r="AH545" s="385"/>
      <c r="AI545" s="385"/>
      <c r="AJ545" s="385"/>
      <c r="AK545" s="385"/>
      <c r="AL545" s="385"/>
      <c r="AM545" s="385"/>
      <c r="AN545" s="385"/>
      <c r="AO545" s="385"/>
      <c r="AP545" s="385"/>
      <c r="AQ545" s="385"/>
      <c r="AR545" s="385"/>
      <c r="AS545" s="385"/>
      <c r="AT545" s="385"/>
      <c r="AU545" s="385"/>
      <c r="AV545" s="385"/>
      <c r="AW545" s="385"/>
      <c r="AX545" s="385"/>
      <c r="AY545" s="385"/>
      <c r="AZ545" s="385"/>
      <c r="BA545" s="385"/>
      <c r="BB545" s="385"/>
      <c r="BC545" s="385"/>
      <c r="BD545" s="385"/>
      <c r="BE545" s="385"/>
      <c r="BF545" s="385"/>
      <c r="BG545" s="385"/>
      <c r="BH545" s="385"/>
      <c r="BI545" s="385"/>
      <c r="BJ545" s="385"/>
      <c r="BK545" s="385"/>
      <c r="BL545" s="385"/>
      <c r="BM545" s="385">
        <f>AVERAGE(BM2:BM461)</f>
        <v>0.5</v>
      </c>
      <c r="BN545" s="385"/>
      <c r="BO545" s="385"/>
      <c r="BP545" s="385"/>
      <c r="BQ545" s="385"/>
      <c r="BR545" s="385"/>
      <c r="BS545" s="385"/>
      <c r="BT545" s="385"/>
      <c r="BU545" s="385"/>
      <c r="BV545" s="385"/>
      <c r="BW545" s="385"/>
      <c r="BX545" s="385"/>
      <c r="BY545" s="385"/>
      <c r="BZ545" s="385"/>
      <c r="CA545" s="286"/>
      <c r="CB545" s="286"/>
      <c r="CC545" s="286"/>
      <c r="CD545" s="286"/>
      <c r="CE545" s="286"/>
      <c r="CF545" s="286"/>
      <c r="CG545" s="286"/>
      <c r="CH545" s="286"/>
      <c r="CI545" s="286"/>
      <c r="CJ545" s="286"/>
      <c r="CK545" s="286"/>
      <c r="CL545" s="286"/>
      <c r="CM545" s="286"/>
      <c r="CN545" s="286"/>
      <c r="CO545" s="286"/>
      <c r="CP545" s="286"/>
      <c r="CQ545" s="286"/>
      <c r="CR545" s="286"/>
      <c r="CS545" s="286"/>
      <c r="CT545" s="286"/>
      <c r="CU545" s="286"/>
      <c r="CV545" s="286"/>
      <c r="CW545" s="286"/>
      <c r="CX545" s="286"/>
      <c r="CY545" s="286"/>
      <c r="CZ545" s="286"/>
      <c r="DA545" s="286"/>
      <c r="DB545" s="286"/>
      <c r="DC545" s="286"/>
      <c r="DD545" s="286"/>
      <c r="DE545" s="286"/>
      <c r="DF545" s="286"/>
      <c r="DG545" s="286"/>
      <c r="DH545" s="286"/>
      <c r="DI545" s="286"/>
      <c r="DJ545" s="286"/>
      <c r="DK545" s="286"/>
      <c r="DL545" s="286"/>
      <c r="DM545" s="286"/>
      <c r="DN545" s="286"/>
      <c r="DO545" s="286"/>
      <c r="DP545" s="286"/>
    </row>
    <row r="546" spans="1:120" ht="33" thickBot="1" x14ac:dyDescent="0.25">
      <c r="A546" s="333"/>
      <c r="B546" s="317"/>
      <c r="C546" s="317"/>
      <c r="D546" s="317"/>
      <c r="E546" s="317"/>
      <c r="F546" s="329" t="s">
        <v>69</v>
      </c>
      <c r="G546" s="329"/>
      <c r="H546" s="329"/>
      <c r="I546" s="329"/>
      <c r="J546" s="329"/>
      <c r="K546" s="329"/>
      <c r="L546" s="384"/>
      <c r="M546" s="384"/>
      <c r="N546" s="384"/>
      <c r="O546" s="384"/>
      <c r="P546" s="384"/>
      <c r="Q546" s="384"/>
      <c r="R546" s="384"/>
      <c r="S546" s="384"/>
      <c r="T546" s="384"/>
      <c r="U546" s="384"/>
      <c r="V546" s="384"/>
      <c r="W546" s="384"/>
      <c r="X546" s="384"/>
      <c r="Y546" s="384"/>
      <c r="Z546" s="384"/>
      <c r="AA546" s="384"/>
      <c r="AB546" s="384"/>
      <c r="AC546" s="384"/>
      <c r="AD546" s="384"/>
      <c r="AE546" s="384"/>
      <c r="AF546" s="384"/>
      <c r="AG546" s="384"/>
      <c r="AH546" s="384"/>
      <c r="AI546" s="384"/>
      <c r="AJ546" s="384"/>
      <c r="AK546" s="384"/>
      <c r="AL546" s="384"/>
      <c r="AM546" s="384"/>
      <c r="AN546" s="384"/>
      <c r="AO546" s="384"/>
      <c r="AP546" s="384"/>
      <c r="AQ546" s="384"/>
      <c r="AR546" s="384"/>
      <c r="AS546" s="384"/>
      <c r="AT546" s="384"/>
      <c r="AU546" s="384"/>
      <c r="AV546" s="384"/>
      <c r="AW546" s="384"/>
      <c r="AX546" s="384"/>
      <c r="AY546" s="384"/>
      <c r="AZ546" s="384"/>
      <c r="BA546" s="384"/>
      <c r="BB546" s="384"/>
      <c r="BC546" s="384"/>
      <c r="BD546" s="384"/>
      <c r="BE546" s="384"/>
      <c r="BF546" s="384"/>
      <c r="BG546" s="384"/>
      <c r="BH546" s="384"/>
      <c r="BI546" s="384"/>
      <c r="BJ546" s="384"/>
      <c r="BK546" s="384"/>
      <c r="BL546" s="384"/>
      <c r="BM546" s="384"/>
      <c r="BN546" s="384">
        <f>0.1*AVERAGE(BN2:BN461)^2 + 0.4</f>
        <v>0.8</v>
      </c>
      <c r="BO546" s="384"/>
      <c r="BP546" s="384"/>
      <c r="BQ546" s="384"/>
      <c r="BR546" s="384"/>
      <c r="BS546" s="384"/>
      <c r="BT546" s="384"/>
      <c r="BU546" s="384"/>
      <c r="BV546" s="384"/>
      <c r="BW546" s="384"/>
      <c r="BX546" s="384"/>
      <c r="BY546" s="384"/>
      <c r="BZ546" s="384"/>
      <c r="CA546" s="286"/>
      <c r="CB546" s="286"/>
      <c r="CC546" s="286"/>
      <c r="CD546" s="286"/>
      <c r="CE546" s="286"/>
      <c r="CF546" s="286"/>
      <c r="CG546" s="286"/>
      <c r="CH546" s="286"/>
      <c r="CI546" s="286"/>
      <c r="CJ546" s="286"/>
      <c r="CK546" s="286"/>
      <c r="CL546" s="286"/>
      <c r="CM546" s="286"/>
      <c r="CN546" s="286"/>
      <c r="CO546" s="286"/>
      <c r="CP546" s="286"/>
      <c r="CQ546" s="286"/>
      <c r="CR546" s="286"/>
      <c r="CS546" s="286"/>
      <c r="CT546" s="286"/>
      <c r="CU546" s="286"/>
      <c r="CV546" s="286"/>
      <c r="CW546" s="286"/>
      <c r="CX546" s="286"/>
      <c r="CY546" s="286"/>
      <c r="CZ546" s="286"/>
      <c r="DA546" s="286"/>
      <c r="DB546" s="286"/>
      <c r="DC546" s="286"/>
      <c r="DD546" s="286"/>
      <c r="DE546" s="286"/>
      <c r="DF546" s="286"/>
      <c r="DG546" s="286"/>
      <c r="DH546" s="286"/>
      <c r="DI546" s="286"/>
      <c r="DJ546" s="286"/>
      <c r="DK546" s="286"/>
      <c r="DL546" s="286"/>
      <c r="DM546" s="286"/>
      <c r="DN546" s="286"/>
      <c r="DO546" s="286"/>
      <c r="DP546" s="286"/>
    </row>
    <row r="547" spans="1:120" ht="33" thickBot="1" x14ac:dyDescent="0.25">
      <c r="A547" s="333"/>
      <c r="B547" s="319"/>
      <c r="C547" s="319"/>
      <c r="D547" s="319"/>
      <c r="E547" s="319"/>
      <c r="F547" s="330" t="s">
        <v>1248</v>
      </c>
      <c r="G547" s="330"/>
      <c r="H547" s="330"/>
      <c r="I547" s="330"/>
      <c r="J547" s="330"/>
      <c r="K547" s="330"/>
      <c r="L547" s="385"/>
      <c r="M547" s="385"/>
      <c r="N547" s="385"/>
      <c r="O547" s="385"/>
      <c r="P547" s="385"/>
      <c r="Q547" s="385"/>
      <c r="R547" s="385"/>
      <c r="S547" s="385"/>
      <c r="T547" s="385"/>
      <c r="U547" s="385"/>
      <c r="V547" s="385"/>
      <c r="W547" s="385"/>
      <c r="X547" s="385"/>
      <c r="Y547" s="385"/>
      <c r="Z547" s="385"/>
      <c r="AA547" s="385"/>
      <c r="AB547" s="385"/>
      <c r="AC547" s="385"/>
      <c r="AD547" s="385"/>
      <c r="AE547" s="385"/>
      <c r="AF547" s="385"/>
      <c r="AG547" s="385"/>
      <c r="AH547" s="385"/>
      <c r="AI547" s="385"/>
      <c r="AJ547" s="385"/>
      <c r="AK547" s="385"/>
      <c r="AL547" s="385"/>
      <c r="AM547" s="385"/>
      <c r="AN547" s="385"/>
      <c r="AO547" s="385"/>
      <c r="AP547" s="385"/>
      <c r="AQ547" s="385"/>
      <c r="AR547" s="385"/>
      <c r="AS547" s="385"/>
      <c r="AT547" s="385"/>
      <c r="AU547" s="385"/>
      <c r="AV547" s="385"/>
      <c r="AW547" s="385"/>
      <c r="AX547" s="385"/>
      <c r="AY547" s="385"/>
      <c r="AZ547" s="385"/>
      <c r="BA547" s="385"/>
      <c r="BB547" s="385"/>
      <c r="BC547" s="385"/>
      <c r="BD547" s="385"/>
      <c r="BE547" s="385"/>
      <c r="BF547" s="385"/>
      <c r="BG547" s="385"/>
      <c r="BH547" s="385"/>
      <c r="BI547" s="385"/>
      <c r="BJ547" s="385"/>
      <c r="BK547" s="385"/>
      <c r="BL547" s="385"/>
      <c r="BM547" s="385"/>
      <c r="BN547" s="385"/>
      <c r="BO547" s="385">
        <f>BN546*BM545*BL544*BK543*BJ542*BI541*BH540*BF538*BE537</f>
        <v>4.608000000000001E-2</v>
      </c>
      <c r="BP547" s="385"/>
      <c r="BQ547" s="385"/>
      <c r="BR547" s="385"/>
      <c r="BS547" s="385"/>
      <c r="BT547" s="385"/>
      <c r="BU547" s="385"/>
      <c r="BV547" s="385"/>
      <c r="BW547" s="385"/>
      <c r="BX547" s="385"/>
      <c r="BY547" s="385"/>
      <c r="BZ547" s="385"/>
      <c r="CA547" s="286"/>
      <c r="CB547" s="286"/>
      <c r="CC547" s="286"/>
      <c r="CD547" s="286"/>
      <c r="CE547" s="286"/>
      <c r="CF547" s="286"/>
      <c r="CG547" s="286"/>
      <c r="CH547" s="286"/>
      <c r="CI547" s="286"/>
      <c r="CJ547" s="286"/>
      <c r="CK547" s="286"/>
      <c r="CL547" s="286"/>
      <c r="CM547" s="286"/>
      <c r="CN547" s="286"/>
      <c r="CO547" s="286"/>
      <c r="CP547" s="286"/>
      <c r="CQ547" s="286"/>
      <c r="CR547" s="286"/>
      <c r="CS547" s="286"/>
      <c r="CT547" s="286"/>
      <c r="CU547" s="286"/>
      <c r="CV547" s="286"/>
      <c r="CW547" s="286"/>
      <c r="CX547" s="286"/>
      <c r="CY547" s="286"/>
      <c r="CZ547" s="286"/>
      <c r="DA547" s="286"/>
      <c r="DB547" s="286"/>
      <c r="DC547" s="286"/>
      <c r="DD547" s="286"/>
      <c r="DE547" s="286"/>
      <c r="DF547" s="286"/>
      <c r="DG547" s="286"/>
      <c r="DH547" s="286"/>
      <c r="DI547" s="286"/>
      <c r="DJ547" s="286"/>
      <c r="DK547" s="286"/>
      <c r="DL547" s="286"/>
      <c r="DM547" s="286"/>
      <c r="DN547" s="286"/>
      <c r="DO547" s="286"/>
      <c r="DP547" s="286"/>
    </row>
    <row r="548" spans="1:120" ht="33" thickBot="1" x14ac:dyDescent="0.25">
      <c r="A548" s="333"/>
      <c r="B548" s="317"/>
      <c r="C548" s="317"/>
      <c r="D548" s="317"/>
      <c r="E548" s="317"/>
      <c r="F548" s="265" t="s">
        <v>1249</v>
      </c>
      <c r="G548" s="329"/>
      <c r="H548" s="329"/>
      <c r="I548" s="329"/>
      <c r="J548" s="329"/>
      <c r="K548" s="329"/>
      <c r="L548" s="384"/>
      <c r="M548" s="384"/>
      <c r="N548" s="384"/>
      <c r="O548" s="384"/>
      <c r="P548" s="384"/>
      <c r="Q548" s="384"/>
      <c r="R548" s="384"/>
      <c r="S548" s="384"/>
      <c r="T548" s="384"/>
      <c r="U548" s="384"/>
      <c r="V548" s="384"/>
      <c r="W548" s="384"/>
      <c r="X548" s="384"/>
      <c r="Y548" s="384"/>
      <c r="Z548" s="384"/>
      <c r="AA548" s="384"/>
      <c r="AB548" s="384"/>
      <c r="AC548" s="384"/>
      <c r="AD548" s="384"/>
      <c r="AE548" s="384"/>
      <c r="AF548" s="384"/>
      <c r="AG548" s="384"/>
      <c r="AH548" s="384"/>
      <c r="AI548" s="384"/>
      <c r="AJ548" s="384"/>
      <c r="AK548" s="384"/>
      <c r="AL548" s="384"/>
      <c r="AM548" s="384"/>
      <c r="AN548" s="384"/>
      <c r="AO548" s="384"/>
      <c r="AP548" s="384"/>
      <c r="AQ548" s="384"/>
      <c r="AR548" s="384"/>
      <c r="AS548" s="384"/>
      <c r="AT548" s="384"/>
      <c r="AU548" s="384"/>
      <c r="AV548" s="384"/>
      <c r="AW548" s="384"/>
      <c r="AX548" s="384"/>
      <c r="AY548" s="384"/>
      <c r="AZ548" s="384"/>
      <c r="BA548" s="384"/>
      <c r="BB548" s="384"/>
      <c r="BC548" s="384"/>
      <c r="BD548" s="384"/>
      <c r="BE548" s="384"/>
      <c r="BF548" s="384"/>
      <c r="BG548" s="384"/>
      <c r="BH548" s="384"/>
      <c r="BI548" s="384"/>
      <c r="BJ548" s="384"/>
      <c r="BK548" s="384"/>
      <c r="BL548" s="384"/>
      <c r="BM548" s="384"/>
      <c r="BN548" s="384"/>
      <c r="BO548" s="384"/>
      <c r="BP548" s="384">
        <f>BN546*BM545*BL544*BK543*BJ542*BI541*BH540*BG539*BE537</f>
        <v>0.28800000000000003</v>
      </c>
      <c r="BQ548" s="384"/>
      <c r="BR548" s="384"/>
      <c r="BS548" s="384"/>
      <c r="BT548" s="384"/>
      <c r="BU548" s="384"/>
      <c r="BV548" s="384"/>
      <c r="BW548" s="384"/>
      <c r="BX548" s="384"/>
      <c r="BY548" s="384"/>
      <c r="BZ548" s="384"/>
      <c r="CA548" s="286"/>
      <c r="CB548" s="286"/>
      <c r="CC548" s="286"/>
      <c r="CD548" s="286"/>
      <c r="CE548" s="286"/>
      <c r="CF548" s="286"/>
      <c r="CG548" s="286"/>
      <c r="CH548" s="286"/>
      <c r="CI548" s="286"/>
      <c r="CJ548" s="286"/>
      <c r="CK548" s="286"/>
      <c r="CL548" s="286"/>
      <c r="CM548" s="286"/>
      <c r="CN548" s="286"/>
      <c r="CO548" s="286"/>
      <c r="CP548" s="286"/>
      <c r="CQ548" s="286"/>
      <c r="CR548" s="286"/>
      <c r="CS548" s="286"/>
      <c r="CT548" s="286"/>
      <c r="CU548" s="286"/>
      <c r="CV548" s="286"/>
      <c r="CW548" s="286"/>
      <c r="CX548" s="286"/>
      <c r="CY548" s="286"/>
      <c r="CZ548" s="286"/>
      <c r="DA548" s="286"/>
      <c r="DB548" s="286"/>
      <c r="DC548" s="286"/>
      <c r="DD548" s="286"/>
      <c r="DE548" s="286"/>
      <c r="DF548" s="286"/>
      <c r="DG548" s="286"/>
      <c r="DH548" s="286"/>
      <c r="DI548" s="286"/>
      <c r="DJ548" s="286"/>
      <c r="DK548" s="286"/>
      <c r="DL548" s="286"/>
      <c r="DM548" s="286"/>
      <c r="DN548" s="286"/>
      <c r="DO548" s="286"/>
      <c r="DP548" s="286"/>
    </row>
    <row r="549" spans="1:120" ht="33" thickBot="1" x14ac:dyDescent="0.25">
      <c r="A549" s="333"/>
      <c r="B549" s="319"/>
      <c r="C549" s="319"/>
      <c r="D549" s="319"/>
      <c r="E549" s="319"/>
      <c r="F549" s="330" t="s">
        <v>70</v>
      </c>
      <c r="G549" s="330"/>
      <c r="H549" s="330"/>
      <c r="I549" s="330"/>
      <c r="J549" s="330"/>
      <c r="K549" s="330"/>
      <c r="L549" s="385"/>
      <c r="M549" s="385"/>
      <c r="N549" s="385"/>
      <c r="O549" s="385"/>
      <c r="P549" s="385"/>
      <c r="Q549" s="385"/>
      <c r="R549" s="385"/>
      <c r="S549" s="385"/>
      <c r="T549" s="385"/>
      <c r="U549" s="385"/>
      <c r="V549" s="385"/>
      <c r="W549" s="385"/>
      <c r="X549" s="385"/>
      <c r="Y549" s="385"/>
      <c r="Z549" s="385"/>
      <c r="AA549" s="385"/>
      <c r="AB549" s="385"/>
      <c r="AC549" s="385"/>
      <c r="AD549" s="385"/>
      <c r="AE549" s="385"/>
      <c r="AF549" s="385"/>
      <c r="AG549" s="385"/>
      <c r="AH549" s="385"/>
      <c r="AI549" s="385"/>
      <c r="AJ549" s="385"/>
      <c r="AK549" s="385"/>
      <c r="AL549" s="385"/>
      <c r="AM549" s="385"/>
      <c r="AN549" s="385"/>
      <c r="AO549" s="385"/>
      <c r="AP549" s="385"/>
      <c r="AQ549" s="385"/>
      <c r="AR549" s="385"/>
      <c r="AS549" s="385"/>
      <c r="AT549" s="385"/>
      <c r="AU549" s="385"/>
      <c r="AV549" s="385"/>
      <c r="AW549" s="385"/>
      <c r="AX549" s="385"/>
      <c r="AY549" s="385"/>
      <c r="AZ549" s="385"/>
      <c r="BA549" s="385"/>
      <c r="BB549" s="385"/>
      <c r="BC549" s="385"/>
      <c r="BD549" s="385"/>
      <c r="BE549" s="385"/>
      <c r="BF549" s="385"/>
      <c r="BG549" s="385"/>
      <c r="BH549" s="385"/>
      <c r="BI549" s="385"/>
      <c r="BJ549" s="385"/>
      <c r="BK549" s="385"/>
      <c r="BL549" s="385"/>
      <c r="BM549" s="385"/>
      <c r="BN549" s="385"/>
      <c r="BO549" s="385"/>
      <c r="BP549" s="385"/>
      <c r="BQ549" s="385">
        <f>(3+1*SUM(BQ2:BQ461))*4.75/1000000</f>
        <v>1.9000000000000001E-5</v>
      </c>
      <c r="BR549" s="385"/>
      <c r="BS549" s="385"/>
      <c r="BT549" s="385"/>
      <c r="BU549" s="385"/>
      <c r="BV549" s="385"/>
      <c r="BW549" s="385"/>
      <c r="BX549" s="385"/>
      <c r="BY549" s="385"/>
      <c r="BZ549" s="385"/>
      <c r="CA549" s="286"/>
      <c r="CB549" s="286"/>
      <c r="CC549" s="286"/>
      <c r="CD549" s="286"/>
      <c r="CE549" s="286"/>
      <c r="CF549" s="286"/>
      <c r="CG549" s="286"/>
      <c r="CH549" s="286"/>
      <c r="CI549" s="286"/>
      <c r="CJ549" s="286"/>
      <c r="CK549" s="286"/>
      <c r="CL549" s="286"/>
      <c r="CM549" s="286"/>
      <c r="CN549" s="286"/>
      <c r="CO549" s="286"/>
      <c r="CP549" s="286"/>
      <c r="CQ549" s="286"/>
      <c r="CR549" s="286"/>
      <c r="CS549" s="286"/>
      <c r="CT549" s="286"/>
      <c r="CU549" s="286"/>
      <c r="CV549" s="286"/>
      <c r="CW549" s="286"/>
      <c r="CX549" s="286"/>
      <c r="CY549" s="286"/>
      <c r="CZ549" s="286"/>
      <c r="DA549" s="286"/>
      <c r="DB549" s="286"/>
      <c r="DC549" s="286"/>
      <c r="DD549" s="286"/>
      <c r="DE549" s="286"/>
      <c r="DF549" s="286"/>
      <c r="DG549" s="286"/>
      <c r="DH549" s="286"/>
      <c r="DI549" s="286"/>
      <c r="DJ549" s="286"/>
      <c r="DK549" s="286"/>
      <c r="DL549" s="286"/>
      <c r="DM549" s="286"/>
      <c r="DN549" s="286"/>
      <c r="DO549" s="286"/>
      <c r="DP549" s="286"/>
    </row>
    <row r="550" spans="1:120" ht="33" thickBot="1" x14ac:dyDescent="0.25">
      <c r="A550" s="333"/>
      <c r="B550" s="319"/>
      <c r="C550" s="319"/>
      <c r="D550" s="319"/>
      <c r="E550" s="319"/>
      <c r="F550" s="330" t="s">
        <v>70</v>
      </c>
      <c r="G550" s="330"/>
      <c r="H550" s="330"/>
      <c r="I550" s="330"/>
      <c r="J550" s="330"/>
      <c r="K550" s="330"/>
      <c r="L550" s="384"/>
      <c r="M550" s="384"/>
      <c r="N550" s="384"/>
      <c r="O550" s="384"/>
      <c r="P550" s="384"/>
      <c r="Q550" s="384"/>
      <c r="R550" s="384"/>
      <c r="S550" s="384"/>
      <c r="T550" s="384"/>
      <c r="U550" s="384"/>
      <c r="V550" s="384"/>
      <c r="W550" s="384"/>
      <c r="X550" s="384"/>
      <c r="Y550" s="384"/>
      <c r="Z550" s="384"/>
      <c r="AA550" s="384"/>
      <c r="AB550" s="384"/>
      <c r="AC550" s="384"/>
      <c r="AD550" s="384"/>
      <c r="AE550" s="384"/>
      <c r="AF550" s="384"/>
      <c r="AG550" s="384"/>
      <c r="AH550" s="384"/>
      <c r="AI550" s="384"/>
      <c r="AJ550" s="384"/>
      <c r="AK550" s="384"/>
      <c r="AL550" s="384"/>
      <c r="AM550" s="384"/>
      <c r="AN550" s="384"/>
      <c r="AO550" s="384"/>
      <c r="AP550" s="384"/>
      <c r="AQ550" s="384"/>
      <c r="AR550" s="384"/>
      <c r="AS550" s="384"/>
      <c r="AT550" s="384"/>
      <c r="AU550" s="384"/>
      <c r="AV550" s="384"/>
      <c r="AW550" s="384"/>
      <c r="AX550" s="384"/>
      <c r="AY550" s="384"/>
      <c r="AZ550" s="384"/>
      <c r="BA550" s="384"/>
      <c r="BB550" s="384"/>
      <c r="BC550" s="384"/>
      <c r="BD550" s="384"/>
      <c r="BE550" s="384"/>
      <c r="BF550" s="384"/>
      <c r="BG550" s="384"/>
      <c r="BH550" s="384"/>
      <c r="BI550" s="384"/>
      <c r="BJ550" s="384"/>
      <c r="BK550" s="384"/>
      <c r="BL550" s="384"/>
      <c r="BM550" s="384"/>
      <c r="BN550" s="384"/>
      <c r="BO550" s="384"/>
      <c r="BP550" s="384"/>
      <c r="BQ550" s="384"/>
      <c r="BR550" s="384">
        <f>1-(1-BQ549*BO547)*(1-BQ549*BP548)</f>
        <v>6.3475152092262732E-6</v>
      </c>
      <c r="BS550" s="384"/>
      <c r="BT550" s="384"/>
      <c r="BU550" s="384"/>
      <c r="BV550" s="384"/>
      <c r="BW550" s="384"/>
      <c r="BX550" s="384"/>
      <c r="BY550" s="384"/>
      <c r="BZ550" s="384"/>
      <c r="CA550" s="286"/>
      <c r="CB550" s="286"/>
      <c r="CC550" s="286"/>
      <c r="CD550" s="286"/>
      <c r="CE550" s="286"/>
      <c r="CF550" s="286"/>
      <c r="CG550" s="286"/>
      <c r="CH550" s="286"/>
      <c r="CI550" s="286"/>
      <c r="CJ550" s="286"/>
      <c r="CK550" s="286"/>
      <c r="CL550" s="286"/>
      <c r="CM550" s="286"/>
      <c r="CN550" s="286"/>
      <c r="CO550" s="286"/>
      <c r="CP550" s="286"/>
      <c r="CQ550" s="286"/>
      <c r="CR550" s="286"/>
      <c r="CS550" s="286"/>
      <c r="CT550" s="286"/>
      <c r="CU550" s="286"/>
      <c r="CV550" s="286"/>
      <c r="CW550" s="286"/>
      <c r="CX550" s="286"/>
      <c r="CY550" s="286"/>
      <c r="CZ550" s="286"/>
      <c r="DA550" s="286"/>
      <c r="DB550" s="286"/>
      <c r="DC550" s="286"/>
      <c r="DD550" s="286"/>
      <c r="DE550" s="286"/>
      <c r="DF550" s="286"/>
      <c r="DG550" s="286"/>
      <c r="DH550" s="286"/>
      <c r="DI550" s="286"/>
      <c r="DJ550" s="286"/>
      <c r="DK550" s="286"/>
      <c r="DL550" s="286"/>
      <c r="DM550" s="286"/>
      <c r="DN550" s="286"/>
      <c r="DO550" s="286"/>
      <c r="DP550" s="286"/>
    </row>
    <row r="551" spans="1:120" ht="17" thickBot="1" x14ac:dyDescent="0.25">
      <c r="A551" s="333"/>
      <c r="B551" s="317"/>
      <c r="C551" s="317"/>
      <c r="D551" s="317"/>
      <c r="E551" s="317"/>
      <c r="F551" s="331" t="s">
        <v>71</v>
      </c>
      <c r="G551" s="331"/>
      <c r="H551" s="331"/>
      <c r="I551" s="331"/>
      <c r="J551" s="331"/>
      <c r="K551" s="331"/>
      <c r="L551" s="385"/>
      <c r="M551" s="385"/>
      <c r="N551" s="385"/>
      <c r="O551" s="385"/>
      <c r="P551" s="385"/>
      <c r="Q551" s="385"/>
      <c r="R551" s="385"/>
      <c r="S551" s="385"/>
      <c r="T551" s="385"/>
      <c r="U551" s="385"/>
      <c r="V551" s="385"/>
      <c r="W551" s="385"/>
      <c r="X551" s="385"/>
      <c r="Y551" s="385"/>
      <c r="Z551" s="385"/>
      <c r="AA551" s="385"/>
      <c r="AB551" s="385"/>
      <c r="AC551" s="385"/>
      <c r="AD551" s="385"/>
      <c r="AE551" s="385"/>
      <c r="AF551" s="385"/>
      <c r="AG551" s="385"/>
      <c r="AH551" s="385"/>
      <c r="AI551" s="385"/>
      <c r="AJ551" s="385"/>
      <c r="AK551" s="385"/>
      <c r="AL551" s="385"/>
      <c r="AM551" s="385"/>
      <c r="AN551" s="385"/>
      <c r="AO551" s="385"/>
      <c r="AP551" s="385"/>
      <c r="AQ551" s="385"/>
      <c r="AR551" s="385"/>
      <c r="AS551" s="385"/>
      <c r="AT551" s="385"/>
      <c r="AU551" s="385"/>
      <c r="AV551" s="385"/>
      <c r="AW551" s="385"/>
      <c r="AX551" s="385"/>
      <c r="AY551" s="385"/>
      <c r="AZ551" s="385"/>
      <c r="BA551" s="385"/>
      <c r="BB551" s="385"/>
      <c r="BC551" s="385"/>
      <c r="BD551" s="385"/>
      <c r="BE551" s="385"/>
      <c r="BF551" s="385"/>
      <c r="BG551" s="385"/>
      <c r="BH551" s="385"/>
      <c r="BI551" s="385"/>
      <c r="BJ551" s="385"/>
      <c r="BK551" s="385"/>
      <c r="BL551" s="385"/>
      <c r="BM551" s="385"/>
      <c r="BN551" s="385"/>
      <c r="BO551" s="385"/>
      <c r="BP551" s="385"/>
      <c r="BQ551" s="385"/>
      <c r="BR551" s="385"/>
      <c r="BS551" s="385" t="e">
        <f>R496</f>
        <v>#VALUE!</v>
      </c>
      <c r="BT551" s="385"/>
      <c r="BU551" s="385"/>
      <c r="BV551" s="385"/>
      <c r="BW551" s="385"/>
      <c r="BX551" s="385"/>
      <c r="BY551" s="385"/>
      <c r="BZ551" s="385"/>
      <c r="CA551" s="286"/>
      <c r="CB551" s="286"/>
      <c r="CC551" s="286"/>
      <c r="CD551" s="286"/>
      <c r="CE551" s="286"/>
      <c r="CF551" s="286"/>
      <c r="CG551" s="286"/>
      <c r="CH551" s="286"/>
      <c r="CI551" s="286"/>
      <c r="CJ551" s="286"/>
      <c r="CK551" s="286"/>
      <c r="CL551" s="286"/>
      <c r="CM551" s="286"/>
      <c r="CN551" s="286"/>
      <c r="CO551" s="286"/>
      <c r="CP551" s="286"/>
      <c r="CQ551" s="286"/>
      <c r="CR551" s="286"/>
      <c r="CS551" s="286"/>
      <c r="CT551" s="286"/>
      <c r="CU551" s="286"/>
      <c r="CV551" s="286"/>
      <c r="CW551" s="286"/>
      <c r="CX551" s="286"/>
      <c r="CY551" s="286"/>
      <c r="CZ551" s="286"/>
      <c r="DA551" s="286"/>
      <c r="DB551" s="286"/>
      <c r="DC551" s="286"/>
      <c r="DD551" s="286"/>
      <c r="DE551" s="286"/>
      <c r="DF551" s="286"/>
      <c r="DG551" s="286"/>
      <c r="DH551" s="286"/>
      <c r="DI551" s="286"/>
      <c r="DJ551" s="286"/>
      <c r="DK551" s="286"/>
      <c r="DL551" s="286"/>
      <c r="DM551" s="286"/>
      <c r="DN551" s="286"/>
      <c r="DO551" s="286"/>
      <c r="DP551" s="286"/>
    </row>
    <row r="552" spans="1:120" ht="17" thickBot="1" x14ac:dyDescent="0.25">
      <c r="A552" s="333"/>
      <c r="B552" s="319"/>
      <c r="C552" s="319"/>
      <c r="D552" s="319"/>
      <c r="E552" s="319"/>
      <c r="F552" s="331" t="s">
        <v>72</v>
      </c>
      <c r="G552" s="331"/>
      <c r="H552" s="331"/>
      <c r="I552" s="331"/>
      <c r="J552" s="331"/>
      <c r="K552" s="331"/>
      <c r="L552" s="384"/>
      <c r="M552" s="384"/>
      <c r="N552" s="384"/>
      <c r="O552" s="384"/>
      <c r="P552" s="384"/>
      <c r="Q552" s="384"/>
      <c r="R552" s="384"/>
      <c r="S552" s="384"/>
      <c r="T552" s="384"/>
      <c r="U552" s="384"/>
      <c r="V552" s="384"/>
      <c r="W552" s="384"/>
      <c r="X552" s="384"/>
      <c r="Y552" s="384"/>
      <c r="Z552" s="384"/>
      <c r="AA552" s="384"/>
      <c r="AB552" s="384"/>
      <c r="AC552" s="384"/>
      <c r="AD552" s="384"/>
      <c r="AE552" s="384"/>
      <c r="AF552" s="384"/>
      <c r="AG552" s="384"/>
      <c r="AH552" s="384"/>
      <c r="AI552" s="384"/>
      <c r="AJ552" s="384"/>
      <c r="AK552" s="384"/>
      <c r="AL552" s="384"/>
      <c r="AM552" s="384"/>
      <c r="AN552" s="384"/>
      <c r="AO552" s="384"/>
      <c r="AP552" s="384"/>
      <c r="AQ552" s="384"/>
      <c r="AR552" s="384"/>
      <c r="AS552" s="384"/>
      <c r="AT552" s="384"/>
      <c r="AU552" s="384"/>
      <c r="AV552" s="384"/>
      <c r="AW552" s="384"/>
      <c r="AX552" s="384"/>
      <c r="AY552" s="384"/>
      <c r="AZ552" s="384"/>
      <c r="BA552" s="384"/>
      <c r="BB552" s="384"/>
      <c r="BC552" s="384"/>
      <c r="BD552" s="384"/>
      <c r="BE552" s="384"/>
      <c r="BF552" s="384"/>
      <c r="BG552" s="384"/>
      <c r="BH552" s="384"/>
      <c r="BI552" s="384"/>
      <c r="BJ552" s="384"/>
      <c r="BK552" s="384"/>
      <c r="BL552" s="384"/>
      <c r="BM552" s="384"/>
      <c r="BN552" s="384"/>
      <c r="BO552" s="384"/>
      <c r="BP552" s="384"/>
      <c r="BQ552" s="384"/>
      <c r="BR552" s="384"/>
      <c r="BS552" s="384"/>
      <c r="BT552" s="384" t="e">
        <f>Y503</f>
        <v>#VALUE!</v>
      </c>
      <c r="BU552" s="384"/>
      <c r="BV552" s="384"/>
      <c r="BW552" s="384"/>
      <c r="BX552" s="384"/>
      <c r="BY552" s="384"/>
      <c r="BZ552" s="384"/>
      <c r="CA552" s="286"/>
      <c r="CB552" s="286"/>
      <c r="CC552" s="286"/>
      <c r="CD552" s="286"/>
      <c r="CE552" s="286"/>
      <c r="CF552" s="286"/>
      <c r="CG552" s="286"/>
      <c r="CH552" s="286"/>
      <c r="CI552" s="286"/>
      <c r="CJ552" s="286"/>
      <c r="CK552" s="286"/>
      <c r="CL552" s="286"/>
      <c r="CM552" s="286"/>
      <c r="CN552" s="286"/>
      <c r="CO552" s="286"/>
      <c r="CP552" s="286"/>
      <c r="CQ552" s="286"/>
      <c r="CR552" s="286"/>
      <c r="CS552" s="286"/>
      <c r="CT552" s="286"/>
      <c r="CU552" s="286"/>
      <c r="CV552" s="286"/>
      <c r="CW552" s="286"/>
      <c r="CX552" s="286"/>
      <c r="CY552" s="286"/>
      <c r="CZ552" s="286"/>
      <c r="DA552" s="286"/>
      <c r="DB552" s="286"/>
      <c r="DC552" s="286"/>
      <c r="DD552" s="286"/>
      <c r="DE552" s="286"/>
      <c r="DF552" s="286"/>
      <c r="DG552" s="286"/>
      <c r="DH552" s="286"/>
      <c r="DI552" s="286"/>
      <c r="DJ552" s="286"/>
      <c r="DK552" s="286"/>
      <c r="DL552" s="286"/>
      <c r="DM552" s="286"/>
      <c r="DN552" s="286"/>
      <c r="DO552" s="286"/>
      <c r="DP552" s="286"/>
    </row>
    <row r="553" spans="1:120" ht="17" thickBot="1" x14ac:dyDescent="0.25">
      <c r="A553" s="333"/>
      <c r="B553" s="317"/>
      <c r="C553" s="317"/>
      <c r="D553" s="317"/>
      <c r="E553" s="317"/>
      <c r="F553" s="331" t="s">
        <v>73</v>
      </c>
      <c r="G553" s="331"/>
      <c r="H553" s="331"/>
      <c r="I553" s="331"/>
      <c r="J553" s="331"/>
      <c r="K553" s="331"/>
      <c r="L553" s="385"/>
      <c r="M553" s="385"/>
      <c r="N553" s="385"/>
      <c r="O553" s="385"/>
      <c r="P553" s="385"/>
      <c r="Q553" s="385"/>
      <c r="R553" s="385"/>
      <c r="S553" s="385"/>
      <c r="T553" s="385"/>
      <c r="U553" s="385"/>
      <c r="V553" s="385"/>
      <c r="W553" s="385"/>
      <c r="X553" s="385"/>
      <c r="Y553" s="385"/>
      <c r="Z553" s="385"/>
      <c r="AA553" s="385"/>
      <c r="AB553" s="385"/>
      <c r="AC553" s="385"/>
      <c r="AD553" s="385"/>
      <c r="AE553" s="385"/>
      <c r="AF553" s="385"/>
      <c r="AG553" s="385"/>
      <c r="AH553" s="385"/>
      <c r="AI553" s="385"/>
      <c r="AJ553" s="385"/>
      <c r="AK553" s="385"/>
      <c r="AL553" s="385"/>
      <c r="AM553" s="385"/>
      <c r="AN553" s="385"/>
      <c r="AO553" s="385"/>
      <c r="AP553" s="385"/>
      <c r="AQ553" s="385"/>
      <c r="AR553" s="385"/>
      <c r="AS553" s="385"/>
      <c r="AT553" s="385"/>
      <c r="AU553" s="385"/>
      <c r="AV553" s="385"/>
      <c r="AW553" s="385"/>
      <c r="AX553" s="385"/>
      <c r="AY553" s="385"/>
      <c r="AZ553" s="385"/>
      <c r="BA553" s="385"/>
      <c r="BB553" s="385"/>
      <c r="BC553" s="385"/>
      <c r="BD553" s="385"/>
      <c r="BE553" s="385"/>
      <c r="BF553" s="385"/>
      <c r="BG553" s="385"/>
      <c r="BH553" s="385"/>
      <c r="BI553" s="385"/>
      <c r="BJ553" s="385"/>
      <c r="BK553" s="385"/>
      <c r="BL553" s="385"/>
      <c r="BM553" s="385"/>
      <c r="BN553" s="385"/>
      <c r="BO553" s="385"/>
      <c r="BP553" s="385"/>
      <c r="BQ553" s="385"/>
      <c r="BR553" s="385"/>
      <c r="BS553" s="385"/>
      <c r="BT553" s="385"/>
      <c r="BU553" s="385" t="e">
        <f>AF510</f>
        <v>#VALUE!</v>
      </c>
      <c r="BV553" s="385"/>
      <c r="BW553" s="385"/>
      <c r="BX553" s="385"/>
      <c r="BY553" s="385"/>
      <c r="BZ553" s="385"/>
      <c r="CA553" s="286"/>
      <c r="CB553" s="286"/>
      <c r="CC553" s="286"/>
      <c r="CD553" s="286"/>
      <c r="CE553" s="286"/>
      <c r="CF553" s="286"/>
      <c r="CG553" s="286"/>
      <c r="CH553" s="286"/>
      <c r="CI553" s="286"/>
      <c r="CJ553" s="286"/>
      <c r="CK553" s="286"/>
      <c r="CL553" s="286"/>
      <c r="CM553" s="286"/>
      <c r="CN553" s="286"/>
      <c r="CO553" s="286"/>
      <c r="CP553" s="286"/>
      <c r="CQ553" s="286"/>
      <c r="CR553" s="286"/>
      <c r="CS553" s="286"/>
      <c r="CT553" s="286"/>
      <c r="CU553" s="286"/>
      <c r="CV553" s="286"/>
      <c r="CW553" s="286"/>
      <c r="CX553" s="286"/>
      <c r="CY553" s="286"/>
      <c r="CZ553" s="286"/>
      <c r="DA553" s="286"/>
      <c r="DB553" s="286"/>
      <c r="DC553" s="286"/>
      <c r="DD553" s="286"/>
      <c r="DE553" s="286"/>
      <c r="DF553" s="286"/>
      <c r="DG553" s="286"/>
      <c r="DH553" s="286"/>
      <c r="DI553" s="286"/>
      <c r="DJ553" s="286"/>
      <c r="DK553" s="286"/>
      <c r="DL553" s="286"/>
      <c r="DM553" s="286"/>
      <c r="DN553" s="286"/>
      <c r="DO553" s="286"/>
      <c r="DP553" s="286"/>
    </row>
    <row r="554" spans="1:120" ht="17" thickBot="1" x14ac:dyDescent="0.25">
      <c r="A554" s="333"/>
      <c r="B554" s="319"/>
      <c r="C554" s="319"/>
      <c r="D554" s="319"/>
      <c r="E554" s="319"/>
      <c r="F554" s="331" t="s">
        <v>74</v>
      </c>
      <c r="G554" s="331"/>
      <c r="H554" s="331"/>
      <c r="I554" s="331"/>
      <c r="J554" s="331"/>
      <c r="K554" s="331"/>
      <c r="L554" s="384"/>
      <c r="M554" s="384"/>
      <c r="N554" s="384"/>
      <c r="O554" s="384"/>
      <c r="P554" s="384"/>
      <c r="Q554" s="384"/>
      <c r="R554" s="384"/>
      <c r="S554" s="384"/>
      <c r="T554" s="384"/>
      <c r="U554" s="384"/>
      <c r="V554" s="384"/>
      <c r="W554" s="384"/>
      <c r="X554" s="384"/>
      <c r="Y554" s="384"/>
      <c r="Z554" s="384"/>
      <c r="AA554" s="384"/>
      <c r="AB554" s="384"/>
      <c r="AC554" s="384"/>
      <c r="AD554" s="384"/>
      <c r="AE554" s="384"/>
      <c r="AF554" s="384"/>
      <c r="AG554" s="384"/>
      <c r="AH554" s="384"/>
      <c r="AI554" s="384"/>
      <c r="AJ554" s="384"/>
      <c r="AK554" s="384"/>
      <c r="AL554" s="384"/>
      <c r="AM554" s="384"/>
      <c r="AN554" s="384"/>
      <c r="AO554" s="384"/>
      <c r="AP554" s="384"/>
      <c r="AQ554" s="384"/>
      <c r="AR554" s="384"/>
      <c r="AS554" s="384"/>
      <c r="AT554" s="384"/>
      <c r="AU554" s="384"/>
      <c r="AV554" s="384"/>
      <c r="AW554" s="384"/>
      <c r="AX554" s="384"/>
      <c r="AY554" s="384"/>
      <c r="AZ554" s="384"/>
      <c r="BA554" s="384"/>
      <c r="BB554" s="384"/>
      <c r="BC554" s="384"/>
      <c r="BD554" s="384"/>
      <c r="BE554" s="384"/>
      <c r="BF554" s="384"/>
      <c r="BG554" s="384"/>
      <c r="BH554" s="384"/>
      <c r="BI554" s="384"/>
      <c r="BJ554" s="384"/>
      <c r="BK554" s="384"/>
      <c r="BL554" s="384"/>
      <c r="BM554" s="384"/>
      <c r="BN554" s="384"/>
      <c r="BO554" s="384"/>
      <c r="BP554" s="384"/>
      <c r="BQ554" s="384"/>
      <c r="BR554" s="384"/>
      <c r="BS554" s="384"/>
      <c r="BT554" s="384"/>
      <c r="BU554" s="384"/>
      <c r="BV554" s="384">
        <f>AG511</f>
        <v>9.9999999999999995E-7</v>
      </c>
      <c r="BW554" s="384"/>
      <c r="BX554" s="384"/>
      <c r="BY554" s="384"/>
      <c r="BZ554" s="384"/>
      <c r="CA554" s="286"/>
      <c r="CB554" s="286"/>
      <c r="CC554" s="286"/>
      <c r="CD554" s="286"/>
      <c r="CE554" s="286"/>
      <c r="CF554" s="286"/>
      <c r="CG554" s="286"/>
      <c r="CH554" s="286"/>
      <c r="CI554" s="286"/>
      <c r="CJ554" s="286"/>
      <c r="CK554" s="286"/>
      <c r="CL554" s="286"/>
      <c r="CM554" s="286"/>
      <c r="CN554" s="286"/>
      <c r="CO554" s="286"/>
      <c r="CP554" s="286"/>
      <c r="CQ554" s="286"/>
      <c r="CR554" s="286"/>
      <c r="CS554" s="286"/>
      <c r="CT554" s="286"/>
      <c r="CU554" s="286"/>
      <c r="CV554" s="286"/>
      <c r="CW554" s="286"/>
      <c r="CX554" s="286"/>
      <c r="CY554" s="286"/>
      <c r="CZ554" s="286"/>
      <c r="DA554" s="286"/>
      <c r="DB554" s="286"/>
      <c r="DC554" s="286"/>
      <c r="DD554" s="286"/>
      <c r="DE554" s="286"/>
      <c r="DF554" s="286"/>
      <c r="DG554" s="286"/>
      <c r="DH554" s="286"/>
      <c r="DI554" s="286"/>
      <c r="DJ554" s="286"/>
      <c r="DK554" s="286"/>
      <c r="DL554" s="286"/>
      <c r="DM554" s="286"/>
      <c r="DN554" s="286"/>
      <c r="DO554" s="286"/>
      <c r="DP554" s="286"/>
    </row>
    <row r="555" spans="1:120" ht="17" thickBot="1" x14ac:dyDescent="0.25">
      <c r="A555" s="333"/>
      <c r="B555" s="317"/>
      <c r="C555" s="317"/>
      <c r="D555" s="317"/>
      <c r="E555" s="317"/>
      <c r="F555" s="331" t="s">
        <v>75</v>
      </c>
      <c r="G555" s="331"/>
      <c r="H555" s="331"/>
      <c r="I555" s="331"/>
      <c r="J555" s="331"/>
      <c r="K555" s="331"/>
      <c r="L555" s="385"/>
      <c r="M555" s="385"/>
      <c r="N555" s="385"/>
      <c r="O555" s="385"/>
      <c r="P555" s="385"/>
      <c r="Q555" s="385"/>
      <c r="R555" s="385"/>
      <c r="S555" s="385"/>
      <c r="T555" s="385"/>
      <c r="U555" s="385"/>
      <c r="V555" s="385"/>
      <c r="W555" s="385"/>
      <c r="X555" s="385"/>
      <c r="Y555" s="385"/>
      <c r="Z555" s="385"/>
      <c r="AA555" s="385"/>
      <c r="AB555" s="385"/>
      <c r="AC555" s="385"/>
      <c r="AD555" s="385"/>
      <c r="AE555" s="385"/>
      <c r="AF555" s="385"/>
      <c r="AG555" s="385"/>
      <c r="AH555" s="385"/>
      <c r="AI555" s="385"/>
      <c r="AJ555" s="385"/>
      <c r="AK555" s="385"/>
      <c r="AL555" s="385"/>
      <c r="AM555" s="385"/>
      <c r="AN555" s="385"/>
      <c r="AO555" s="385"/>
      <c r="AP555" s="385"/>
      <c r="AQ555" s="385"/>
      <c r="AR555" s="385"/>
      <c r="AS555" s="385"/>
      <c r="AT555" s="385"/>
      <c r="AU555" s="385"/>
      <c r="AV555" s="385"/>
      <c r="AW555" s="385"/>
      <c r="AX555" s="385"/>
      <c r="AY555" s="385"/>
      <c r="AZ555" s="385"/>
      <c r="BA555" s="385"/>
      <c r="BB555" s="385"/>
      <c r="BC555" s="385"/>
      <c r="BD555" s="385"/>
      <c r="BE555" s="385"/>
      <c r="BF555" s="385"/>
      <c r="BG555" s="385"/>
      <c r="BH555" s="385"/>
      <c r="BI555" s="385"/>
      <c r="BJ555" s="385"/>
      <c r="BK555" s="385"/>
      <c r="BL555" s="385"/>
      <c r="BM555" s="385"/>
      <c r="BN555" s="385"/>
      <c r="BO555" s="385"/>
      <c r="BP555" s="385"/>
      <c r="BQ555" s="385"/>
      <c r="BR555" s="385"/>
      <c r="BS555" s="385"/>
      <c r="BT555" s="385"/>
      <c r="BU555" s="385"/>
      <c r="BV555" s="385"/>
      <c r="BW555" s="385">
        <f>AR524</f>
        <v>2.6738181818181846E-7</v>
      </c>
      <c r="BX555" s="385"/>
      <c r="BY555" s="385"/>
      <c r="BZ555" s="385"/>
      <c r="CA555" s="286"/>
      <c r="CB555" s="286"/>
      <c r="CC555" s="286"/>
      <c r="CD555" s="286"/>
      <c r="CE555" s="286"/>
      <c r="CF555" s="286"/>
      <c r="CG555" s="286"/>
      <c r="CH555" s="286"/>
      <c r="CI555" s="286"/>
      <c r="CJ555" s="286"/>
      <c r="CK555" s="286"/>
      <c r="CL555" s="286"/>
      <c r="CM555" s="286"/>
      <c r="CN555" s="286"/>
      <c r="CO555" s="286"/>
      <c r="CP555" s="286"/>
      <c r="CQ555" s="286"/>
      <c r="CR555" s="286"/>
      <c r="CS555" s="286"/>
      <c r="CT555" s="286"/>
      <c r="CU555" s="286"/>
      <c r="CV555" s="286"/>
      <c r="CW555" s="286"/>
      <c r="CX555" s="286"/>
      <c r="CY555" s="286"/>
      <c r="CZ555" s="286"/>
      <c r="DA555" s="286"/>
      <c r="DB555" s="286"/>
      <c r="DC555" s="286"/>
      <c r="DD555" s="286"/>
      <c r="DE555" s="286"/>
      <c r="DF555" s="286"/>
      <c r="DG555" s="286"/>
      <c r="DH555" s="286"/>
      <c r="DI555" s="286"/>
      <c r="DJ555" s="286"/>
      <c r="DK555" s="286"/>
      <c r="DL555" s="286"/>
      <c r="DM555" s="286"/>
      <c r="DN555" s="286"/>
      <c r="DO555" s="286"/>
      <c r="DP555" s="286"/>
    </row>
    <row r="556" spans="1:120" ht="17" thickBot="1" x14ac:dyDescent="0.25">
      <c r="A556" s="333"/>
      <c r="B556" s="319"/>
      <c r="C556" s="319"/>
      <c r="D556" s="319"/>
      <c r="E556" s="319"/>
      <c r="F556" s="331" t="s">
        <v>76</v>
      </c>
      <c r="G556" s="331"/>
      <c r="H556" s="331"/>
      <c r="I556" s="331"/>
      <c r="J556" s="331"/>
      <c r="K556" s="331"/>
      <c r="L556" s="384"/>
      <c r="M556" s="384"/>
      <c r="N556" s="384"/>
      <c r="O556" s="384"/>
      <c r="P556" s="384"/>
      <c r="Q556" s="384"/>
      <c r="R556" s="384"/>
      <c r="S556" s="384"/>
      <c r="T556" s="384"/>
      <c r="U556" s="384"/>
      <c r="V556" s="384"/>
      <c r="W556" s="384"/>
      <c r="X556" s="384"/>
      <c r="Y556" s="384"/>
      <c r="Z556" s="384"/>
      <c r="AA556" s="384"/>
      <c r="AB556" s="384"/>
      <c r="AC556" s="384"/>
      <c r="AD556" s="384"/>
      <c r="AE556" s="384"/>
      <c r="AF556" s="384"/>
      <c r="AG556" s="384"/>
      <c r="AH556" s="384"/>
      <c r="AI556" s="384"/>
      <c r="AJ556" s="384"/>
      <c r="AK556" s="384"/>
      <c r="AL556" s="384"/>
      <c r="AM556" s="384"/>
      <c r="AN556" s="384"/>
      <c r="AO556" s="384"/>
      <c r="AP556" s="384"/>
      <c r="AQ556" s="384"/>
      <c r="AR556" s="384"/>
      <c r="AS556" s="384"/>
      <c r="AT556" s="384"/>
      <c r="AU556" s="384"/>
      <c r="AV556" s="384"/>
      <c r="AW556" s="384"/>
      <c r="AX556" s="384"/>
      <c r="AY556" s="384"/>
      <c r="AZ556" s="384"/>
      <c r="BA556" s="384"/>
      <c r="BB556" s="384"/>
      <c r="BC556" s="384"/>
      <c r="BD556" s="384"/>
      <c r="BE556" s="384"/>
      <c r="BF556" s="384"/>
      <c r="BG556" s="384"/>
      <c r="BH556" s="384"/>
      <c r="BI556" s="384"/>
      <c r="BJ556" s="384"/>
      <c r="BK556" s="384"/>
      <c r="BL556" s="384"/>
      <c r="BM556" s="384"/>
      <c r="BN556" s="384"/>
      <c r="BO556" s="384"/>
      <c r="BP556" s="384"/>
      <c r="BQ556" s="384"/>
      <c r="BR556" s="384"/>
      <c r="BS556" s="384"/>
      <c r="BT556" s="384"/>
      <c r="BU556" s="384"/>
      <c r="BV556" s="384"/>
      <c r="BW556" s="384"/>
      <c r="BX556" s="384" t="e">
        <f>BD536</f>
        <v>#N/A</v>
      </c>
      <c r="BY556" s="384"/>
      <c r="BZ556" s="384"/>
      <c r="CA556" s="286"/>
      <c r="CB556" s="286"/>
      <c r="CC556" s="286"/>
      <c r="CD556" s="286"/>
      <c r="CE556" s="286"/>
      <c r="CF556" s="286"/>
      <c r="CG556" s="286"/>
      <c r="CH556" s="286"/>
      <c r="CI556" s="286"/>
      <c r="CJ556" s="286"/>
      <c r="CK556" s="286"/>
      <c r="CL556" s="286"/>
      <c r="CM556" s="286"/>
      <c r="CN556" s="286"/>
      <c r="CO556" s="286"/>
      <c r="CP556" s="286"/>
      <c r="CQ556" s="286"/>
      <c r="CR556" s="286"/>
      <c r="CS556" s="286"/>
      <c r="CT556" s="286"/>
      <c r="CU556" s="286"/>
      <c r="CV556" s="286"/>
      <c r="CW556" s="286"/>
      <c r="CX556" s="286"/>
      <c r="CY556" s="286"/>
      <c r="CZ556" s="286"/>
      <c r="DA556" s="286"/>
      <c r="DB556" s="286"/>
      <c r="DC556" s="286"/>
      <c r="DD556" s="286"/>
      <c r="DE556" s="286"/>
      <c r="DF556" s="286"/>
      <c r="DG556" s="286"/>
      <c r="DH556" s="286"/>
      <c r="DI556" s="286"/>
      <c r="DJ556" s="286"/>
      <c r="DK556" s="286"/>
      <c r="DL556" s="286"/>
      <c r="DM556" s="286"/>
      <c r="DN556" s="286"/>
      <c r="DO556" s="286"/>
      <c r="DP556" s="286"/>
    </row>
    <row r="557" spans="1:120" ht="33" thickBot="1" x14ac:dyDescent="0.25">
      <c r="A557" s="333"/>
      <c r="B557" s="317"/>
      <c r="C557" s="317"/>
      <c r="D557" s="317"/>
      <c r="E557" s="317"/>
      <c r="F557" s="331" t="s">
        <v>77</v>
      </c>
      <c r="G557" s="331"/>
      <c r="H557" s="331"/>
      <c r="I557" s="331"/>
      <c r="J557" s="331"/>
      <c r="K557" s="331"/>
      <c r="L557" s="385"/>
      <c r="M557" s="385"/>
      <c r="N557" s="385"/>
      <c r="O557" s="385"/>
      <c r="P557" s="385"/>
      <c r="Q557" s="385"/>
      <c r="R557" s="385"/>
      <c r="S557" s="385"/>
      <c r="T557" s="385"/>
      <c r="U557" s="385"/>
      <c r="V557" s="385"/>
      <c r="W557" s="385"/>
      <c r="X557" s="385"/>
      <c r="Y557" s="385"/>
      <c r="Z557" s="385"/>
      <c r="AA557" s="385"/>
      <c r="AB557" s="385"/>
      <c r="AC557" s="385"/>
      <c r="AD557" s="385"/>
      <c r="AE557" s="385"/>
      <c r="AF557" s="385"/>
      <c r="AG557" s="385"/>
      <c r="AH557" s="385"/>
      <c r="AI557" s="385"/>
      <c r="AJ557" s="385"/>
      <c r="AK557" s="385"/>
      <c r="AL557" s="385"/>
      <c r="AM557" s="385"/>
      <c r="AN557" s="385"/>
      <c r="AO557" s="385"/>
      <c r="AP557" s="385"/>
      <c r="AQ557" s="385"/>
      <c r="AR557" s="385"/>
      <c r="AS557" s="385"/>
      <c r="AT557" s="385"/>
      <c r="AU557" s="385"/>
      <c r="AV557" s="385"/>
      <c r="AW557" s="385"/>
      <c r="AX557" s="385"/>
      <c r="AY557" s="385"/>
      <c r="AZ557" s="385"/>
      <c r="BA557" s="385"/>
      <c r="BB557" s="385"/>
      <c r="BC557" s="385"/>
      <c r="BD557" s="385"/>
      <c r="BE557" s="385"/>
      <c r="BF557" s="385"/>
      <c r="BG557" s="385"/>
      <c r="BH557" s="385"/>
      <c r="BI557" s="385"/>
      <c r="BJ557" s="385"/>
      <c r="BK557" s="385"/>
      <c r="BL557" s="385"/>
      <c r="BM557" s="385"/>
      <c r="BN557" s="385"/>
      <c r="BO557" s="385"/>
      <c r="BP557" s="385"/>
      <c r="BQ557" s="385"/>
      <c r="BR557" s="385"/>
      <c r="BS557" s="385"/>
      <c r="BT557" s="385"/>
      <c r="BU557" s="385"/>
      <c r="BV557" s="385"/>
      <c r="BW557" s="385"/>
      <c r="BX557" s="385"/>
      <c r="BY557" s="385">
        <f>BR550</f>
        <v>6.3475152092262732E-6</v>
      </c>
      <c r="BZ557" s="385"/>
      <c r="CA557" s="286"/>
      <c r="CB557" s="286"/>
      <c r="CC557" s="286"/>
      <c r="CD557" s="286"/>
      <c r="CE557" s="286"/>
      <c r="CF557" s="286"/>
      <c r="CG557" s="286"/>
      <c r="CH557" s="286"/>
      <c r="CI557" s="286"/>
      <c r="CJ557" s="286"/>
      <c r="CK557" s="286"/>
      <c r="CL557" s="286"/>
      <c r="CM557" s="286"/>
      <c r="CN557" s="286"/>
      <c r="CO557" s="286"/>
      <c r="CP557" s="286"/>
      <c r="CQ557" s="286"/>
      <c r="CR557" s="286"/>
      <c r="CS557" s="286"/>
      <c r="CT557" s="286"/>
      <c r="CU557" s="286"/>
      <c r="CV557" s="286"/>
      <c r="CW557" s="286"/>
      <c r="CX557" s="286"/>
      <c r="CY557" s="286"/>
      <c r="CZ557" s="286"/>
      <c r="DA557" s="286"/>
      <c r="DB557" s="286"/>
      <c r="DC557" s="286"/>
      <c r="DD557" s="286"/>
      <c r="DE557" s="286"/>
      <c r="DF557" s="286"/>
      <c r="DG557" s="286"/>
      <c r="DH557" s="286"/>
      <c r="DI557" s="286"/>
      <c r="DJ557" s="286"/>
      <c r="DK557" s="286"/>
      <c r="DL557" s="286"/>
      <c r="DM557" s="286"/>
      <c r="DN557" s="286"/>
      <c r="DO557" s="286"/>
      <c r="DP557" s="286"/>
    </row>
    <row r="558" spans="1:120" ht="16" x14ac:dyDescent="0.2">
      <c r="A558" s="333"/>
      <c r="B558" s="319"/>
      <c r="C558" s="319"/>
      <c r="D558" s="319"/>
      <c r="E558" s="319"/>
      <c r="F558" s="331" t="s">
        <v>78</v>
      </c>
      <c r="G558" s="331"/>
      <c r="H558" s="331"/>
      <c r="I558" s="331"/>
      <c r="J558" s="331"/>
      <c r="K558" s="331"/>
      <c r="L558" s="384"/>
      <c r="M558" s="384"/>
      <c r="N558" s="384"/>
      <c r="O558" s="384"/>
      <c r="P558" s="384"/>
      <c r="Q558" s="384"/>
      <c r="R558" s="384"/>
      <c r="S558" s="384"/>
      <c r="T558" s="384"/>
      <c r="U558" s="384"/>
      <c r="V558" s="384"/>
      <c r="W558" s="384"/>
      <c r="X558" s="384"/>
      <c r="Y558" s="384"/>
      <c r="Z558" s="384"/>
      <c r="AA558" s="384"/>
      <c r="AB558" s="384"/>
      <c r="AC558" s="384"/>
      <c r="AD558" s="384"/>
      <c r="AE558" s="384"/>
      <c r="AF558" s="384"/>
      <c r="AG558" s="384"/>
      <c r="AH558" s="384"/>
      <c r="AI558" s="384"/>
      <c r="AJ558" s="384"/>
      <c r="AK558" s="384"/>
      <c r="AL558" s="384"/>
      <c r="AM558" s="384"/>
      <c r="AN558" s="384"/>
      <c r="AO558" s="384"/>
      <c r="AP558" s="384"/>
      <c r="AQ558" s="384"/>
      <c r="AR558" s="384"/>
      <c r="AS558" s="384"/>
      <c r="AT558" s="384"/>
      <c r="AU558" s="384"/>
      <c r="AV558" s="384"/>
      <c r="AW558" s="384"/>
      <c r="AX558" s="384"/>
      <c r="AY558" s="384"/>
      <c r="AZ558" s="384"/>
      <c r="BA558" s="384"/>
      <c r="BB558" s="384"/>
      <c r="BC558" s="384"/>
      <c r="BD558" s="384"/>
      <c r="BE558" s="384"/>
      <c r="BF558" s="384"/>
      <c r="BG558" s="384"/>
      <c r="BH558" s="384"/>
      <c r="BI558" s="384"/>
      <c r="BJ558" s="384"/>
      <c r="BK558" s="384"/>
      <c r="BL558" s="384"/>
      <c r="BM558" s="384"/>
      <c r="BN558" s="384"/>
      <c r="BO558" s="384"/>
      <c r="BP558" s="384"/>
      <c r="BQ558" s="384"/>
      <c r="BR558" s="384"/>
      <c r="BS558" s="384"/>
      <c r="BT558" s="384"/>
      <c r="BU558" s="384"/>
      <c r="BV558" s="384"/>
      <c r="BW558" s="384"/>
      <c r="BX558" s="384"/>
      <c r="BY558" s="384"/>
      <c r="BZ558" s="384" t="e">
        <f>1-(1-MAX(BY557,BX556))*(1-BW555)*(1-BV554)*(1-BU553)*(1-MAX(BT552,BS551))</f>
        <v>#N/A</v>
      </c>
      <c r="CA558" s="286"/>
      <c r="CB558" s="286"/>
      <c r="CC558" s="286"/>
      <c r="CD558" s="286"/>
      <c r="CE558" s="286"/>
      <c r="CF558" s="286"/>
      <c r="CG558" s="286"/>
      <c r="CH558" s="286"/>
      <c r="CI558" s="286"/>
      <c r="CJ558" s="286"/>
      <c r="CK558" s="286"/>
      <c r="CL558" s="286"/>
      <c r="CM558" s="286"/>
      <c r="CN558" s="286"/>
      <c r="CO558" s="286"/>
      <c r="CP558" s="286"/>
      <c r="CQ558" s="286"/>
      <c r="CR558" s="286"/>
      <c r="CS558" s="286"/>
      <c r="CT558" s="286"/>
      <c r="CU558" s="286"/>
      <c r="CV558" s="286"/>
      <c r="CW558" s="286"/>
      <c r="CX558" s="286"/>
      <c r="CY558" s="286"/>
      <c r="CZ558" s="286"/>
      <c r="DA558" s="286"/>
      <c r="DB558" s="286"/>
      <c r="DC558" s="286"/>
      <c r="DD558" s="286"/>
      <c r="DE558" s="286"/>
      <c r="DF558" s="286"/>
      <c r="DG558" s="286"/>
      <c r="DH558" s="286"/>
      <c r="DI558" s="286"/>
      <c r="DJ558" s="286"/>
      <c r="DK558" s="286"/>
      <c r="DL558" s="286"/>
      <c r="DM558" s="286"/>
      <c r="DN558" s="286"/>
      <c r="DO558" s="286"/>
      <c r="DP558" s="286"/>
    </row>
    <row r="559" spans="1:120" hidden="1" x14ac:dyDescent="0.2">
      <c r="A559" s="317"/>
      <c r="B559" s="317"/>
      <c r="C559" s="317"/>
      <c r="D559" s="332"/>
      <c r="E559" s="317"/>
      <c r="F559" s="317"/>
      <c r="G559" s="323"/>
      <c r="H559" s="323"/>
      <c r="I559" s="323"/>
      <c r="J559" s="323"/>
      <c r="K559" s="323"/>
      <c r="L559" s="323"/>
      <c r="M559" s="323"/>
      <c r="N559" s="323"/>
      <c r="O559" s="323"/>
      <c r="P559" s="323"/>
      <c r="Q559" s="323"/>
      <c r="R559" s="323"/>
      <c r="S559" s="323"/>
      <c r="T559" s="323"/>
      <c r="U559" s="323"/>
      <c r="V559" s="323"/>
      <c r="W559" s="323"/>
      <c r="X559" s="323"/>
      <c r="Y559" s="323"/>
      <c r="Z559" s="323"/>
      <c r="AA559" s="323"/>
      <c r="AB559" s="323"/>
      <c r="AC559" s="323"/>
      <c r="AD559" s="323"/>
      <c r="AE559" s="323"/>
      <c r="AF559" s="323"/>
      <c r="AG559" s="323"/>
      <c r="AH559" s="323"/>
      <c r="AI559" s="323"/>
      <c r="AJ559" s="323"/>
      <c r="AK559" s="323"/>
      <c r="AL559" s="323"/>
      <c r="AM559" s="323"/>
      <c r="AN559" s="323"/>
      <c r="AO559" s="323"/>
      <c r="AP559" s="323"/>
      <c r="AQ559" s="323"/>
      <c r="AR559" s="323"/>
      <c r="AS559" s="323"/>
      <c r="AT559" s="323"/>
      <c r="AU559" s="323"/>
      <c r="AV559" s="323"/>
      <c r="AW559" s="323"/>
      <c r="AX559" s="323"/>
      <c r="AY559" s="323"/>
      <c r="AZ559" s="323"/>
      <c r="BA559" s="323"/>
      <c r="BB559" s="323"/>
      <c r="BC559" s="323"/>
      <c r="BD559" s="323"/>
      <c r="BE559" s="323"/>
      <c r="BF559" s="323"/>
      <c r="BG559" s="323"/>
      <c r="BH559" s="323"/>
      <c r="BI559" s="323"/>
      <c r="BJ559" s="323"/>
      <c r="BK559" s="323"/>
      <c r="BL559" s="323"/>
      <c r="BM559" s="323"/>
      <c r="BN559" s="323"/>
      <c r="BO559" s="323"/>
      <c r="BP559" s="323"/>
      <c r="BQ559" s="323"/>
      <c r="BR559" s="323"/>
      <c r="BS559" s="323"/>
      <c r="BT559" s="323"/>
      <c r="BU559" s="323"/>
      <c r="BV559" s="323"/>
      <c r="BW559" s="323"/>
      <c r="BX559" s="323"/>
      <c r="BY559" s="323"/>
      <c r="BZ559" s="323"/>
      <c r="CA559" s="317"/>
      <c r="CB559" s="317"/>
      <c r="CC559" s="317"/>
      <c r="CD559" s="317"/>
      <c r="CE559" s="317"/>
      <c r="CF559" s="317"/>
      <c r="CG559" s="317"/>
      <c r="CH559" s="317"/>
      <c r="CI559" s="317"/>
      <c r="CJ559" s="317"/>
      <c r="CK559" s="317"/>
      <c r="CL559" s="317"/>
      <c r="CM559" s="317"/>
      <c r="CN559" s="317"/>
      <c r="CO559" s="317"/>
      <c r="CP559" s="317"/>
      <c r="CQ559" s="317"/>
      <c r="CR559" s="317"/>
      <c r="CS559" s="317"/>
      <c r="CT559" s="317"/>
      <c r="CU559" s="317"/>
      <c r="CV559" s="317"/>
      <c r="CW559" s="317"/>
      <c r="CX559" s="317"/>
      <c r="CY559" s="317"/>
      <c r="CZ559" s="317"/>
      <c r="DA559" s="317"/>
      <c r="DB559" s="317"/>
      <c r="DC559" s="317"/>
      <c r="DD559" s="317"/>
      <c r="DE559" s="317"/>
      <c r="DF559" s="317"/>
      <c r="DG559" s="317"/>
      <c r="DH559" s="317"/>
      <c r="DI559" s="317"/>
      <c r="DJ559" s="317"/>
      <c r="DK559" s="317"/>
      <c r="DL559" s="317"/>
      <c r="DM559" s="317"/>
      <c r="DN559" s="317"/>
      <c r="DO559" s="317"/>
      <c r="DP559" s="317"/>
    </row>
    <row r="560" spans="1:120" hidden="1" x14ac:dyDescent="0.2">
      <c r="BX560" s="1"/>
      <c r="BZ560" s="1"/>
    </row>
    <row r="561" spans="70:116" hidden="1" x14ac:dyDescent="0.2">
      <c r="BZ561" s="1"/>
      <c r="CP561" s="168"/>
      <c r="DK561" s="168"/>
      <c r="DL561" s="168"/>
    </row>
    <row r="562" spans="70:116" hidden="1" x14ac:dyDescent="0.2">
      <c r="BZ562" s="1"/>
    </row>
    <row r="563" spans="70:116" ht="16" hidden="1" x14ac:dyDescent="0.2">
      <c r="BR563" s="179"/>
      <c r="BS563" s="1"/>
    </row>
    <row r="564" spans="70:116" ht="16" hidden="1" x14ac:dyDescent="0.2">
      <c r="BR564" s="182"/>
      <c r="BS564" s="1"/>
    </row>
    <row r="565" spans="70:116" ht="16" hidden="1" x14ac:dyDescent="0.2">
      <c r="BR565" s="182"/>
      <c r="BS565" s="1"/>
    </row>
    <row r="566" spans="70:116" ht="16" hidden="1" x14ac:dyDescent="0.2">
      <c r="BR566" s="182"/>
      <c r="BS566" s="1"/>
    </row>
    <row r="567" spans="70:116" ht="16" hidden="1" x14ac:dyDescent="0.2">
      <c r="BR567" s="182"/>
      <c r="BS567" s="1"/>
    </row>
    <row r="568" spans="70:116" ht="16" hidden="1" x14ac:dyDescent="0.2">
      <c r="BR568" s="182"/>
      <c r="BS568" s="1"/>
    </row>
  </sheetData>
  <autoFilter ref="A1:ED568" xr:uid="{8F9FE94C-B2FA-487C-AB7D-91BF15256597}">
    <filterColumn colId="0">
      <colorFilter dxfId="0"/>
    </filterColumn>
    <sortState xmlns:xlrd2="http://schemas.microsoft.com/office/spreadsheetml/2017/richdata2" ref="A2:ED558">
      <sortCondition sortBy="cellColor" ref="A1:A568" dxfId="1"/>
    </sortState>
  </autoFilter>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F8BBE28-CA0E-4633-9A41-2B8D31D69CE4}">
          <x14:formula1>
            <xm:f>OFFSET('Descriptor maps'!$G$2,MATCH($A6,'Descriptor maps'!$A$2:$A$1658,0)-1,0,COUNTIF('Descriptor maps'!$A$2:$A$1658,"="&amp;$A6))</xm:f>
          </x14:formula1>
          <xm:sqref>G83:G93 G99 G13 G6:G11 G130:G461 G109:G118 G26 G35 G43 G49 G53:G54 G59:G60 G69:G70 G72:G73 G19 G96:G97 G102:G103 G21 G120:G127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3F7CC-30D9-4100-89C5-D968213FEC26}">
  <sheetPr codeName="Sheet6" filterMode="1">
    <tabColor theme="0" tint="-0.499984740745262"/>
  </sheetPr>
  <dimension ref="A1:L1769"/>
  <sheetViews>
    <sheetView topLeftCell="D1" zoomScaleNormal="100" workbookViewId="0">
      <pane ySplit="1" topLeftCell="A230" activePane="bottomLeft" state="frozen"/>
      <selection activeCell="C1" sqref="C1"/>
      <selection pane="bottomLeft" activeCell="J230" sqref="J230:J233"/>
    </sheetView>
  </sheetViews>
  <sheetFormatPr baseColWidth="10" defaultColWidth="9.1640625" defaultRowHeight="15" x14ac:dyDescent="0.2"/>
  <cols>
    <col min="1" max="1" width="17" style="399" customWidth="1"/>
    <col min="2" max="3" width="27.1640625" style="399" customWidth="1"/>
    <col min="4" max="5" width="23.6640625" style="399" customWidth="1"/>
    <col min="6" max="6" width="57.6640625" style="438" customWidth="1"/>
    <col min="7" max="7" width="54.83203125" style="410" customWidth="1"/>
    <col min="8" max="8" width="21.5" style="411" customWidth="1"/>
    <col min="9" max="10" width="21.5" style="411" bestFit="1" customWidth="1"/>
    <col min="11" max="11" width="18.5" style="399" customWidth="1"/>
    <col min="12" max="16384" width="9.1640625" style="399"/>
  </cols>
  <sheetData>
    <row r="1" spans="1:11" ht="16" x14ac:dyDescent="0.2">
      <c r="A1" s="401" t="s">
        <v>1280</v>
      </c>
      <c r="B1" s="401" t="s">
        <v>14</v>
      </c>
      <c r="C1" s="401" t="s">
        <v>1273</v>
      </c>
      <c r="D1" s="401" t="s">
        <v>704</v>
      </c>
      <c r="E1" s="401" t="s">
        <v>1274</v>
      </c>
      <c r="F1" s="421" t="s">
        <v>17</v>
      </c>
      <c r="G1" s="402" t="s">
        <v>1018</v>
      </c>
      <c r="H1" s="401" t="s">
        <v>1271</v>
      </c>
      <c r="I1" s="401" t="s">
        <v>705</v>
      </c>
      <c r="J1" s="401" t="s">
        <v>1272</v>
      </c>
      <c r="K1" s="398" t="s">
        <v>121</v>
      </c>
    </row>
    <row r="2" spans="1:11" ht="17" hidden="1" x14ac:dyDescent="0.2">
      <c r="A2" s="403">
        <v>1</v>
      </c>
      <c r="B2" s="390" t="s">
        <v>131</v>
      </c>
      <c r="C2" s="390">
        <f>VLOOKUP(B2,numbering!$N$18:$O$30,2,0)</f>
        <v>1</v>
      </c>
      <c r="D2" s="403" t="s">
        <v>12</v>
      </c>
      <c r="E2" s="403">
        <f>IF(C2&lt;&gt;C1,1,IF(F2&lt;&gt;F1,E1+1,E1))</f>
        <v>1</v>
      </c>
      <c r="F2" s="422" t="s">
        <v>132</v>
      </c>
      <c r="G2" s="404" t="s">
        <v>1019</v>
      </c>
      <c r="H2" s="405"/>
      <c r="I2" s="390"/>
      <c r="J2" s="390"/>
      <c r="K2" s="398">
        <f>_xlfn.IFNA(VLOOKUP(A2,numbering!$K$3:$L$92,2,0),0)</f>
        <v>1</v>
      </c>
    </row>
    <row r="3" spans="1:11" ht="17" hidden="1" x14ac:dyDescent="0.2">
      <c r="A3" s="403">
        <v>2</v>
      </c>
      <c r="B3" s="390" t="s">
        <v>131</v>
      </c>
      <c r="C3" s="390">
        <f>VLOOKUP(B3,numbering!$N$18:$O$30,2,0)</f>
        <v>1</v>
      </c>
      <c r="D3" s="403" t="s">
        <v>1020</v>
      </c>
      <c r="E3" s="403">
        <f>IF(C3&lt;&gt;C2,1,IF(F3&lt;&gt;F2,E2+1,E2))</f>
        <v>2</v>
      </c>
      <c r="F3" s="422" t="s">
        <v>134</v>
      </c>
      <c r="G3" s="404" t="s">
        <v>1019</v>
      </c>
      <c r="H3" s="405"/>
      <c r="I3" s="390"/>
      <c r="J3" s="390"/>
      <c r="K3" s="398">
        <f>_xlfn.IFNA(VLOOKUP(A3,numbering!$K$3:$L$92,2,0),0)</f>
        <v>1</v>
      </c>
    </row>
    <row r="4" spans="1:11" ht="17" hidden="1" x14ac:dyDescent="0.2">
      <c r="A4" s="403">
        <v>3</v>
      </c>
      <c r="B4" s="390" t="s">
        <v>131</v>
      </c>
      <c r="C4" s="390">
        <f>VLOOKUP(B4,numbering!$N$18:$O$30,2,0)</f>
        <v>1</v>
      </c>
      <c r="D4" s="403" t="s">
        <v>1020</v>
      </c>
      <c r="E4" s="403">
        <f>IF(C4&lt;&gt;C3,1,IF(F4&lt;&gt;F3,E3+1,E3))</f>
        <v>3</v>
      </c>
      <c r="F4" s="422" t="s">
        <v>135</v>
      </c>
      <c r="G4" s="404" t="s">
        <v>1019</v>
      </c>
      <c r="H4" s="405"/>
      <c r="I4" s="390"/>
      <c r="J4" s="390"/>
      <c r="K4" s="398">
        <f>_xlfn.IFNA(VLOOKUP(A4,numbering!$K$3:$L$92,2,0),0)</f>
        <v>1</v>
      </c>
    </row>
    <row r="5" spans="1:11" ht="17" hidden="1" x14ac:dyDescent="0.2">
      <c r="A5" s="403">
        <v>4</v>
      </c>
      <c r="B5" s="390" t="s">
        <v>131</v>
      </c>
      <c r="C5" s="390">
        <f>VLOOKUP(B5,numbering!$N$18:$O$30,2,0)</f>
        <v>1</v>
      </c>
      <c r="D5" s="403" t="s">
        <v>1020</v>
      </c>
      <c r="E5" s="403">
        <f>IF(C5&lt;&gt;C4,1,IF(F5&lt;&gt;F4,E4+1,E4))</f>
        <v>4</v>
      </c>
      <c r="F5" s="422" t="s">
        <v>136</v>
      </c>
      <c r="G5" s="404" t="s">
        <v>1019</v>
      </c>
      <c r="H5" s="405"/>
      <c r="I5" s="390"/>
      <c r="J5" s="390"/>
      <c r="K5" s="398">
        <f>_xlfn.IFNA(VLOOKUP(A5,numbering!$K$3:$L$92,2,0),0)</f>
        <v>1</v>
      </c>
    </row>
    <row r="6" spans="1:11" ht="17" hidden="1" x14ac:dyDescent="0.2">
      <c r="A6" s="403">
        <v>5</v>
      </c>
      <c r="B6" s="390" t="s">
        <v>131</v>
      </c>
      <c r="C6" s="390">
        <f>VLOOKUP(B6,numbering!$N$18:$O$30,2,0)</f>
        <v>1</v>
      </c>
      <c r="D6" s="403" t="s">
        <v>137</v>
      </c>
      <c r="E6" s="403">
        <f t="shared" ref="E6:E27" si="0">IF(C6&lt;&gt;C5,1,IF(D6&lt;&gt;D5,E5+1,E5))</f>
        <v>5</v>
      </c>
      <c r="F6" s="432" t="s">
        <v>138</v>
      </c>
      <c r="G6" s="388" t="s">
        <v>1021</v>
      </c>
      <c r="H6" s="390">
        <v>1</v>
      </c>
      <c r="I6" s="390">
        <v>1</v>
      </c>
      <c r="J6" s="390"/>
      <c r="K6" s="398">
        <f>_xlfn.IFNA(VLOOKUP(A6,numbering!$K$3:$L$92,2,0),0)</f>
        <v>0</v>
      </c>
    </row>
    <row r="7" spans="1:11" ht="17" hidden="1" x14ac:dyDescent="0.2">
      <c r="A7" s="403">
        <v>5</v>
      </c>
      <c r="B7" s="390" t="s">
        <v>131</v>
      </c>
      <c r="C7" s="390">
        <f>VLOOKUP(B7,numbering!$N$18:$O$30,2,0)</f>
        <v>1</v>
      </c>
      <c r="D7" s="403" t="s">
        <v>137</v>
      </c>
      <c r="E7" s="403">
        <f t="shared" si="0"/>
        <v>5</v>
      </c>
      <c r="F7" s="432" t="s">
        <v>138</v>
      </c>
      <c r="G7" s="388" t="s">
        <v>1022</v>
      </c>
      <c r="H7" s="390">
        <v>2</v>
      </c>
      <c r="I7" s="390">
        <v>2</v>
      </c>
      <c r="J7" s="390"/>
      <c r="K7" s="398">
        <f>_xlfn.IFNA(VLOOKUP(A7,numbering!$K$3:$L$92,2,0),0)</f>
        <v>0</v>
      </c>
    </row>
    <row r="8" spans="1:11" ht="17" hidden="1" x14ac:dyDescent="0.2">
      <c r="A8" s="403">
        <v>5</v>
      </c>
      <c r="B8" s="390" t="s">
        <v>131</v>
      </c>
      <c r="C8" s="390">
        <f>VLOOKUP(B8,numbering!$N$18:$O$30,2,0)</f>
        <v>1</v>
      </c>
      <c r="D8" s="403" t="s">
        <v>137</v>
      </c>
      <c r="E8" s="403">
        <f t="shared" si="0"/>
        <v>5</v>
      </c>
      <c r="F8" s="432" t="s">
        <v>138</v>
      </c>
      <c r="G8" s="388" t="s">
        <v>1023</v>
      </c>
      <c r="H8" s="390">
        <v>3</v>
      </c>
      <c r="I8" s="390">
        <v>3</v>
      </c>
      <c r="J8" s="390"/>
      <c r="K8" s="398">
        <f>_xlfn.IFNA(VLOOKUP(A8,numbering!$K$3:$L$92,2,0),0)</f>
        <v>0</v>
      </c>
    </row>
    <row r="9" spans="1:11" ht="17" hidden="1" x14ac:dyDescent="0.2">
      <c r="A9" s="403">
        <v>5</v>
      </c>
      <c r="B9" s="390" t="s">
        <v>131</v>
      </c>
      <c r="C9" s="390">
        <f>VLOOKUP(B9,numbering!$N$18:$O$30,2,0)</f>
        <v>1</v>
      </c>
      <c r="D9" s="403" t="s">
        <v>137</v>
      </c>
      <c r="E9" s="403">
        <f t="shared" si="0"/>
        <v>5</v>
      </c>
      <c r="F9" s="432" t="s">
        <v>138</v>
      </c>
      <c r="G9" s="388" t="s">
        <v>1024</v>
      </c>
      <c r="H9" s="390">
        <v>4</v>
      </c>
      <c r="I9" s="390">
        <v>4</v>
      </c>
      <c r="J9" s="390"/>
      <c r="K9" s="398">
        <f>_xlfn.IFNA(VLOOKUP(A9,numbering!$K$3:$L$92,2,0),0)</f>
        <v>0</v>
      </c>
    </row>
    <row r="10" spans="1:11" ht="17" hidden="1" x14ac:dyDescent="0.2">
      <c r="A10" s="403">
        <v>6</v>
      </c>
      <c r="B10" s="390" t="s">
        <v>131</v>
      </c>
      <c r="C10" s="390">
        <f>VLOOKUP(B10,numbering!$N$18:$O$30,2,0)</f>
        <v>1</v>
      </c>
      <c r="D10" s="403" t="s">
        <v>137</v>
      </c>
      <c r="E10" s="403">
        <f t="shared" si="0"/>
        <v>5</v>
      </c>
      <c r="F10" s="432" t="s">
        <v>139</v>
      </c>
      <c r="G10" s="388" t="s">
        <v>1021</v>
      </c>
      <c r="H10" s="390">
        <v>1</v>
      </c>
      <c r="I10" s="390">
        <v>1</v>
      </c>
      <c r="J10" s="390"/>
      <c r="K10" s="398">
        <f>_xlfn.IFNA(VLOOKUP(A10,numbering!$K$3:$L$92,2,0),0)</f>
        <v>0</v>
      </c>
    </row>
    <row r="11" spans="1:11" ht="17" hidden="1" x14ac:dyDescent="0.2">
      <c r="A11" s="403">
        <v>6</v>
      </c>
      <c r="B11" s="390" t="s">
        <v>131</v>
      </c>
      <c r="C11" s="390">
        <f>VLOOKUP(B11,numbering!$N$18:$O$30,2,0)</f>
        <v>1</v>
      </c>
      <c r="D11" s="403" t="s">
        <v>137</v>
      </c>
      <c r="E11" s="403">
        <f t="shared" si="0"/>
        <v>5</v>
      </c>
      <c r="F11" s="432" t="s">
        <v>139</v>
      </c>
      <c r="G11" s="388" t="s">
        <v>1022</v>
      </c>
      <c r="H11" s="390">
        <v>2</v>
      </c>
      <c r="I11" s="390">
        <v>2</v>
      </c>
      <c r="J11" s="390"/>
      <c r="K11" s="398">
        <f>_xlfn.IFNA(VLOOKUP(A11,numbering!$K$3:$L$92,2,0),0)</f>
        <v>0</v>
      </c>
    </row>
    <row r="12" spans="1:11" ht="17" hidden="1" x14ac:dyDescent="0.2">
      <c r="A12" s="403">
        <v>6</v>
      </c>
      <c r="B12" s="390" t="s">
        <v>131</v>
      </c>
      <c r="C12" s="390">
        <f>VLOOKUP(B12,numbering!$N$18:$O$30,2,0)</f>
        <v>1</v>
      </c>
      <c r="D12" s="403" t="s">
        <v>137</v>
      </c>
      <c r="E12" s="403">
        <f t="shared" si="0"/>
        <v>5</v>
      </c>
      <c r="F12" s="432" t="s">
        <v>139</v>
      </c>
      <c r="G12" s="388" t="s">
        <v>1023</v>
      </c>
      <c r="H12" s="390">
        <v>3</v>
      </c>
      <c r="I12" s="390">
        <v>3</v>
      </c>
      <c r="J12" s="390"/>
      <c r="K12" s="398">
        <f>_xlfn.IFNA(VLOOKUP(A12,numbering!$K$3:$L$92,2,0),0)</f>
        <v>0</v>
      </c>
    </row>
    <row r="13" spans="1:11" ht="17" hidden="1" x14ac:dyDescent="0.2">
      <c r="A13" s="403">
        <v>6</v>
      </c>
      <c r="B13" s="390" t="s">
        <v>131</v>
      </c>
      <c r="C13" s="390">
        <f>VLOOKUP(B13,numbering!$N$18:$O$30,2,0)</f>
        <v>1</v>
      </c>
      <c r="D13" s="403" t="s">
        <v>137</v>
      </c>
      <c r="E13" s="403">
        <f t="shared" si="0"/>
        <v>5</v>
      </c>
      <c r="F13" s="432" t="s">
        <v>139</v>
      </c>
      <c r="G13" s="388" t="s">
        <v>1024</v>
      </c>
      <c r="H13" s="390">
        <v>4</v>
      </c>
      <c r="I13" s="390">
        <v>4</v>
      </c>
      <c r="J13" s="390"/>
      <c r="K13" s="398">
        <f>_xlfn.IFNA(VLOOKUP(A13,numbering!$K$3:$L$92,2,0),0)</f>
        <v>0</v>
      </c>
    </row>
    <row r="14" spans="1:11" ht="17" hidden="1" x14ac:dyDescent="0.2">
      <c r="A14" s="403">
        <v>7</v>
      </c>
      <c r="B14" s="390" t="s">
        <v>131</v>
      </c>
      <c r="C14" s="390">
        <f>VLOOKUP(B14,numbering!$N$18:$O$30,2,0)</f>
        <v>1</v>
      </c>
      <c r="D14" s="403" t="s">
        <v>137</v>
      </c>
      <c r="E14" s="403">
        <f t="shared" si="0"/>
        <v>5</v>
      </c>
      <c r="F14" s="432" t="s">
        <v>140</v>
      </c>
      <c r="G14" s="388" t="s">
        <v>1025</v>
      </c>
      <c r="H14" s="390">
        <v>1</v>
      </c>
      <c r="I14" s="390">
        <v>1</v>
      </c>
      <c r="J14" s="390"/>
      <c r="K14" s="398">
        <f>_xlfn.IFNA(VLOOKUP(A14,numbering!$K$3:$L$92,2,0),0)</f>
        <v>0</v>
      </c>
    </row>
    <row r="15" spans="1:11" ht="17" hidden="1" x14ac:dyDescent="0.2">
      <c r="A15" s="403">
        <v>7</v>
      </c>
      <c r="B15" s="390" t="s">
        <v>131</v>
      </c>
      <c r="C15" s="390">
        <f>VLOOKUP(B15,numbering!$N$18:$O$30,2,0)</f>
        <v>1</v>
      </c>
      <c r="D15" s="403" t="s">
        <v>137</v>
      </c>
      <c r="E15" s="403">
        <f t="shared" si="0"/>
        <v>5</v>
      </c>
      <c r="F15" s="432" t="s">
        <v>140</v>
      </c>
      <c r="G15" s="388" t="s">
        <v>1026</v>
      </c>
      <c r="H15" s="390">
        <v>2</v>
      </c>
      <c r="I15" s="390">
        <v>2</v>
      </c>
      <c r="J15" s="390"/>
      <c r="K15" s="398">
        <f>_xlfn.IFNA(VLOOKUP(A15,numbering!$K$3:$L$92,2,0),0)</f>
        <v>0</v>
      </c>
    </row>
    <row r="16" spans="1:11" ht="17" hidden="1" x14ac:dyDescent="0.2">
      <c r="A16" s="403">
        <v>7</v>
      </c>
      <c r="B16" s="390" t="s">
        <v>131</v>
      </c>
      <c r="C16" s="390">
        <f>VLOOKUP(B16,numbering!$N$18:$O$30,2,0)</f>
        <v>1</v>
      </c>
      <c r="D16" s="403" t="s">
        <v>137</v>
      </c>
      <c r="E16" s="403">
        <f t="shared" si="0"/>
        <v>5</v>
      </c>
      <c r="F16" s="432" t="s">
        <v>140</v>
      </c>
      <c r="G16" s="388" t="s">
        <v>1027</v>
      </c>
      <c r="H16" s="390">
        <v>3</v>
      </c>
      <c r="I16" s="390">
        <v>3</v>
      </c>
      <c r="J16" s="390"/>
      <c r="K16" s="398">
        <f>_xlfn.IFNA(VLOOKUP(A16,numbering!$K$3:$L$92,2,0),0)</f>
        <v>0</v>
      </c>
    </row>
    <row r="17" spans="1:11" ht="17" hidden="1" x14ac:dyDescent="0.2">
      <c r="A17" s="403">
        <v>7</v>
      </c>
      <c r="B17" s="390" t="s">
        <v>131</v>
      </c>
      <c r="C17" s="390">
        <f>VLOOKUP(B17,numbering!$N$18:$O$30,2,0)</f>
        <v>1</v>
      </c>
      <c r="D17" s="403" t="s">
        <v>137</v>
      </c>
      <c r="E17" s="403">
        <f t="shared" si="0"/>
        <v>5</v>
      </c>
      <c r="F17" s="432" t="s">
        <v>140</v>
      </c>
      <c r="G17" s="388" t="s">
        <v>1028</v>
      </c>
      <c r="H17" s="390">
        <v>4</v>
      </c>
      <c r="I17" s="390">
        <v>4</v>
      </c>
      <c r="J17" s="390"/>
      <c r="K17" s="398">
        <f>_xlfn.IFNA(VLOOKUP(A17,numbering!$K$3:$L$92,2,0),0)</f>
        <v>0</v>
      </c>
    </row>
    <row r="18" spans="1:11" ht="34" hidden="1" x14ac:dyDescent="0.2">
      <c r="A18" s="403">
        <v>8</v>
      </c>
      <c r="B18" s="390" t="s">
        <v>248</v>
      </c>
      <c r="C18" s="390">
        <f>VLOOKUP(B18,numbering!$N$18:$O$30,2,0)</f>
        <v>3</v>
      </c>
      <c r="D18" s="403" t="s">
        <v>141</v>
      </c>
      <c r="E18" s="403">
        <f t="shared" si="0"/>
        <v>1</v>
      </c>
      <c r="F18" s="432" t="s">
        <v>142</v>
      </c>
      <c r="G18" s="388" t="s">
        <v>1005</v>
      </c>
      <c r="H18" s="390">
        <v>1</v>
      </c>
      <c r="I18" s="390">
        <v>1</v>
      </c>
      <c r="J18" s="390"/>
      <c r="K18" s="398">
        <f>_xlfn.IFNA(VLOOKUP(A18,numbering!$K$3:$L$92,2,0),0)</f>
        <v>0</v>
      </c>
    </row>
    <row r="19" spans="1:11" ht="34" hidden="1" x14ac:dyDescent="0.2">
      <c r="A19" s="403">
        <v>8</v>
      </c>
      <c r="B19" s="390" t="s">
        <v>248</v>
      </c>
      <c r="C19" s="390">
        <f>VLOOKUP(B19,numbering!$N$18:$O$30,2,0)</f>
        <v>3</v>
      </c>
      <c r="D19" s="403" t="s">
        <v>141</v>
      </c>
      <c r="E19" s="403">
        <f t="shared" si="0"/>
        <v>1</v>
      </c>
      <c r="F19" s="432" t="s">
        <v>142</v>
      </c>
      <c r="G19" s="388" t="s">
        <v>696</v>
      </c>
      <c r="H19" s="390">
        <v>2</v>
      </c>
      <c r="I19" s="390">
        <v>2</v>
      </c>
      <c r="J19" s="390"/>
      <c r="K19" s="398">
        <f>_xlfn.IFNA(VLOOKUP(A19,numbering!$K$3:$L$92,2,0),0)</f>
        <v>0</v>
      </c>
    </row>
    <row r="20" spans="1:11" ht="34" hidden="1" x14ac:dyDescent="0.2">
      <c r="A20" s="403">
        <v>8</v>
      </c>
      <c r="B20" s="390" t="s">
        <v>248</v>
      </c>
      <c r="C20" s="390">
        <f>VLOOKUP(B20,numbering!$N$18:$O$30,2,0)</f>
        <v>3</v>
      </c>
      <c r="D20" s="403" t="s">
        <v>141</v>
      </c>
      <c r="E20" s="403">
        <f t="shared" si="0"/>
        <v>1</v>
      </c>
      <c r="F20" s="432" t="s">
        <v>142</v>
      </c>
      <c r="G20" s="388" t="s">
        <v>1029</v>
      </c>
      <c r="H20" s="390">
        <v>3</v>
      </c>
      <c r="I20" s="390">
        <v>3</v>
      </c>
      <c r="J20" s="390"/>
      <c r="K20" s="398">
        <f>_xlfn.IFNA(VLOOKUP(A20,numbering!$K$3:$L$92,2,0),0)</f>
        <v>0</v>
      </c>
    </row>
    <row r="21" spans="1:11" ht="34" hidden="1" x14ac:dyDescent="0.2">
      <c r="A21" s="403">
        <v>8</v>
      </c>
      <c r="B21" s="390" t="s">
        <v>248</v>
      </c>
      <c r="C21" s="390">
        <f>VLOOKUP(B21,numbering!$N$18:$O$30,2,0)</f>
        <v>3</v>
      </c>
      <c r="D21" s="403" t="s">
        <v>141</v>
      </c>
      <c r="E21" s="403">
        <f t="shared" si="0"/>
        <v>1</v>
      </c>
      <c r="F21" s="432" t="s">
        <v>142</v>
      </c>
      <c r="G21" s="388" t="s">
        <v>1030</v>
      </c>
      <c r="H21" s="390">
        <v>4</v>
      </c>
      <c r="I21" s="390">
        <v>4</v>
      </c>
      <c r="J21" s="390"/>
      <c r="K21" s="398">
        <f>_xlfn.IFNA(VLOOKUP(A21,numbering!$K$3:$L$92,2,0),0)</f>
        <v>0</v>
      </c>
    </row>
    <row r="22" spans="1:11" ht="34" hidden="1" x14ac:dyDescent="0.2">
      <c r="A22" s="403">
        <v>9</v>
      </c>
      <c r="B22" s="390" t="s">
        <v>248</v>
      </c>
      <c r="C22" s="390">
        <f>VLOOKUP(B22,numbering!$N$18:$O$30,2,0)</f>
        <v>3</v>
      </c>
      <c r="D22" s="403" t="s">
        <v>141</v>
      </c>
      <c r="E22" s="403">
        <f t="shared" si="0"/>
        <v>1</v>
      </c>
      <c r="F22" s="432" t="s">
        <v>143</v>
      </c>
      <c r="G22" s="388" t="s">
        <v>1005</v>
      </c>
      <c r="H22" s="390"/>
      <c r="I22" s="390"/>
      <c r="J22" s="390"/>
      <c r="K22" s="398">
        <f>_xlfn.IFNA(VLOOKUP(A22,numbering!$K$3:$L$92,2,0),0)</f>
        <v>0</v>
      </c>
    </row>
    <row r="23" spans="1:11" ht="34" hidden="1" x14ac:dyDescent="0.2">
      <c r="A23" s="403">
        <v>9</v>
      </c>
      <c r="B23" s="390" t="s">
        <v>248</v>
      </c>
      <c r="C23" s="390">
        <f>VLOOKUP(B23,numbering!$N$18:$O$30,2,0)</f>
        <v>3</v>
      </c>
      <c r="D23" s="403" t="s">
        <v>141</v>
      </c>
      <c r="E23" s="403">
        <f t="shared" si="0"/>
        <v>1</v>
      </c>
      <c r="F23" s="432" t="s">
        <v>143</v>
      </c>
      <c r="G23" s="388" t="s">
        <v>1031</v>
      </c>
      <c r="H23" s="390"/>
      <c r="I23" s="390"/>
      <c r="J23" s="390"/>
      <c r="K23" s="398">
        <f>_xlfn.IFNA(VLOOKUP(A23,numbering!$K$3:$L$92,2,0),0)</f>
        <v>0</v>
      </c>
    </row>
    <row r="24" spans="1:11" ht="34" hidden="1" x14ac:dyDescent="0.2">
      <c r="A24" s="403">
        <v>9</v>
      </c>
      <c r="B24" s="390" t="s">
        <v>248</v>
      </c>
      <c r="C24" s="390">
        <f>VLOOKUP(B24,numbering!$N$18:$O$30,2,0)</f>
        <v>3</v>
      </c>
      <c r="D24" s="403" t="s">
        <v>141</v>
      </c>
      <c r="E24" s="403">
        <f t="shared" si="0"/>
        <v>1</v>
      </c>
      <c r="F24" s="432" t="s">
        <v>143</v>
      </c>
      <c r="G24" s="388" t="s">
        <v>658</v>
      </c>
      <c r="H24" s="390"/>
      <c r="I24" s="390"/>
      <c r="J24" s="390"/>
      <c r="K24" s="398">
        <f>_xlfn.IFNA(VLOOKUP(A24,numbering!$K$3:$L$92,2,0),0)</f>
        <v>0</v>
      </c>
    </row>
    <row r="25" spans="1:11" ht="34" hidden="1" x14ac:dyDescent="0.2">
      <c r="A25" s="403">
        <v>10</v>
      </c>
      <c r="B25" s="390" t="s">
        <v>248</v>
      </c>
      <c r="C25" s="390">
        <f>VLOOKUP(B25,numbering!$N$18:$O$30,2,0)</f>
        <v>3</v>
      </c>
      <c r="D25" s="403" t="s">
        <v>141</v>
      </c>
      <c r="E25" s="403">
        <f t="shared" si="0"/>
        <v>1</v>
      </c>
      <c r="F25" s="432" t="s">
        <v>144</v>
      </c>
      <c r="G25" s="388" t="s">
        <v>659</v>
      </c>
      <c r="H25" s="390"/>
      <c r="I25" s="390"/>
      <c r="J25" s="390"/>
      <c r="K25" s="398">
        <f>_xlfn.IFNA(VLOOKUP(A25,numbering!$K$3:$L$92,2,0),0)</f>
        <v>0</v>
      </c>
    </row>
    <row r="26" spans="1:11" ht="34" hidden="1" x14ac:dyDescent="0.2">
      <c r="A26" s="403">
        <v>10</v>
      </c>
      <c r="B26" s="390" t="s">
        <v>248</v>
      </c>
      <c r="C26" s="390">
        <f>VLOOKUP(B26,numbering!$N$18:$O$30,2,0)</f>
        <v>3</v>
      </c>
      <c r="D26" s="403" t="s">
        <v>141</v>
      </c>
      <c r="E26" s="403">
        <f t="shared" si="0"/>
        <v>1</v>
      </c>
      <c r="F26" s="432" t="s">
        <v>144</v>
      </c>
      <c r="G26" s="388" t="s">
        <v>1032</v>
      </c>
      <c r="H26" s="390"/>
      <c r="I26" s="390"/>
      <c r="J26" s="390"/>
      <c r="K26" s="398">
        <f>_xlfn.IFNA(VLOOKUP(A26,numbering!$K$3:$L$92,2,0),0)</f>
        <v>0</v>
      </c>
    </row>
    <row r="27" spans="1:11" ht="34" hidden="1" x14ac:dyDescent="0.2">
      <c r="A27" s="403">
        <v>10</v>
      </c>
      <c r="B27" s="390" t="s">
        <v>248</v>
      </c>
      <c r="C27" s="390">
        <f>VLOOKUP(B27,numbering!$N$18:$O$30,2,0)</f>
        <v>3</v>
      </c>
      <c r="D27" s="403" t="s">
        <v>141</v>
      </c>
      <c r="E27" s="403">
        <f t="shared" si="0"/>
        <v>1</v>
      </c>
      <c r="F27" s="432" t="s">
        <v>144</v>
      </c>
      <c r="G27" s="388" t="s">
        <v>1033</v>
      </c>
      <c r="H27" s="390"/>
      <c r="I27" s="390"/>
      <c r="J27" s="390"/>
      <c r="K27" s="398">
        <f>_xlfn.IFNA(VLOOKUP(A27,numbering!$K$3:$L$92,2,0),0)</f>
        <v>0</v>
      </c>
    </row>
    <row r="28" spans="1:11" ht="34" hidden="1" x14ac:dyDescent="0.2">
      <c r="A28" s="403">
        <v>11</v>
      </c>
      <c r="B28" s="390" t="s">
        <v>248</v>
      </c>
      <c r="C28" s="390">
        <f>VLOOKUP(B28,numbering!$N$18:$O$30,2,0)</f>
        <v>3</v>
      </c>
      <c r="D28" s="403" t="s">
        <v>141</v>
      </c>
      <c r="E28" s="403">
        <f>IF(C28&lt;&gt;C27,1,IF(F28&lt;&gt;F27,E27+1,E27))</f>
        <v>2</v>
      </c>
      <c r="F28" s="422" t="s">
        <v>145</v>
      </c>
      <c r="G28" s="388" t="s">
        <v>1034</v>
      </c>
      <c r="H28" s="390"/>
      <c r="I28" s="390"/>
      <c r="J28" s="390"/>
      <c r="K28" s="398">
        <f>_xlfn.IFNA(VLOOKUP(A28,numbering!$K$3:$L$92,2,0),0)</f>
        <v>1</v>
      </c>
    </row>
    <row r="29" spans="1:11" ht="34" hidden="1" x14ac:dyDescent="0.2">
      <c r="A29" s="403">
        <v>11</v>
      </c>
      <c r="B29" s="390" t="s">
        <v>248</v>
      </c>
      <c r="C29" s="390">
        <f>VLOOKUP(B29,numbering!$N$18:$O$30,2,0)</f>
        <v>3</v>
      </c>
      <c r="D29" s="403" t="s">
        <v>141</v>
      </c>
      <c r="E29" s="403">
        <f>IF(C29&lt;&gt;C28,1,IF(F29&lt;&gt;F28,E28+1,E28))</f>
        <v>2</v>
      </c>
      <c r="F29" s="422" t="s">
        <v>145</v>
      </c>
      <c r="G29" s="388" t="s">
        <v>1005</v>
      </c>
      <c r="H29" s="390"/>
      <c r="I29" s="390"/>
      <c r="J29" s="390"/>
      <c r="K29" s="398">
        <f>_xlfn.IFNA(VLOOKUP(A29,numbering!$K$3:$L$92,2,0),0)</f>
        <v>1</v>
      </c>
    </row>
    <row r="30" spans="1:11" ht="34" hidden="1" x14ac:dyDescent="0.2">
      <c r="A30" s="403">
        <v>11</v>
      </c>
      <c r="B30" s="390" t="s">
        <v>248</v>
      </c>
      <c r="C30" s="390">
        <f>VLOOKUP(B30,numbering!$N$18:$O$30,2,0)</f>
        <v>3</v>
      </c>
      <c r="D30" s="403" t="s">
        <v>141</v>
      </c>
      <c r="E30" s="403">
        <f>IF(C30&lt;&gt;C126,1,IF(F30&lt;&gt;F126,E126+1,E126))</f>
        <v>1</v>
      </c>
      <c r="F30" s="422" t="s">
        <v>145</v>
      </c>
      <c r="G30" s="388" t="s">
        <v>677</v>
      </c>
      <c r="H30" s="390"/>
      <c r="I30" s="390"/>
      <c r="J30" s="390"/>
      <c r="K30" s="398">
        <f>_xlfn.IFNA(VLOOKUP(A30,numbering!$K$3:$L$92,2,0),0)</f>
        <v>1</v>
      </c>
    </row>
    <row r="31" spans="1:11" ht="34" hidden="1" x14ac:dyDescent="0.2">
      <c r="A31" s="403">
        <v>11</v>
      </c>
      <c r="B31" s="390" t="s">
        <v>248</v>
      </c>
      <c r="C31" s="390">
        <f>VLOOKUP(B31,numbering!$N$18:$O$30,2,0)</f>
        <v>3</v>
      </c>
      <c r="D31" s="403" t="s">
        <v>141</v>
      </c>
      <c r="E31" s="403">
        <f>IF(C31&lt;&gt;C30,1,IF(F31&lt;&gt;F30,E30+1,E30))</f>
        <v>1</v>
      </c>
      <c r="F31" s="422" t="s">
        <v>145</v>
      </c>
      <c r="G31" s="388" t="s">
        <v>1035</v>
      </c>
      <c r="H31" s="390"/>
      <c r="I31" s="390"/>
      <c r="J31" s="390"/>
      <c r="K31" s="398">
        <f>_xlfn.IFNA(VLOOKUP(A31,numbering!$K$3:$L$92,2,0),0)</f>
        <v>1</v>
      </c>
    </row>
    <row r="32" spans="1:11" ht="34" hidden="1" x14ac:dyDescent="0.2">
      <c r="A32" s="403">
        <v>11</v>
      </c>
      <c r="B32" s="390" t="s">
        <v>248</v>
      </c>
      <c r="C32" s="390">
        <f>VLOOKUP(B32,numbering!$N$18:$O$30,2,0)</f>
        <v>3</v>
      </c>
      <c r="D32" s="403" t="s">
        <v>141</v>
      </c>
      <c r="E32" s="403">
        <f>IF(C32&lt;&gt;C31,1,IF(F32&lt;&gt;F31,E31+1,E31))</f>
        <v>1</v>
      </c>
      <c r="F32" s="422" t="s">
        <v>145</v>
      </c>
      <c r="G32" s="388" t="s">
        <v>660</v>
      </c>
      <c r="H32" s="390"/>
      <c r="I32" s="390"/>
      <c r="J32" s="390"/>
      <c r="K32" s="398">
        <f>_xlfn.IFNA(VLOOKUP(A32,numbering!$K$3:$L$92,2,0),0)</f>
        <v>1</v>
      </c>
    </row>
    <row r="33" spans="1:11" ht="34" hidden="1" x14ac:dyDescent="0.2">
      <c r="A33" s="403">
        <v>11</v>
      </c>
      <c r="B33" s="390" t="s">
        <v>248</v>
      </c>
      <c r="C33" s="390">
        <f>VLOOKUP(B33,numbering!$N$18:$O$30,2,0)</f>
        <v>3</v>
      </c>
      <c r="D33" s="403" t="s">
        <v>141</v>
      </c>
      <c r="E33" s="403">
        <f>IF(C33&lt;&gt;C32,1,IF(F33&lt;&gt;F32,E32+1,E32))</f>
        <v>1</v>
      </c>
      <c r="F33" s="422" t="s">
        <v>145</v>
      </c>
      <c r="G33" s="388" t="s">
        <v>1036</v>
      </c>
      <c r="H33" s="390"/>
      <c r="I33" s="390"/>
      <c r="J33" s="390"/>
      <c r="K33" s="398">
        <f>_xlfn.IFNA(VLOOKUP(A33,numbering!$K$3:$L$92,2,0),0)</f>
        <v>1</v>
      </c>
    </row>
    <row r="34" spans="1:11" ht="34" hidden="1" x14ac:dyDescent="0.2">
      <c r="A34" s="403">
        <v>11</v>
      </c>
      <c r="B34" s="390" t="s">
        <v>248</v>
      </c>
      <c r="C34" s="390">
        <f>VLOOKUP(B34,numbering!$N$18:$O$30,2,0)</f>
        <v>3</v>
      </c>
      <c r="D34" s="403" t="s">
        <v>141</v>
      </c>
      <c r="E34" s="403">
        <f>IF(C34&lt;&gt;C33,1,IF(F34&lt;&gt;F33,E33+1,E33))</f>
        <v>1</v>
      </c>
      <c r="F34" s="422" t="s">
        <v>145</v>
      </c>
      <c r="G34" s="388" t="s">
        <v>1030</v>
      </c>
      <c r="H34" s="390"/>
      <c r="I34" s="390"/>
      <c r="J34" s="390"/>
      <c r="K34" s="398">
        <f>_xlfn.IFNA(VLOOKUP(A34,numbering!$K$3:$L$92,2,0),0)</f>
        <v>1</v>
      </c>
    </row>
    <row r="35" spans="1:11" ht="34" hidden="1" x14ac:dyDescent="0.2">
      <c r="A35" s="403">
        <v>12</v>
      </c>
      <c r="B35" s="390" t="s">
        <v>248</v>
      </c>
      <c r="C35" s="390">
        <f>VLOOKUP(B35,numbering!$N$18:$O$30,2,0)</f>
        <v>3</v>
      </c>
      <c r="D35" s="403" t="s">
        <v>141</v>
      </c>
      <c r="E35" s="403" t="e">
        <f>IF(C35&lt;&gt;#REF!,1,IF(D35&lt;&gt;#REF!,#REF!+1,#REF!))</f>
        <v>#REF!</v>
      </c>
      <c r="F35" s="432" t="s">
        <v>146</v>
      </c>
      <c r="G35" s="388"/>
      <c r="H35" s="390"/>
      <c r="I35" s="390"/>
      <c r="J35" s="390"/>
      <c r="K35" s="398">
        <f>_xlfn.IFNA(VLOOKUP(A35,numbering!$K$3:$L$92,2,0),0)</f>
        <v>0</v>
      </c>
    </row>
    <row r="36" spans="1:11" ht="17" hidden="1" x14ac:dyDescent="0.2">
      <c r="A36" s="403">
        <v>13</v>
      </c>
      <c r="B36" s="390" t="s">
        <v>248</v>
      </c>
      <c r="C36" s="390">
        <f>VLOOKUP(B36,numbering!$N$18:$O$30,2,0)</f>
        <v>3</v>
      </c>
      <c r="D36" s="403" t="s">
        <v>147</v>
      </c>
      <c r="E36" s="403" t="e">
        <f>IF(C36&lt;&gt;#REF!,1,IF(F36&lt;&gt;#REF!,#REF!+1,#REF!))</f>
        <v>#REF!</v>
      </c>
      <c r="F36" s="422" t="s">
        <v>148</v>
      </c>
      <c r="G36" s="404" t="s">
        <v>1019</v>
      </c>
      <c r="H36" s="405"/>
      <c r="I36" s="390"/>
      <c r="J36" s="390"/>
      <c r="K36" s="398">
        <f>_xlfn.IFNA(VLOOKUP(A36,numbering!$K$3:$L$92,2,0),0)</f>
        <v>1</v>
      </c>
    </row>
    <row r="37" spans="1:11" ht="17" hidden="1" x14ac:dyDescent="0.2">
      <c r="A37" s="403">
        <v>14</v>
      </c>
      <c r="B37" s="390" t="s">
        <v>248</v>
      </c>
      <c r="C37" s="390">
        <f>VLOOKUP(B37,numbering!$N$18:$O$30,2,0)</f>
        <v>3</v>
      </c>
      <c r="D37" s="403" t="s">
        <v>147</v>
      </c>
      <c r="E37" s="403" t="e">
        <f>IF(C37&lt;&gt;C36,1,IF(F37&lt;&gt;F36,E36+1,E36))</f>
        <v>#REF!</v>
      </c>
      <c r="F37" s="422" t="s">
        <v>149</v>
      </c>
      <c r="G37" s="404" t="s">
        <v>1019</v>
      </c>
      <c r="H37" s="405"/>
      <c r="I37" s="390"/>
      <c r="J37" s="390"/>
      <c r="K37" s="398">
        <f>_xlfn.IFNA(VLOOKUP(A37,numbering!$K$3:$L$92,2,0),0)</f>
        <v>1</v>
      </c>
    </row>
    <row r="38" spans="1:11" ht="17" hidden="1" x14ac:dyDescent="0.2">
      <c r="A38" s="403">
        <v>15</v>
      </c>
      <c r="B38" s="390" t="s">
        <v>248</v>
      </c>
      <c r="C38" s="390">
        <f>VLOOKUP(B38,numbering!$N$18:$O$30,2,0)</f>
        <v>3</v>
      </c>
      <c r="D38" s="403" t="s">
        <v>147</v>
      </c>
      <c r="E38" s="403" t="e">
        <f>IF(C38&lt;&gt;#REF!,1,IF(D38&lt;&gt;#REF!,#REF!+1,#REF!))</f>
        <v>#REF!</v>
      </c>
      <c r="F38" s="432" t="s">
        <v>152</v>
      </c>
      <c r="G38" s="388" t="s">
        <v>1005</v>
      </c>
      <c r="H38" s="390">
        <v>1</v>
      </c>
      <c r="I38" s="390">
        <v>1</v>
      </c>
      <c r="J38" s="390"/>
      <c r="K38" s="398">
        <f>_xlfn.IFNA(VLOOKUP(A38,numbering!$K$3:$L$92,2,0),0)</f>
        <v>0</v>
      </c>
    </row>
    <row r="39" spans="1:11" ht="17" hidden="1" x14ac:dyDescent="0.2">
      <c r="A39" s="403">
        <v>15</v>
      </c>
      <c r="B39" s="390" t="s">
        <v>248</v>
      </c>
      <c r="C39" s="390">
        <f>VLOOKUP(B39,numbering!$N$18:$O$30,2,0)</f>
        <v>3</v>
      </c>
      <c r="D39" s="403" t="s">
        <v>147</v>
      </c>
      <c r="E39" s="403" t="e">
        <f>IF(C39&lt;&gt;C38,1,IF(D39&lt;&gt;D38,E38+1,E38))</f>
        <v>#REF!</v>
      </c>
      <c r="F39" s="432" t="s">
        <v>152</v>
      </c>
      <c r="G39" s="388" t="s">
        <v>696</v>
      </c>
      <c r="H39" s="390">
        <v>2</v>
      </c>
      <c r="I39" s="390">
        <v>2</v>
      </c>
      <c r="J39" s="390"/>
      <c r="K39" s="398">
        <f>_xlfn.IFNA(VLOOKUP(A39,numbering!$K$3:$L$92,2,0),0)</f>
        <v>0</v>
      </c>
    </row>
    <row r="40" spans="1:11" ht="17" hidden="1" x14ac:dyDescent="0.2">
      <c r="A40" s="403">
        <v>15</v>
      </c>
      <c r="B40" s="390" t="s">
        <v>248</v>
      </c>
      <c r="C40" s="390">
        <f>VLOOKUP(B40,numbering!$N$18:$O$30,2,0)</f>
        <v>3</v>
      </c>
      <c r="D40" s="403" t="s">
        <v>147</v>
      </c>
      <c r="E40" s="403" t="e">
        <f>IF(C40&lt;&gt;C39,1,IF(D40&lt;&gt;D39,E39+1,E39))</f>
        <v>#REF!</v>
      </c>
      <c r="F40" s="432" t="s">
        <v>152</v>
      </c>
      <c r="G40" s="388" t="s">
        <v>1029</v>
      </c>
      <c r="H40" s="390">
        <v>3</v>
      </c>
      <c r="I40" s="390">
        <v>3</v>
      </c>
      <c r="J40" s="390"/>
      <c r="K40" s="398">
        <f>_xlfn.IFNA(VLOOKUP(A40,numbering!$K$3:$L$92,2,0),0)</f>
        <v>0</v>
      </c>
    </row>
    <row r="41" spans="1:11" ht="17" hidden="1" x14ac:dyDescent="0.2">
      <c r="A41" s="403">
        <v>15</v>
      </c>
      <c r="B41" s="390" t="s">
        <v>248</v>
      </c>
      <c r="C41" s="390">
        <f>VLOOKUP(B41,numbering!$N$18:$O$30,2,0)</f>
        <v>3</v>
      </c>
      <c r="D41" s="403" t="s">
        <v>147</v>
      </c>
      <c r="E41" s="403" t="e">
        <f>IF(C41&lt;&gt;C40,1,IF(D41&lt;&gt;D40,E40+1,E40))</f>
        <v>#REF!</v>
      </c>
      <c r="F41" s="432" t="s">
        <v>152</v>
      </c>
      <c r="G41" s="388" t="s">
        <v>1030</v>
      </c>
      <c r="H41" s="390">
        <v>4</v>
      </c>
      <c r="I41" s="390">
        <v>4</v>
      </c>
      <c r="J41" s="390"/>
      <c r="K41" s="398">
        <f>_xlfn.IFNA(VLOOKUP(A41,numbering!$K$3:$L$92,2,0),0)</f>
        <v>0</v>
      </c>
    </row>
    <row r="42" spans="1:11" ht="17" hidden="1" x14ac:dyDescent="0.2">
      <c r="A42" s="403">
        <v>16</v>
      </c>
      <c r="B42" s="390" t="s">
        <v>131</v>
      </c>
      <c r="C42" s="390">
        <f>VLOOKUP(B42,numbering!$N$18:$O$30,2,0)</f>
        <v>1</v>
      </c>
      <c r="D42" s="403" t="s">
        <v>153</v>
      </c>
      <c r="E42" s="403">
        <f>IF(C42&lt;&gt;C41,1,IF(D42&lt;&gt;D41,E41+1,E41))</f>
        <v>1</v>
      </c>
      <c r="F42" s="432" t="s">
        <v>154</v>
      </c>
      <c r="G42" s="404" t="s">
        <v>1019</v>
      </c>
      <c r="H42" s="405"/>
      <c r="I42" s="390"/>
      <c r="J42" s="390"/>
      <c r="K42" s="398">
        <f>_xlfn.IFNA(VLOOKUP(A42,numbering!$K$3:$L$92,2,0),0)</f>
        <v>0</v>
      </c>
    </row>
    <row r="43" spans="1:11" ht="32" hidden="1" x14ac:dyDescent="0.2">
      <c r="A43" s="403">
        <v>17</v>
      </c>
      <c r="B43" s="390" t="s">
        <v>174</v>
      </c>
      <c r="C43" s="390">
        <f>VLOOKUP(B43,numbering!$N$18:$O$30,2,0)</f>
        <v>2</v>
      </c>
      <c r="D43" s="390" t="s">
        <v>1282</v>
      </c>
      <c r="E43" s="403">
        <f>IF(C43&lt;&gt;C42,1,IF(F43&lt;&gt;F42,E42+1,E42))</f>
        <v>1</v>
      </c>
      <c r="F43" s="422" t="s">
        <v>1306</v>
      </c>
      <c r="G43" s="388" t="s">
        <v>7</v>
      </c>
      <c r="H43" s="390">
        <v>1</v>
      </c>
      <c r="I43" s="390">
        <v>1</v>
      </c>
      <c r="J43" s="390"/>
      <c r="K43" s="398">
        <f>_xlfn.IFNA(VLOOKUP(A43,numbering!$K$3:$L$92,2,0),0)</f>
        <v>1</v>
      </c>
    </row>
    <row r="44" spans="1:11" ht="32" hidden="1" x14ac:dyDescent="0.2">
      <c r="A44" s="403">
        <v>17</v>
      </c>
      <c r="B44" s="390" t="s">
        <v>174</v>
      </c>
      <c r="C44" s="390">
        <f>VLOOKUP(B44,numbering!$N$18:$O$30,2,0)</f>
        <v>2</v>
      </c>
      <c r="D44" s="390" t="s">
        <v>1282</v>
      </c>
      <c r="E44" s="403">
        <f>IF(C44&lt;&gt;C43,1,IF(F44&lt;&gt;F43,E43+1,E43))</f>
        <v>1</v>
      </c>
      <c r="F44" s="422" t="s">
        <v>1306</v>
      </c>
      <c r="G44" s="388" t="s">
        <v>8</v>
      </c>
      <c r="H44" s="390">
        <v>4</v>
      </c>
      <c r="I44" s="390">
        <v>0</v>
      </c>
      <c r="J44" s="390"/>
      <c r="K44" s="398">
        <f>_xlfn.IFNA(VLOOKUP(A44,numbering!$K$3:$L$92,2,0),0)</f>
        <v>1</v>
      </c>
    </row>
    <row r="45" spans="1:11" ht="17" hidden="1" x14ac:dyDescent="0.2">
      <c r="A45" s="403">
        <v>18</v>
      </c>
      <c r="B45" s="390" t="s">
        <v>131</v>
      </c>
      <c r="C45" s="390">
        <f>VLOOKUP(B45,numbering!$N$18:$O$30,2,0)</f>
        <v>1</v>
      </c>
      <c r="D45" s="403" t="s">
        <v>153</v>
      </c>
      <c r="E45" s="403">
        <f>IF(C45&lt;&gt;C39,1,IF(D45&lt;&gt;D39,E39+1,E39))</f>
        <v>1</v>
      </c>
      <c r="F45" s="432" t="s">
        <v>155</v>
      </c>
      <c r="G45" s="404" t="s">
        <v>1019</v>
      </c>
      <c r="H45" s="405"/>
      <c r="I45" s="390"/>
      <c r="J45" s="390"/>
      <c r="K45" s="398">
        <f>_xlfn.IFNA(VLOOKUP(A45,numbering!$K$3:$L$92,2,0),0)</f>
        <v>0</v>
      </c>
    </row>
    <row r="46" spans="1:11" ht="17" hidden="1" x14ac:dyDescent="0.2">
      <c r="A46" s="403">
        <v>19</v>
      </c>
      <c r="B46" s="390" t="s">
        <v>131</v>
      </c>
      <c r="C46" s="390">
        <f>VLOOKUP(B46,numbering!$N$18:$O$30,2,0)</f>
        <v>1</v>
      </c>
      <c r="D46" s="403" t="s">
        <v>153</v>
      </c>
      <c r="E46" s="403">
        <f t="shared" ref="E46:E77" si="1">IF(C46&lt;&gt;C45,1,IF(D46&lt;&gt;D45,E45+1,E45))</f>
        <v>1</v>
      </c>
      <c r="F46" s="432" t="s">
        <v>156</v>
      </c>
      <c r="G46" s="404" t="s">
        <v>1019</v>
      </c>
      <c r="H46" s="405"/>
      <c r="I46" s="390"/>
      <c r="J46" s="390"/>
      <c r="K46" s="398">
        <f>_xlfn.IFNA(VLOOKUP(A46,numbering!$K$3:$L$92,2,0),0)</f>
        <v>0</v>
      </c>
    </row>
    <row r="47" spans="1:11" ht="17" hidden="1" x14ac:dyDescent="0.2">
      <c r="A47" s="403">
        <v>20</v>
      </c>
      <c r="B47" s="390" t="s">
        <v>131</v>
      </c>
      <c r="C47" s="390">
        <f>VLOOKUP(B47,numbering!$N$18:$O$30,2,0)</f>
        <v>1</v>
      </c>
      <c r="D47" s="403" t="s">
        <v>153</v>
      </c>
      <c r="E47" s="403">
        <f t="shared" si="1"/>
        <v>1</v>
      </c>
      <c r="F47" s="432" t="s">
        <v>157</v>
      </c>
      <c r="G47" s="404" t="s">
        <v>1019</v>
      </c>
      <c r="H47" s="405"/>
      <c r="I47" s="390"/>
      <c r="J47" s="390"/>
      <c r="K47" s="398">
        <f>_xlfn.IFNA(VLOOKUP(A47,numbering!$K$3:$L$92,2,0),0)</f>
        <v>0</v>
      </c>
    </row>
    <row r="48" spans="1:11" ht="17" hidden="1" x14ac:dyDescent="0.2">
      <c r="A48" s="403">
        <v>21</v>
      </c>
      <c r="B48" s="390" t="s">
        <v>131</v>
      </c>
      <c r="C48" s="390">
        <f>VLOOKUP(B48,numbering!$N$18:$O$30,2,0)</f>
        <v>1</v>
      </c>
      <c r="D48" s="403" t="s">
        <v>153</v>
      </c>
      <c r="E48" s="403">
        <f t="shared" si="1"/>
        <v>1</v>
      </c>
      <c r="F48" s="432" t="s">
        <v>158</v>
      </c>
      <c r="G48" s="404" t="s">
        <v>1019</v>
      </c>
      <c r="H48" s="405"/>
      <c r="I48" s="390"/>
      <c r="J48" s="390"/>
      <c r="K48" s="398">
        <f>_xlfn.IFNA(VLOOKUP(A48,numbering!$K$3:$L$92,2,0),0)</f>
        <v>0</v>
      </c>
    </row>
    <row r="49" spans="1:11" ht="17" hidden="1" x14ac:dyDescent="0.2">
      <c r="A49" s="403">
        <v>22</v>
      </c>
      <c r="B49" s="390" t="s">
        <v>131</v>
      </c>
      <c r="C49" s="390">
        <f>VLOOKUP(B49,numbering!$N$18:$O$30,2,0)</f>
        <v>1</v>
      </c>
      <c r="D49" s="403" t="s">
        <v>153</v>
      </c>
      <c r="E49" s="403">
        <f t="shared" si="1"/>
        <v>1</v>
      </c>
      <c r="F49" s="432" t="s">
        <v>159</v>
      </c>
      <c r="G49" s="388" t="s">
        <v>8</v>
      </c>
      <c r="H49" s="390">
        <v>1</v>
      </c>
      <c r="I49" s="390">
        <v>1</v>
      </c>
      <c r="J49" s="390"/>
      <c r="K49" s="398">
        <f>_xlfn.IFNA(VLOOKUP(A49,numbering!$K$3:$L$92,2,0),0)</f>
        <v>0</v>
      </c>
    </row>
    <row r="50" spans="1:11" ht="17" hidden="1" x14ac:dyDescent="0.2">
      <c r="A50" s="403">
        <v>22</v>
      </c>
      <c r="B50" s="390" t="s">
        <v>131</v>
      </c>
      <c r="C50" s="390">
        <f>VLOOKUP(B50,numbering!$N$18:$O$30,2,0)</f>
        <v>1</v>
      </c>
      <c r="D50" s="403" t="s">
        <v>153</v>
      </c>
      <c r="E50" s="403">
        <f t="shared" si="1"/>
        <v>1</v>
      </c>
      <c r="F50" s="432" t="s">
        <v>159</v>
      </c>
      <c r="G50" s="388" t="s">
        <v>7</v>
      </c>
      <c r="H50" s="390">
        <v>4</v>
      </c>
      <c r="I50" s="390">
        <v>4</v>
      </c>
      <c r="J50" s="390"/>
      <c r="K50" s="398">
        <f>_xlfn.IFNA(VLOOKUP(A50,numbering!$K$3:$L$92,2,0),0)</f>
        <v>0</v>
      </c>
    </row>
    <row r="51" spans="1:11" ht="17" hidden="1" x14ac:dyDescent="0.2">
      <c r="A51" s="403">
        <v>23</v>
      </c>
      <c r="B51" s="390" t="s">
        <v>131</v>
      </c>
      <c r="C51" s="390">
        <f>VLOOKUP(B51,numbering!$N$18:$O$30,2,0)</f>
        <v>1</v>
      </c>
      <c r="D51" s="403" t="s">
        <v>153</v>
      </c>
      <c r="E51" s="403">
        <f t="shared" si="1"/>
        <v>1</v>
      </c>
      <c r="F51" s="432" t="s">
        <v>1315</v>
      </c>
      <c r="G51" s="404" t="s">
        <v>1019</v>
      </c>
      <c r="H51" s="405"/>
      <c r="I51" s="390"/>
      <c r="J51" s="390"/>
      <c r="K51" s="398">
        <f>_xlfn.IFNA(VLOOKUP(A51,numbering!$K$3:$L$92,2,0),0)</f>
        <v>0</v>
      </c>
    </row>
    <row r="52" spans="1:11" ht="17" hidden="1" x14ac:dyDescent="0.2">
      <c r="A52" s="403">
        <v>24</v>
      </c>
      <c r="B52" s="390" t="s">
        <v>131</v>
      </c>
      <c r="C52" s="390">
        <f>VLOOKUP(B52,numbering!$N$18:$O$30,2,0)</f>
        <v>1</v>
      </c>
      <c r="D52" s="403" t="s">
        <v>153</v>
      </c>
      <c r="E52" s="403">
        <f t="shared" si="1"/>
        <v>1</v>
      </c>
      <c r="F52" s="432" t="s">
        <v>1316</v>
      </c>
      <c r="G52" s="404" t="s">
        <v>1019</v>
      </c>
      <c r="H52" s="405"/>
      <c r="I52" s="390"/>
      <c r="J52" s="390"/>
      <c r="K52" s="398">
        <f>_xlfn.IFNA(VLOOKUP(A52,numbering!$K$3:$L$92,2,0),0)</f>
        <v>0</v>
      </c>
    </row>
    <row r="53" spans="1:11" ht="17" hidden="1" x14ac:dyDescent="0.2">
      <c r="A53" s="403">
        <v>25</v>
      </c>
      <c r="B53" s="390" t="s">
        <v>131</v>
      </c>
      <c r="C53" s="390">
        <f>VLOOKUP(B53,numbering!$N$18:$O$30,2,0)</f>
        <v>1</v>
      </c>
      <c r="D53" s="403" t="s">
        <v>153</v>
      </c>
      <c r="E53" s="403">
        <f t="shared" si="1"/>
        <v>1</v>
      </c>
      <c r="F53" s="432" t="s">
        <v>160</v>
      </c>
      <c r="G53" s="404" t="s">
        <v>1019</v>
      </c>
      <c r="H53" s="405"/>
      <c r="I53" s="390"/>
      <c r="J53" s="390"/>
      <c r="K53" s="398">
        <f>_xlfn.IFNA(VLOOKUP(A53,numbering!$K$3:$L$92,2,0),0)</f>
        <v>0</v>
      </c>
    </row>
    <row r="54" spans="1:11" ht="17" hidden="1" x14ac:dyDescent="0.2">
      <c r="A54" s="403">
        <v>26</v>
      </c>
      <c r="B54" s="390" t="s">
        <v>131</v>
      </c>
      <c r="C54" s="390">
        <f>VLOOKUP(B54,numbering!$N$18:$O$30,2,0)</f>
        <v>1</v>
      </c>
      <c r="D54" s="403" t="s">
        <v>153</v>
      </c>
      <c r="E54" s="403">
        <f t="shared" si="1"/>
        <v>1</v>
      </c>
      <c r="F54" s="432" t="s">
        <v>161</v>
      </c>
      <c r="G54" s="404" t="s">
        <v>1019</v>
      </c>
      <c r="H54" s="405"/>
      <c r="I54" s="390"/>
      <c r="J54" s="390"/>
      <c r="K54" s="398">
        <f>_xlfn.IFNA(VLOOKUP(A54,numbering!$K$3:$L$92,2,0),0)</f>
        <v>0</v>
      </c>
    </row>
    <row r="55" spans="1:11" ht="17" hidden="1" x14ac:dyDescent="0.2">
      <c r="A55" s="403">
        <v>27</v>
      </c>
      <c r="B55" s="390" t="s">
        <v>131</v>
      </c>
      <c r="C55" s="390">
        <f>VLOOKUP(B55,numbering!$N$18:$O$30,2,0)</f>
        <v>1</v>
      </c>
      <c r="D55" s="403" t="s">
        <v>153</v>
      </c>
      <c r="E55" s="403">
        <f t="shared" si="1"/>
        <v>1</v>
      </c>
      <c r="F55" s="432" t="s">
        <v>162</v>
      </c>
      <c r="G55" s="404" t="s">
        <v>1019</v>
      </c>
      <c r="H55" s="405"/>
      <c r="I55" s="390"/>
      <c r="J55" s="390"/>
      <c r="K55" s="398">
        <f>_xlfn.IFNA(VLOOKUP(A55,numbering!$K$3:$L$92,2,0),0)</f>
        <v>0</v>
      </c>
    </row>
    <row r="56" spans="1:11" ht="17" hidden="1" x14ac:dyDescent="0.2">
      <c r="A56" s="403">
        <v>28</v>
      </c>
      <c r="B56" s="390" t="s">
        <v>131</v>
      </c>
      <c r="C56" s="390">
        <f>VLOOKUP(B56,numbering!$N$18:$O$30,2,0)</f>
        <v>1</v>
      </c>
      <c r="D56" s="403" t="s">
        <v>153</v>
      </c>
      <c r="E56" s="403">
        <f t="shared" si="1"/>
        <v>1</v>
      </c>
      <c r="F56" s="432" t="s">
        <v>163</v>
      </c>
      <c r="G56" s="404" t="s">
        <v>1019</v>
      </c>
      <c r="H56" s="405"/>
      <c r="I56" s="390"/>
      <c r="J56" s="390"/>
      <c r="K56" s="398">
        <f>_xlfn.IFNA(VLOOKUP(A56,numbering!$K$3:$L$92,2,0),0)</f>
        <v>0</v>
      </c>
    </row>
    <row r="57" spans="1:11" ht="17" hidden="1" x14ac:dyDescent="0.2">
      <c r="A57" s="403">
        <v>29</v>
      </c>
      <c r="B57" s="390" t="s">
        <v>131</v>
      </c>
      <c r="C57" s="390">
        <f>VLOOKUP(B57,numbering!$N$18:$O$30,2,0)</f>
        <v>1</v>
      </c>
      <c r="D57" s="403" t="s">
        <v>153</v>
      </c>
      <c r="E57" s="403">
        <f t="shared" si="1"/>
        <v>1</v>
      </c>
      <c r="F57" s="432" t="s">
        <v>164</v>
      </c>
      <c r="G57" s="404" t="s">
        <v>1019</v>
      </c>
      <c r="H57" s="405"/>
      <c r="I57" s="390"/>
      <c r="J57" s="390"/>
      <c r="K57" s="398">
        <f>_xlfn.IFNA(VLOOKUP(A57,numbering!$K$3:$L$92,2,0),0)</f>
        <v>0</v>
      </c>
    </row>
    <row r="58" spans="1:11" ht="17" hidden="1" x14ac:dyDescent="0.2">
      <c r="A58" s="403">
        <v>30</v>
      </c>
      <c r="B58" s="390" t="s">
        <v>131</v>
      </c>
      <c r="C58" s="390">
        <f>VLOOKUP(B58,numbering!$N$18:$O$30,2,0)</f>
        <v>1</v>
      </c>
      <c r="D58" s="403" t="s">
        <v>153</v>
      </c>
      <c r="E58" s="403">
        <f t="shared" si="1"/>
        <v>1</v>
      </c>
      <c r="F58" s="432" t="s">
        <v>165</v>
      </c>
      <c r="G58" s="404" t="s">
        <v>1019</v>
      </c>
      <c r="H58" s="405"/>
      <c r="I58" s="390"/>
      <c r="J58" s="390"/>
      <c r="K58" s="398">
        <f>_xlfn.IFNA(VLOOKUP(A58,numbering!$K$3:$L$92,2,0),0)</f>
        <v>0</v>
      </c>
    </row>
    <row r="59" spans="1:11" ht="17" hidden="1" x14ac:dyDescent="0.2">
      <c r="A59" s="403">
        <v>31</v>
      </c>
      <c r="B59" s="390" t="s">
        <v>131</v>
      </c>
      <c r="C59" s="390">
        <f>VLOOKUP(B59,numbering!$N$18:$O$30,2,0)</f>
        <v>1</v>
      </c>
      <c r="D59" s="403" t="s">
        <v>153</v>
      </c>
      <c r="E59" s="403">
        <f t="shared" si="1"/>
        <v>1</v>
      </c>
      <c r="F59" s="432" t="s">
        <v>166</v>
      </c>
      <c r="G59" s="388" t="s">
        <v>1038</v>
      </c>
      <c r="H59" s="390"/>
      <c r="I59" s="390"/>
      <c r="J59" s="390"/>
      <c r="K59" s="398">
        <f>_xlfn.IFNA(VLOOKUP(A59,numbering!$K$3:$L$92,2,0),0)</f>
        <v>0</v>
      </c>
    </row>
    <row r="60" spans="1:11" ht="17" hidden="1" x14ac:dyDescent="0.2">
      <c r="A60" s="403">
        <v>31</v>
      </c>
      <c r="B60" s="390" t="s">
        <v>131</v>
      </c>
      <c r="C60" s="390">
        <f>VLOOKUP(B60,numbering!$N$18:$O$30,2,0)</f>
        <v>1</v>
      </c>
      <c r="D60" s="403" t="s">
        <v>153</v>
      </c>
      <c r="E60" s="403">
        <f t="shared" si="1"/>
        <v>1</v>
      </c>
      <c r="F60" s="432" t="s">
        <v>166</v>
      </c>
      <c r="G60" s="388" t="s">
        <v>1039</v>
      </c>
      <c r="H60" s="390"/>
      <c r="I60" s="390"/>
      <c r="J60" s="390"/>
      <c r="K60" s="398">
        <f>_xlfn.IFNA(VLOOKUP(A60,numbering!$K$3:$L$92,2,0),0)</f>
        <v>0</v>
      </c>
    </row>
    <row r="61" spans="1:11" ht="17" hidden="1" x14ac:dyDescent="0.2">
      <c r="A61" s="403">
        <v>31</v>
      </c>
      <c r="B61" s="390" t="s">
        <v>131</v>
      </c>
      <c r="C61" s="390">
        <f>VLOOKUP(B61,numbering!$N$18:$O$30,2,0)</f>
        <v>1</v>
      </c>
      <c r="D61" s="403" t="s">
        <v>153</v>
      </c>
      <c r="E61" s="403">
        <f t="shared" si="1"/>
        <v>1</v>
      </c>
      <c r="F61" s="432" t="s">
        <v>166</v>
      </c>
      <c r="G61" s="388" t="s">
        <v>1040</v>
      </c>
      <c r="H61" s="390"/>
      <c r="I61" s="390"/>
      <c r="J61" s="390"/>
      <c r="K61" s="398">
        <f>_xlfn.IFNA(VLOOKUP(A61,numbering!$K$3:$L$92,2,0),0)</f>
        <v>0</v>
      </c>
    </row>
    <row r="62" spans="1:11" ht="17" hidden="1" x14ac:dyDescent="0.2">
      <c r="A62" s="403">
        <v>31</v>
      </c>
      <c r="B62" s="390" t="s">
        <v>131</v>
      </c>
      <c r="C62" s="390">
        <f>VLOOKUP(B62,numbering!$N$18:$O$30,2,0)</f>
        <v>1</v>
      </c>
      <c r="D62" s="403" t="s">
        <v>153</v>
      </c>
      <c r="E62" s="403">
        <f t="shared" si="1"/>
        <v>1</v>
      </c>
      <c r="F62" s="432" t="s">
        <v>166</v>
      </c>
      <c r="G62" s="388" t="s">
        <v>1041</v>
      </c>
      <c r="H62" s="390"/>
      <c r="I62" s="390"/>
      <c r="J62" s="390"/>
      <c r="K62" s="398">
        <f>_xlfn.IFNA(VLOOKUP(A62,numbering!$K$3:$L$92,2,0),0)</f>
        <v>0</v>
      </c>
    </row>
    <row r="63" spans="1:11" ht="17" hidden="1" x14ac:dyDescent="0.2">
      <c r="A63" s="403">
        <v>31</v>
      </c>
      <c r="B63" s="390" t="s">
        <v>131</v>
      </c>
      <c r="C63" s="390">
        <f>VLOOKUP(B63,numbering!$N$18:$O$30,2,0)</f>
        <v>1</v>
      </c>
      <c r="D63" s="403" t="s">
        <v>153</v>
      </c>
      <c r="E63" s="403">
        <f t="shared" si="1"/>
        <v>1</v>
      </c>
      <c r="F63" s="432" t="s">
        <v>166</v>
      </c>
      <c r="G63" s="388" t="s">
        <v>1042</v>
      </c>
      <c r="H63" s="390"/>
      <c r="I63" s="390"/>
      <c r="J63" s="390"/>
      <c r="K63" s="398">
        <f>_xlfn.IFNA(VLOOKUP(A63,numbering!$K$3:$L$92,2,0),0)</f>
        <v>0</v>
      </c>
    </row>
    <row r="64" spans="1:11" ht="17" hidden="1" x14ac:dyDescent="0.2">
      <c r="A64" s="403">
        <v>31</v>
      </c>
      <c r="B64" s="390" t="s">
        <v>131</v>
      </c>
      <c r="C64" s="390">
        <f>VLOOKUP(B64,numbering!$N$18:$O$30,2,0)</f>
        <v>1</v>
      </c>
      <c r="D64" s="403" t="s">
        <v>153</v>
      </c>
      <c r="E64" s="403">
        <f t="shared" si="1"/>
        <v>1</v>
      </c>
      <c r="F64" s="432" t="s">
        <v>166</v>
      </c>
      <c r="G64" s="388" t="s">
        <v>1043</v>
      </c>
      <c r="H64" s="390"/>
      <c r="I64" s="390"/>
      <c r="J64" s="390"/>
      <c r="K64" s="398">
        <f>_xlfn.IFNA(VLOOKUP(A64,numbering!$K$3:$L$92,2,0),0)</f>
        <v>0</v>
      </c>
    </row>
    <row r="65" spans="1:11" ht="17" hidden="1" x14ac:dyDescent="0.2">
      <c r="A65" s="403">
        <v>31</v>
      </c>
      <c r="B65" s="390" t="s">
        <v>131</v>
      </c>
      <c r="C65" s="390">
        <f>VLOOKUP(B65,numbering!$N$18:$O$30,2,0)</f>
        <v>1</v>
      </c>
      <c r="D65" s="403" t="s">
        <v>153</v>
      </c>
      <c r="E65" s="403">
        <f t="shared" si="1"/>
        <v>1</v>
      </c>
      <c r="F65" s="432" t="s">
        <v>166</v>
      </c>
      <c r="G65" s="388" t="s">
        <v>1044</v>
      </c>
      <c r="H65" s="390"/>
      <c r="I65" s="390"/>
      <c r="J65" s="390"/>
      <c r="K65" s="398">
        <f>_xlfn.IFNA(VLOOKUP(A65,numbering!$K$3:$L$92,2,0),0)</f>
        <v>0</v>
      </c>
    </row>
    <row r="66" spans="1:11" ht="17" hidden="1" x14ac:dyDescent="0.2">
      <c r="A66" s="403">
        <v>31</v>
      </c>
      <c r="B66" s="390" t="s">
        <v>131</v>
      </c>
      <c r="C66" s="390">
        <f>VLOOKUP(B66,numbering!$N$18:$O$30,2,0)</f>
        <v>1</v>
      </c>
      <c r="D66" s="403" t="s">
        <v>153</v>
      </c>
      <c r="E66" s="403">
        <f t="shared" si="1"/>
        <v>1</v>
      </c>
      <c r="F66" s="432" t="s">
        <v>166</v>
      </c>
      <c r="G66" s="388" t="s">
        <v>1045</v>
      </c>
      <c r="H66" s="390"/>
      <c r="I66" s="390"/>
      <c r="J66" s="390"/>
      <c r="K66" s="398">
        <f>_xlfn.IFNA(VLOOKUP(A66,numbering!$K$3:$L$92,2,0),0)</f>
        <v>0</v>
      </c>
    </row>
    <row r="67" spans="1:11" ht="17" hidden="1" x14ac:dyDescent="0.2">
      <c r="A67" s="403">
        <v>31</v>
      </c>
      <c r="B67" s="390" t="s">
        <v>131</v>
      </c>
      <c r="C67" s="390">
        <f>VLOOKUP(B67,numbering!$N$18:$O$30,2,0)</f>
        <v>1</v>
      </c>
      <c r="D67" s="403" t="s">
        <v>153</v>
      </c>
      <c r="E67" s="403">
        <f t="shared" si="1"/>
        <v>1</v>
      </c>
      <c r="F67" s="432" t="s">
        <v>166</v>
      </c>
      <c r="G67" s="388" t="s">
        <v>1046</v>
      </c>
      <c r="H67" s="390"/>
      <c r="I67" s="390"/>
      <c r="J67" s="390"/>
      <c r="K67" s="398">
        <f>_xlfn.IFNA(VLOOKUP(A67,numbering!$K$3:$L$92,2,0),0)</f>
        <v>0</v>
      </c>
    </row>
    <row r="68" spans="1:11" ht="17" hidden="1" x14ac:dyDescent="0.2">
      <c r="A68" s="403">
        <v>31</v>
      </c>
      <c r="B68" s="390" t="s">
        <v>131</v>
      </c>
      <c r="C68" s="390">
        <f>VLOOKUP(B68,numbering!$N$18:$O$30,2,0)</f>
        <v>1</v>
      </c>
      <c r="D68" s="403" t="s">
        <v>153</v>
      </c>
      <c r="E68" s="403">
        <f t="shared" si="1"/>
        <v>1</v>
      </c>
      <c r="F68" s="432" t="s">
        <v>166</v>
      </c>
      <c r="G68" s="388" t="s">
        <v>1047</v>
      </c>
      <c r="H68" s="390"/>
      <c r="I68" s="390"/>
      <c r="J68" s="390"/>
      <c r="K68" s="398">
        <f>_xlfn.IFNA(VLOOKUP(A68,numbering!$K$3:$L$92,2,0),0)</f>
        <v>0</v>
      </c>
    </row>
    <row r="69" spans="1:11" ht="17" hidden="1" x14ac:dyDescent="0.2">
      <c r="A69" s="403">
        <v>31</v>
      </c>
      <c r="B69" s="390" t="s">
        <v>131</v>
      </c>
      <c r="C69" s="390">
        <f>VLOOKUP(B69,numbering!$N$18:$O$30,2,0)</f>
        <v>1</v>
      </c>
      <c r="D69" s="403" t="s">
        <v>153</v>
      </c>
      <c r="E69" s="403">
        <f t="shared" si="1"/>
        <v>1</v>
      </c>
      <c r="F69" s="432" t="s">
        <v>166</v>
      </c>
      <c r="G69" s="388" t="s">
        <v>1048</v>
      </c>
      <c r="H69" s="390"/>
      <c r="I69" s="390"/>
      <c r="J69" s="390"/>
      <c r="K69" s="398">
        <f>_xlfn.IFNA(VLOOKUP(A69,numbering!$K$3:$L$92,2,0),0)</f>
        <v>0</v>
      </c>
    </row>
    <row r="70" spans="1:11" ht="17" hidden="1" x14ac:dyDescent="0.2">
      <c r="A70" s="403">
        <v>31</v>
      </c>
      <c r="B70" s="390" t="s">
        <v>131</v>
      </c>
      <c r="C70" s="390">
        <f>VLOOKUP(B70,numbering!$N$18:$O$30,2,0)</f>
        <v>1</v>
      </c>
      <c r="D70" s="403" t="s">
        <v>153</v>
      </c>
      <c r="E70" s="403">
        <f t="shared" si="1"/>
        <v>1</v>
      </c>
      <c r="F70" s="432" t="s">
        <v>166</v>
      </c>
      <c r="G70" s="388" t="s">
        <v>1049</v>
      </c>
      <c r="H70" s="390"/>
      <c r="I70" s="390"/>
      <c r="J70" s="390"/>
      <c r="K70" s="398">
        <f>_xlfn.IFNA(VLOOKUP(A70,numbering!$K$3:$L$92,2,0),0)</f>
        <v>0</v>
      </c>
    </row>
    <row r="71" spans="1:11" ht="17" hidden="1" x14ac:dyDescent="0.2">
      <c r="A71" s="403">
        <v>31</v>
      </c>
      <c r="B71" s="390" t="s">
        <v>131</v>
      </c>
      <c r="C71" s="390">
        <f>VLOOKUP(B71,numbering!$N$18:$O$30,2,0)</f>
        <v>1</v>
      </c>
      <c r="D71" s="403" t="s">
        <v>153</v>
      </c>
      <c r="E71" s="403">
        <f t="shared" si="1"/>
        <v>1</v>
      </c>
      <c r="F71" s="432" t="s">
        <v>166</v>
      </c>
      <c r="G71" s="388" t="s">
        <v>1050</v>
      </c>
      <c r="H71" s="390"/>
      <c r="I71" s="390"/>
      <c r="J71" s="390"/>
      <c r="K71" s="398">
        <f>_xlfn.IFNA(VLOOKUP(A71,numbering!$K$3:$L$92,2,0),0)</f>
        <v>0</v>
      </c>
    </row>
    <row r="72" spans="1:11" ht="17" hidden="1" x14ac:dyDescent="0.2">
      <c r="A72" s="403">
        <v>31</v>
      </c>
      <c r="B72" s="390" t="s">
        <v>131</v>
      </c>
      <c r="C72" s="390">
        <f>VLOOKUP(B72,numbering!$N$18:$O$30,2,0)</f>
        <v>1</v>
      </c>
      <c r="D72" s="403" t="s">
        <v>153</v>
      </c>
      <c r="E72" s="403">
        <f t="shared" si="1"/>
        <v>1</v>
      </c>
      <c r="F72" s="432" t="s">
        <v>166</v>
      </c>
      <c r="G72" s="388" t="s">
        <v>1051</v>
      </c>
      <c r="H72" s="390"/>
      <c r="I72" s="390"/>
      <c r="J72" s="390"/>
      <c r="K72" s="398">
        <f>_xlfn.IFNA(VLOOKUP(A72,numbering!$K$3:$L$92,2,0),0)</f>
        <v>0</v>
      </c>
    </row>
    <row r="73" spans="1:11" ht="17" hidden="1" x14ac:dyDescent="0.2">
      <c r="A73" s="403">
        <v>31</v>
      </c>
      <c r="B73" s="390" t="s">
        <v>131</v>
      </c>
      <c r="C73" s="390">
        <f>VLOOKUP(B73,numbering!$N$18:$O$30,2,0)</f>
        <v>1</v>
      </c>
      <c r="D73" s="403" t="s">
        <v>153</v>
      </c>
      <c r="E73" s="403">
        <f t="shared" si="1"/>
        <v>1</v>
      </c>
      <c r="F73" s="432" t="s">
        <v>166</v>
      </c>
      <c r="G73" s="388" t="s">
        <v>1052</v>
      </c>
      <c r="H73" s="390"/>
      <c r="I73" s="390"/>
      <c r="J73" s="390"/>
      <c r="K73" s="398">
        <f>_xlfn.IFNA(VLOOKUP(A73,numbering!$K$3:$L$92,2,0),0)</f>
        <v>0</v>
      </c>
    </row>
    <row r="74" spans="1:11" ht="17" hidden="1" x14ac:dyDescent="0.2">
      <c r="A74" s="403">
        <v>31</v>
      </c>
      <c r="B74" s="390" t="s">
        <v>131</v>
      </c>
      <c r="C74" s="390">
        <f>VLOOKUP(B74,numbering!$N$18:$O$30,2,0)</f>
        <v>1</v>
      </c>
      <c r="D74" s="403" t="s">
        <v>153</v>
      </c>
      <c r="E74" s="403">
        <f t="shared" si="1"/>
        <v>1</v>
      </c>
      <c r="F74" s="432" t="s">
        <v>166</v>
      </c>
      <c r="G74" s="388" t="s">
        <v>1053</v>
      </c>
      <c r="H74" s="390"/>
      <c r="I74" s="390"/>
      <c r="J74" s="390"/>
      <c r="K74" s="398">
        <f>_xlfn.IFNA(VLOOKUP(A74,numbering!$K$3:$L$92,2,0),0)</f>
        <v>0</v>
      </c>
    </row>
    <row r="75" spans="1:11" ht="17" hidden="1" x14ac:dyDescent="0.2">
      <c r="A75" s="403">
        <v>31</v>
      </c>
      <c r="B75" s="390" t="s">
        <v>131</v>
      </c>
      <c r="C75" s="390">
        <f>VLOOKUP(B75,numbering!$N$18:$O$30,2,0)</f>
        <v>1</v>
      </c>
      <c r="D75" s="403" t="s">
        <v>153</v>
      </c>
      <c r="E75" s="403">
        <f t="shared" si="1"/>
        <v>1</v>
      </c>
      <c r="F75" s="432" t="s">
        <v>166</v>
      </c>
      <c r="G75" s="388" t="s">
        <v>1054</v>
      </c>
      <c r="H75" s="390"/>
      <c r="I75" s="390"/>
      <c r="J75" s="390"/>
      <c r="K75" s="398">
        <f>_xlfn.IFNA(VLOOKUP(A75,numbering!$K$3:$L$92,2,0),0)</f>
        <v>0</v>
      </c>
    </row>
    <row r="76" spans="1:11" ht="17" hidden="1" x14ac:dyDescent="0.2">
      <c r="A76" s="403">
        <v>31</v>
      </c>
      <c r="B76" s="390" t="s">
        <v>131</v>
      </c>
      <c r="C76" s="390">
        <f>VLOOKUP(B76,numbering!$N$18:$O$30,2,0)</f>
        <v>1</v>
      </c>
      <c r="D76" s="403" t="s">
        <v>153</v>
      </c>
      <c r="E76" s="403">
        <f t="shared" si="1"/>
        <v>1</v>
      </c>
      <c r="F76" s="432" t="s">
        <v>166</v>
      </c>
      <c r="G76" s="388" t="s">
        <v>662</v>
      </c>
      <c r="H76" s="390"/>
      <c r="I76" s="390"/>
      <c r="J76" s="390"/>
      <c r="K76" s="398">
        <f>_xlfn.IFNA(VLOOKUP(A76,numbering!$K$3:$L$92,2,0),0)</f>
        <v>0</v>
      </c>
    </row>
    <row r="77" spans="1:11" ht="17" hidden="1" x14ac:dyDescent="0.2">
      <c r="A77" s="403">
        <v>32</v>
      </c>
      <c r="B77" s="390" t="s">
        <v>131</v>
      </c>
      <c r="C77" s="390">
        <f>VLOOKUP(B77,numbering!$N$18:$O$30,2,0)</f>
        <v>1</v>
      </c>
      <c r="D77" s="403" t="s">
        <v>153</v>
      </c>
      <c r="E77" s="403">
        <f t="shared" si="1"/>
        <v>1</v>
      </c>
      <c r="F77" s="432" t="s">
        <v>167</v>
      </c>
      <c r="G77" s="404" t="s">
        <v>1019</v>
      </c>
      <c r="H77" s="405"/>
      <c r="I77" s="390"/>
      <c r="J77" s="390"/>
      <c r="K77" s="398">
        <f>_xlfn.IFNA(VLOOKUP(A77,numbering!$K$3:$L$92,2,0),0)</f>
        <v>0</v>
      </c>
    </row>
    <row r="78" spans="1:11" ht="17" hidden="1" x14ac:dyDescent="0.2">
      <c r="A78" s="403">
        <v>33</v>
      </c>
      <c r="B78" s="390" t="s">
        <v>131</v>
      </c>
      <c r="C78" s="390">
        <f>VLOOKUP(B78,numbering!$N$18:$O$30,2,0)</f>
        <v>1</v>
      </c>
      <c r="D78" s="403" t="s">
        <v>153</v>
      </c>
      <c r="E78" s="403">
        <f t="shared" ref="E78:E102" si="2">IF(C78&lt;&gt;C77,1,IF(D78&lt;&gt;D77,E77+1,E77))</f>
        <v>1</v>
      </c>
      <c r="F78" s="432" t="s">
        <v>168</v>
      </c>
      <c r="G78" s="404" t="s">
        <v>1019</v>
      </c>
      <c r="H78" s="405"/>
      <c r="I78" s="390"/>
      <c r="J78" s="390"/>
      <c r="K78" s="398">
        <f>_xlfn.IFNA(VLOOKUP(A78,numbering!$K$3:$L$92,2,0),0)</f>
        <v>0</v>
      </c>
    </row>
    <row r="79" spans="1:11" ht="17" hidden="1" x14ac:dyDescent="0.2">
      <c r="A79" s="403">
        <v>34</v>
      </c>
      <c r="B79" s="390" t="s">
        <v>131</v>
      </c>
      <c r="C79" s="390">
        <f>VLOOKUP(B79,numbering!$N$18:$O$30,2,0)</f>
        <v>1</v>
      </c>
      <c r="D79" s="403" t="s">
        <v>153</v>
      </c>
      <c r="E79" s="403">
        <f t="shared" si="2"/>
        <v>1</v>
      </c>
      <c r="F79" s="432" t="s">
        <v>169</v>
      </c>
      <c r="G79" s="404" t="s">
        <v>1019</v>
      </c>
      <c r="H79" s="405"/>
      <c r="I79" s="390"/>
      <c r="J79" s="390"/>
      <c r="K79" s="398">
        <f>_xlfn.IFNA(VLOOKUP(A79,numbering!$K$3:$L$92,2,0),0)</f>
        <v>0</v>
      </c>
    </row>
    <row r="80" spans="1:11" ht="17" hidden="1" x14ac:dyDescent="0.2">
      <c r="A80" s="403">
        <v>35</v>
      </c>
      <c r="B80" s="390" t="s">
        <v>131</v>
      </c>
      <c r="C80" s="390">
        <f>VLOOKUP(B80,numbering!$N$18:$O$30,2,0)</f>
        <v>1</v>
      </c>
      <c r="D80" s="403" t="s">
        <v>153</v>
      </c>
      <c r="E80" s="403">
        <f t="shared" si="2"/>
        <v>1</v>
      </c>
      <c r="F80" s="432" t="s">
        <v>1317</v>
      </c>
      <c r="G80" s="404" t="s">
        <v>1019</v>
      </c>
      <c r="H80" s="405"/>
      <c r="I80" s="390"/>
      <c r="J80" s="390"/>
      <c r="K80" s="398">
        <f>_xlfn.IFNA(VLOOKUP(A80,numbering!$K$3:$L$92,2,0),0)</f>
        <v>0</v>
      </c>
    </row>
    <row r="81" spans="1:11" ht="17" hidden="1" x14ac:dyDescent="0.2">
      <c r="A81" s="403">
        <v>36</v>
      </c>
      <c r="B81" s="390" t="s">
        <v>131</v>
      </c>
      <c r="C81" s="390">
        <f>VLOOKUP(B81,numbering!$N$18:$O$30,2,0)</f>
        <v>1</v>
      </c>
      <c r="D81" s="403" t="s">
        <v>153</v>
      </c>
      <c r="E81" s="403">
        <f t="shared" si="2"/>
        <v>1</v>
      </c>
      <c r="F81" s="432" t="s">
        <v>170</v>
      </c>
      <c r="G81" s="404" t="s">
        <v>1019</v>
      </c>
      <c r="H81" s="405"/>
      <c r="I81" s="390"/>
      <c r="J81" s="390"/>
      <c r="K81" s="398">
        <f>_xlfn.IFNA(VLOOKUP(A81,numbering!$K$3:$L$92,2,0),0)</f>
        <v>0</v>
      </c>
    </row>
    <row r="82" spans="1:11" ht="17" hidden="1" x14ac:dyDescent="0.2">
      <c r="A82" s="403">
        <v>37</v>
      </c>
      <c r="B82" s="390" t="s">
        <v>131</v>
      </c>
      <c r="C82" s="390">
        <f>VLOOKUP(B82,numbering!$N$18:$O$30,2,0)</f>
        <v>1</v>
      </c>
      <c r="D82" s="403" t="s">
        <v>153</v>
      </c>
      <c r="E82" s="403">
        <f t="shared" si="2"/>
        <v>1</v>
      </c>
      <c r="F82" s="432" t="s">
        <v>172</v>
      </c>
      <c r="G82" s="404" t="s">
        <v>1019</v>
      </c>
      <c r="H82" s="405"/>
      <c r="I82" s="390"/>
      <c r="J82" s="390"/>
      <c r="K82" s="398">
        <f>_xlfn.IFNA(VLOOKUP(A82,numbering!$K$3:$L$92,2,0),0)</f>
        <v>0</v>
      </c>
    </row>
    <row r="83" spans="1:11" ht="17" hidden="1" x14ac:dyDescent="0.2">
      <c r="A83" s="403">
        <v>38</v>
      </c>
      <c r="B83" s="390" t="s">
        <v>131</v>
      </c>
      <c r="C83" s="390">
        <f>VLOOKUP(B83,numbering!$N$18:$O$30,2,0)</f>
        <v>1</v>
      </c>
      <c r="D83" s="403" t="s">
        <v>153</v>
      </c>
      <c r="E83" s="403">
        <f t="shared" si="2"/>
        <v>1</v>
      </c>
      <c r="F83" s="432" t="s">
        <v>1055</v>
      </c>
      <c r="G83" s="388" t="s">
        <v>7</v>
      </c>
      <c r="H83" s="390"/>
      <c r="I83" s="390"/>
      <c r="J83" s="390"/>
      <c r="K83" s="398">
        <f>_xlfn.IFNA(VLOOKUP(A83,numbering!$K$3:$L$92,2,0),0)</f>
        <v>0</v>
      </c>
    </row>
    <row r="84" spans="1:11" ht="17" hidden="1" x14ac:dyDescent="0.2">
      <c r="A84" s="403">
        <v>38</v>
      </c>
      <c r="B84" s="390" t="s">
        <v>131</v>
      </c>
      <c r="C84" s="390">
        <f>VLOOKUP(B84,numbering!$N$18:$O$30,2,0)</f>
        <v>1</v>
      </c>
      <c r="D84" s="403" t="s">
        <v>153</v>
      </c>
      <c r="E84" s="403">
        <f t="shared" si="2"/>
        <v>1</v>
      </c>
      <c r="F84" s="432" t="s">
        <v>1055</v>
      </c>
      <c r="G84" s="388" t="s">
        <v>8</v>
      </c>
      <c r="H84" s="390"/>
      <c r="I84" s="390"/>
      <c r="J84" s="390"/>
      <c r="K84" s="398">
        <f>_xlfn.IFNA(VLOOKUP(A84,numbering!$K$3:$L$92,2,0),0)</f>
        <v>0</v>
      </c>
    </row>
    <row r="85" spans="1:11" ht="17" hidden="1" x14ac:dyDescent="0.2">
      <c r="A85" s="403">
        <v>39</v>
      </c>
      <c r="B85" s="390" t="s">
        <v>131</v>
      </c>
      <c r="C85" s="390">
        <f>VLOOKUP(B85,numbering!$N$18:$O$30,2,0)</f>
        <v>1</v>
      </c>
      <c r="D85" s="403" t="s">
        <v>153</v>
      </c>
      <c r="E85" s="403">
        <f t="shared" si="2"/>
        <v>1</v>
      </c>
      <c r="F85" s="432" t="s">
        <v>173</v>
      </c>
      <c r="G85" s="404" t="s">
        <v>1019</v>
      </c>
      <c r="H85" s="405"/>
      <c r="I85" s="390"/>
      <c r="J85" s="390"/>
      <c r="K85" s="398">
        <f>_xlfn.IFNA(VLOOKUP(A85,numbering!$K$3:$L$92,2,0),0)</f>
        <v>0</v>
      </c>
    </row>
    <row r="86" spans="1:11" ht="17" hidden="1" x14ac:dyDescent="0.2">
      <c r="A86" s="403">
        <v>40</v>
      </c>
      <c r="B86" s="390" t="s">
        <v>131</v>
      </c>
      <c r="C86" s="390">
        <f>VLOOKUP(B86,numbering!$N$18:$O$30,2,0)</f>
        <v>1</v>
      </c>
      <c r="D86" s="403" t="s">
        <v>1283</v>
      </c>
      <c r="E86" s="403">
        <f t="shared" si="2"/>
        <v>2</v>
      </c>
      <c r="F86" s="432" t="s">
        <v>175</v>
      </c>
      <c r="G86" s="404" t="s">
        <v>1056</v>
      </c>
      <c r="H86" s="405"/>
      <c r="I86" s="390"/>
      <c r="J86" s="390"/>
      <c r="K86" s="398">
        <f>_xlfn.IFNA(VLOOKUP(A86,numbering!$K$3:$L$92,2,0),0)</f>
        <v>0</v>
      </c>
    </row>
    <row r="87" spans="1:11" ht="17" hidden="1" x14ac:dyDescent="0.2">
      <c r="A87" s="403">
        <v>41</v>
      </c>
      <c r="B87" s="390" t="s">
        <v>131</v>
      </c>
      <c r="C87" s="390">
        <f>VLOOKUP(B87,numbering!$N$18:$O$30,2,0)</f>
        <v>1</v>
      </c>
      <c r="D87" s="403" t="s">
        <v>1283</v>
      </c>
      <c r="E87" s="403">
        <f t="shared" si="2"/>
        <v>2</v>
      </c>
      <c r="F87" s="432" t="s">
        <v>176</v>
      </c>
      <c r="G87" s="404" t="s">
        <v>1056</v>
      </c>
      <c r="H87" s="405"/>
      <c r="I87" s="390"/>
      <c r="J87" s="390"/>
      <c r="K87" s="398">
        <f>_xlfn.IFNA(VLOOKUP(A87,numbering!$K$3:$L$92,2,0),0)</f>
        <v>0</v>
      </c>
    </row>
    <row r="88" spans="1:11" ht="17" hidden="1" x14ac:dyDescent="0.2">
      <c r="A88" s="403">
        <v>42</v>
      </c>
      <c r="B88" s="390" t="s">
        <v>131</v>
      </c>
      <c r="C88" s="390">
        <f>VLOOKUP(B88,numbering!$N$18:$O$30,2,0)</f>
        <v>1</v>
      </c>
      <c r="D88" s="403" t="s">
        <v>1283</v>
      </c>
      <c r="E88" s="403">
        <f t="shared" si="2"/>
        <v>2</v>
      </c>
      <c r="F88" s="432" t="s">
        <v>177</v>
      </c>
      <c r="G88" s="404" t="s">
        <v>1056</v>
      </c>
      <c r="H88" s="405"/>
      <c r="I88" s="390"/>
      <c r="J88" s="390"/>
      <c r="K88" s="398">
        <f>_xlfn.IFNA(VLOOKUP(A88,numbering!$K$3:$L$92,2,0),0)</f>
        <v>0</v>
      </c>
    </row>
    <row r="89" spans="1:11" ht="17" hidden="1" x14ac:dyDescent="0.2">
      <c r="A89" s="403">
        <v>43</v>
      </c>
      <c r="B89" s="390" t="s">
        <v>131</v>
      </c>
      <c r="C89" s="390">
        <f>VLOOKUP(B89,numbering!$N$18:$O$30,2,0)</f>
        <v>1</v>
      </c>
      <c r="D89" s="403" t="s">
        <v>1020</v>
      </c>
      <c r="E89" s="403">
        <f t="shared" si="2"/>
        <v>3</v>
      </c>
      <c r="F89" s="432" t="s">
        <v>178</v>
      </c>
      <c r="G89" s="404" t="s">
        <v>1057</v>
      </c>
      <c r="H89" s="405"/>
      <c r="I89" s="390"/>
      <c r="J89" s="390"/>
      <c r="K89" s="398">
        <f>_xlfn.IFNA(VLOOKUP(A89,numbering!$K$3:$L$92,2,0),0)</f>
        <v>0</v>
      </c>
    </row>
    <row r="90" spans="1:11" ht="17" hidden="1" x14ac:dyDescent="0.2">
      <c r="A90" s="403">
        <v>44</v>
      </c>
      <c r="B90" s="390" t="s">
        <v>131</v>
      </c>
      <c r="C90" s="390">
        <f>VLOOKUP(B90,numbering!$N$18:$O$30,2,0)</f>
        <v>1</v>
      </c>
      <c r="D90" s="403" t="s">
        <v>1283</v>
      </c>
      <c r="E90" s="403">
        <f t="shared" si="2"/>
        <v>4</v>
      </c>
      <c r="F90" s="432" t="s">
        <v>179</v>
      </c>
      <c r="G90" s="388" t="s">
        <v>685</v>
      </c>
      <c r="H90" s="390"/>
      <c r="I90" s="390"/>
      <c r="J90" s="390"/>
      <c r="K90" s="398">
        <f>_xlfn.IFNA(VLOOKUP(A90,numbering!$K$3:$L$92,2,0),0)</f>
        <v>0</v>
      </c>
    </row>
    <row r="91" spans="1:11" ht="17" hidden="1" x14ac:dyDescent="0.2">
      <c r="A91" s="403">
        <v>44</v>
      </c>
      <c r="B91" s="390" t="s">
        <v>131</v>
      </c>
      <c r="C91" s="390">
        <f>VLOOKUP(B91,numbering!$N$18:$O$30,2,0)</f>
        <v>1</v>
      </c>
      <c r="D91" s="403" t="s">
        <v>1283</v>
      </c>
      <c r="E91" s="403">
        <f t="shared" si="2"/>
        <v>4</v>
      </c>
      <c r="F91" s="432" t="s">
        <v>179</v>
      </c>
      <c r="G91" s="388" t="s">
        <v>664</v>
      </c>
      <c r="H91" s="390"/>
      <c r="I91" s="390"/>
      <c r="J91" s="390"/>
      <c r="K91" s="398">
        <f>_xlfn.IFNA(VLOOKUP(A91,numbering!$K$3:$L$92,2,0),0)</f>
        <v>0</v>
      </c>
    </row>
    <row r="92" spans="1:11" ht="17" hidden="1" x14ac:dyDescent="0.2">
      <c r="A92" s="403">
        <v>44</v>
      </c>
      <c r="B92" s="390" t="s">
        <v>131</v>
      </c>
      <c r="C92" s="390">
        <f>VLOOKUP(B92,numbering!$N$18:$O$30,2,0)</f>
        <v>1</v>
      </c>
      <c r="D92" s="403" t="s">
        <v>1283</v>
      </c>
      <c r="E92" s="403">
        <f t="shared" si="2"/>
        <v>4</v>
      </c>
      <c r="F92" s="432" t="s">
        <v>179</v>
      </c>
      <c r="G92" s="388" t="s">
        <v>1058</v>
      </c>
      <c r="H92" s="390"/>
      <c r="I92" s="390"/>
      <c r="J92" s="390"/>
      <c r="K92" s="398">
        <f>_xlfn.IFNA(VLOOKUP(A92,numbering!$K$3:$L$92,2,0),0)</f>
        <v>0</v>
      </c>
    </row>
    <row r="93" spans="1:11" ht="17" hidden="1" x14ac:dyDescent="0.2">
      <c r="A93" s="403">
        <v>44</v>
      </c>
      <c r="B93" s="390" t="s">
        <v>131</v>
      </c>
      <c r="C93" s="390">
        <f>VLOOKUP(B93,numbering!$N$18:$O$30,2,0)</f>
        <v>1</v>
      </c>
      <c r="D93" s="403" t="s">
        <v>1283</v>
      </c>
      <c r="E93" s="403">
        <f t="shared" si="2"/>
        <v>4</v>
      </c>
      <c r="F93" s="432" t="s">
        <v>179</v>
      </c>
      <c r="G93" s="388" t="s">
        <v>1059</v>
      </c>
      <c r="H93" s="390"/>
      <c r="I93" s="390"/>
      <c r="J93" s="390"/>
      <c r="K93" s="398">
        <f>_xlfn.IFNA(VLOOKUP(A93,numbering!$K$3:$L$92,2,0),0)</f>
        <v>0</v>
      </c>
    </row>
    <row r="94" spans="1:11" ht="17" hidden="1" x14ac:dyDescent="0.2">
      <c r="A94" s="403">
        <v>44</v>
      </c>
      <c r="B94" s="390" t="s">
        <v>131</v>
      </c>
      <c r="C94" s="390">
        <f>VLOOKUP(B94,numbering!$N$18:$O$30,2,0)</f>
        <v>1</v>
      </c>
      <c r="D94" s="403" t="s">
        <v>1283</v>
      </c>
      <c r="E94" s="403">
        <f t="shared" si="2"/>
        <v>4</v>
      </c>
      <c r="F94" s="432" t="s">
        <v>179</v>
      </c>
      <c r="G94" s="388" t="s">
        <v>1060</v>
      </c>
      <c r="H94" s="390"/>
      <c r="I94" s="390"/>
      <c r="J94" s="390"/>
      <c r="K94" s="398">
        <f>_xlfn.IFNA(VLOOKUP(A94,numbering!$K$3:$L$92,2,0),0)</f>
        <v>0</v>
      </c>
    </row>
    <row r="95" spans="1:11" ht="17" hidden="1" x14ac:dyDescent="0.2">
      <c r="A95" s="403">
        <v>44</v>
      </c>
      <c r="B95" s="390" t="s">
        <v>131</v>
      </c>
      <c r="C95" s="390">
        <f>VLOOKUP(B95,numbering!$N$18:$O$30,2,0)</f>
        <v>1</v>
      </c>
      <c r="D95" s="403" t="s">
        <v>1283</v>
      </c>
      <c r="E95" s="403">
        <f t="shared" si="2"/>
        <v>4</v>
      </c>
      <c r="F95" s="432" t="s">
        <v>179</v>
      </c>
      <c r="G95" s="388" t="s">
        <v>1061</v>
      </c>
      <c r="H95" s="390"/>
      <c r="I95" s="390"/>
      <c r="J95" s="390"/>
      <c r="K95" s="398">
        <f>_xlfn.IFNA(VLOOKUP(A95,numbering!$K$3:$L$92,2,0),0)</f>
        <v>0</v>
      </c>
    </row>
    <row r="96" spans="1:11" ht="17" hidden="1" x14ac:dyDescent="0.2">
      <c r="A96" s="403">
        <v>45</v>
      </c>
      <c r="B96" s="390" t="s">
        <v>131</v>
      </c>
      <c r="C96" s="390">
        <f>VLOOKUP(B96,numbering!$N$18:$O$30,2,0)</f>
        <v>1</v>
      </c>
      <c r="D96" s="403" t="s">
        <v>1283</v>
      </c>
      <c r="E96" s="403">
        <f t="shared" si="2"/>
        <v>4</v>
      </c>
      <c r="F96" s="432" t="s">
        <v>180</v>
      </c>
      <c r="G96" s="404" t="s">
        <v>1056</v>
      </c>
      <c r="H96" s="405"/>
      <c r="I96" s="390"/>
      <c r="J96" s="390"/>
      <c r="K96" s="398">
        <f>_xlfn.IFNA(VLOOKUP(A96,numbering!$K$3:$L$92,2,0),0)</f>
        <v>0</v>
      </c>
    </row>
    <row r="97" spans="1:11" ht="17" hidden="1" x14ac:dyDescent="0.2">
      <c r="A97" s="403">
        <v>46</v>
      </c>
      <c r="B97" s="390" t="s">
        <v>131</v>
      </c>
      <c r="C97" s="390">
        <f>VLOOKUP(B97,numbering!$N$18:$O$30,2,0)</f>
        <v>1</v>
      </c>
      <c r="D97" s="403" t="s">
        <v>1283</v>
      </c>
      <c r="E97" s="403">
        <f t="shared" si="2"/>
        <v>4</v>
      </c>
      <c r="F97" s="432" t="s">
        <v>1318</v>
      </c>
      <c r="G97" s="404" t="s">
        <v>1019</v>
      </c>
      <c r="H97" s="405"/>
      <c r="I97" s="390"/>
      <c r="J97" s="390"/>
      <c r="K97" s="398">
        <f>_xlfn.IFNA(VLOOKUP(A97,numbering!$K$3:$L$92,2,0),0)</f>
        <v>0</v>
      </c>
    </row>
    <row r="98" spans="1:11" ht="17" hidden="1" x14ac:dyDescent="0.2">
      <c r="A98" s="403">
        <v>47</v>
      </c>
      <c r="B98" s="390" t="s">
        <v>131</v>
      </c>
      <c r="C98" s="390">
        <f>VLOOKUP(B98,numbering!$N$18:$O$30,2,0)</f>
        <v>1</v>
      </c>
      <c r="D98" s="403" t="s">
        <v>1283</v>
      </c>
      <c r="E98" s="403">
        <f t="shared" si="2"/>
        <v>4</v>
      </c>
      <c r="F98" s="432" t="s">
        <v>181</v>
      </c>
      <c r="G98" s="404" t="s">
        <v>1019</v>
      </c>
      <c r="H98" s="405"/>
      <c r="I98" s="390"/>
      <c r="J98" s="390"/>
      <c r="K98" s="398">
        <f>_xlfn.IFNA(VLOOKUP(A98,numbering!$K$3:$L$92,2,0),0)</f>
        <v>0</v>
      </c>
    </row>
    <row r="99" spans="1:11" ht="17" hidden="1" x14ac:dyDescent="0.2">
      <c r="A99" s="403">
        <v>49</v>
      </c>
      <c r="B99" s="390" t="s">
        <v>131</v>
      </c>
      <c r="C99" s="390">
        <f>VLOOKUP(B99,numbering!$N$18:$O$30,2,0)</f>
        <v>1</v>
      </c>
      <c r="D99" s="403" t="s">
        <v>1283</v>
      </c>
      <c r="E99" s="403">
        <f t="shared" si="2"/>
        <v>4</v>
      </c>
      <c r="F99" s="432" t="s">
        <v>1293</v>
      </c>
      <c r="G99" s="388" t="s">
        <v>1294</v>
      </c>
      <c r="H99" s="390"/>
      <c r="I99" s="390"/>
      <c r="J99" s="390"/>
      <c r="K99" s="398">
        <f>_xlfn.IFNA(VLOOKUP(A99,numbering!$K$3:$L$92,2,0),0)</f>
        <v>0</v>
      </c>
    </row>
    <row r="100" spans="1:11" ht="17" hidden="1" x14ac:dyDescent="0.2">
      <c r="A100" s="403">
        <v>49</v>
      </c>
      <c r="B100" s="390" t="s">
        <v>131</v>
      </c>
      <c r="C100" s="390">
        <f>VLOOKUP(B100,numbering!$N$18:$O$30,2,0)</f>
        <v>1</v>
      </c>
      <c r="D100" s="403" t="s">
        <v>1283</v>
      </c>
      <c r="E100" s="403">
        <f t="shared" si="2"/>
        <v>4</v>
      </c>
      <c r="F100" s="432" t="s">
        <v>1293</v>
      </c>
      <c r="G100" s="388" t="s">
        <v>1062</v>
      </c>
      <c r="H100" s="390"/>
      <c r="I100" s="390"/>
      <c r="J100" s="390"/>
      <c r="K100" s="398">
        <f>_xlfn.IFNA(VLOOKUP(A100,numbering!$K$3:$L$92,2,0),0)</f>
        <v>0</v>
      </c>
    </row>
    <row r="101" spans="1:11" ht="17" hidden="1" x14ac:dyDescent="0.2">
      <c r="A101" s="403">
        <v>49</v>
      </c>
      <c r="B101" s="390" t="s">
        <v>131</v>
      </c>
      <c r="C101" s="390">
        <f>VLOOKUP(B101,numbering!$N$18:$O$30,2,0)</f>
        <v>1</v>
      </c>
      <c r="D101" s="403" t="s">
        <v>1283</v>
      </c>
      <c r="E101" s="403">
        <f t="shared" si="2"/>
        <v>4</v>
      </c>
      <c r="F101" s="432" t="s">
        <v>1293</v>
      </c>
      <c r="G101" s="388" t="s">
        <v>1063</v>
      </c>
      <c r="H101" s="390"/>
      <c r="I101" s="390"/>
      <c r="J101" s="390"/>
      <c r="K101" s="398">
        <f>_xlfn.IFNA(VLOOKUP(A101,numbering!$K$3:$L$92,2,0),0)</f>
        <v>0</v>
      </c>
    </row>
    <row r="102" spans="1:11" ht="17" hidden="1" x14ac:dyDescent="0.2">
      <c r="A102" s="403">
        <v>49</v>
      </c>
      <c r="B102" s="390" t="s">
        <v>131</v>
      </c>
      <c r="C102" s="390">
        <f>VLOOKUP(B102,numbering!$N$18:$O$30,2,0)</f>
        <v>1</v>
      </c>
      <c r="D102" s="403" t="s">
        <v>1283</v>
      </c>
      <c r="E102" s="403">
        <f t="shared" si="2"/>
        <v>4</v>
      </c>
      <c r="F102" s="432" t="s">
        <v>1293</v>
      </c>
      <c r="G102" s="388" t="s">
        <v>1295</v>
      </c>
      <c r="H102" s="390"/>
      <c r="I102" s="390"/>
      <c r="J102" s="390"/>
      <c r="K102" s="398">
        <f>_xlfn.IFNA(VLOOKUP(A102,numbering!$K$3:$L$92,2,0),0)</f>
        <v>0</v>
      </c>
    </row>
    <row r="103" spans="1:11" ht="17" hidden="1" x14ac:dyDescent="0.2">
      <c r="A103" s="403">
        <v>50</v>
      </c>
      <c r="B103" s="390" t="s">
        <v>131</v>
      </c>
      <c r="C103" s="390">
        <f>VLOOKUP(B103,numbering!$N$18:$O$30,2,0)</f>
        <v>1</v>
      </c>
      <c r="D103" s="403" t="s">
        <v>1283</v>
      </c>
      <c r="E103" s="403">
        <f>IF(C103&lt;&gt;C101,1,IF(D103&lt;&gt;D101,E101+1,E101))</f>
        <v>4</v>
      </c>
      <c r="F103" s="432" t="s">
        <v>182</v>
      </c>
      <c r="G103" s="404" t="s">
        <v>1019</v>
      </c>
      <c r="H103" s="405"/>
      <c r="I103" s="390"/>
      <c r="J103" s="390"/>
      <c r="K103" s="398">
        <f>_xlfn.IFNA(VLOOKUP(A103,numbering!$K$3:$L$92,2,0),0)</f>
        <v>0</v>
      </c>
    </row>
    <row r="104" spans="1:11" ht="17" hidden="1" x14ac:dyDescent="0.2">
      <c r="A104" s="403">
        <v>51</v>
      </c>
      <c r="B104" s="390" t="s">
        <v>131</v>
      </c>
      <c r="C104" s="390">
        <f>VLOOKUP(B104,numbering!$N$18:$O$30,2,0)</f>
        <v>1</v>
      </c>
      <c r="D104" s="403" t="s">
        <v>1283</v>
      </c>
      <c r="E104" s="403">
        <f t="shared" ref="E104:E122" si="3">IF(C104&lt;&gt;C103,1,IF(D104&lt;&gt;D103,E103+1,E103))</f>
        <v>4</v>
      </c>
      <c r="F104" s="432" t="s">
        <v>183</v>
      </c>
      <c r="G104" s="404" t="s">
        <v>1019</v>
      </c>
      <c r="H104" s="405"/>
      <c r="I104" s="390"/>
      <c r="J104" s="390"/>
      <c r="K104" s="398">
        <f>_xlfn.IFNA(VLOOKUP(A104,numbering!$K$3:$L$92,2,0),0)</f>
        <v>0</v>
      </c>
    </row>
    <row r="105" spans="1:11" ht="17" hidden="1" x14ac:dyDescent="0.2">
      <c r="A105" s="403">
        <v>52</v>
      </c>
      <c r="B105" s="390" t="s">
        <v>131</v>
      </c>
      <c r="C105" s="390">
        <f>VLOOKUP(B105,numbering!$N$18:$O$30,2,0)</f>
        <v>1</v>
      </c>
      <c r="D105" s="403" t="s">
        <v>1283</v>
      </c>
      <c r="E105" s="403">
        <f t="shared" si="3"/>
        <v>4</v>
      </c>
      <c r="F105" s="432" t="s">
        <v>184</v>
      </c>
      <c r="G105" s="404" t="s">
        <v>1019</v>
      </c>
      <c r="H105" s="405"/>
      <c r="I105" s="390"/>
      <c r="J105" s="390"/>
      <c r="K105" s="398">
        <f>_xlfn.IFNA(VLOOKUP(A105,numbering!$K$3:$L$92,2,0),0)</f>
        <v>0</v>
      </c>
    </row>
    <row r="106" spans="1:11" ht="17" hidden="1" x14ac:dyDescent="0.2">
      <c r="A106" s="403">
        <v>53</v>
      </c>
      <c r="B106" s="390" t="s">
        <v>131</v>
      </c>
      <c r="C106" s="390">
        <f>VLOOKUP(B106,numbering!$N$18:$O$30,2,0)</f>
        <v>1</v>
      </c>
      <c r="D106" s="403" t="s">
        <v>1283</v>
      </c>
      <c r="E106" s="403">
        <f t="shared" si="3"/>
        <v>4</v>
      </c>
      <c r="F106" s="432" t="s">
        <v>185</v>
      </c>
      <c r="G106" s="404" t="s">
        <v>1019</v>
      </c>
      <c r="H106" s="405"/>
      <c r="I106" s="390"/>
      <c r="J106" s="390"/>
      <c r="K106" s="398">
        <f>_xlfn.IFNA(VLOOKUP(A106,numbering!$K$3:$L$92,2,0),0)</f>
        <v>0</v>
      </c>
    </row>
    <row r="107" spans="1:11" ht="30" hidden="1" x14ac:dyDescent="0.2">
      <c r="A107" s="403">
        <v>54</v>
      </c>
      <c r="B107" s="390" t="s">
        <v>131</v>
      </c>
      <c r="C107" s="390">
        <f>VLOOKUP(B107,numbering!$N$18:$O$30,2,0)</f>
        <v>1</v>
      </c>
      <c r="D107" s="403" t="s">
        <v>174</v>
      </c>
      <c r="E107" s="403">
        <f t="shared" si="3"/>
        <v>5</v>
      </c>
      <c r="F107" s="432" t="s">
        <v>186</v>
      </c>
      <c r="G107" s="388" t="s">
        <v>1064</v>
      </c>
      <c r="H107" s="390"/>
      <c r="I107" s="390"/>
      <c r="J107" s="390"/>
      <c r="K107" s="398">
        <f>_xlfn.IFNA(VLOOKUP(A107,numbering!$K$3:$L$92,2,0),0)</f>
        <v>0</v>
      </c>
    </row>
    <row r="108" spans="1:11" ht="30" hidden="1" x14ac:dyDescent="0.2">
      <c r="A108" s="403">
        <v>54</v>
      </c>
      <c r="B108" s="390" t="s">
        <v>131</v>
      </c>
      <c r="C108" s="390">
        <f>VLOOKUP(B108,numbering!$N$18:$O$30,2,0)</f>
        <v>1</v>
      </c>
      <c r="D108" s="403" t="s">
        <v>174</v>
      </c>
      <c r="E108" s="403">
        <f t="shared" si="3"/>
        <v>5</v>
      </c>
      <c r="F108" s="432" t="s">
        <v>186</v>
      </c>
      <c r="G108" s="388" t="s">
        <v>665</v>
      </c>
      <c r="H108" s="390"/>
      <c r="I108" s="390"/>
      <c r="J108" s="390"/>
      <c r="K108" s="398">
        <f>_xlfn.IFNA(VLOOKUP(A108,numbering!$K$3:$L$92,2,0),0)</f>
        <v>0</v>
      </c>
    </row>
    <row r="109" spans="1:11" ht="30" hidden="1" x14ac:dyDescent="0.2">
      <c r="A109" s="403">
        <v>54</v>
      </c>
      <c r="B109" s="390" t="s">
        <v>131</v>
      </c>
      <c r="C109" s="390">
        <f>VLOOKUP(B109,numbering!$N$18:$O$30,2,0)</f>
        <v>1</v>
      </c>
      <c r="D109" s="403" t="s">
        <v>174</v>
      </c>
      <c r="E109" s="403">
        <f t="shared" si="3"/>
        <v>5</v>
      </c>
      <c r="F109" s="432" t="s">
        <v>186</v>
      </c>
      <c r="G109" s="388" t="s">
        <v>1065</v>
      </c>
      <c r="H109" s="390"/>
      <c r="I109" s="390"/>
      <c r="J109" s="390"/>
      <c r="K109" s="398">
        <f>_xlfn.IFNA(VLOOKUP(A109,numbering!$K$3:$L$92,2,0),0)</f>
        <v>0</v>
      </c>
    </row>
    <row r="110" spans="1:11" ht="30" hidden="1" x14ac:dyDescent="0.2">
      <c r="A110" s="403">
        <v>54</v>
      </c>
      <c r="B110" s="390" t="s">
        <v>131</v>
      </c>
      <c r="C110" s="390">
        <f>VLOOKUP(B110,numbering!$N$18:$O$30,2,0)</f>
        <v>1</v>
      </c>
      <c r="D110" s="403" t="s">
        <v>174</v>
      </c>
      <c r="E110" s="403">
        <f t="shared" si="3"/>
        <v>5</v>
      </c>
      <c r="F110" s="432" t="s">
        <v>186</v>
      </c>
      <c r="G110" s="388" t="s">
        <v>1066</v>
      </c>
      <c r="H110" s="390"/>
      <c r="I110" s="390"/>
      <c r="J110" s="390"/>
      <c r="K110" s="398">
        <f>_xlfn.IFNA(VLOOKUP(A110,numbering!$K$3:$L$92,2,0),0)</f>
        <v>0</v>
      </c>
    </row>
    <row r="111" spans="1:11" ht="17" hidden="1" x14ac:dyDescent="0.2">
      <c r="A111" s="403">
        <v>55</v>
      </c>
      <c r="B111" s="390" t="s">
        <v>131</v>
      </c>
      <c r="C111" s="390">
        <f>VLOOKUP(B111,numbering!$N$18:$O$30,2,0)</f>
        <v>1</v>
      </c>
      <c r="D111" s="403" t="s">
        <v>174</v>
      </c>
      <c r="E111" s="403">
        <f t="shared" si="3"/>
        <v>5</v>
      </c>
      <c r="F111" s="432" t="s">
        <v>187</v>
      </c>
      <c r="G111" s="388" t="s">
        <v>1064</v>
      </c>
      <c r="H111" s="390"/>
      <c r="I111" s="390"/>
      <c r="J111" s="390"/>
      <c r="K111" s="398">
        <f>_xlfn.IFNA(VLOOKUP(A111,numbering!$K$3:$L$92,2,0),0)</f>
        <v>0</v>
      </c>
    </row>
    <row r="112" spans="1:11" ht="17" hidden="1" x14ac:dyDescent="0.2">
      <c r="A112" s="403">
        <v>55</v>
      </c>
      <c r="B112" s="390" t="s">
        <v>131</v>
      </c>
      <c r="C112" s="390">
        <f>VLOOKUP(B112,numbering!$N$18:$O$30,2,0)</f>
        <v>1</v>
      </c>
      <c r="D112" s="403" t="s">
        <v>174</v>
      </c>
      <c r="E112" s="403">
        <f t="shared" si="3"/>
        <v>5</v>
      </c>
      <c r="F112" s="432" t="s">
        <v>187</v>
      </c>
      <c r="G112" s="388" t="s">
        <v>665</v>
      </c>
      <c r="H112" s="390"/>
      <c r="I112" s="390"/>
      <c r="J112" s="390"/>
      <c r="K112" s="398">
        <f>_xlfn.IFNA(VLOOKUP(A112,numbering!$K$3:$L$92,2,0),0)</f>
        <v>0</v>
      </c>
    </row>
    <row r="113" spans="1:11" ht="17" hidden="1" x14ac:dyDescent="0.2">
      <c r="A113" s="403">
        <v>55</v>
      </c>
      <c r="B113" s="390" t="s">
        <v>131</v>
      </c>
      <c r="C113" s="390">
        <f>VLOOKUP(B113,numbering!$N$18:$O$30,2,0)</f>
        <v>1</v>
      </c>
      <c r="D113" s="403" t="s">
        <v>174</v>
      </c>
      <c r="E113" s="403">
        <f t="shared" si="3"/>
        <v>5</v>
      </c>
      <c r="F113" s="432" t="s">
        <v>187</v>
      </c>
      <c r="G113" s="388" t="s">
        <v>1065</v>
      </c>
      <c r="H113" s="390"/>
      <c r="I113" s="390"/>
      <c r="J113" s="390"/>
      <c r="K113" s="398">
        <f>_xlfn.IFNA(VLOOKUP(A113,numbering!$K$3:$L$92,2,0),0)</f>
        <v>0</v>
      </c>
    </row>
    <row r="114" spans="1:11" ht="17" hidden="1" x14ac:dyDescent="0.2">
      <c r="A114" s="403">
        <v>55</v>
      </c>
      <c r="B114" s="390" t="s">
        <v>131</v>
      </c>
      <c r="C114" s="390">
        <f>VLOOKUP(B114,numbering!$N$18:$O$30,2,0)</f>
        <v>1</v>
      </c>
      <c r="D114" s="403" t="s">
        <v>174</v>
      </c>
      <c r="E114" s="403">
        <f t="shared" si="3"/>
        <v>5</v>
      </c>
      <c r="F114" s="432" t="s">
        <v>187</v>
      </c>
      <c r="G114" s="388" t="s">
        <v>1066</v>
      </c>
      <c r="H114" s="390"/>
      <c r="I114" s="390"/>
      <c r="J114" s="390"/>
      <c r="K114" s="398">
        <f>_xlfn.IFNA(VLOOKUP(A114,numbering!$K$3:$L$92,2,0),0)</f>
        <v>0</v>
      </c>
    </row>
    <row r="115" spans="1:11" ht="17" hidden="1" x14ac:dyDescent="0.2">
      <c r="A115" s="403">
        <v>56</v>
      </c>
      <c r="B115" s="390" t="s">
        <v>131</v>
      </c>
      <c r="C115" s="390">
        <f>VLOOKUP(B115,numbering!$N$18:$O$30,2,0)</f>
        <v>1</v>
      </c>
      <c r="D115" s="403" t="s">
        <v>174</v>
      </c>
      <c r="E115" s="403">
        <f t="shared" si="3"/>
        <v>5</v>
      </c>
      <c r="F115" s="432" t="s">
        <v>188</v>
      </c>
      <c r="G115" s="404" t="s">
        <v>1019</v>
      </c>
      <c r="H115" s="405"/>
      <c r="I115" s="390"/>
      <c r="J115" s="390"/>
      <c r="K115" s="398">
        <f>_xlfn.IFNA(VLOOKUP(A115,numbering!$K$3:$L$92,2,0),0)</f>
        <v>0</v>
      </c>
    </row>
    <row r="116" spans="1:11" ht="17" hidden="1" x14ac:dyDescent="0.2">
      <c r="A116" s="403">
        <v>57</v>
      </c>
      <c r="B116" s="390" t="s">
        <v>131</v>
      </c>
      <c r="C116" s="390">
        <f>VLOOKUP(B116,numbering!$N$18:$O$30,2,0)</f>
        <v>1</v>
      </c>
      <c r="D116" s="403" t="s">
        <v>174</v>
      </c>
      <c r="E116" s="403">
        <f t="shared" si="3"/>
        <v>5</v>
      </c>
      <c r="F116" s="432" t="s">
        <v>1319</v>
      </c>
      <c r="G116" s="404" t="s">
        <v>1019</v>
      </c>
      <c r="H116" s="405"/>
      <c r="I116" s="390"/>
      <c r="J116" s="390"/>
      <c r="K116" s="398">
        <f>_xlfn.IFNA(VLOOKUP(A116,numbering!$K$3:$L$92,2,0),0)</f>
        <v>0</v>
      </c>
    </row>
    <row r="117" spans="1:11" ht="34" hidden="1" x14ac:dyDescent="0.2">
      <c r="A117" s="403">
        <v>58</v>
      </c>
      <c r="B117" s="390" t="s">
        <v>174</v>
      </c>
      <c r="C117" s="390">
        <f>VLOOKUP(B117,numbering!$N$18:$O$30,2,0)</f>
        <v>2</v>
      </c>
      <c r="D117" s="403" t="s">
        <v>1282</v>
      </c>
      <c r="E117" s="403">
        <f t="shared" si="3"/>
        <v>1</v>
      </c>
      <c r="F117" s="432" t="s">
        <v>1073</v>
      </c>
      <c r="G117" s="404" t="s">
        <v>1019</v>
      </c>
      <c r="H117" s="405"/>
      <c r="I117" s="390"/>
      <c r="J117" s="390"/>
      <c r="K117" s="398">
        <f>_xlfn.IFNA(VLOOKUP(A117,numbering!$K$3:$L$92,2,0),0)</f>
        <v>0</v>
      </c>
    </row>
    <row r="118" spans="1:11" ht="34" hidden="1" x14ac:dyDescent="0.2">
      <c r="A118" s="403">
        <v>59</v>
      </c>
      <c r="B118" s="390" t="s">
        <v>174</v>
      </c>
      <c r="C118" s="390">
        <f>VLOOKUP(B118,numbering!$N$18:$O$30,2,0)</f>
        <v>2</v>
      </c>
      <c r="D118" s="403" t="s">
        <v>1282</v>
      </c>
      <c r="E118" s="403">
        <f t="shared" si="3"/>
        <v>1</v>
      </c>
      <c r="F118" s="432" t="s">
        <v>1074</v>
      </c>
      <c r="G118" s="404" t="s">
        <v>1019</v>
      </c>
      <c r="H118" s="405"/>
      <c r="I118" s="390"/>
      <c r="J118" s="390"/>
      <c r="K118" s="398">
        <f>_xlfn.IFNA(VLOOKUP(A118,numbering!$K$3:$L$92,2,0),0)</f>
        <v>0</v>
      </c>
    </row>
    <row r="119" spans="1:11" ht="17" hidden="1" x14ac:dyDescent="0.2">
      <c r="A119" s="403">
        <v>60</v>
      </c>
      <c r="B119" s="390" t="s">
        <v>131</v>
      </c>
      <c r="C119" s="390">
        <f>VLOOKUP(B119,numbering!$N$18:$O$30,2,0)</f>
        <v>1</v>
      </c>
      <c r="D119" s="403" t="s">
        <v>174</v>
      </c>
      <c r="E119" s="403">
        <f t="shared" si="3"/>
        <v>1</v>
      </c>
      <c r="F119" s="432" t="s">
        <v>1320</v>
      </c>
      <c r="G119" s="404" t="s">
        <v>1019</v>
      </c>
      <c r="H119" s="405"/>
      <c r="I119" s="390"/>
      <c r="J119" s="390"/>
      <c r="K119" s="398">
        <f>_xlfn.IFNA(VLOOKUP(A119,numbering!$K$3:$L$92,2,0),0)</f>
        <v>0</v>
      </c>
    </row>
    <row r="120" spans="1:11" ht="17" hidden="1" x14ac:dyDescent="0.2">
      <c r="A120" s="403">
        <v>61</v>
      </c>
      <c r="B120" s="390" t="s">
        <v>131</v>
      </c>
      <c r="C120" s="390">
        <f>VLOOKUP(B120,numbering!$N$18:$O$30,2,0)</f>
        <v>1</v>
      </c>
      <c r="D120" s="403" t="s">
        <v>174</v>
      </c>
      <c r="E120" s="403">
        <f t="shared" si="3"/>
        <v>1</v>
      </c>
      <c r="F120" s="432" t="s">
        <v>1321</v>
      </c>
      <c r="G120" s="404" t="s">
        <v>1019</v>
      </c>
      <c r="H120" s="405"/>
      <c r="I120" s="390"/>
      <c r="J120" s="390"/>
      <c r="K120" s="398">
        <f>_xlfn.IFNA(VLOOKUP(A120,numbering!$K$3:$L$92,2,0),0)</f>
        <v>0</v>
      </c>
    </row>
    <row r="121" spans="1:11" ht="17" hidden="1" x14ac:dyDescent="0.2">
      <c r="A121" s="403">
        <v>62</v>
      </c>
      <c r="B121" s="390" t="s">
        <v>131</v>
      </c>
      <c r="C121" s="390">
        <f>VLOOKUP(B121,numbering!$N$18:$O$30,2,0)</f>
        <v>1</v>
      </c>
      <c r="D121" s="403" t="s">
        <v>174</v>
      </c>
      <c r="E121" s="403">
        <f t="shared" si="3"/>
        <v>1</v>
      </c>
      <c r="F121" s="432" t="s">
        <v>189</v>
      </c>
      <c r="G121" s="404" t="s">
        <v>1019</v>
      </c>
      <c r="H121" s="405"/>
      <c r="I121" s="390"/>
      <c r="J121" s="390"/>
      <c r="K121" s="398">
        <f>_xlfn.IFNA(VLOOKUP(A121,numbering!$K$3:$L$92,2,0),0)</f>
        <v>0</v>
      </c>
    </row>
    <row r="122" spans="1:11" ht="17" hidden="1" x14ac:dyDescent="0.2">
      <c r="A122" s="403">
        <v>63</v>
      </c>
      <c r="B122" s="390" t="s">
        <v>131</v>
      </c>
      <c r="C122" s="390">
        <f>VLOOKUP(B122,numbering!$N$18:$O$30,2,0)</f>
        <v>1</v>
      </c>
      <c r="D122" s="403" t="s">
        <v>174</v>
      </c>
      <c r="E122" s="403">
        <f t="shared" si="3"/>
        <v>1</v>
      </c>
      <c r="F122" s="432" t="s">
        <v>190</v>
      </c>
      <c r="G122" s="404" t="s">
        <v>1019</v>
      </c>
      <c r="H122" s="405"/>
      <c r="I122" s="390"/>
      <c r="J122" s="390"/>
      <c r="K122" s="398">
        <f>_xlfn.IFNA(VLOOKUP(A122,numbering!$K$3:$L$92,2,0),0)</f>
        <v>0</v>
      </c>
    </row>
    <row r="123" spans="1:11" ht="32" hidden="1" x14ac:dyDescent="0.2">
      <c r="A123" s="390">
        <v>64</v>
      </c>
      <c r="B123" s="390" t="s">
        <v>174</v>
      </c>
      <c r="C123" s="390">
        <f>VLOOKUP(B123,numbering!$N$18:$O$30,2,0)</f>
        <v>2</v>
      </c>
      <c r="D123" s="390" t="s">
        <v>1282</v>
      </c>
      <c r="E123" s="403">
        <f>IF(C123&lt;&gt;C122,1,IF(F123&lt;&gt;F122,E122+1,E122))</f>
        <v>1</v>
      </c>
      <c r="F123" s="432" t="s">
        <v>192</v>
      </c>
      <c r="G123" s="404" t="s">
        <v>1019</v>
      </c>
      <c r="H123" s="405"/>
      <c r="I123" s="390"/>
      <c r="J123" s="390"/>
      <c r="K123" s="398">
        <f>_xlfn.IFNA(VLOOKUP(A123,numbering!$K$3:$L$92,2,0),0)</f>
        <v>1</v>
      </c>
    </row>
    <row r="124" spans="1:11" ht="32" hidden="1" x14ac:dyDescent="0.2">
      <c r="A124" s="390">
        <v>65</v>
      </c>
      <c r="B124" s="390" t="s">
        <v>174</v>
      </c>
      <c r="C124" s="390">
        <f>VLOOKUP(B124,numbering!$N$18:$O$30,2,0)</f>
        <v>2</v>
      </c>
      <c r="D124" s="390" t="s">
        <v>1282</v>
      </c>
      <c r="E124" s="403">
        <f>IF(C124&lt;&gt;C32,1,IF(D124&lt;&gt;D32,E32+1,E32))</f>
        <v>1</v>
      </c>
      <c r="F124" s="432" t="s">
        <v>193</v>
      </c>
      <c r="G124" s="388" t="s">
        <v>697</v>
      </c>
      <c r="H124" s="390"/>
      <c r="I124" s="390">
        <v>1</v>
      </c>
      <c r="J124" s="390"/>
      <c r="K124" s="398">
        <f>_xlfn.IFNA(VLOOKUP(A124,numbering!$K$3:$L$92,2,0),0)</f>
        <v>0</v>
      </c>
    </row>
    <row r="125" spans="1:11" ht="32" hidden="1" x14ac:dyDescent="0.2">
      <c r="A125" s="390">
        <v>65</v>
      </c>
      <c r="B125" s="390" t="s">
        <v>174</v>
      </c>
      <c r="C125" s="390">
        <f>VLOOKUP(B125,numbering!$N$18:$O$30,2,0)</f>
        <v>2</v>
      </c>
      <c r="D125" s="390" t="s">
        <v>1282</v>
      </c>
      <c r="E125" s="403">
        <f t="shared" ref="E125:E131" si="4">IF(C125&lt;&gt;C124,1,IF(D125&lt;&gt;D124,E124+1,E124))</f>
        <v>1</v>
      </c>
      <c r="F125" s="432" t="s">
        <v>193</v>
      </c>
      <c r="G125" s="388" t="s">
        <v>1067</v>
      </c>
      <c r="H125" s="390"/>
      <c r="I125" s="390">
        <v>2</v>
      </c>
      <c r="J125" s="390"/>
      <c r="K125" s="398">
        <f>_xlfn.IFNA(VLOOKUP(A125,numbering!$K$3:$L$92,2,0),0)</f>
        <v>0</v>
      </c>
    </row>
    <row r="126" spans="1:11" ht="32" hidden="1" x14ac:dyDescent="0.2">
      <c r="A126" s="390">
        <v>65</v>
      </c>
      <c r="B126" s="390" t="s">
        <v>174</v>
      </c>
      <c r="C126" s="390">
        <f>VLOOKUP(B126,numbering!$N$18:$O$30,2,0)</f>
        <v>2</v>
      </c>
      <c r="D126" s="390" t="s">
        <v>1282</v>
      </c>
      <c r="E126" s="403">
        <f t="shared" si="4"/>
        <v>1</v>
      </c>
      <c r="F126" s="432" t="s">
        <v>193</v>
      </c>
      <c r="G126" s="388" t="s">
        <v>666</v>
      </c>
      <c r="H126" s="390"/>
      <c r="I126" s="390">
        <v>3</v>
      </c>
      <c r="J126" s="390"/>
      <c r="K126" s="398">
        <f>_xlfn.IFNA(VLOOKUP(A126,numbering!$K$3:$L$92,2,0),0)</f>
        <v>0</v>
      </c>
    </row>
    <row r="127" spans="1:11" ht="32" hidden="1" x14ac:dyDescent="0.2">
      <c r="A127" s="390">
        <v>65</v>
      </c>
      <c r="B127" s="390" t="s">
        <v>174</v>
      </c>
      <c r="C127" s="390">
        <f>VLOOKUP(B127,numbering!$N$18:$O$30,2,0)</f>
        <v>2</v>
      </c>
      <c r="D127" s="390" t="s">
        <v>1282</v>
      </c>
      <c r="E127" s="403">
        <f t="shared" si="4"/>
        <v>1</v>
      </c>
      <c r="F127" s="432" t="s">
        <v>193</v>
      </c>
      <c r="G127" s="388" t="s">
        <v>1068</v>
      </c>
      <c r="H127" s="390"/>
      <c r="I127" s="390">
        <v>4</v>
      </c>
      <c r="J127" s="390"/>
      <c r="K127" s="398">
        <f>_xlfn.IFNA(VLOOKUP(A127,numbering!$K$3:$L$92,2,0),0)</f>
        <v>0</v>
      </c>
    </row>
    <row r="128" spans="1:11" ht="32" hidden="1" x14ac:dyDescent="0.2">
      <c r="A128" s="390">
        <v>65</v>
      </c>
      <c r="B128" s="390" t="s">
        <v>174</v>
      </c>
      <c r="C128" s="390">
        <f>VLOOKUP(B128,numbering!$N$18:$O$30,2,0)</f>
        <v>2</v>
      </c>
      <c r="D128" s="390" t="s">
        <v>1282</v>
      </c>
      <c r="E128" s="403">
        <f t="shared" si="4"/>
        <v>1</v>
      </c>
      <c r="F128" s="432" t="s">
        <v>193</v>
      </c>
      <c r="G128" s="388" t="s">
        <v>1069</v>
      </c>
      <c r="H128" s="390"/>
      <c r="I128" s="390">
        <v>5</v>
      </c>
      <c r="J128" s="390"/>
      <c r="K128" s="398">
        <f>_xlfn.IFNA(VLOOKUP(A128,numbering!$K$3:$L$92,2,0),0)</f>
        <v>0</v>
      </c>
    </row>
    <row r="129" spans="1:11" ht="32" hidden="1" x14ac:dyDescent="0.2">
      <c r="A129" s="390">
        <v>65</v>
      </c>
      <c r="B129" s="390" t="s">
        <v>174</v>
      </c>
      <c r="C129" s="390">
        <f>VLOOKUP(B129,numbering!$N$18:$O$30,2,0)</f>
        <v>2</v>
      </c>
      <c r="D129" s="390" t="s">
        <v>1282</v>
      </c>
      <c r="E129" s="403">
        <f t="shared" si="4"/>
        <v>1</v>
      </c>
      <c r="F129" s="432" t="s">
        <v>193</v>
      </c>
      <c r="G129" s="388" t="s">
        <v>1070</v>
      </c>
      <c r="H129" s="390"/>
      <c r="I129" s="390">
        <v>6</v>
      </c>
      <c r="J129" s="390"/>
      <c r="K129" s="398">
        <f>_xlfn.IFNA(VLOOKUP(A129,numbering!$K$3:$L$92,2,0),0)</f>
        <v>0</v>
      </c>
    </row>
    <row r="130" spans="1:11" ht="32" hidden="1" x14ac:dyDescent="0.2">
      <c r="A130" s="390">
        <v>65</v>
      </c>
      <c r="B130" s="390" t="s">
        <v>174</v>
      </c>
      <c r="C130" s="390">
        <f>VLOOKUP(B130,numbering!$N$18:$O$30,2,0)</f>
        <v>2</v>
      </c>
      <c r="D130" s="390" t="s">
        <v>1282</v>
      </c>
      <c r="E130" s="403">
        <f t="shared" si="4"/>
        <v>1</v>
      </c>
      <c r="F130" s="432" t="s">
        <v>193</v>
      </c>
      <c r="G130" s="388" t="s">
        <v>1071</v>
      </c>
      <c r="H130" s="390"/>
      <c r="I130" s="390">
        <v>7</v>
      </c>
      <c r="J130" s="390"/>
      <c r="K130" s="398">
        <f>_xlfn.IFNA(VLOOKUP(A130,numbering!$K$3:$L$92,2,0),0)</f>
        <v>0</v>
      </c>
    </row>
    <row r="131" spans="1:11" ht="32" hidden="1" x14ac:dyDescent="0.2">
      <c r="A131" s="390">
        <v>65</v>
      </c>
      <c r="B131" s="390" t="s">
        <v>174</v>
      </c>
      <c r="C131" s="390">
        <f>VLOOKUP(B131,numbering!$N$18:$O$30,2,0)</f>
        <v>2</v>
      </c>
      <c r="D131" s="390" t="s">
        <v>1282</v>
      </c>
      <c r="E131" s="403">
        <f t="shared" si="4"/>
        <v>1</v>
      </c>
      <c r="F131" s="432" t="s">
        <v>193</v>
      </c>
      <c r="G131" s="388" t="s">
        <v>1072</v>
      </c>
      <c r="H131" s="390"/>
      <c r="I131" s="390">
        <v>8</v>
      </c>
      <c r="J131" s="390"/>
      <c r="K131" s="398">
        <f>_xlfn.IFNA(VLOOKUP(A131,numbering!$K$3:$L$92,2,0),0)</f>
        <v>0</v>
      </c>
    </row>
    <row r="132" spans="1:11" ht="32" hidden="1" x14ac:dyDescent="0.2">
      <c r="A132" s="390">
        <v>66</v>
      </c>
      <c r="B132" s="390" t="s">
        <v>174</v>
      </c>
      <c r="C132" s="390">
        <f>VLOOKUP(B132,numbering!$N$18:$O$30,2,0)</f>
        <v>2</v>
      </c>
      <c r="D132" s="390" t="s">
        <v>1282</v>
      </c>
      <c r="E132" s="403">
        <f t="shared" ref="E132:E144" si="5">IF(C132&lt;&gt;C131,1,IF(F132&lt;&gt;F131,E131+1,E131))</f>
        <v>2</v>
      </c>
      <c r="F132" s="422" t="s">
        <v>194</v>
      </c>
      <c r="G132" s="388" t="s">
        <v>786</v>
      </c>
      <c r="I132" s="406">
        <v>190</v>
      </c>
      <c r="J132" s="406">
        <v>37</v>
      </c>
      <c r="K132" s="398">
        <f>_xlfn.IFNA(VLOOKUP(A132,numbering!$K$3:$L$92,2,0),0)</f>
        <v>1</v>
      </c>
    </row>
    <row r="133" spans="1:11" ht="32" hidden="1" x14ac:dyDescent="0.2">
      <c r="A133" s="390">
        <v>66</v>
      </c>
      <c r="B133" s="390" t="s">
        <v>174</v>
      </c>
      <c r="C133" s="390">
        <f>VLOOKUP(B133,numbering!$N$18:$O$30,2,0)</f>
        <v>2</v>
      </c>
      <c r="D133" s="390" t="s">
        <v>1282</v>
      </c>
      <c r="E133" s="403">
        <f t="shared" si="5"/>
        <v>2</v>
      </c>
      <c r="F133" s="422" t="s">
        <v>194</v>
      </c>
      <c r="G133" s="388" t="s">
        <v>787</v>
      </c>
      <c r="I133" s="406">
        <v>160</v>
      </c>
      <c r="J133" s="406">
        <v>25</v>
      </c>
      <c r="K133" s="398">
        <f>_xlfn.IFNA(VLOOKUP(A133,numbering!$K$3:$L$92,2,0),0)</f>
        <v>1</v>
      </c>
    </row>
    <row r="134" spans="1:11" ht="32" hidden="1" x14ac:dyDescent="0.2">
      <c r="A134" s="390">
        <v>66</v>
      </c>
      <c r="B134" s="390" t="s">
        <v>174</v>
      </c>
      <c r="C134" s="390">
        <f>VLOOKUP(B134,numbering!$N$18:$O$30,2,0)</f>
        <v>2</v>
      </c>
      <c r="D134" s="390" t="s">
        <v>1282</v>
      </c>
      <c r="E134" s="403">
        <f t="shared" si="5"/>
        <v>2</v>
      </c>
      <c r="F134" s="422" t="s">
        <v>194</v>
      </c>
      <c r="G134" s="388" t="s">
        <v>788</v>
      </c>
      <c r="I134" s="406">
        <v>2080</v>
      </c>
      <c r="J134" s="406">
        <v>190</v>
      </c>
      <c r="K134" s="398">
        <f>_xlfn.IFNA(VLOOKUP(A134,numbering!$K$3:$L$92,2,0),0)</f>
        <v>1</v>
      </c>
    </row>
    <row r="135" spans="1:11" ht="32" hidden="1" x14ac:dyDescent="0.2">
      <c r="A135" s="390">
        <v>66</v>
      </c>
      <c r="B135" s="390" t="s">
        <v>174</v>
      </c>
      <c r="C135" s="390">
        <f>VLOOKUP(B135,numbering!$N$18:$O$30,2,0)</f>
        <v>2</v>
      </c>
      <c r="D135" s="390" t="s">
        <v>1282</v>
      </c>
      <c r="E135" s="403">
        <f t="shared" si="5"/>
        <v>2</v>
      </c>
      <c r="F135" s="422" t="s">
        <v>194</v>
      </c>
      <c r="G135" s="388" t="s">
        <v>789</v>
      </c>
      <c r="I135" s="406">
        <v>130</v>
      </c>
      <c r="J135" s="406">
        <v>5</v>
      </c>
      <c r="K135" s="398">
        <f>_xlfn.IFNA(VLOOKUP(A135,numbering!$K$3:$L$92,2,0),0)</f>
        <v>1</v>
      </c>
    </row>
    <row r="136" spans="1:11" ht="32" hidden="1" x14ac:dyDescent="0.2">
      <c r="A136" s="390">
        <v>66</v>
      </c>
      <c r="B136" s="390" t="s">
        <v>174</v>
      </c>
      <c r="C136" s="390">
        <f>VLOOKUP(B136,numbering!$N$18:$O$30,2,0)</f>
        <v>2</v>
      </c>
      <c r="D136" s="390" t="s">
        <v>1282</v>
      </c>
      <c r="E136" s="403">
        <f t="shared" si="5"/>
        <v>2</v>
      </c>
      <c r="F136" s="422" t="s">
        <v>194</v>
      </c>
      <c r="G136" s="388" t="s">
        <v>790</v>
      </c>
      <c r="I136" s="406">
        <v>140</v>
      </c>
      <c r="J136" s="406">
        <v>34</v>
      </c>
      <c r="K136" s="398">
        <f>_xlfn.IFNA(VLOOKUP(A136,numbering!$K$3:$L$92,2,0),0)</f>
        <v>1</v>
      </c>
    </row>
    <row r="137" spans="1:11" ht="32" hidden="1" x14ac:dyDescent="0.2">
      <c r="A137" s="390">
        <v>66</v>
      </c>
      <c r="B137" s="390" t="s">
        <v>174</v>
      </c>
      <c r="C137" s="390">
        <f>VLOOKUP(B137,numbering!$N$18:$O$30,2,0)</f>
        <v>2</v>
      </c>
      <c r="D137" s="390" t="s">
        <v>1282</v>
      </c>
      <c r="E137" s="403">
        <f t="shared" si="5"/>
        <v>2</v>
      </c>
      <c r="F137" s="422" t="s">
        <v>194</v>
      </c>
      <c r="G137" s="388" t="s">
        <v>791</v>
      </c>
      <c r="I137" s="406">
        <v>1160</v>
      </c>
      <c r="J137" s="406">
        <v>160</v>
      </c>
      <c r="K137" s="398">
        <f>_xlfn.IFNA(VLOOKUP(A137,numbering!$K$3:$L$92,2,0),0)</f>
        <v>1</v>
      </c>
    </row>
    <row r="138" spans="1:11" ht="32" hidden="1" x14ac:dyDescent="0.2">
      <c r="A138" s="390">
        <v>66</v>
      </c>
      <c r="B138" s="390" t="s">
        <v>174</v>
      </c>
      <c r="C138" s="390">
        <f>VLOOKUP(B138,numbering!$N$18:$O$30,2,0)</f>
        <v>2</v>
      </c>
      <c r="D138" s="390" t="s">
        <v>1282</v>
      </c>
      <c r="E138" s="403">
        <f t="shared" si="5"/>
        <v>2</v>
      </c>
      <c r="F138" s="422" t="s">
        <v>194</v>
      </c>
      <c r="G138" s="388" t="s">
        <v>792</v>
      </c>
      <c r="I138" s="406">
        <v>150</v>
      </c>
      <c r="J138" s="406">
        <v>24</v>
      </c>
      <c r="K138" s="398">
        <f>_xlfn.IFNA(VLOOKUP(A138,numbering!$K$3:$L$92,2,0),0)</f>
        <v>1</v>
      </c>
    </row>
    <row r="139" spans="1:11" ht="32" hidden="1" x14ac:dyDescent="0.2">
      <c r="A139" s="390">
        <v>66</v>
      </c>
      <c r="B139" s="390" t="s">
        <v>174</v>
      </c>
      <c r="C139" s="390">
        <f>VLOOKUP(B139,numbering!$N$18:$O$30,2,0)</f>
        <v>2</v>
      </c>
      <c r="D139" s="390" t="s">
        <v>1282</v>
      </c>
      <c r="E139" s="403">
        <f t="shared" si="5"/>
        <v>2</v>
      </c>
      <c r="F139" s="422" t="s">
        <v>194</v>
      </c>
      <c r="G139" s="388" t="s">
        <v>793</v>
      </c>
      <c r="I139" s="406">
        <v>690</v>
      </c>
      <c r="J139" s="406">
        <v>75</v>
      </c>
      <c r="K139" s="398">
        <f>_xlfn.IFNA(VLOOKUP(A139,numbering!$K$3:$L$92,2,0),0)</f>
        <v>1</v>
      </c>
    </row>
    <row r="140" spans="1:11" ht="32" hidden="1" x14ac:dyDescent="0.2">
      <c r="A140" s="390">
        <v>66</v>
      </c>
      <c r="B140" s="390" t="s">
        <v>174</v>
      </c>
      <c r="C140" s="390">
        <f>VLOOKUP(B140,numbering!$N$18:$O$30,2,0)</f>
        <v>2</v>
      </c>
      <c r="D140" s="390" t="s">
        <v>1282</v>
      </c>
      <c r="E140" s="403">
        <f t="shared" si="5"/>
        <v>2</v>
      </c>
      <c r="F140" s="422" t="s">
        <v>194</v>
      </c>
      <c r="G140" s="388" t="s">
        <v>794</v>
      </c>
      <c r="I140" s="406">
        <v>130</v>
      </c>
      <c r="J140" s="406">
        <v>17</v>
      </c>
      <c r="K140" s="398">
        <f>_xlfn.IFNA(VLOOKUP(A140,numbering!$K$3:$L$92,2,0),0)</f>
        <v>1</v>
      </c>
    </row>
    <row r="141" spans="1:11" ht="32" hidden="1" x14ac:dyDescent="0.2">
      <c r="A141" s="390">
        <v>66</v>
      </c>
      <c r="B141" s="390" t="s">
        <v>174</v>
      </c>
      <c r="C141" s="390">
        <f>VLOOKUP(B141,numbering!$N$18:$O$30,2,0)</f>
        <v>2</v>
      </c>
      <c r="D141" s="390" t="s">
        <v>1282</v>
      </c>
      <c r="E141" s="403">
        <f t="shared" si="5"/>
        <v>2</v>
      </c>
      <c r="F141" s="422" t="s">
        <v>194</v>
      </c>
      <c r="G141" s="388" t="s">
        <v>795</v>
      </c>
      <c r="I141" s="406">
        <v>1200</v>
      </c>
      <c r="J141" s="406">
        <v>38</v>
      </c>
      <c r="K141" s="398">
        <f>_xlfn.IFNA(VLOOKUP(A141,numbering!$K$3:$L$92,2,0),0)</f>
        <v>1</v>
      </c>
    </row>
    <row r="142" spans="1:11" ht="32" hidden="1" x14ac:dyDescent="0.2">
      <c r="A142" s="390">
        <v>66</v>
      </c>
      <c r="B142" s="390" t="s">
        <v>174</v>
      </c>
      <c r="C142" s="390">
        <f>VLOOKUP(B142,numbering!$N$18:$O$30,2,0)</f>
        <v>2</v>
      </c>
      <c r="D142" s="390" t="s">
        <v>1282</v>
      </c>
      <c r="E142" s="403">
        <f t="shared" si="5"/>
        <v>2</v>
      </c>
      <c r="F142" s="422" t="s">
        <v>194</v>
      </c>
      <c r="G142" s="388" t="s">
        <v>796</v>
      </c>
      <c r="I142" s="406">
        <v>130</v>
      </c>
      <c r="J142" s="406">
        <v>8</v>
      </c>
      <c r="K142" s="398">
        <f>_xlfn.IFNA(VLOOKUP(A142,numbering!$K$3:$L$92,2,0),0)</f>
        <v>1</v>
      </c>
    </row>
    <row r="143" spans="1:11" ht="32" hidden="1" x14ac:dyDescent="0.2">
      <c r="A143" s="390">
        <v>66</v>
      </c>
      <c r="B143" s="390" t="s">
        <v>174</v>
      </c>
      <c r="C143" s="390">
        <f>VLOOKUP(B143,numbering!$N$18:$O$30,2,0)</f>
        <v>2</v>
      </c>
      <c r="D143" s="390" t="s">
        <v>1282</v>
      </c>
      <c r="E143" s="403">
        <f t="shared" si="5"/>
        <v>2</v>
      </c>
      <c r="F143" s="422" t="s">
        <v>194</v>
      </c>
      <c r="G143" s="388" t="s">
        <v>797</v>
      </c>
      <c r="I143" s="406">
        <v>130</v>
      </c>
      <c r="J143" s="406">
        <v>13</v>
      </c>
      <c r="K143" s="398">
        <f>_xlfn.IFNA(VLOOKUP(A143,numbering!$K$3:$L$92,2,0),0)</f>
        <v>1</v>
      </c>
    </row>
    <row r="144" spans="1:11" ht="32" hidden="1" x14ac:dyDescent="0.2">
      <c r="A144" s="390">
        <v>66</v>
      </c>
      <c r="B144" s="390" t="s">
        <v>174</v>
      </c>
      <c r="C144" s="390">
        <f>VLOOKUP(B144,numbering!$N$18:$O$30,2,0)</f>
        <v>2</v>
      </c>
      <c r="D144" s="390" t="s">
        <v>1282</v>
      </c>
      <c r="E144" s="403">
        <f t="shared" si="5"/>
        <v>2</v>
      </c>
      <c r="F144" s="422" t="s">
        <v>194</v>
      </c>
      <c r="G144" s="388" t="s">
        <v>1075</v>
      </c>
      <c r="I144" s="397">
        <v>2080</v>
      </c>
      <c r="J144" s="397">
        <v>190</v>
      </c>
      <c r="K144" s="398">
        <f>_xlfn.IFNA(VLOOKUP(A144,numbering!$K$3:$L$92,2,0),0)</f>
        <v>1</v>
      </c>
    </row>
    <row r="145" spans="1:11" ht="32" hidden="1" x14ac:dyDescent="0.2">
      <c r="A145" s="390">
        <v>67</v>
      </c>
      <c r="B145" s="390" t="s">
        <v>174</v>
      </c>
      <c r="C145" s="390">
        <f>VLOOKUP(B145,numbering!$N$18:$O$30,2,0)</f>
        <v>2</v>
      </c>
      <c r="D145" s="390" t="s">
        <v>1282</v>
      </c>
      <c r="E145" s="403">
        <f>IF(C145&lt;&gt;C144,1,IF(D145&lt;&gt;D144,E144+1,E144))</f>
        <v>2</v>
      </c>
      <c r="F145" s="432" t="s">
        <v>195</v>
      </c>
      <c r="G145" s="404" t="s">
        <v>1019</v>
      </c>
      <c r="H145" s="405"/>
      <c r="I145" s="390"/>
      <c r="J145" s="390"/>
      <c r="K145" s="398">
        <f>_xlfn.IFNA(VLOOKUP(A145,numbering!$K$3:$L$92,2,0),0)</f>
        <v>0</v>
      </c>
    </row>
    <row r="146" spans="1:11" ht="32" hidden="1" x14ac:dyDescent="0.2">
      <c r="A146" s="390">
        <v>68</v>
      </c>
      <c r="B146" s="390" t="s">
        <v>174</v>
      </c>
      <c r="C146" s="390">
        <f>VLOOKUP(B146,numbering!$N$18:$O$30,2,0)</f>
        <v>2</v>
      </c>
      <c r="D146" s="390" t="s">
        <v>1282</v>
      </c>
      <c r="E146" s="403">
        <f>IF(C146&lt;&gt;C145,1,IF(F146&lt;&gt;F145,E145+1,E145))</f>
        <v>3</v>
      </c>
      <c r="F146" s="422" t="s">
        <v>196</v>
      </c>
      <c r="G146" s="388" t="s">
        <v>667</v>
      </c>
      <c r="H146" s="390">
        <v>1</v>
      </c>
      <c r="I146" s="390">
        <v>1</v>
      </c>
      <c r="J146" s="390"/>
      <c r="K146" s="398">
        <f>_xlfn.IFNA(VLOOKUP(A146,numbering!$K$3:$L$92,2,0),0)</f>
        <v>1</v>
      </c>
    </row>
    <row r="147" spans="1:11" ht="32" hidden="1" x14ac:dyDescent="0.2">
      <c r="A147" s="390">
        <v>68</v>
      </c>
      <c r="B147" s="390" t="s">
        <v>174</v>
      </c>
      <c r="C147" s="390">
        <f>VLOOKUP(B147,numbering!$N$18:$O$30,2,0)</f>
        <v>2</v>
      </c>
      <c r="D147" s="390" t="s">
        <v>1282</v>
      </c>
      <c r="E147" s="403">
        <f>IF(C147&lt;&gt;C146,1,IF(F147&lt;&gt;F146,E146+1,E146))</f>
        <v>3</v>
      </c>
      <c r="F147" s="422" t="s">
        <v>196</v>
      </c>
      <c r="G147" s="388" t="s">
        <v>1076</v>
      </c>
      <c r="H147" s="390">
        <v>2</v>
      </c>
      <c r="I147" s="390">
        <v>2</v>
      </c>
      <c r="J147" s="390"/>
      <c r="K147" s="398">
        <f>_xlfn.IFNA(VLOOKUP(A147,numbering!$K$3:$L$92,2,0),0)</f>
        <v>1</v>
      </c>
    </row>
    <row r="148" spans="1:11" ht="32" hidden="1" x14ac:dyDescent="0.2">
      <c r="A148" s="390">
        <v>68</v>
      </c>
      <c r="B148" s="390" t="s">
        <v>174</v>
      </c>
      <c r="C148" s="390">
        <f>VLOOKUP(B148,numbering!$N$18:$O$30,2,0)</f>
        <v>2</v>
      </c>
      <c r="D148" s="390" t="s">
        <v>1282</v>
      </c>
      <c r="E148" s="403">
        <f>IF(C148&lt;&gt;C147,1,IF(F148&lt;&gt;F147,E147+1,E147))</f>
        <v>3</v>
      </c>
      <c r="F148" s="422" t="s">
        <v>196</v>
      </c>
      <c r="G148" s="388" t="s">
        <v>1077</v>
      </c>
      <c r="H148" s="390">
        <v>3</v>
      </c>
      <c r="I148" s="390">
        <v>3</v>
      </c>
      <c r="J148" s="390"/>
      <c r="K148" s="398">
        <f>_xlfn.IFNA(VLOOKUP(A148,numbering!$K$3:$L$92,2,0),0)</f>
        <v>1</v>
      </c>
    </row>
    <row r="149" spans="1:11" ht="32" hidden="1" x14ac:dyDescent="0.2">
      <c r="A149" s="390">
        <v>68</v>
      </c>
      <c r="B149" s="390" t="s">
        <v>174</v>
      </c>
      <c r="C149" s="390">
        <f>VLOOKUP(B149,numbering!$N$18:$O$30,2,0)</f>
        <v>2</v>
      </c>
      <c r="D149" s="390" t="s">
        <v>1282</v>
      </c>
      <c r="E149" s="403">
        <f>IF(C149&lt;&gt;C148,1,IF(F149&lt;&gt;F148,E148+1,E148))</f>
        <v>3</v>
      </c>
      <c r="F149" s="422" t="s">
        <v>196</v>
      </c>
      <c r="G149" s="388" t="s">
        <v>1078</v>
      </c>
      <c r="H149" s="390">
        <v>4</v>
      </c>
      <c r="I149" s="390">
        <v>4</v>
      </c>
      <c r="J149" s="390"/>
      <c r="K149" s="398">
        <f>_xlfn.IFNA(VLOOKUP(A149,numbering!$K$3:$L$92,2,0),0)</f>
        <v>1</v>
      </c>
    </row>
    <row r="150" spans="1:11" ht="32" hidden="1" x14ac:dyDescent="0.2">
      <c r="A150" s="390">
        <v>69</v>
      </c>
      <c r="B150" s="390" t="s">
        <v>174</v>
      </c>
      <c r="C150" s="390">
        <f>VLOOKUP(B150,numbering!$N$18:$O$30,2,0)</f>
        <v>2</v>
      </c>
      <c r="D150" s="390" t="s">
        <v>1282</v>
      </c>
      <c r="E150" s="403">
        <f>IF(C150&lt;&gt;C149,1,IF(F150&lt;&gt;F149,E149+1,E149))</f>
        <v>4</v>
      </c>
      <c r="F150" s="422" t="s">
        <v>1307</v>
      </c>
      <c r="G150" s="404" t="s">
        <v>1262</v>
      </c>
      <c r="H150" s="405"/>
      <c r="I150" s="390"/>
      <c r="J150" s="390"/>
      <c r="K150" s="398">
        <f>_xlfn.IFNA(VLOOKUP(A150,numbering!$K$3:$L$92,2,0),0)</f>
        <v>1</v>
      </c>
    </row>
    <row r="151" spans="1:11" ht="32" hidden="1" x14ac:dyDescent="0.2">
      <c r="A151" s="390">
        <v>70</v>
      </c>
      <c r="B151" s="390" t="s">
        <v>174</v>
      </c>
      <c r="C151" s="390">
        <f>VLOOKUP(B151,numbering!$N$18:$O$30,2,0)</f>
        <v>2</v>
      </c>
      <c r="D151" s="390" t="s">
        <v>1282</v>
      </c>
      <c r="E151" s="403">
        <f>IF(C151&lt;&gt;C24,1,IF(D151&lt;&gt;D24,E24+1,E24))</f>
        <v>1</v>
      </c>
      <c r="F151" s="432" t="s">
        <v>198</v>
      </c>
      <c r="G151" s="404" t="s">
        <v>1019</v>
      </c>
      <c r="H151" s="405"/>
      <c r="I151" s="390"/>
      <c r="J151" s="390"/>
      <c r="K151" s="398">
        <f>_xlfn.IFNA(VLOOKUP(A151,numbering!$K$3:$L$92,2,0),0)</f>
        <v>0</v>
      </c>
    </row>
    <row r="152" spans="1:11" ht="32" hidden="1" x14ac:dyDescent="0.2">
      <c r="A152" s="390">
        <v>71</v>
      </c>
      <c r="B152" s="390" t="s">
        <v>174</v>
      </c>
      <c r="C152" s="390">
        <f>VLOOKUP(B152,numbering!$N$18:$O$30,2,0)</f>
        <v>2</v>
      </c>
      <c r="D152" s="390" t="s">
        <v>1282</v>
      </c>
      <c r="E152" s="403">
        <f>IF(C152&lt;&gt;C151,1,IF(D152&lt;&gt;D151,E151+1,E151))</f>
        <v>1</v>
      </c>
      <c r="F152" s="432" t="s">
        <v>199</v>
      </c>
      <c r="G152" s="404" t="s">
        <v>1019</v>
      </c>
      <c r="H152" s="405"/>
      <c r="I152" s="390"/>
      <c r="J152" s="390"/>
      <c r="K152" s="398">
        <f>_xlfn.IFNA(VLOOKUP(A152,numbering!$K$3:$L$92,2,0),0)</f>
        <v>0</v>
      </c>
    </row>
    <row r="153" spans="1:11" ht="32" hidden="1" x14ac:dyDescent="0.2">
      <c r="A153" s="390">
        <v>72</v>
      </c>
      <c r="B153" s="390" t="s">
        <v>174</v>
      </c>
      <c r="C153" s="390">
        <f>VLOOKUP(B153,numbering!$N$18:$O$30,2,0)</f>
        <v>2</v>
      </c>
      <c r="D153" s="390" t="s">
        <v>1282</v>
      </c>
      <c r="E153" s="403">
        <f>IF(C153&lt;&gt;C152,1,IF(D153&lt;&gt;D152,E152+1,E152))</f>
        <v>1</v>
      </c>
      <c r="F153" s="432" t="s">
        <v>707</v>
      </c>
      <c r="G153" s="404" t="s">
        <v>1019</v>
      </c>
      <c r="H153" s="405"/>
      <c r="I153" s="390"/>
      <c r="J153" s="390"/>
      <c r="K153" s="398">
        <f>_xlfn.IFNA(VLOOKUP(A153,numbering!$K$3:$L$92,2,0),0)</f>
        <v>0</v>
      </c>
    </row>
    <row r="154" spans="1:11" ht="32" hidden="1" x14ac:dyDescent="0.2">
      <c r="A154" s="390">
        <v>73</v>
      </c>
      <c r="B154" s="390" t="s">
        <v>174</v>
      </c>
      <c r="C154" s="390">
        <f>VLOOKUP(B154,numbering!$N$18:$O$30,2,0)</f>
        <v>2</v>
      </c>
      <c r="D154" s="390" t="s">
        <v>1282</v>
      </c>
      <c r="E154" s="403">
        <f>IF(C154&lt;&gt;C153,1,IF(D154&lt;&gt;D153,E153+1,E153))</f>
        <v>1</v>
      </c>
      <c r="F154" s="432" t="s">
        <v>200</v>
      </c>
      <c r="G154" s="404" t="s">
        <v>1019</v>
      </c>
      <c r="H154" s="405"/>
      <c r="I154" s="390"/>
      <c r="J154" s="390"/>
      <c r="K154" s="398">
        <f>_xlfn.IFNA(VLOOKUP(A154,numbering!$K$3:$L$92,2,0),0)</f>
        <v>0</v>
      </c>
    </row>
    <row r="155" spans="1:11" ht="32" hidden="1" x14ac:dyDescent="0.2">
      <c r="A155" s="390">
        <v>74</v>
      </c>
      <c r="B155" s="390" t="s">
        <v>174</v>
      </c>
      <c r="C155" s="390">
        <f>VLOOKUP(B155,numbering!$N$18:$O$30,2,0)</f>
        <v>2</v>
      </c>
      <c r="D155" s="390" t="s">
        <v>1282</v>
      </c>
      <c r="E155" s="403">
        <f>IF(C155&lt;&gt;C154,1,IF(D155&lt;&gt;D154,E154+1,E154))</f>
        <v>1</v>
      </c>
      <c r="F155" s="432" t="s">
        <v>201</v>
      </c>
      <c r="G155" s="404" t="s">
        <v>1019</v>
      </c>
      <c r="H155" s="405"/>
      <c r="I155" s="390"/>
      <c r="J155" s="390"/>
      <c r="K155" s="398">
        <f>_xlfn.IFNA(VLOOKUP(A155,numbering!$K$3:$L$92,2,0),0)</f>
        <v>0</v>
      </c>
    </row>
    <row r="156" spans="1:11" ht="45" hidden="1" x14ac:dyDescent="0.2">
      <c r="A156" s="390">
        <v>75</v>
      </c>
      <c r="B156" s="390" t="s">
        <v>174</v>
      </c>
      <c r="C156" s="390">
        <f>VLOOKUP(B156,numbering!$N$18:$O$30,2,0)</f>
        <v>2</v>
      </c>
      <c r="D156" s="390" t="s">
        <v>1282</v>
      </c>
      <c r="E156" s="403">
        <f t="shared" ref="E156:E187" si="6">IF(C156&lt;&gt;C155,1,IF(F156&lt;&gt;F155,E155+1,E155))</f>
        <v>2</v>
      </c>
      <c r="F156" s="422" t="s">
        <v>1352</v>
      </c>
      <c r="G156" s="404" t="s">
        <v>1262</v>
      </c>
      <c r="H156" s="405"/>
      <c r="I156" s="390"/>
      <c r="J156" s="390"/>
      <c r="K156" s="398">
        <f>_xlfn.IFNA(VLOOKUP(A156,numbering!$K$3:$L$92,2,0),0)</f>
        <v>1</v>
      </c>
    </row>
    <row r="157" spans="1:11" ht="45" hidden="1" x14ac:dyDescent="0.2">
      <c r="A157" s="390">
        <v>76</v>
      </c>
      <c r="B157" s="390" t="s">
        <v>174</v>
      </c>
      <c r="C157" s="390">
        <f>VLOOKUP(B157,numbering!$N$18:$O$30,2,0)</f>
        <v>2</v>
      </c>
      <c r="D157" s="390" t="s">
        <v>1282</v>
      </c>
      <c r="E157" s="403">
        <f t="shared" si="6"/>
        <v>3</v>
      </c>
      <c r="F157" s="422" t="s">
        <v>1353</v>
      </c>
      <c r="G157" s="404" t="s">
        <v>1262</v>
      </c>
      <c r="H157" s="405"/>
      <c r="I157" s="390"/>
      <c r="J157" s="390"/>
      <c r="K157" s="398">
        <f>_xlfn.IFNA(VLOOKUP(A157,numbering!$K$3:$L$92,2,0),0)</f>
        <v>1</v>
      </c>
    </row>
    <row r="158" spans="1:11" ht="45" hidden="1" x14ac:dyDescent="0.2">
      <c r="A158" s="390">
        <v>77</v>
      </c>
      <c r="B158" s="390" t="s">
        <v>174</v>
      </c>
      <c r="C158" s="390">
        <f>VLOOKUP(B158,numbering!$N$18:$O$30,2,0)</f>
        <v>2</v>
      </c>
      <c r="D158" s="390" t="s">
        <v>1282</v>
      </c>
      <c r="E158" s="403">
        <f t="shared" si="6"/>
        <v>4</v>
      </c>
      <c r="F158" s="422" t="s">
        <v>1354</v>
      </c>
      <c r="G158" s="404" t="s">
        <v>1262</v>
      </c>
      <c r="H158" s="405"/>
      <c r="I158" s="390"/>
      <c r="J158" s="390"/>
      <c r="K158" s="398">
        <f>_xlfn.IFNA(VLOOKUP(A158,numbering!$K$3:$L$92,2,0),0)</f>
        <v>1</v>
      </c>
    </row>
    <row r="159" spans="1:11" ht="32" hidden="1" x14ac:dyDescent="0.2">
      <c r="A159" s="390">
        <v>78</v>
      </c>
      <c r="B159" s="390" t="s">
        <v>174</v>
      </c>
      <c r="C159" s="390">
        <f>VLOOKUP(B159,numbering!$N$18:$O$30,2,0)</f>
        <v>2</v>
      </c>
      <c r="D159" s="390" t="s">
        <v>1282</v>
      </c>
      <c r="E159" s="403">
        <f t="shared" si="6"/>
        <v>5</v>
      </c>
      <c r="F159" s="422" t="s">
        <v>1303</v>
      </c>
      <c r="G159" s="388" t="s">
        <v>7</v>
      </c>
      <c r="H159" s="390">
        <v>1</v>
      </c>
      <c r="I159" s="390">
        <v>1</v>
      </c>
      <c r="J159" s="390"/>
      <c r="K159" s="398">
        <f>_xlfn.IFNA(VLOOKUP(A159,numbering!$K$3:$L$92,2,0),0)</f>
        <v>1</v>
      </c>
    </row>
    <row r="160" spans="1:11" ht="32" hidden="1" x14ac:dyDescent="0.2">
      <c r="A160" s="390">
        <v>78</v>
      </c>
      <c r="B160" s="390" t="s">
        <v>174</v>
      </c>
      <c r="C160" s="390">
        <f>VLOOKUP(B160,numbering!$N$18:$O$30,2,0)</f>
        <v>2</v>
      </c>
      <c r="D160" s="390" t="s">
        <v>1282</v>
      </c>
      <c r="E160" s="403">
        <f t="shared" si="6"/>
        <v>5</v>
      </c>
      <c r="F160" s="422" t="s">
        <v>1303</v>
      </c>
      <c r="G160" s="388" t="s">
        <v>8</v>
      </c>
      <c r="H160" s="390">
        <v>4</v>
      </c>
      <c r="I160" s="390">
        <v>0</v>
      </c>
      <c r="J160" s="390"/>
      <c r="K160" s="398">
        <f>_xlfn.IFNA(VLOOKUP(A160,numbering!$K$3:$L$92,2,0),0)</f>
        <v>1</v>
      </c>
    </row>
    <row r="161" spans="1:11" ht="32" hidden="1" x14ac:dyDescent="0.2">
      <c r="A161" s="390">
        <v>79</v>
      </c>
      <c r="B161" s="390" t="s">
        <v>174</v>
      </c>
      <c r="C161" s="390">
        <f>VLOOKUP(B161,numbering!$N$18:$O$30,2,0)</f>
        <v>2</v>
      </c>
      <c r="D161" s="390" t="s">
        <v>1282</v>
      </c>
      <c r="E161" s="403">
        <f t="shared" si="6"/>
        <v>6</v>
      </c>
      <c r="F161" s="422" t="s">
        <v>1304</v>
      </c>
      <c r="G161" s="388" t="s">
        <v>7</v>
      </c>
      <c r="H161" s="390">
        <v>1</v>
      </c>
      <c r="I161" s="390">
        <v>1</v>
      </c>
      <c r="J161" s="390"/>
      <c r="K161" s="398">
        <f>_xlfn.IFNA(VLOOKUP(A161,numbering!$K$3:$L$92,2,0),0)</f>
        <v>1</v>
      </c>
    </row>
    <row r="162" spans="1:11" ht="32" hidden="1" x14ac:dyDescent="0.2">
      <c r="A162" s="390">
        <v>79</v>
      </c>
      <c r="B162" s="390" t="s">
        <v>174</v>
      </c>
      <c r="C162" s="390">
        <f>VLOOKUP(B162,numbering!$N$18:$O$30,2,0)</f>
        <v>2</v>
      </c>
      <c r="D162" s="390" t="s">
        <v>1282</v>
      </c>
      <c r="E162" s="403">
        <f t="shared" si="6"/>
        <v>6</v>
      </c>
      <c r="F162" s="422" t="s">
        <v>1304</v>
      </c>
      <c r="G162" s="388" t="s">
        <v>8</v>
      </c>
      <c r="H162" s="390">
        <v>4</v>
      </c>
      <c r="I162" s="390">
        <v>0</v>
      </c>
      <c r="J162" s="390"/>
      <c r="K162" s="398">
        <f>_xlfn.IFNA(VLOOKUP(A162,numbering!$K$3:$L$92,2,0),0)</f>
        <v>1</v>
      </c>
    </row>
    <row r="163" spans="1:11" ht="32" hidden="1" x14ac:dyDescent="0.2">
      <c r="A163" s="390">
        <v>80</v>
      </c>
      <c r="B163" s="390" t="s">
        <v>174</v>
      </c>
      <c r="C163" s="390">
        <f>VLOOKUP(B163,numbering!$N$18:$O$30,2,0)</f>
        <v>2</v>
      </c>
      <c r="D163" s="390" t="s">
        <v>1282</v>
      </c>
      <c r="E163" s="403">
        <f t="shared" si="6"/>
        <v>7</v>
      </c>
      <c r="F163" s="422" t="s">
        <v>1325</v>
      </c>
      <c r="G163" s="388" t="s">
        <v>669</v>
      </c>
      <c r="H163" s="390"/>
      <c r="I163" s="390">
        <v>1.5</v>
      </c>
      <c r="J163" s="390"/>
      <c r="K163" s="398">
        <f>_xlfn.IFNA(VLOOKUP(A163,numbering!$K$3:$L$92,2,0),0)</f>
        <v>1</v>
      </c>
    </row>
    <row r="164" spans="1:11" ht="32" hidden="1" x14ac:dyDescent="0.2">
      <c r="A164" s="390">
        <v>80</v>
      </c>
      <c r="B164" s="390" t="s">
        <v>174</v>
      </c>
      <c r="C164" s="390">
        <f>VLOOKUP(B164,numbering!$N$18:$O$30,2,0)</f>
        <v>2</v>
      </c>
      <c r="D164" s="390" t="s">
        <v>1282</v>
      </c>
      <c r="E164" s="403">
        <f t="shared" si="6"/>
        <v>7</v>
      </c>
      <c r="F164" s="422" t="s">
        <v>1325</v>
      </c>
      <c r="G164" s="388" t="s">
        <v>698</v>
      </c>
      <c r="H164" s="390"/>
      <c r="I164" s="390">
        <v>1.25</v>
      </c>
      <c r="J164" s="390"/>
      <c r="K164" s="398">
        <f>_xlfn.IFNA(VLOOKUP(A164,numbering!$K$3:$L$92,2,0),0)</f>
        <v>1</v>
      </c>
    </row>
    <row r="165" spans="1:11" ht="32" hidden="1" x14ac:dyDescent="0.2">
      <c r="A165" s="390">
        <v>80</v>
      </c>
      <c r="B165" s="390" t="s">
        <v>174</v>
      </c>
      <c r="C165" s="390">
        <f>VLOOKUP(B165,numbering!$N$18:$O$30,2,0)</f>
        <v>2</v>
      </c>
      <c r="D165" s="390" t="s">
        <v>1282</v>
      </c>
      <c r="E165" s="403">
        <f t="shared" si="6"/>
        <v>7</v>
      </c>
      <c r="F165" s="422" t="s">
        <v>1325</v>
      </c>
      <c r="G165" s="388" t="s">
        <v>692</v>
      </c>
      <c r="H165" s="390"/>
      <c r="I165" s="390">
        <v>1</v>
      </c>
      <c r="J165" s="390"/>
      <c r="K165" s="398">
        <f>_xlfn.IFNA(VLOOKUP(A165,numbering!$K$3:$L$92,2,0),0)</f>
        <v>1</v>
      </c>
    </row>
    <row r="166" spans="1:11" ht="32" hidden="1" x14ac:dyDescent="0.2">
      <c r="A166" s="390">
        <v>80</v>
      </c>
      <c r="B166" s="390" t="s">
        <v>174</v>
      </c>
      <c r="C166" s="390">
        <f>VLOOKUP(B166,numbering!$N$18:$O$30,2,0)</f>
        <v>2</v>
      </c>
      <c r="D166" s="390" t="s">
        <v>1282</v>
      </c>
      <c r="E166" s="403">
        <f t="shared" si="6"/>
        <v>7</v>
      </c>
      <c r="F166" s="422" t="s">
        <v>1325</v>
      </c>
      <c r="G166" s="388" t="s">
        <v>740</v>
      </c>
      <c r="H166" s="390"/>
      <c r="I166" s="390">
        <v>0.5</v>
      </c>
      <c r="J166" s="390"/>
      <c r="K166" s="398">
        <f>_xlfn.IFNA(VLOOKUP(A166,numbering!$K$3:$L$92,2,0),0)</f>
        <v>1</v>
      </c>
    </row>
    <row r="167" spans="1:11" ht="32" hidden="1" x14ac:dyDescent="0.2">
      <c r="A167" s="390">
        <v>80</v>
      </c>
      <c r="B167" s="390" t="s">
        <v>174</v>
      </c>
      <c r="C167" s="390">
        <f>VLOOKUP(B167,numbering!$N$18:$O$30,2,0)</f>
        <v>2</v>
      </c>
      <c r="D167" s="390" t="s">
        <v>1282</v>
      </c>
      <c r="E167" s="403">
        <f t="shared" si="6"/>
        <v>7</v>
      </c>
      <c r="F167" s="422" t="s">
        <v>1325</v>
      </c>
      <c r="G167" s="388" t="s">
        <v>10</v>
      </c>
      <c r="H167" s="390"/>
      <c r="I167" s="390">
        <v>1</v>
      </c>
      <c r="J167" s="390"/>
      <c r="K167" s="398">
        <f>_xlfn.IFNA(VLOOKUP(A167,numbering!$K$3:$L$92,2,0),0)</f>
        <v>1</v>
      </c>
    </row>
    <row r="168" spans="1:11" ht="32" hidden="1" x14ac:dyDescent="0.2">
      <c r="A168" s="390">
        <v>81</v>
      </c>
      <c r="B168" s="390" t="s">
        <v>174</v>
      </c>
      <c r="C168" s="390">
        <f>VLOOKUP(B168,numbering!$N$18:$O$30,2,0)</f>
        <v>2</v>
      </c>
      <c r="D168" s="390" t="s">
        <v>1282</v>
      </c>
      <c r="E168" s="403">
        <f t="shared" si="6"/>
        <v>8</v>
      </c>
      <c r="F168" s="422" t="s">
        <v>1326</v>
      </c>
      <c r="G168" s="388" t="s">
        <v>861</v>
      </c>
      <c r="H168" s="390"/>
      <c r="I168" s="398">
        <v>5</v>
      </c>
      <c r="J168" s="398"/>
      <c r="K168" s="398">
        <f>_xlfn.IFNA(VLOOKUP(A168,numbering!$K$3:$L$92,2,0),0)</f>
        <v>1</v>
      </c>
    </row>
    <row r="169" spans="1:11" ht="32" hidden="1" x14ac:dyDescent="0.2">
      <c r="A169" s="390">
        <v>81</v>
      </c>
      <c r="B169" s="390" t="s">
        <v>174</v>
      </c>
      <c r="C169" s="390">
        <f>VLOOKUP(B169,numbering!$N$18:$O$30,2,0)</f>
        <v>2</v>
      </c>
      <c r="D169" s="390" t="s">
        <v>1282</v>
      </c>
      <c r="E169" s="403">
        <f t="shared" si="6"/>
        <v>8</v>
      </c>
      <c r="F169" s="422" t="s">
        <v>1326</v>
      </c>
      <c r="G169" s="388" t="s">
        <v>830</v>
      </c>
      <c r="H169" s="390"/>
      <c r="I169" s="390">
        <v>1.2</v>
      </c>
      <c r="J169" s="390"/>
      <c r="K169" s="398">
        <f>_xlfn.IFNA(VLOOKUP(A169,numbering!$K$3:$L$92,2,0),0)</f>
        <v>1</v>
      </c>
    </row>
    <row r="170" spans="1:11" ht="32" hidden="1" x14ac:dyDescent="0.2">
      <c r="A170" s="390">
        <v>81</v>
      </c>
      <c r="B170" s="390" t="s">
        <v>174</v>
      </c>
      <c r="C170" s="390">
        <f>VLOOKUP(B170,numbering!$N$18:$O$30,2,0)</f>
        <v>2</v>
      </c>
      <c r="D170" s="390" t="s">
        <v>1282</v>
      </c>
      <c r="E170" s="403">
        <f t="shared" si="6"/>
        <v>8</v>
      </c>
      <c r="F170" s="422" t="s">
        <v>1326</v>
      </c>
      <c r="G170" s="388" t="s">
        <v>831</v>
      </c>
      <c r="H170" s="390"/>
      <c r="I170" s="390">
        <v>1</v>
      </c>
      <c r="J170" s="390"/>
      <c r="K170" s="398">
        <f>_xlfn.IFNA(VLOOKUP(A170,numbering!$K$3:$L$92,2,0),0)</f>
        <v>1</v>
      </c>
    </row>
    <row r="171" spans="1:11" ht="32" hidden="1" x14ac:dyDescent="0.2">
      <c r="A171" s="390">
        <v>81</v>
      </c>
      <c r="B171" s="390" t="s">
        <v>174</v>
      </c>
      <c r="C171" s="390">
        <f>VLOOKUP(B171,numbering!$N$18:$O$30,2,0)</f>
        <v>2</v>
      </c>
      <c r="D171" s="390" t="s">
        <v>1282</v>
      </c>
      <c r="E171" s="403">
        <f t="shared" si="6"/>
        <v>8</v>
      </c>
      <c r="F171" s="422" t="s">
        <v>1326</v>
      </c>
      <c r="G171" s="388" t="s">
        <v>670</v>
      </c>
      <c r="H171" s="390"/>
      <c r="I171" s="390">
        <v>0.8</v>
      </c>
      <c r="J171" s="390"/>
      <c r="K171" s="398">
        <f>_xlfn.IFNA(VLOOKUP(A171,numbering!$K$3:$L$92,2,0),0)</f>
        <v>1</v>
      </c>
    </row>
    <row r="172" spans="1:11" ht="32" hidden="1" x14ac:dyDescent="0.2">
      <c r="A172" s="390">
        <v>81</v>
      </c>
      <c r="B172" s="390" t="s">
        <v>174</v>
      </c>
      <c r="C172" s="390">
        <f>VLOOKUP(B172,numbering!$N$18:$O$30,2,0)</f>
        <v>2</v>
      </c>
      <c r="D172" s="390" t="s">
        <v>1282</v>
      </c>
      <c r="E172" s="403">
        <f t="shared" si="6"/>
        <v>8</v>
      </c>
      <c r="F172" s="422" t="s">
        <v>1326</v>
      </c>
      <c r="G172" s="388" t="s">
        <v>862</v>
      </c>
      <c r="H172" s="390"/>
      <c r="I172" s="390">
        <v>0.3</v>
      </c>
      <c r="J172" s="390"/>
      <c r="K172" s="398">
        <f>_xlfn.IFNA(VLOOKUP(A172,numbering!$K$3:$L$92,2,0),0)</f>
        <v>1</v>
      </c>
    </row>
    <row r="173" spans="1:11" ht="32" hidden="1" x14ac:dyDescent="0.2">
      <c r="A173" s="390">
        <v>81</v>
      </c>
      <c r="B173" s="390" t="s">
        <v>174</v>
      </c>
      <c r="C173" s="390">
        <f>VLOOKUP(B173,numbering!$N$18:$O$30,2,0)</f>
        <v>2</v>
      </c>
      <c r="D173" s="390" t="s">
        <v>1282</v>
      </c>
      <c r="E173" s="403">
        <f t="shared" si="6"/>
        <v>8</v>
      </c>
      <c r="F173" s="422" t="s">
        <v>1326</v>
      </c>
      <c r="G173" s="388" t="s">
        <v>863</v>
      </c>
      <c r="H173" s="390"/>
      <c r="I173" s="390">
        <v>2.5</v>
      </c>
      <c r="J173" s="390"/>
      <c r="K173" s="398">
        <f>_xlfn.IFNA(VLOOKUP(A173,numbering!$K$3:$L$92,2,0),0)</f>
        <v>1</v>
      </c>
    </row>
    <row r="174" spans="1:11" ht="32" hidden="1" x14ac:dyDescent="0.2">
      <c r="A174" s="390">
        <v>81</v>
      </c>
      <c r="B174" s="390" t="s">
        <v>174</v>
      </c>
      <c r="C174" s="390">
        <f>VLOOKUP(B174,numbering!$N$18:$O$30,2,0)</f>
        <v>2</v>
      </c>
      <c r="D174" s="390" t="s">
        <v>1282</v>
      </c>
      <c r="E174" s="403">
        <f t="shared" si="6"/>
        <v>8</v>
      </c>
      <c r="F174" s="422" t="s">
        <v>1326</v>
      </c>
      <c r="G174" s="388" t="s">
        <v>864</v>
      </c>
      <c r="H174" s="390"/>
      <c r="I174" s="390">
        <v>1</v>
      </c>
      <c r="J174" s="390"/>
      <c r="K174" s="398">
        <f>_xlfn.IFNA(VLOOKUP(A174,numbering!$K$3:$L$92,2,0),0)</f>
        <v>1</v>
      </c>
    </row>
    <row r="175" spans="1:11" ht="32" hidden="1" x14ac:dyDescent="0.2">
      <c r="A175" s="390">
        <v>81</v>
      </c>
      <c r="B175" s="390" t="s">
        <v>174</v>
      </c>
      <c r="C175" s="390">
        <f>VLOOKUP(B175,numbering!$N$18:$O$30,2,0)</f>
        <v>2</v>
      </c>
      <c r="D175" s="390" t="s">
        <v>1282</v>
      </c>
      <c r="E175" s="403">
        <f t="shared" si="6"/>
        <v>8</v>
      </c>
      <c r="F175" s="422" t="s">
        <v>1326</v>
      </c>
      <c r="G175" s="388" t="s">
        <v>865</v>
      </c>
      <c r="H175" s="390"/>
      <c r="I175" s="390">
        <v>0.8</v>
      </c>
      <c r="J175" s="390"/>
      <c r="K175" s="398">
        <f>_xlfn.IFNA(VLOOKUP(A175,numbering!$K$3:$L$92,2,0),0)</f>
        <v>1</v>
      </c>
    </row>
    <row r="176" spans="1:11" ht="32" hidden="1" x14ac:dyDescent="0.2">
      <c r="A176" s="390">
        <v>81</v>
      </c>
      <c r="B176" s="390" t="s">
        <v>174</v>
      </c>
      <c r="C176" s="390">
        <f>VLOOKUP(B176,numbering!$N$18:$O$30,2,0)</f>
        <v>2</v>
      </c>
      <c r="D176" s="390" t="s">
        <v>1282</v>
      </c>
      <c r="E176" s="403">
        <f t="shared" si="6"/>
        <v>8</v>
      </c>
      <c r="F176" s="422" t="s">
        <v>1326</v>
      </c>
      <c r="G176" s="388" t="s">
        <v>836</v>
      </c>
      <c r="H176" s="390"/>
      <c r="I176" s="390">
        <v>2</v>
      </c>
      <c r="J176" s="390"/>
      <c r="K176" s="398">
        <f>_xlfn.IFNA(VLOOKUP(A176,numbering!$K$3:$L$92,2,0),0)</f>
        <v>1</v>
      </c>
    </row>
    <row r="177" spans="1:11" ht="32" hidden="1" x14ac:dyDescent="0.2">
      <c r="A177" s="390">
        <v>81</v>
      </c>
      <c r="B177" s="390" t="s">
        <v>174</v>
      </c>
      <c r="C177" s="390">
        <f>VLOOKUP(B177,numbering!$N$18:$O$30,2,0)</f>
        <v>2</v>
      </c>
      <c r="D177" s="390" t="s">
        <v>1282</v>
      </c>
      <c r="E177" s="403">
        <f t="shared" si="6"/>
        <v>8</v>
      </c>
      <c r="F177" s="422" t="s">
        <v>1326</v>
      </c>
      <c r="G177" s="388" t="s">
        <v>10</v>
      </c>
      <c r="H177" s="390"/>
      <c r="I177" s="390">
        <v>1</v>
      </c>
      <c r="J177" s="390"/>
      <c r="K177" s="398">
        <f>_xlfn.IFNA(VLOOKUP(A177,numbering!$K$3:$L$92,2,0),0)</f>
        <v>1</v>
      </c>
    </row>
    <row r="178" spans="1:11" ht="32" hidden="1" x14ac:dyDescent="0.2">
      <c r="A178" s="390">
        <v>82</v>
      </c>
      <c r="B178" s="390" t="s">
        <v>174</v>
      </c>
      <c r="C178" s="390">
        <f>VLOOKUP(B178,numbering!$N$18:$O$30,2,0)</f>
        <v>2</v>
      </c>
      <c r="D178" s="390" t="s">
        <v>1282</v>
      </c>
      <c r="E178" s="403">
        <f t="shared" si="6"/>
        <v>9</v>
      </c>
      <c r="F178" s="422" t="s">
        <v>1355</v>
      </c>
      <c r="G178" s="388" t="s">
        <v>709</v>
      </c>
      <c r="H178" s="390"/>
      <c r="I178" s="390">
        <v>0.05</v>
      </c>
      <c r="J178" s="390">
        <v>0</v>
      </c>
      <c r="K178" s="398">
        <f>_xlfn.IFNA(VLOOKUP(A178,numbering!$K$3:$L$92,2,0),0)</f>
        <v>1</v>
      </c>
    </row>
    <row r="179" spans="1:11" ht="32" hidden="1" x14ac:dyDescent="0.2">
      <c r="A179" s="390">
        <v>82</v>
      </c>
      <c r="B179" s="390" t="s">
        <v>174</v>
      </c>
      <c r="C179" s="390">
        <f>VLOOKUP(B179,numbering!$N$18:$O$30,2,0)</f>
        <v>2</v>
      </c>
      <c r="D179" s="390" t="s">
        <v>1282</v>
      </c>
      <c r="E179" s="403">
        <f t="shared" si="6"/>
        <v>9</v>
      </c>
      <c r="F179" s="422" t="s">
        <v>1355</v>
      </c>
      <c r="G179" s="388" t="s">
        <v>699</v>
      </c>
      <c r="H179" s="390"/>
      <c r="I179" s="390">
        <v>1</v>
      </c>
      <c r="J179" s="390">
        <v>0</v>
      </c>
      <c r="K179" s="398">
        <f>_xlfn.IFNA(VLOOKUP(A179,numbering!$K$3:$L$92,2,0),0)</f>
        <v>1</v>
      </c>
    </row>
    <row r="180" spans="1:11" ht="32" hidden="1" x14ac:dyDescent="0.2">
      <c r="A180" s="390">
        <v>82</v>
      </c>
      <c r="B180" s="390" t="s">
        <v>174</v>
      </c>
      <c r="C180" s="390">
        <f>VLOOKUP(B180,numbering!$N$18:$O$30,2,0)</f>
        <v>2</v>
      </c>
      <c r="D180" s="390" t="s">
        <v>1282</v>
      </c>
      <c r="E180" s="403">
        <f t="shared" si="6"/>
        <v>9</v>
      </c>
      <c r="F180" s="422" t="s">
        <v>1355</v>
      </c>
      <c r="G180" s="388" t="s">
        <v>1206</v>
      </c>
      <c r="H180" s="390"/>
      <c r="I180" s="390">
        <v>5</v>
      </c>
      <c r="J180" s="390">
        <v>1</v>
      </c>
      <c r="K180" s="398">
        <f>_xlfn.IFNA(VLOOKUP(A180,numbering!$K$3:$L$92,2,0),0)</f>
        <v>1</v>
      </c>
    </row>
    <row r="181" spans="1:11" ht="32" hidden="1" x14ac:dyDescent="0.2">
      <c r="A181" s="390">
        <v>83</v>
      </c>
      <c r="B181" s="390" t="s">
        <v>174</v>
      </c>
      <c r="C181" s="390">
        <f>VLOOKUP(B181,numbering!$N$18:$O$30,2,0)</f>
        <v>2</v>
      </c>
      <c r="D181" s="390" t="s">
        <v>1282</v>
      </c>
      <c r="E181" s="403">
        <f t="shared" si="6"/>
        <v>10</v>
      </c>
      <c r="F181" s="422" t="s">
        <v>1356</v>
      </c>
      <c r="G181" s="407" t="s">
        <v>1080</v>
      </c>
      <c r="H181" s="398"/>
      <c r="I181" s="408">
        <v>5</v>
      </c>
      <c r="J181" s="398">
        <v>2.5</v>
      </c>
      <c r="K181" s="398">
        <f>_xlfn.IFNA(VLOOKUP(A181,numbering!$K$3:$L$92,2,0),0)</f>
        <v>1</v>
      </c>
    </row>
    <row r="182" spans="1:11" ht="32" hidden="1" x14ac:dyDescent="0.2">
      <c r="A182" s="390">
        <v>83</v>
      </c>
      <c r="B182" s="390" t="s">
        <v>174</v>
      </c>
      <c r="C182" s="390">
        <f>VLOOKUP(B182,numbering!$N$18:$O$30,2,0)</f>
        <v>2</v>
      </c>
      <c r="D182" s="390" t="s">
        <v>1282</v>
      </c>
      <c r="E182" s="403">
        <f t="shared" si="6"/>
        <v>10</v>
      </c>
      <c r="F182" s="422" t="s">
        <v>1356</v>
      </c>
      <c r="G182" s="407" t="s">
        <v>1081</v>
      </c>
      <c r="H182" s="398"/>
      <c r="I182" s="408">
        <v>5</v>
      </c>
      <c r="J182" s="398">
        <v>0.25</v>
      </c>
      <c r="K182" s="398">
        <f>_xlfn.IFNA(VLOOKUP(A182,numbering!$K$3:$L$92,2,0),0)</f>
        <v>1</v>
      </c>
    </row>
    <row r="183" spans="1:11" ht="32" hidden="1" x14ac:dyDescent="0.2">
      <c r="A183" s="390">
        <v>83</v>
      </c>
      <c r="B183" s="390" t="s">
        <v>174</v>
      </c>
      <c r="C183" s="390">
        <f>VLOOKUP(B183,numbering!$N$18:$O$30,2,0)</f>
        <v>2</v>
      </c>
      <c r="D183" s="390" t="s">
        <v>1282</v>
      </c>
      <c r="E183" s="403">
        <f t="shared" si="6"/>
        <v>10</v>
      </c>
      <c r="F183" s="422" t="s">
        <v>1356</v>
      </c>
      <c r="G183" s="407" t="s">
        <v>693</v>
      </c>
      <c r="H183" s="398"/>
      <c r="I183" s="408">
        <v>1.2</v>
      </c>
      <c r="J183" s="398">
        <v>0.4</v>
      </c>
      <c r="K183" s="398">
        <f>_xlfn.IFNA(VLOOKUP(A183,numbering!$K$3:$L$92,2,0),0)</f>
        <v>1</v>
      </c>
    </row>
    <row r="184" spans="1:11" ht="32" hidden="1" x14ac:dyDescent="0.2">
      <c r="A184" s="390">
        <v>83</v>
      </c>
      <c r="B184" s="390" t="s">
        <v>174</v>
      </c>
      <c r="C184" s="390">
        <f>VLOOKUP(B184,numbering!$N$18:$O$30,2,0)</f>
        <v>2</v>
      </c>
      <c r="D184" s="390" t="s">
        <v>1282</v>
      </c>
      <c r="E184" s="403">
        <f t="shared" si="6"/>
        <v>10</v>
      </c>
      <c r="F184" s="422" t="s">
        <v>1356</v>
      </c>
      <c r="G184" s="407" t="s">
        <v>1082</v>
      </c>
      <c r="H184" s="398"/>
      <c r="I184" s="408">
        <v>1</v>
      </c>
      <c r="J184" s="398">
        <v>0.25</v>
      </c>
      <c r="K184" s="398">
        <f>_xlfn.IFNA(VLOOKUP(A184,numbering!$K$3:$L$92,2,0),0)</f>
        <v>1</v>
      </c>
    </row>
    <row r="185" spans="1:11" ht="32" hidden="1" x14ac:dyDescent="0.2">
      <c r="A185" s="390">
        <v>83</v>
      </c>
      <c r="B185" s="390" t="s">
        <v>174</v>
      </c>
      <c r="C185" s="390">
        <f>VLOOKUP(B185,numbering!$N$18:$O$30,2,0)</f>
        <v>2</v>
      </c>
      <c r="D185" s="390" t="s">
        <v>1282</v>
      </c>
      <c r="E185" s="403">
        <f t="shared" si="6"/>
        <v>10</v>
      </c>
      <c r="F185" s="422" t="s">
        <v>1356</v>
      </c>
      <c r="G185" s="407" t="s">
        <v>1083</v>
      </c>
      <c r="H185" s="398"/>
      <c r="I185" s="408">
        <v>1</v>
      </c>
      <c r="J185" s="398">
        <v>2.5</v>
      </c>
      <c r="K185" s="398">
        <f>_xlfn.IFNA(VLOOKUP(A185,numbering!$K$3:$L$92,2,0),0)</f>
        <v>1</v>
      </c>
    </row>
    <row r="186" spans="1:11" ht="32" hidden="1" x14ac:dyDescent="0.2">
      <c r="A186" s="390">
        <v>83</v>
      </c>
      <c r="B186" s="390" t="s">
        <v>174</v>
      </c>
      <c r="C186" s="390">
        <f>VLOOKUP(B186,numbering!$N$18:$O$30,2,0)</f>
        <v>2</v>
      </c>
      <c r="D186" s="390" t="s">
        <v>1282</v>
      </c>
      <c r="E186" s="403">
        <f t="shared" si="6"/>
        <v>10</v>
      </c>
      <c r="F186" s="422" t="s">
        <v>1356</v>
      </c>
      <c r="G186" s="407" t="s">
        <v>1084</v>
      </c>
      <c r="H186" s="398"/>
      <c r="I186" s="408">
        <v>1</v>
      </c>
      <c r="J186" s="398">
        <v>0.25</v>
      </c>
      <c r="K186" s="398">
        <f>_xlfn.IFNA(VLOOKUP(A186,numbering!$K$3:$L$92,2,0),0)</f>
        <v>1</v>
      </c>
    </row>
    <row r="187" spans="1:11" ht="32" hidden="1" x14ac:dyDescent="0.2">
      <c r="A187" s="390">
        <v>83</v>
      </c>
      <c r="B187" s="390" t="s">
        <v>174</v>
      </c>
      <c r="C187" s="390">
        <f>VLOOKUP(B187,numbering!$N$18:$O$30,2,0)</f>
        <v>2</v>
      </c>
      <c r="D187" s="390" t="s">
        <v>1282</v>
      </c>
      <c r="E187" s="403">
        <f t="shared" si="6"/>
        <v>10</v>
      </c>
      <c r="F187" s="422" t="s">
        <v>1356</v>
      </c>
      <c r="G187" s="407" t="s">
        <v>1085</v>
      </c>
      <c r="H187" s="398"/>
      <c r="I187" s="408">
        <v>1</v>
      </c>
      <c r="J187" s="398">
        <v>0.25</v>
      </c>
      <c r="K187" s="398">
        <f>_xlfn.IFNA(VLOOKUP(A187,numbering!$K$3:$L$92,2,0),0)</f>
        <v>1</v>
      </c>
    </row>
    <row r="188" spans="1:11" ht="32" hidden="1" x14ac:dyDescent="0.2">
      <c r="A188" s="390">
        <v>83</v>
      </c>
      <c r="B188" s="390" t="s">
        <v>174</v>
      </c>
      <c r="C188" s="390">
        <f>VLOOKUP(B188,numbering!$N$18:$O$30,2,0)</f>
        <v>2</v>
      </c>
      <c r="D188" s="390" t="s">
        <v>1282</v>
      </c>
      <c r="E188" s="403">
        <f t="shared" ref="E188:E219" si="7">IF(C188&lt;&gt;C187,1,IF(F188&lt;&gt;F187,E187+1,E187))</f>
        <v>10</v>
      </c>
      <c r="F188" s="422" t="s">
        <v>1356</v>
      </c>
      <c r="G188" s="407" t="s">
        <v>672</v>
      </c>
      <c r="H188" s="398"/>
      <c r="I188" s="408">
        <v>0.9</v>
      </c>
      <c r="J188" s="398">
        <v>0.25</v>
      </c>
      <c r="K188" s="398">
        <f>_xlfn.IFNA(VLOOKUP(A188,numbering!$K$3:$L$92,2,0),0)</f>
        <v>1</v>
      </c>
    </row>
    <row r="189" spans="1:11" ht="32" hidden="1" x14ac:dyDescent="0.2">
      <c r="A189" s="390">
        <v>83</v>
      </c>
      <c r="B189" s="390" t="s">
        <v>174</v>
      </c>
      <c r="C189" s="390">
        <f>VLOOKUP(B189,numbering!$N$18:$O$30,2,0)</f>
        <v>2</v>
      </c>
      <c r="D189" s="390" t="s">
        <v>1282</v>
      </c>
      <c r="E189" s="403">
        <f t="shared" si="7"/>
        <v>10</v>
      </c>
      <c r="F189" s="422" t="s">
        <v>1356</v>
      </c>
      <c r="G189" s="407" t="s">
        <v>1086</v>
      </c>
      <c r="H189" s="398"/>
      <c r="I189" s="408">
        <v>0.5</v>
      </c>
      <c r="J189" s="398">
        <v>1</v>
      </c>
      <c r="K189" s="398">
        <f>_xlfn.IFNA(VLOOKUP(A189,numbering!$K$3:$L$92,2,0),0)</f>
        <v>1</v>
      </c>
    </row>
    <row r="190" spans="1:11" ht="32" hidden="1" x14ac:dyDescent="0.2">
      <c r="A190" s="390">
        <v>83</v>
      </c>
      <c r="B190" s="390" t="s">
        <v>174</v>
      </c>
      <c r="C190" s="390">
        <f>VLOOKUP(B190,numbering!$N$18:$O$30,2,0)</f>
        <v>2</v>
      </c>
      <c r="D190" s="390" t="s">
        <v>1282</v>
      </c>
      <c r="E190" s="403">
        <f t="shared" si="7"/>
        <v>10</v>
      </c>
      <c r="F190" s="422" t="s">
        <v>1356</v>
      </c>
      <c r="G190" s="407" t="s">
        <v>1087</v>
      </c>
      <c r="H190" s="398"/>
      <c r="I190" s="408">
        <v>3</v>
      </c>
      <c r="J190" s="398">
        <v>2.25</v>
      </c>
      <c r="K190" s="398">
        <f>_xlfn.IFNA(VLOOKUP(A190,numbering!$K$3:$L$92,2,0),0)</f>
        <v>1</v>
      </c>
    </row>
    <row r="191" spans="1:11" ht="32" hidden="1" x14ac:dyDescent="0.2">
      <c r="A191" s="390">
        <v>83</v>
      </c>
      <c r="B191" s="390" t="s">
        <v>174</v>
      </c>
      <c r="C191" s="390">
        <f>VLOOKUP(B191,numbering!$N$18:$O$30,2,0)</f>
        <v>2</v>
      </c>
      <c r="D191" s="390" t="s">
        <v>1282</v>
      </c>
      <c r="E191" s="403">
        <f t="shared" si="7"/>
        <v>10</v>
      </c>
      <c r="F191" s="422" t="s">
        <v>1356</v>
      </c>
      <c r="G191" s="407" t="s">
        <v>1088</v>
      </c>
      <c r="H191" s="398"/>
      <c r="I191" s="408">
        <v>3</v>
      </c>
      <c r="J191" s="398">
        <v>1.7999999999999998</v>
      </c>
      <c r="K191" s="398">
        <f>_xlfn.IFNA(VLOOKUP(A191,numbering!$K$3:$L$92,2,0),0)</f>
        <v>1</v>
      </c>
    </row>
    <row r="192" spans="1:11" ht="32" hidden="1" x14ac:dyDescent="0.2">
      <c r="A192" s="390">
        <v>83</v>
      </c>
      <c r="B192" s="390" t="s">
        <v>174</v>
      </c>
      <c r="C192" s="390">
        <f>VLOOKUP(B192,numbering!$N$18:$O$30,2,0)</f>
        <v>2</v>
      </c>
      <c r="D192" s="390" t="s">
        <v>1282</v>
      </c>
      <c r="E192" s="403">
        <f t="shared" si="7"/>
        <v>10</v>
      </c>
      <c r="F192" s="422" t="s">
        <v>1356</v>
      </c>
      <c r="G192" s="407" t="s">
        <v>1089</v>
      </c>
      <c r="H192" s="398"/>
      <c r="I192" s="408">
        <v>1.5</v>
      </c>
      <c r="J192" s="398">
        <v>2.25</v>
      </c>
      <c r="K192" s="398">
        <f>_xlfn.IFNA(VLOOKUP(A192,numbering!$K$3:$L$92,2,0),0)</f>
        <v>1</v>
      </c>
    </row>
    <row r="193" spans="1:11" ht="32" hidden="1" x14ac:dyDescent="0.2">
      <c r="A193" s="390">
        <v>83</v>
      </c>
      <c r="B193" s="390" t="s">
        <v>174</v>
      </c>
      <c r="C193" s="390">
        <f>VLOOKUP(B193,numbering!$N$18:$O$30,2,0)</f>
        <v>2</v>
      </c>
      <c r="D193" s="390" t="s">
        <v>1282</v>
      </c>
      <c r="E193" s="403">
        <f t="shared" si="7"/>
        <v>10</v>
      </c>
      <c r="F193" s="422" t="s">
        <v>1356</v>
      </c>
      <c r="G193" s="407" t="s">
        <v>1090</v>
      </c>
      <c r="H193" s="398"/>
      <c r="I193" s="408">
        <v>0.7</v>
      </c>
      <c r="J193" s="398">
        <v>1.2000000000000002</v>
      </c>
      <c r="K193" s="398">
        <f>_xlfn.IFNA(VLOOKUP(A193,numbering!$K$3:$L$92,2,0),0)</f>
        <v>1</v>
      </c>
    </row>
    <row r="194" spans="1:11" ht="32" hidden="1" x14ac:dyDescent="0.2">
      <c r="A194" s="390">
        <v>83</v>
      </c>
      <c r="B194" s="390" t="s">
        <v>174</v>
      </c>
      <c r="C194" s="390">
        <f>VLOOKUP(B194,numbering!$N$18:$O$30,2,0)</f>
        <v>2</v>
      </c>
      <c r="D194" s="390" t="s">
        <v>1282</v>
      </c>
      <c r="E194" s="403">
        <f t="shared" si="7"/>
        <v>10</v>
      </c>
      <c r="F194" s="422" t="s">
        <v>1356</v>
      </c>
      <c r="G194" s="407" t="s">
        <v>1091</v>
      </c>
      <c r="H194" s="398"/>
      <c r="I194" s="408">
        <v>0.7</v>
      </c>
      <c r="J194" s="398">
        <v>0.30000000000000004</v>
      </c>
      <c r="K194" s="398">
        <f>_xlfn.IFNA(VLOOKUP(A194,numbering!$K$3:$L$92,2,0),0)</f>
        <v>1</v>
      </c>
    </row>
    <row r="195" spans="1:11" ht="32" hidden="1" x14ac:dyDescent="0.2">
      <c r="A195" s="390">
        <v>83</v>
      </c>
      <c r="B195" s="390" t="s">
        <v>174</v>
      </c>
      <c r="C195" s="390">
        <f>VLOOKUP(B195,numbering!$N$18:$O$30,2,0)</f>
        <v>2</v>
      </c>
      <c r="D195" s="390" t="s">
        <v>1282</v>
      </c>
      <c r="E195" s="403">
        <f t="shared" si="7"/>
        <v>10</v>
      </c>
      <c r="F195" s="422" t="s">
        <v>1356</v>
      </c>
      <c r="G195" s="407" t="s">
        <v>1092</v>
      </c>
      <c r="H195" s="398"/>
      <c r="I195" s="408">
        <v>0.7</v>
      </c>
      <c r="J195" s="398">
        <v>0.30000000000000004</v>
      </c>
      <c r="K195" s="398">
        <f>_xlfn.IFNA(VLOOKUP(A195,numbering!$K$3:$L$92,2,0),0)</f>
        <v>1</v>
      </c>
    </row>
    <row r="196" spans="1:11" ht="32" hidden="1" x14ac:dyDescent="0.2">
      <c r="A196" s="390">
        <v>83</v>
      </c>
      <c r="B196" s="390" t="s">
        <v>174</v>
      </c>
      <c r="C196" s="390">
        <f>VLOOKUP(B196,numbering!$N$18:$O$30,2,0)</f>
        <v>2</v>
      </c>
      <c r="D196" s="390" t="s">
        <v>1282</v>
      </c>
      <c r="E196" s="403">
        <f t="shared" si="7"/>
        <v>10</v>
      </c>
      <c r="F196" s="422" t="s">
        <v>1356</v>
      </c>
      <c r="G196" s="407" t="s">
        <v>1093</v>
      </c>
      <c r="H196" s="398"/>
      <c r="I196" s="408">
        <v>0.7</v>
      </c>
      <c r="J196" s="398">
        <v>0.30000000000000004</v>
      </c>
      <c r="K196" s="398">
        <f>_xlfn.IFNA(VLOOKUP(A196,numbering!$K$3:$L$92,2,0),0)</f>
        <v>1</v>
      </c>
    </row>
    <row r="197" spans="1:11" ht="32" hidden="1" x14ac:dyDescent="0.2">
      <c r="A197" s="390">
        <v>83</v>
      </c>
      <c r="B197" s="390" t="s">
        <v>174</v>
      </c>
      <c r="C197" s="390">
        <f>VLOOKUP(B197,numbering!$N$18:$O$30,2,0)</f>
        <v>2</v>
      </c>
      <c r="D197" s="390" t="s">
        <v>1282</v>
      </c>
      <c r="E197" s="403">
        <f t="shared" si="7"/>
        <v>10</v>
      </c>
      <c r="F197" s="422" t="s">
        <v>1356</v>
      </c>
      <c r="G197" s="407" t="s">
        <v>1094</v>
      </c>
      <c r="H197" s="398"/>
      <c r="I197" s="408">
        <v>0.7</v>
      </c>
      <c r="J197" s="398">
        <v>0.30000000000000004</v>
      </c>
      <c r="K197" s="398">
        <f>_xlfn.IFNA(VLOOKUP(A197,numbering!$K$3:$L$92,2,0),0)</f>
        <v>1</v>
      </c>
    </row>
    <row r="198" spans="1:11" ht="32" hidden="1" x14ac:dyDescent="0.2">
      <c r="A198" s="390">
        <v>83</v>
      </c>
      <c r="B198" s="390" t="s">
        <v>174</v>
      </c>
      <c r="C198" s="390">
        <f>VLOOKUP(B198,numbering!$N$18:$O$30,2,0)</f>
        <v>2</v>
      </c>
      <c r="D198" s="390" t="s">
        <v>1282</v>
      </c>
      <c r="E198" s="403">
        <f t="shared" si="7"/>
        <v>10</v>
      </c>
      <c r="F198" s="422" t="s">
        <v>1356</v>
      </c>
      <c r="G198" s="407" t="s">
        <v>1095</v>
      </c>
      <c r="H198" s="398"/>
      <c r="I198" s="408">
        <v>0.7</v>
      </c>
      <c r="J198" s="398">
        <v>0.89999999999999991</v>
      </c>
      <c r="K198" s="398">
        <f>_xlfn.IFNA(VLOOKUP(A198,numbering!$K$3:$L$92,2,0),0)</f>
        <v>1</v>
      </c>
    </row>
    <row r="199" spans="1:11" ht="32" hidden="1" x14ac:dyDescent="0.2">
      <c r="A199" s="390">
        <v>83</v>
      </c>
      <c r="B199" s="390" t="s">
        <v>174</v>
      </c>
      <c r="C199" s="390">
        <f>VLOOKUP(B199,numbering!$N$18:$O$30,2,0)</f>
        <v>2</v>
      </c>
      <c r="D199" s="390" t="s">
        <v>1282</v>
      </c>
      <c r="E199" s="403">
        <f t="shared" si="7"/>
        <v>10</v>
      </c>
      <c r="F199" s="422" t="s">
        <v>1356</v>
      </c>
      <c r="G199" s="407" t="s">
        <v>700</v>
      </c>
      <c r="H199" s="398"/>
      <c r="I199" s="408">
        <v>0.5</v>
      </c>
      <c r="J199" s="398">
        <v>1.2000000000000002</v>
      </c>
      <c r="K199" s="398">
        <f>_xlfn.IFNA(VLOOKUP(A199,numbering!$K$3:$L$92,2,0),0)</f>
        <v>1</v>
      </c>
    </row>
    <row r="200" spans="1:11" ht="32" hidden="1" x14ac:dyDescent="0.2">
      <c r="A200" s="390">
        <v>83</v>
      </c>
      <c r="B200" s="390" t="s">
        <v>174</v>
      </c>
      <c r="C200" s="390">
        <f>VLOOKUP(B200,numbering!$N$18:$O$30,2,0)</f>
        <v>2</v>
      </c>
      <c r="D200" s="390" t="s">
        <v>1282</v>
      </c>
      <c r="E200" s="403">
        <f t="shared" si="7"/>
        <v>10</v>
      </c>
      <c r="F200" s="422" t="s">
        <v>1356</v>
      </c>
      <c r="G200" s="407" t="s">
        <v>1096</v>
      </c>
      <c r="H200" s="398"/>
      <c r="I200" s="408">
        <v>0.5</v>
      </c>
      <c r="J200" s="398">
        <v>1.5</v>
      </c>
      <c r="K200" s="398">
        <f>_xlfn.IFNA(VLOOKUP(A200,numbering!$K$3:$L$92,2,0),0)</f>
        <v>1</v>
      </c>
    </row>
    <row r="201" spans="1:11" ht="32" hidden="1" x14ac:dyDescent="0.2">
      <c r="A201" s="390">
        <v>83</v>
      </c>
      <c r="B201" s="390" t="s">
        <v>174</v>
      </c>
      <c r="C201" s="390">
        <f>VLOOKUP(B201,numbering!$N$18:$O$30,2,0)</f>
        <v>2</v>
      </c>
      <c r="D201" s="390" t="s">
        <v>1282</v>
      </c>
      <c r="E201" s="403">
        <f t="shared" si="7"/>
        <v>10</v>
      </c>
      <c r="F201" s="422" t="s">
        <v>1356</v>
      </c>
      <c r="G201" s="407" t="s">
        <v>1097</v>
      </c>
      <c r="H201" s="398"/>
      <c r="I201" s="408">
        <v>0.5</v>
      </c>
      <c r="J201" s="398">
        <v>1.5</v>
      </c>
      <c r="K201" s="398">
        <f>_xlfn.IFNA(VLOOKUP(A201,numbering!$K$3:$L$92,2,0),0)</f>
        <v>1</v>
      </c>
    </row>
    <row r="202" spans="1:11" ht="32" hidden="1" x14ac:dyDescent="0.2">
      <c r="A202" s="390">
        <v>83</v>
      </c>
      <c r="B202" s="390" t="s">
        <v>174</v>
      </c>
      <c r="C202" s="390">
        <f>VLOOKUP(B202,numbering!$N$18:$O$30,2,0)</f>
        <v>2</v>
      </c>
      <c r="D202" s="390" t="s">
        <v>1282</v>
      </c>
      <c r="E202" s="403">
        <f t="shared" si="7"/>
        <v>10</v>
      </c>
      <c r="F202" s="422" t="s">
        <v>1356</v>
      </c>
      <c r="G202" s="407" t="s">
        <v>1098</v>
      </c>
      <c r="H202" s="398"/>
      <c r="I202" s="408">
        <v>0.5</v>
      </c>
      <c r="J202" s="398">
        <v>0.89999999999999991</v>
      </c>
      <c r="K202" s="398">
        <f>_xlfn.IFNA(VLOOKUP(A202,numbering!$K$3:$L$92,2,0),0)</f>
        <v>1</v>
      </c>
    </row>
    <row r="203" spans="1:11" ht="32" hidden="1" x14ac:dyDescent="0.2">
      <c r="A203" s="390">
        <v>83</v>
      </c>
      <c r="B203" s="390" t="s">
        <v>174</v>
      </c>
      <c r="C203" s="390">
        <f>VLOOKUP(B203,numbering!$N$18:$O$30,2,0)</f>
        <v>2</v>
      </c>
      <c r="D203" s="390" t="s">
        <v>1282</v>
      </c>
      <c r="E203" s="403">
        <f t="shared" si="7"/>
        <v>10</v>
      </c>
      <c r="F203" s="422" t="s">
        <v>1356</v>
      </c>
      <c r="G203" s="407" t="s">
        <v>1099</v>
      </c>
      <c r="H203" s="398"/>
      <c r="I203" s="408">
        <v>0.5</v>
      </c>
      <c r="J203" s="398">
        <v>0.89999999999999991</v>
      </c>
      <c r="K203" s="398">
        <f>_xlfn.IFNA(VLOOKUP(A203,numbering!$K$3:$L$92,2,0),0)</f>
        <v>1</v>
      </c>
    </row>
    <row r="204" spans="1:11" ht="32" hidden="1" x14ac:dyDescent="0.2">
      <c r="A204" s="390">
        <v>83</v>
      </c>
      <c r="B204" s="390" t="s">
        <v>174</v>
      </c>
      <c r="C204" s="390">
        <f>VLOOKUP(B204,numbering!$N$18:$O$30,2,0)</f>
        <v>2</v>
      </c>
      <c r="D204" s="390" t="s">
        <v>1282</v>
      </c>
      <c r="E204" s="403">
        <f t="shared" si="7"/>
        <v>10</v>
      </c>
      <c r="F204" s="422" t="s">
        <v>1356</v>
      </c>
      <c r="G204" s="407" t="s">
        <v>1100</v>
      </c>
      <c r="H204" s="398"/>
      <c r="I204" s="408">
        <v>0.5</v>
      </c>
      <c r="J204" s="398">
        <v>0.89999999999999991</v>
      </c>
      <c r="K204" s="398">
        <f>_xlfn.IFNA(VLOOKUP(A204,numbering!$K$3:$L$92,2,0),0)</f>
        <v>1</v>
      </c>
    </row>
    <row r="205" spans="1:11" ht="32" hidden="1" x14ac:dyDescent="0.2">
      <c r="A205" s="390">
        <v>83</v>
      </c>
      <c r="B205" s="390" t="s">
        <v>174</v>
      </c>
      <c r="C205" s="390">
        <f>VLOOKUP(B205,numbering!$N$18:$O$30,2,0)</f>
        <v>2</v>
      </c>
      <c r="D205" s="390" t="s">
        <v>1282</v>
      </c>
      <c r="E205" s="403">
        <f t="shared" si="7"/>
        <v>10</v>
      </c>
      <c r="F205" s="422" t="s">
        <v>1356</v>
      </c>
      <c r="G205" s="407" t="s">
        <v>1101</v>
      </c>
      <c r="H205" s="398"/>
      <c r="I205" s="408">
        <v>5</v>
      </c>
      <c r="J205" s="398">
        <v>3.75</v>
      </c>
      <c r="K205" s="398">
        <f>_xlfn.IFNA(VLOOKUP(A205,numbering!$K$3:$L$92,2,0),0)</f>
        <v>1</v>
      </c>
    </row>
    <row r="206" spans="1:11" ht="32" hidden="1" x14ac:dyDescent="0.2">
      <c r="A206" s="390">
        <v>83</v>
      </c>
      <c r="B206" s="390" t="s">
        <v>174</v>
      </c>
      <c r="C206" s="390">
        <f>VLOOKUP(B206,numbering!$N$18:$O$30,2,0)</f>
        <v>2</v>
      </c>
      <c r="D206" s="390" t="s">
        <v>1282</v>
      </c>
      <c r="E206" s="403">
        <f t="shared" si="7"/>
        <v>10</v>
      </c>
      <c r="F206" s="422" t="s">
        <v>1356</v>
      </c>
      <c r="G206" s="407" t="s">
        <v>1102</v>
      </c>
      <c r="H206" s="398"/>
      <c r="I206" s="409">
        <v>5</v>
      </c>
      <c r="J206" s="390">
        <v>3.75</v>
      </c>
      <c r="K206" s="398">
        <f>_xlfn.IFNA(VLOOKUP(A206,numbering!$K$3:$L$92,2,0),0)</f>
        <v>1</v>
      </c>
    </row>
    <row r="207" spans="1:11" ht="32" hidden="1" x14ac:dyDescent="0.2">
      <c r="A207" s="390">
        <v>83</v>
      </c>
      <c r="B207" s="390" t="s">
        <v>174</v>
      </c>
      <c r="C207" s="390">
        <f>VLOOKUP(B207,numbering!$N$18:$O$30,2,0)</f>
        <v>2</v>
      </c>
      <c r="D207" s="390" t="s">
        <v>1282</v>
      </c>
      <c r="E207" s="403">
        <f t="shared" si="7"/>
        <v>10</v>
      </c>
      <c r="F207" s="422" t="s">
        <v>1356</v>
      </c>
      <c r="G207" s="407" t="s">
        <v>1103</v>
      </c>
      <c r="H207" s="398"/>
      <c r="I207" s="408">
        <v>2</v>
      </c>
      <c r="J207" s="398">
        <v>1.7999999999999998</v>
      </c>
      <c r="K207" s="398">
        <f>_xlfn.IFNA(VLOOKUP(A207,numbering!$K$3:$L$92,2,0),0)</f>
        <v>1</v>
      </c>
    </row>
    <row r="208" spans="1:11" ht="32" hidden="1" x14ac:dyDescent="0.2">
      <c r="A208" s="390">
        <v>83</v>
      </c>
      <c r="B208" s="390" t="s">
        <v>174</v>
      </c>
      <c r="C208" s="390">
        <f>VLOOKUP(B208,numbering!$N$18:$O$30,2,0)</f>
        <v>2</v>
      </c>
      <c r="D208" s="390" t="s">
        <v>1282</v>
      </c>
      <c r="E208" s="403">
        <f t="shared" si="7"/>
        <v>10</v>
      </c>
      <c r="F208" s="422" t="s">
        <v>1356</v>
      </c>
      <c r="G208" s="407" t="s">
        <v>1104</v>
      </c>
      <c r="H208" s="398"/>
      <c r="I208" s="408">
        <v>2</v>
      </c>
      <c r="J208" s="398">
        <v>1.7999999999999998</v>
      </c>
      <c r="K208" s="398">
        <f>_xlfn.IFNA(VLOOKUP(A208,numbering!$K$3:$L$92,2,0),0)</f>
        <v>1</v>
      </c>
    </row>
    <row r="209" spans="1:11" ht="32" hidden="1" x14ac:dyDescent="0.2">
      <c r="A209" s="390">
        <v>83</v>
      </c>
      <c r="B209" s="390" t="s">
        <v>174</v>
      </c>
      <c r="C209" s="390">
        <f>VLOOKUP(B209,numbering!$N$18:$O$30,2,0)</f>
        <v>2</v>
      </c>
      <c r="D209" s="390" t="s">
        <v>1282</v>
      </c>
      <c r="E209" s="403">
        <f t="shared" si="7"/>
        <v>10</v>
      </c>
      <c r="F209" s="422" t="s">
        <v>1356</v>
      </c>
      <c r="G209" s="407" t="s">
        <v>1105</v>
      </c>
      <c r="H209" s="398"/>
      <c r="I209" s="408">
        <v>2</v>
      </c>
      <c r="J209" s="398">
        <v>2.25</v>
      </c>
      <c r="K209" s="398">
        <f>_xlfn.IFNA(VLOOKUP(A209,numbering!$K$3:$L$92,2,0),0)</f>
        <v>1</v>
      </c>
    </row>
    <row r="210" spans="1:11" ht="32" hidden="1" x14ac:dyDescent="0.2">
      <c r="A210" s="390">
        <v>83</v>
      </c>
      <c r="B210" s="390" t="s">
        <v>174</v>
      </c>
      <c r="C210" s="390">
        <f>VLOOKUP(B210,numbering!$N$18:$O$30,2,0)</f>
        <v>2</v>
      </c>
      <c r="D210" s="390" t="s">
        <v>1282</v>
      </c>
      <c r="E210" s="403">
        <f t="shared" si="7"/>
        <v>10</v>
      </c>
      <c r="F210" s="422" t="s">
        <v>1356</v>
      </c>
      <c r="G210" s="407" t="s">
        <v>1106</v>
      </c>
      <c r="H210" s="398"/>
      <c r="I210" s="408">
        <v>0.8</v>
      </c>
      <c r="J210" s="398">
        <v>1.5</v>
      </c>
      <c r="K210" s="398">
        <f>_xlfn.IFNA(VLOOKUP(A210,numbering!$K$3:$L$92,2,0),0)</f>
        <v>1</v>
      </c>
    </row>
    <row r="211" spans="1:11" ht="32" hidden="1" x14ac:dyDescent="0.2">
      <c r="A211" s="390">
        <v>83</v>
      </c>
      <c r="B211" s="390" t="s">
        <v>174</v>
      </c>
      <c r="C211" s="390">
        <f>VLOOKUP(B211,numbering!$N$18:$O$30,2,0)</f>
        <v>2</v>
      </c>
      <c r="D211" s="390" t="s">
        <v>1282</v>
      </c>
      <c r="E211" s="403">
        <f t="shared" si="7"/>
        <v>10</v>
      </c>
      <c r="F211" s="422" t="s">
        <v>1356</v>
      </c>
      <c r="G211" s="407" t="s">
        <v>1107</v>
      </c>
      <c r="H211" s="398"/>
      <c r="I211" s="408">
        <v>0.8</v>
      </c>
      <c r="J211" s="398">
        <v>1.5</v>
      </c>
      <c r="K211" s="398">
        <f>_xlfn.IFNA(VLOOKUP(A211,numbering!$K$3:$L$92,2,0),0)</f>
        <v>1</v>
      </c>
    </row>
    <row r="212" spans="1:11" ht="32" hidden="1" x14ac:dyDescent="0.2">
      <c r="A212" s="390">
        <v>83</v>
      </c>
      <c r="B212" s="390" t="s">
        <v>174</v>
      </c>
      <c r="C212" s="390">
        <f>VLOOKUP(B212,numbering!$N$18:$O$30,2,0)</f>
        <v>2</v>
      </c>
      <c r="D212" s="390" t="s">
        <v>1282</v>
      </c>
      <c r="E212" s="403">
        <f t="shared" si="7"/>
        <v>10</v>
      </c>
      <c r="F212" s="422" t="s">
        <v>1356</v>
      </c>
      <c r="G212" s="407" t="s">
        <v>1108</v>
      </c>
      <c r="H212" s="398"/>
      <c r="I212" s="408">
        <v>0.2</v>
      </c>
      <c r="J212" s="398">
        <v>1.5</v>
      </c>
      <c r="K212" s="398">
        <f>_xlfn.IFNA(VLOOKUP(A212,numbering!$K$3:$L$92,2,0),0)</f>
        <v>1</v>
      </c>
    </row>
    <row r="213" spans="1:11" ht="32" hidden="1" x14ac:dyDescent="0.2">
      <c r="A213" s="390">
        <v>83</v>
      </c>
      <c r="B213" s="390" t="s">
        <v>174</v>
      </c>
      <c r="C213" s="390">
        <f>VLOOKUP(B213,numbering!$N$18:$O$30,2,0)</f>
        <v>2</v>
      </c>
      <c r="D213" s="390" t="s">
        <v>1282</v>
      </c>
      <c r="E213" s="403">
        <f t="shared" si="7"/>
        <v>10</v>
      </c>
      <c r="F213" s="422" t="s">
        <v>1356</v>
      </c>
      <c r="G213" s="407" t="s">
        <v>1109</v>
      </c>
      <c r="H213" s="398"/>
      <c r="I213" s="408">
        <v>0.2</v>
      </c>
      <c r="J213" s="398">
        <v>1.5</v>
      </c>
      <c r="K213" s="398">
        <f>_xlfn.IFNA(VLOOKUP(A213,numbering!$K$3:$L$92,2,0),0)</f>
        <v>1</v>
      </c>
    </row>
    <row r="214" spans="1:11" ht="32" hidden="1" x14ac:dyDescent="0.2">
      <c r="A214" s="390">
        <v>83</v>
      </c>
      <c r="B214" s="390" t="s">
        <v>174</v>
      </c>
      <c r="C214" s="390">
        <f>VLOOKUP(B214,numbering!$N$18:$O$30,2,0)</f>
        <v>2</v>
      </c>
      <c r="D214" s="390" t="s">
        <v>1282</v>
      </c>
      <c r="E214" s="403">
        <f t="shared" si="7"/>
        <v>10</v>
      </c>
      <c r="F214" s="422" t="s">
        <v>1356</v>
      </c>
      <c r="G214" s="407" t="s">
        <v>1110</v>
      </c>
      <c r="H214" s="398"/>
      <c r="I214" s="408">
        <v>5</v>
      </c>
      <c r="J214" s="398">
        <v>4.5</v>
      </c>
      <c r="K214" s="398">
        <f>_xlfn.IFNA(VLOOKUP(A214,numbering!$K$3:$L$92,2,0),0)</f>
        <v>1</v>
      </c>
    </row>
    <row r="215" spans="1:11" ht="32" hidden="1" x14ac:dyDescent="0.2">
      <c r="A215" s="390">
        <v>84</v>
      </c>
      <c r="B215" s="390" t="s">
        <v>174</v>
      </c>
      <c r="C215" s="390">
        <f>VLOOKUP(B215,numbering!$N$18:$O$30,2,0)</f>
        <v>2</v>
      </c>
      <c r="D215" s="390" t="s">
        <v>1282</v>
      </c>
      <c r="E215" s="403">
        <f t="shared" si="7"/>
        <v>11</v>
      </c>
      <c r="F215" s="422" t="s">
        <v>1327</v>
      </c>
      <c r="G215" s="410" t="s">
        <v>1251</v>
      </c>
      <c r="I215" s="412">
        <v>0.59999999999999987</v>
      </c>
      <c r="J215" s="412">
        <v>0.10000000000000002</v>
      </c>
      <c r="K215" s="398">
        <f>_xlfn.IFNA(VLOOKUP(A215,numbering!$K$3:$L$92,2,0),0)</f>
        <v>1</v>
      </c>
    </row>
    <row r="216" spans="1:11" ht="32" hidden="1" x14ac:dyDescent="0.2">
      <c r="A216" s="390">
        <v>84</v>
      </c>
      <c r="B216" s="390" t="s">
        <v>174</v>
      </c>
      <c r="C216" s="390">
        <f>VLOOKUP(B216,numbering!$N$18:$O$30,2,0)</f>
        <v>2</v>
      </c>
      <c r="D216" s="390" t="s">
        <v>1282</v>
      </c>
      <c r="E216" s="403">
        <f t="shared" si="7"/>
        <v>11</v>
      </c>
      <c r="F216" s="422" t="s">
        <v>1327</v>
      </c>
      <c r="G216" s="410" t="s">
        <v>1253</v>
      </c>
      <c r="I216" s="412">
        <v>0.73399999999999999</v>
      </c>
      <c r="J216" s="412">
        <v>6.6666666666666652E-2</v>
      </c>
      <c r="K216" s="398">
        <f>_xlfn.IFNA(VLOOKUP(A216,numbering!$K$3:$L$92,2,0),0)</f>
        <v>1</v>
      </c>
    </row>
    <row r="217" spans="1:11" ht="32" hidden="1" x14ac:dyDescent="0.2">
      <c r="A217" s="390">
        <v>84</v>
      </c>
      <c r="B217" s="390" t="s">
        <v>174</v>
      </c>
      <c r="C217" s="390">
        <f>VLOOKUP(B217,numbering!$N$18:$O$30,2,0)</f>
        <v>2</v>
      </c>
      <c r="D217" s="390" t="s">
        <v>1282</v>
      </c>
      <c r="E217" s="403">
        <f t="shared" si="7"/>
        <v>11</v>
      </c>
      <c r="F217" s="422" t="s">
        <v>1327</v>
      </c>
      <c r="G217" s="410" t="s">
        <v>1261</v>
      </c>
      <c r="I217" s="412">
        <v>1.002</v>
      </c>
      <c r="J217" s="412">
        <v>0</v>
      </c>
      <c r="K217" s="398">
        <f>_xlfn.IFNA(VLOOKUP(A217,numbering!$K$3:$L$92,2,0),0)</f>
        <v>1</v>
      </c>
    </row>
    <row r="218" spans="1:11" ht="32" hidden="1" x14ac:dyDescent="0.2">
      <c r="A218" s="390">
        <v>84</v>
      </c>
      <c r="B218" s="390" t="s">
        <v>174</v>
      </c>
      <c r="C218" s="390">
        <f>VLOOKUP(B218,numbering!$N$18:$O$30,2,0)</f>
        <v>2</v>
      </c>
      <c r="D218" s="390" t="s">
        <v>1282</v>
      </c>
      <c r="E218" s="403">
        <f t="shared" si="7"/>
        <v>11</v>
      </c>
      <c r="F218" s="422" t="s">
        <v>1327</v>
      </c>
      <c r="G218" s="410" t="s">
        <v>1252</v>
      </c>
      <c r="I218" s="412">
        <v>0.73299999999999998</v>
      </c>
      <c r="J218" s="412">
        <v>6.6666666666666652E-2</v>
      </c>
      <c r="K218" s="398">
        <f>_xlfn.IFNA(VLOOKUP(A218,numbering!$K$3:$L$92,2,0),0)</f>
        <v>1</v>
      </c>
    </row>
    <row r="219" spans="1:11" ht="32" hidden="1" x14ac:dyDescent="0.2">
      <c r="A219" s="390">
        <v>84</v>
      </c>
      <c r="B219" s="390" t="s">
        <v>174</v>
      </c>
      <c r="C219" s="390">
        <f>VLOOKUP(B219,numbering!$N$18:$O$30,2,0)</f>
        <v>2</v>
      </c>
      <c r="D219" s="390" t="s">
        <v>1282</v>
      </c>
      <c r="E219" s="403">
        <f t="shared" si="7"/>
        <v>11</v>
      </c>
      <c r="F219" s="422" t="s">
        <v>1327</v>
      </c>
      <c r="G219" s="410" t="s">
        <v>1257</v>
      </c>
      <c r="I219" s="412">
        <v>0.8</v>
      </c>
      <c r="J219" s="412">
        <v>9.9999999999999978E-2</v>
      </c>
      <c r="K219" s="398">
        <f>_xlfn.IFNA(VLOOKUP(A219,numbering!$K$3:$L$92,2,0),0)</f>
        <v>1</v>
      </c>
    </row>
    <row r="220" spans="1:11" ht="32" hidden="1" x14ac:dyDescent="0.2">
      <c r="A220" s="390">
        <v>84</v>
      </c>
      <c r="B220" s="390" t="s">
        <v>174</v>
      </c>
      <c r="C220" s="390">
        <f>VLOOKUP(B220,numbering!$N$18:$O$30,2,0)</f>
        <v>2</v>
      </c>
      <c r="D220" s="390" t="s">
        <v>1282</v>
      </c>
      <c r="E220" s="403">
        <f t="shared" ref="E220:E251" si="8">IF(C220&lt;&gt;C219,1,IF(F220&lt;&gt;F219,E219+1,E219))</f>
        <v>11</v>
      </c>
      <c r="F220" s="422" t="s">
        <v>1327</v>
      </c>
      <c r="G220" s="410" t="s">
        <v>1254</v>
      </c>
      <c r="I220" s="412">
        <v>0.96666666666666667</v>
      </c>
      <c r="J220" s="412">
        <v>3.3333333333333361E-2</v>
      </c>
      <c r="K220" s="398">
        <f>_xlfn.IFNA(VLOOKUP(A220,numbering!$K$3:$L$92,2,0),0)</f>
        <v>1</v>
      </c>
    </row>
    <row r="221" spans="1:11" ht="32" hidden="1" x14ac:dyDescent="0.2">
      <c r="A221" s="390">
        <v>84</v>
      </c>
      <c r="B221" s="390" t="s">
        <v>174</v>
      </c>
      <c r="C221" s="390">
        <f>VLOOKUP(B221,numbering!$N$18:$O$30,2,0)</f>
        <v>2</v>
      </c>
      <c r="D221" s="390" t="s">
        <v>1282</v>
      </c>
      <c r="E221" s="403">
        <f t="shared" si="8"/>
        <v>11</v>
      </c>
      <c r="F221" s="422" t="s">
        <v>1327</v>
      </c>
      <c r="G221" s="410" t="s">
        <v>1258</v>
      </c>
      <c r="I221" s="412">
        <v>1</v>
      </c>
      <c r="J221" s="412">
        <v>0</v>
      </c>
      <c r="K221" s="398">
        <f>_xlfn.IFNA(VLOOKUP(A221,numbering!$K$3:$L$92,2,0),0)</f>
        <v>1</v>
      </c>
    </row>
    <row r="222" spans="1:11" ht="32" hidden="1" x14ac:dyDescent="0.2">
      <c r="A222" s="390">
        <v>84</v>
      </c>
      <c r="B222" s="390" t="s">
        <v>174</v>
      </c>
      <c r="C222" s="390">
        <f>VLOOKUP(B222,numbering!$N$18:$O$30,2,0)</f>
        <v>2</v>
      </c>
      <c r="D222" s="390" t="s">
        <v>1282</v>
      </c>
      <c r="E222" s="403">
        <f t="shared" si="8"/>
        <v>11</v>
      </c>
      <c r="F222" s="422" t="s">
        <v>1327</v>
      </c>
      <c r="G222" s="388" t="s">
        <v>1259</v>
      </c>
      <c r="H222" s="390"/>
      <c r="I222" s="412">
        <v>1.0009999999999999</v>
      </c>
      <c r="J222" s="412">
        <v>0.5</v>
      </c>
      <c r="K222" s="398">
        <f>_xlfn.IFNA(VLOOKUP(A222,numbering!$K$3:$L$92,2,0),0)</f>
        <v>1</v>
      </c>
    </row>
    <row r="223" spans="1:11" ht="32" hidden="1" x14ac:dyDescent="0.2">
      <c r="A223" s="390">
        <v>84</v>
      </c>
      <c r="B223" s="390" t="s">
        <v>174</v>
      </c>
      <c r="C223" s="390">
        <f>VLOOKUP(B223,numbering!$N$18:$O$30,2,0)</f>
        <v>2</v>
      </c>
      <c r="D223" s="390" t="s">
        <v>1282</v>
      </c>
      <c r="E223" s="403">
        <f t="shared" si="8"/>
        <v>11</v>
      </c>
      <c r="F223" s="422" t="s">
        <v>1327</v>
      </c>
      <c r="G223" s="410" t="s">
        <v>1255</v>
      </c>
      <c r="I223" s="412">
        <v>1.2010000000000001</v>
      </c>
      <c r="J223" s="412">
        <v>0</v>
      </c>
      <c r="K223" s="398">
        <f>_xlfn.IFNA(VLOOKUP(A223,numbering!$K$3:$L$92,2,0),0)</f>
        <v>1</v>
      </c>
    </row>
    <row r="224" spans="1:11" ht="32" hidden="1" x14ac:dyDescent="0.2">
      <c r="A224" s="390">
        <v>84</v>
      </c>
      <c r="B224" s="390" t="s">
        <v>174</v>
      </c>
      <c r="C224" s="390">
        <f>VLOOKUP(B224,numbering!$N$18:$O$30,2,0)</f>
        <v>2</v>
      </c>
      <c r="D224" s="390" t="s">
        <v>1282</v>
      </c>
      <c r="E224" s="403">
        <f t="shared" si="8"/>
        <v>11</v>
      </c>
      <c r="F224" s="422" t="s">
        <v>1327</v>
      </c>
      <c r="G224" s="410" t="s">
        <v>1256</v>
      </c>
      <c r="I224" s="412">
        <v>1.202</v>
      </c>
      <c r="J224" s="412">
        <v>0</v>
      </c>
      <c r="K224" s="398">
        <f>_xlfn.IFNA(VLOOKUP(A224,numbering!$K$3:$L$92,2,0),0)</f>
        <v>1</v>
      </c>
    </row>
    <row r="225" spans="1:11" ht="32" hidden="1" x14ac:dyDescent="0.2">
      <c r="A225" s="390">
        <v>84</v>
      </c>
      <c r="B225" s="390" t="s">
        <v>174</v>
      </c>
      <c r="C225" s="390">
        <f>VLOOKUP(B225,numbering!$N$18:$O$30,2,0)</f>
        <v>2</v>
      </c>
      <c r="D225" s="390" t="s">
        <v>1282</v>
      </c>
      <c r="E225" s="403">
        <f t="shared" si="8"/>
        <v>11</v>
      </c>
      <c r="F225" s="422" t="s">
        <v>1327</v>
      </c>
      <c r="G225" s="410" t="s">
        <v>1260</v>
      </c>
      <c r="I225" s="412">
        <v>3</v>
      </c>
      <c r="J225" s="412">
        <v>0</v>
      </c>
      <c r="K225" s="398">
        <f>_xlfn.IFNA(VLOOKUP(A225,numbering!$K$3:$L$92,2,0),0)</f>
        <v>1</v>
      </c>
    </row>
    <row r="226" spans="1:11" ht="32" hidden="1" x14ac:dyDescent="0.2">
      <c r="A226" s="390">
        <v>86</v>
      </c>
      <c r="B226" s="390" t="s">
        <v>174</v>
      </c>
      <c r="C226" s="390">
        <f>VLOOKUP(B226,numbering!$N$18:$O$30,2,0)</f>
        <v>2</v>
      </c>
      <c r="D226" s="390" t="s">
        <v>1282</v>
      </c>
      <c r="E226" s="403">
        <f t="shared" si="8"/>
        <v>12</v>
      </c>
      <c r="F226" s="422" t="s">
        <v>1328</v>
      </c>
      <c r="G226" s="388" t="s">
        <v>1229</v>
      </c>
      <c r="H226" s="390">
        <v>1</v>
      </c>
      <c r="I226" s="406">
        <v>1</v>
      </c>
      <c r="J226" s="406">
        <v>0.8</v>
      </c>
      <c r="K226" s="398">
        <f>_xlfn.IFNA(VLOOKUP(A226,numbering!$K$3:$L$92,2,0),0)</f>
        <v>1</v>
      </c>
    </row>
    <row r="227" spans="1:11" ht="32" hidden="1" x14ac:dyDescent="0.2">
      <c r="A227" s="390">
        <v>86</v>
      </c>
      <c r="B227" s="390" t="s">
        <v>174</v>
      </c>
      <c r="C227" s="390">
        <f>VLOOKUP(B227,numbering!$N$18:$O$30,2,0)</f>
        <v>2</v>
      </c>
      <c r="D227" s="390" t="s">
        <v>1282</v>
      </c>
      <c r="E227" s="403">
        <f t="shared" si="8"/>
        <v>12</v>
      </c>
      <c r="F227" s="422" t="s">
        <v>1328</v>
      </c>
      <c r="G227" s="388" t="s">
        <v>1231</v>
      </c>
      <c r="H227" s="390">
        <v>2</v>
      </c>
      <c r="I227" s="406">
        <v>2</v>
      </c>
      <c r="J227" s="406">
        <v>0.8</v>
      </c>
      <c r="K227" s="398">
        <f>_xlfn.IFNA(VLOOKUP(A227,numbering!$K$3:$L$92,2,0),0)</f>
        <v>1</v>
      </c>
    </row>
    <row r="228" spans="1:11" ht="32" hidden="1" x14ac:dyDescent="0.2">
      <c r="A228" s="390">
        <v>86</v>
      </c>
      <c r="B228" s="390" t="s">
        <v>174</v>
      </c>
      <c r="C228" s="390">
        <f>VLOOKUP(B228,numbering!$N$18:$O$30,2,0)</f>
        <v>2</v>
      </c>
      <c r="D228" s="390" t="s">
        <v>1282</v>
      </c>
      <c r="E228" s="403">
        <f t="shared" si="8"/>
        <v>12</v>
      </c>
      <c r="F228" s="422" t="s">
        <v>1328</v>
      </c>
      <c r="G228" s="388" t="s">
        <v>1232</v>
      </c>
      <c r="H228" s="390">
        <v>3</v>
      </c>
      <c r="I228" s="406">
        <v>3</v>
      </c>
      <c r="J228" s="406">
        <v>1</v>
      </c>
      <c r="K228" s="398">
        <f>_xlfn.IFNA(VLOOKUP(A228,numbering!$K$3:$L$92,2,0),0)</f>
        <v>1</v>
      </c>
    </row>
    <row r="229" spans="1:11" ht="32" hidden="1" x14ac:dyDescent="0.2">
      <c r="A229" s="390">
        <v>86</v>
      </c>
      <c r="B229" s="390" t="s">
        <v>174</v>
      </c>
      <c r="C229" s="390">
        <f>VLOOKUP(B229,numbering!$N$18:$O$30,2,0)</f>
        <v>2</v>
      </c>
      <c r="D229" s="390" t="s">
        <v>1282</v>
      </c>
      <c r="E229" s="403">
        <f t="shared" si="8"/>
        <v>12</v>
      </c>
      <c r="F229" s="422" t="s">
        <v>1328</v>
      </c>
      <c r="G229" s="388" t="s">
        <v>1230</v>
      </c>
      <c r="H229" s="390">
        <v>4</v>
      </c>
      <c r="I229" s="406">
        <v>4</v>
      </c>
      <c r="J229" s="406">
        <v>1.5</v>
      </c>
      <c r="K229" s="398">
        <f>_xlfn.IFNA(VLOOKUP(A229,numbering!$K$3:$L$92,2,0),0)</f>
        <v>1</v>
      </c>
    </row>
    <row r="230" spans="1:11" ht="45" x14ac:dyDescent="0.2">
      <c r="A230" s="390">
        <v>87</v>
      </c>
      <c r="B230" s="390" t="s">
        <v>174</v>
      </c>
      <c r="C230" s="390">
        <f>VLOOKUP(B230,numbering!$N$18:$O$30,2,0)</f>
        <v>2</v>
      </c>
      <c r="D230" s="390" t="s">
        <v>1282</v>
      </c>
      <c r="E230" s="403">
        <f t="shared" si="8"/>
        <v>13</v>
      </c>
      <c r="F230" s="422" t="s">
        <v>1357</v>
      </c>
      <c r="G230" s="388" t="s">
        <v>1198</v>
      </c>
      <c r="H230" s="390">
        <v>1</v>
      </c>
      <c r="I230" s="406">
        <v>1</v>
      </c>
      <c r="J230" s="474">
        <v>0.9</v>
      </c>
      <c r="K230" s="398">
        <f>_xlfn.IFNA(VLOOKUP(A230,numbering!$K$3:$L$92,2,0),0)</f>
        <v>1</v>
      </c>
    </row>
    <row r="231" spans="1:11" ht="45" x14ac:dyDescent="0.2">
      <c r="A231" s="390">
        <v>87</v>
      </c>
      <c r="B231" s="390" t="s">
        <v>174</v>
      </c>
      <c r="C231" s="390">
        <f>VLOOKUP(B231,numbering!$N$18:$O$30,2,0)</f>
        <v>2</v>
      </c>
      <c r="D231" s="390" t="s">
        <v>1282</v>
      </c>
      <c r="E231" s="403">
        <f t="shared" si="8"/>
        <v>13</v>
      </c>
      <c r="F231" s="422" t="s">
        <v>1357</v>
      </c>
      <c r="G231" s="388" t="s">
        <v>1197</v>
      </c>
      <c r="H231" s="390">
        <v>2</v>
      </c>
      <c r="I231" s="406">
        <v>2</v>
      </c>
      <c r="J231" s="474">
        <v>1</v>
      </c>
      <c r="K231" s="398">
        <f>_xlfn.IFNA(VLOOKUP(A231,numbering!$K$3:$L$92,2,0),0)</f>
        <v>1</v>
      </c>
    </row>
    <row r="232" spans="1:11" ht="45" x14ac:dyDescent="0.2">
      <c r="A232" s="390">
        <v>87</v>
      </c>
      <c r="B232" s="390" t="s">
        <v>174</v>
      </c>
      <c r="C232" s="390">
        <f>VLOOKUP(B232,numbering!$N$18:$O$30,2,0)</f>
        <v>2</v>
      </c>
      <c r="D232" s="390" t="s">
        <v>1282</v>
      </c>
      <c r="E232" s="403">
        <f t="shared" si="8"/>
        <v>13</v>
      </c>
      <c r="F232" s="422" t="s">
        <v>1357</v>
      </c>
      <c r="G232" s="388" t="s">
        <v>1196</v>
      </c>
      <c r="H232" s="390">
        <v>3</v>
      </c>
      <c r="I232" s="406">
        <v>3</v>
      </c>
      <c r="J232" s="474">
        <v>1.35</v>
      </c>
      <c r="K232" s="398">
        <f>_xlfn.IFNA(VLOOKUP(A232,numbering!$K$3:$L$92,2,0),0)</f>
        <v>1</v>
      </c>
    </row>
    <row r="233" spans="1:11" ht="45" x14ac:dyDescent="0.2">
      <c r="A233" s="390">
        <v>87</v>
      </c>
      <c r="B233" s="390" t="s">
        <v>174</v>
      </c>
      <c r="C233" s="390">
        <f>VLOOKUP(B233,numbering!$N$18:$O$30,2,0)</f>
        <v>2</v>
      </c>
      <c r="D233" s="390" t="s">
        <v>1282</v>
      </c>
      <c r="E233" s="403">
        <f t="shared" si="8"/>
        <v>13</v>
      </c>
      <c r="F233" s="422" t="s">
        <v>1357</v>
      </c>
      <c r="G233" s="388" t="s">
        <v>1195</v>
      </c>
      <c r="H233" s="390">
        <v>4</v>
      </c>
      <c r="I233" s="406">
        <v>4</v>
      </c>
      <c r="J233" s="474">
        <v>2</v>
      </c>
      <c r="K233" s="398">
        <f>_xlfn.IFNA(VLOOKUP(A233,numbering!$K$3:$L$92,2,0),0)</f>
        <v>1</v>
      </c>
    </row>
    <row r="234" spans="1:11" ht="48" hidden="1" x14ac:dyDescent="0.2">
      <c r="A234" s="390">
        <v>88</v>
      </c>
      <c r="B234" s="390" t="s">
        <v>174</v>
      </c>
      <c r="C234" s="390">
        <f>VLOOKUP(B234,numbering!$N$18:$O$30,2,0)</f>
        <v>2</v>
      </c>
      <c r="D234" s="390" t="s">
        <v>1282</v>
      </c>
      <c r="E234" s="403">
        <f t="shared" si="8"/>
        <v>14</v>
      </c>
      <c r="F234" s="422" t="s">
        <v>1329</v>
      </c>
      <c r="G234" s="407" t="s">
        <v>1270</v>
      </c>
      <c r="H234" s="398">
        <v>1</v>
      </c>
      <c r="I234" s="390">
        <v>0.4</v>
      </c>
      <c r="J234" s="390"/>
      <c r="K234" s="398">
        <f>_xlfn.IFNA(VLOOKUP(A234,numbering!$K$3:$L$92,2,0),0)</f>
        <v>1</v>
      </c>
    </row>
    <row r="235" spans="1:11" ht="64" hidden="1" x14ac:dyDescent="0.2">
      <c r="A235" s="390">
        <v>88</v>
      </c>
      <c r="B235" s="390" t="s">
        <v>174</v>
      </c>
      <c r="C235" s="390">
        <f>VLOOKUP(B235,numbering!$N$18:$O$30,2,0)</f>
        <v>2</v>
      </c>
      <c r="D235" s="390" t="s">
        <v>1282</v>
      </c>
      <c r="E235" s="403">
        <f t="shared" si="8"/>
        <v>14</v>
      </c>
      <c r="F235" s="422" t="s">
        <v>1329</v>
      </c>
      <c r="G235" s="407" t="s">
        <v>1268</v>
      </c>
      <c r="H235" s="398">
        <v>2</v>
      </c>
      <c r="I235" s="390">
        <v>1</v>
      </c>
      <c r="J235" s="390"/>
      <c r="K235" s="398">
        <f>_xlfn.IFNA(VLOOKUP(A235,numbering!$K$3:$L$92,2,0),0)</f>
        <v>1</v>
      </c>
    </row>
    <row r="236" spans="1:11" ht="64" hidden="1" x14ac:dyDescent="0.2">
      <c r="A236" s="390">
        <v>88</v>
      </c>
      <c r="B236" s="390" t="s">
        <v>174</v>
      </c>
      <c r="C236" s="390">
        <f>VLOOKUP(B236,numbering!$N$18:$O$30,2,0)</f>
        <v>2</v>
      </c>
      <c r="D236" s="390" t="s">
        <v>1282</v>
      </c>
      <c r="E236" s="403">
        <f t="shared" si="8"/>
        <v>14</v>
      </c>
      <c r="F236" s="422" t="s">
        <v>1329</v>
      </c>
      <c r="G236" s="407" t="s">
        <v>1269</v>
      </c>
      <c r="H236" s="398">
        <v>4</v>
      </c>
      <c r="I236" s="390">
        <v>5</v>
      </c>
      <c r="J236" s="390"/>
      <c r="K236" s="398">
        <f>_xlfn.IFNA(VLOOKUP(A236,numbering!$K$3:$L$92,2,0),0)</f>
        <v>1</v>
      </c>
    </row>
    <row r="237" spans="1:11" ht="32" hidden="1" x14ac:dyDescent="0.2">
      <c r="A237" s="390">
        <v>89</v>
      </c>
      <c r="B237" s="390" t="s">
        <v>174</v>
      </c>
      <c r="C237" s="390">
        <f>VLOOKUP(B237,numbering!$N$18:$O$30,2,0)</f>
        <v>2</v>
      </c>
      <c r="D237" s="390" t="s">
        <v>1282</v>
      </c>
      <c r="E237" s="403">
        <f t="shared" si="8"/>
        <v>15</v>
      </c>
      <c r="F237" s="422" t="s">
        <v>204</v>
      </c>
      <c r="G237" s="407" t="s">
        <v>671</v>
      </c>
      <c r="H237" s="398"/>
      <c r="I237" s="390">
        <v>1</v>
      </c>
      <c r="J237" s="390"/>
      <c r="K237" s="398">
        <f>_xlfn.IFNA(VLOOKUP(A237,numbering!$K$3:$L$92,2,0),0)</f>
        <v>1</v>
      </c>
    </row>
    <row r="238" spans="1:11" ht="32" hidden="1" x14ac:dyDescent="0.2">
      <c r="A238" s="390">
        <v>89</v>
      </c>
      <c r="B238" s="390" t="s">
        <v>174</v>
      </c>
      <c r="C238" s="390">
        <f>VLOOKUP(B238,numbering!$N$18:$O$30,2,0)</f>
        <v>2</v>
      </c>
      <c r="D238" s="390" t="s">
        <v>1282</v>
      </c>
      <c r="E238" s="403">
        <f t="shared" si="8"/>
        <v>15</v>
      </c>
      <c r="F238" s="422" t="s">
        <v>204</v>
      </c>
      <c r="G238" s="407" t="s">
        <v>710</v>
      </c>
      <c r="H238" s="398"/>
      <c r="I238" s="390">
        <v>0.8</v>
      </c>
      <c r="J238" s="390"/>
      <c r="K238" s="398">
        <f>_xlfn.IFNA(VLOOKUP(A238,numbering!$K$3:$L$92,2,0),0)</f>
        <v>1</v>
      </c>
    </row>
    <row r="239" spans="1:11" ht="32" hidden="1" x14ac:dyDescent="0.2">
      <c r="A239" s="390">
        <v>89</v>
      </c>
      <c r="B239" s="390" t="s">
        <v>174</v>
      </c>
      <c r="C239" s="390">
        <f>VLOOKUP(B239,numbering!$N$18:$O$30,2,0)</f>
        <v>2</v>
      </c>
      <c r="D239" s="390" t="s">
        <v>1282</v>
      </c>
      <c r="E239" s="403">
        <f t="shared" si="8"/>
        <v>15</v>
      </c>
      <c r="F239" s="422" t="s">
        <v>204</v>
      </c>
      <c r="G239" s="407" t="s">
        <v>702</v>
      </c>
      <c r="H239" s="398"/>
      <c r="I239" s="390">
        <v>1.3</v>
      </c>
      <c r="J239" s="390"/>
      <c r="K239" s="398">
        <f>_xlfn.IFNA(VLOOKUP(A239,numbering!$K$3:$L$92,2,0),0)</f>
        <v>1</v>
      </c>
    </row>
    <row r="240" spans="1:11" ht="32" hidden="1" x14ac:dyDescent="0.2">
      <c r="A240" s="390">
        <v>90</v>
      </c>
      <c r="B240" s="390" t="s">
        <v>174</v>
      </c>
      <c r="C240" s="390">
        <f>VLOOKUP(B240,numbering!$N$18:$O$30,2,0)</f>
        <v>2</v>
      </c>
      <c r="D240" s="390" t="s">
        <v>1282</v>
      </c>
      <c r="E240" s="403">
        <f t="shared" si="8"/>
        <v>16</v>
      </c>
      <c r="F240" s="422" t="s">
        <v>1330</v>
      </c>
      <c r="G240" s="404" t="s">
        <v>1299</v>
      </c>
      <c r="H240" s="405"/>
      <c r="I240" s="398"/>
      <c r="J240" s="398"/>
      <c r="K240" s="398">
        <f>_xlfn.IFNA(VLOOKUP(A240,numbering!$K$3:$L$92,2,0),0)</f>
        <v>1</v>
      </c>
    </row>
    <row r="241" spans="1:11" ht="32" hidden="1" x14ac:dyDescent="0.2">
      <c r="A241" s="390">
        <v>91</v>
      </c>
      <c r="B241" s="390" t="s">
        <v>174</v>
      </c>
      <c r="C241" s="390">
        <f>VLOOKUP(B241,numbering!$N$18:$O$30,2,0)</f>
        <v>2</v>
      </c>
      <c r="D241" s="390" t="s">
        <v>1282</v>
      </c>
      <c r="E241" s="403">
        <f t="shared" si="8"/>
        <v>17</v>
      </c>
      <c r="F241" s="422" t="s">
        <v>1358</v>
      </c>
      <c r="G241" s="407" t="s">
        <v>1080</v>
      </c>
      <c r="H241" s="398"/>
      <c r="I241" s="398">
        <v>2.5</v>
      </c>
      <c r="J241" s="398"/>
      <c r="K241" s="398">
        <f>_xlfn.IFNA(VLOOKUP(A241,numbering!$K$3:$L$92,2,0),0)</f>
        <v>1</v>
      </c>
    </row>
    <row r="242" spans="1:11" ht="32" hidden="1" x14ac:dyDescent="0.2">
      <c r="A242" s="390">
        <v>91</v>
      </c>
      <c r="B242" s="390" t="s">
        <v>174</v>
      </c>
      <c r="C242" s="390">
        <f>VLOOKUP(B242,numbering!$N$18:$O$30,2,0)</f>
        <v>2</v>
      </c>
      <c r="D242" s="390" t="s">
        <v>1282</v>
      </c>
      <c r="E242" s="403">
        <f t="shared" si="8"/>
        <v>17</v>
      </c>
      <c r="F242" s="422" t="s">
        <v>1358</v>
      </c>
      <c r="G242" s="407" t="s">
        <v>1081</v>
      </c>
      <c r="H242" s="398"/>
      <c r="I242" s="398">
        <v>0.25</v>
      </c>
      <c r="J242" s="398"/>
      <c r="K242" s="398">
        <f>_xlfn.IFNA(VLOOKUP(A242,numbering!$K$3:$L$92,2,0),0)</f>
        <v>1</v>
      </c>
    </row>
    <row r="243" spans="1:11" ht="32" hidden="1" x14ac:dyDescent="0.2">
      <c r="A243" s="390">
        <v>91</v>
      </c>
      <c r="B243" s="390" t="s">
        <v>174</v>
      </c>
      <c r="C243" s="390">
        <f>VLOOKUP(B243,numbering!$N$18:$O$30,2,0)</f>
        <v>2</v>
      </c>
      <c r="D243" s="390" t="s">
        <v>1282</v>
      </c>
      <c r="E243" s="403">
        <f t="shared" si="8"/>
        <v>17</v>
      </c>
      <c r="F243" s="422" t="s">
        <v>1358</v>
      </c>
      <c r="G243" s="407" t="s">
        <v>693</v>
      </c>
      <c r="H243" s="398"/>
      <c r="I243" s="398">
        <v>0.4</v>
      </c>
      <c r="J243" s="398"/>
      <c r="K243" s="398">
        <f>_xlfn.IFNA(VLOOKUP(A243,numbering!$K$3:$L$92,2,0),0)</f>
        <v>1</v>
      </c>
    </row>
    <row r="244" spans="1:11" ht="32" hidden="1" x14ac:dyDescent="0.2">
      <c r="A244" s="390">
        <v>91</v>
      </c>
      <c r="B244" s="390" t="s">
        <v>174</v>
      </c>
      <c r="C244" s="390">
        <f>VLOOKUP(B244,numbering!$N$18:$O$30,2,0)</f>
        <v>2</v>
      </c>
      <c r="D244" s="390" t="s">
        <v>1282</v>
      </c>
      <c r="E244" s="403">
        <f t="shared" si="8"/>
        <v>17</v>
      </c>
      <c r="F244" s="422" t="s">
        <v>1358</v>
      </c>
      <c r="G244" s="407" t="s">
        <v>1082</v>
      </c>
      <c r="H244" s="398"/>
      <c r="I244" s="398">
        <v>0.25</v>
      </c>
      <c r="J244" s="398"/>
      <c r="K244" s="398">
        <f>_xlfn.IFNA(VLOOKUP(A244,numbering!$K$3:$L$92,2,0),0)</f>
        <v>1</v>
      </c>
    </row>
    <row r="245" spans="1:11" ht="32" hidden="1" x14ac:dyDescent="0.2">
      <c r="A245" s="390">
        <v>91</v>
      </c>
      <c r="B245" s="390" t="s">
        <v>174</v>
      </c>
      <c r="C245" s="390">
        <f>VLOOKUP(B245,numbering!$N$18:$O$30,2,0)</f>
        <v>2</v>
      </c>
      <c r="D245" s="390" t="s">
        <v>1282</v>
      </c>
      <c r="E245" s="403">
        <f t="shared" si="8"/>
        <v>17</v>
      </c>
      <c r="F245" s="422" t="s">
        <v>1358</v>
      </c>
      <c r="G245" s="407" t="s">
        <v>1083</v>
      </c>
      <c r="H245" s="398"/>
      <c r="I245" s="398">
        <v>2.5</v>
      </c>
      <c r="J245" s="398"/>
      <c r="K245" s="398">
        <f>_xlfn.IFNA(VLOOKUP(A245,numbering!$K$3:$L$92,2,0),0)</f>
        <v>1</v>
      </c>
    </row>
    <row r="246" spans="1:11" ht="32" hidden="1" x14ac:dyDescent="0.2">
      <c r="A246" s="390">
        <v>91</v>
      </c>
      <c r="B246" s="390" t="s">
        <v>174</v>
      </c>
      <c r="C246" s="390">
        <f>VLOOKUP(B246,numbering!$N$18:$O$30,2,0)</f>
        <v>2</v>
      </c>
      <c r="D246" s="390" t="s">
        <v>1282</v>
      </c>
      <c r="E246" s="403">
        <f t="shared" si="8"/>
        <v>17</v>
      </c>
      <c r="F246" s="422" t="s">
        <v>1358</v>
      </c>
      <c r="G246" s="407" t="s">
        <v>1084</v>
      </c>
      <c r="H246" s="398"/>
      <c r="I246" s="398">
        <v>0.25</v>
      </c>
      <c r="J246" s="398"/>
      <c r="K246" s="398">
        <f>_xlfn.IFNA(VLOOKUP(A246,numbering!$K$3:$L$92,2,0),0)</f>
        <v>1</v>
      </c>
    </row>
    <row r="247" spans="1:11" ht="32" hidden="1" x14ac:dyDescent="0.2">
      <c r="A247" s="390">
        <v>91</v>
      </c>
      <c r="B247" s="390" t="s">
        <v>174</v>
      </c>
      <c r="C247" s="390">
        <f>VLOOKUP(B247,numbering!$N$18:$O$30,2,0)</f>
        <v>2</v>
      </c>
      <c r="D247" s="390" t="s">
        <v>1282</v>
      </c>
      <c r="E247" s="403">
        <f t="shared" si="8"/>
        <v>17</v>
      </c>
      <c r="F247" s="422" t="s">
        <v>1358</v>
      </c>
      <c r="G247" s="407" t="s">
        <v>1085</v>
      </c>
      <c r="H247" s="398"/>
      <c r="I247" s="398">
        <v>0.25</v>
      </c>
      <c r="J247" s="398"/>
      <c r="K247" s="398">
        <f>_xlfn.IFNA(VLOOKUP(A247,numbering!$K$3:$L$92,2,0),0)</f>
        <v>1</v>
      </c>
    </row>
    <row r="248" spans="1:11" ht="32" hidden="1" x14ac:dyDescent="0.2">
      <c r="A248" s="390">
        <v>91</v>
      </c>
      <c r="B248" s="390" t="s">
        <v>174</v>
      </c>
      <c r="C248" s="390">
        <f>VLOOKUP(B248,numbering!$N$18:$O$30,2,0)</f>
        <v>2</v>
      </c>
      <c r="D248" s="390" t="s">
        <v>1282</v>
      </c>
      <c r="E248" s="403">
        <f t="shared" si="8"/>
        <v>17</v>
      </c>
      <c r="F248" s="422" t="s">
        <v>1358</v>
      </c>
      <c r="G248" s="407" t="s">
        <v>672</v>
      </c>
      <c r="H248" s="398"/>
      <c r="I248" s="398">
        <v>0.25</v>
      </c>
      <c r="J248" s="398"/>
      <c r="K248" s="398">
        <f>_xlfn.IFNA(VLOOKUP(A248,numbering!$K$3:$L$92,2,0),0)</f>
        <v>1</v>
      </c>
    </row>
    <row r="249" spans="1:11" ht="32" hidden="1" x14ac:dyDescent="0.2">
      <c r="A249" s="390">
        <v>91</v>
      </c>
      <c r="B249" s="390" t="s">
        <v>174</v>
      </c>
      <c r="C249" s="390">
        <f>VLOOKUP(B249,numbering!$N$18:$O$30,2,0)</f>
        <v>2</v>
      </c>
      <c r="D249" s="390" t="s">
        <v>1282</v>
      </c>
      <c r="E249" s="403">
        <f t="shared" si="8"/>
        <v>17</v>
      </c>
      <c r="F249" s="422" t="s">
        <v>1358</v>
      </c>
      <c r="G249" s="407" t="s">
        <v>1086</v>
      </c>
      <c r="H249" s="398"/>
      <c r="I249" s="398">
        <v>1</v>
      </c>
      <c r="J249" s="398"/>
      <c r="K249" s="398">
        <f>_xlfn.IFNA(VLOOKUP(A249,numbering!$K$3:$L$92,2,0),0)</f>
        <v>1</v>
      </c>
    </row>
    <row r="250" spans="1:11" ht="32" hidden="1" x14ac:dyDescent="0.2">
      <c r="A250" s="390">
        <v>91</v>
      </c>
      <c r="B250" s="390" t="s">
        <v>174</v>
      </c>
      <c r="C250" s="390">
        <f>VLOOKUP(B250,numbering!$N$18:$O$30,2,0)</f>
        <v>2</v>
      </c>
      <c r="D250" s="390" t="s">
        <v>1282</v>
      </c>
      <c r="E250" s="403">
        <f t="shared" si="8"/>
        <v>17</v>
      </c>
      <c r="F250" s="422" t="s">
        <v>1358</v>
      </c>
      <c r="G250" s="407" t="s">
        <v>1087</v>
      </c>
      <c r="H250" s="398"/>
      <c r="I250" s="398">
        <v>2.25</v>
      </c>
      <c r="J250" s="398"/>
      <c r="K250" s="398">
        <f>_xlfn.IFNA(VLOOKUP(A250,numbering!$K$3:$L$92,2,0),0)</f>
        <v>1</v>
      </c>
    </row>
    <row r="251" spans="1:11" ht="32" hidden="1" x14ac:dyDescent="0.2">
      <c r="A251" s="390">
        <v>91</v>
      </c>
      <c r="B251" s="390" t="s">
        <v>174</v>
      </c>
      <c r="C251" s="390">
        <f>VLOOKUP(B251,numbering!$N$18:$O$30,2,0)</f>
        <v>2</v>
      </c>
      <c r="D251" s="390" t="s">
        <v>1282</v>
      </c>
      <c r="E251" s="403">
        <f t="shared" si="8"/>
        <v>17</v>
      </c>
      <c r="F251" s="422" t="s">
        <v>1358</v>
      </c>
      <c r="G251" s="407" t="s">
        <v>1088</v>
      </c>
      <c r="H251" s="398"/>
      <c r="I251" s="398">
        <v>1.7999999999999998</v>
      </c>
      <c r="J251" s="398"/>
      <c r="K251" s="398">
        <f>_xlfn.IFNA(VLOOKUP(A251,numbering!$K$3:$L$92,2,0),0)</f>
        <v>1</v>
      </c>
    </row>
    <row r="252" spans="1:11" ht="32" hidden="1" x14ac:dyDescent="0.2">
      <c r="A252" s="390">
        <v>91</v>
      </c>
      <c r="B252" s="390" t="s">
        <v>174</v>
      </c>
      <c r="C252" s="390">
        <f>VLOOKUP(B252,numbering!$N$18:$O$30,2,0)</f>
        <v>2</v>
      </c>
      <c r="D252" s="390" t="s">
        <v>1282</v>
      </c>
      <c r="E252" s="403">
        <f t="shared" ref="E252:E278" si="9">IF(C252&lt;&gt;C251,1,IF(F252&lt;&gt;F251,E251+1,E251))</f>
        <v>17</v>
      </c>
      <c r="F252" s="422" t="s">
        <v>1358</v>
      </c>
      <c r="G252" s="407" t="s">
        <v>1089</v>
      </c>
      <c r="H252" s="398"/>
      <c r="I252" s="398">
        <v>2.25</v>
      </c>
      <c r="J252" s="398"/>
      <c r="K252" s="398">
        <f>_xlfn.IFNA(VLOOKUP(A252,numbering!$K$3:$L$92,2,0),0)</f>
        <v>1</v>
      </c>
    </row>
    <row r="253" spans="1:11" ht="32" hidden="1" x14ac:dyDescent="0.2">
      <c r="A253" s="390">
        <v>91</v>
      </c>
      <c r="B253" s="390" t="s">
        <v>174</v>
      </c>
      <c r="C253" s="390">
        <f>VLOOKUP(B253,numbering!$N$18:$O$30,2,0)</f>
        <v>2</v>
      </c>
      <c r="D253" s="390" t="s">
        <v>1282</v>
      </c>
      <c r="E253" s="403">
        <f t="shared" si="9"/>
        <v>17</v>
      </c>
      <c r="F253" s="422" t="s">
        <v>1358</v>
      </c>
      <c r="G253" s="407" t="s">
        <v>1090</v>
      </c>
      <c r="H253" s="398"/>
      <c r="I253" s="398">
        <v>1.2000000000000002</v>
      </c>
      <c r="J253" s="398"/>
      <c r="K253" s="398">
        <f>_xlfn.IFNA(VLOOKUP(A253,numbering!$K$3:$L$92,2,0),0)</f>
        <v>1</v>
      </c>
    </row>
    <row r="254" spans="1:11" ht="32" hidden="1" x14ac:dyDescent="0.2">
      <c r="A254" s="390">
        <v>91</v>
      </c>
      <c r="B254" s="390" t="s">
        <v>174</v>
      </c>
      <c r="C254" s="390">
        <f>VLOOKUP(B254,numbering!$N$18:$O$30,2,0)</f>
        <v>2</v>
      </c>
      <c r="D254" s="390" t="s">
        <v>1282</v>
      </c>
      <c r="E254" s="403">
        <f t="shared" si="9"/>
        <v>17</v>
      </c>
      <c r="F254" s="422" t="s">
        <v>1358</v>
      </c>
      <c r="G254" s="407" t="s">
        <v>1091</v>
      </c>
      <c r="H254" s="398"/>
      <c r="I254" s="398">
        <v>0.30000000000000004</v>
      </c>
      <c r="J254" s="398"/>
      <c r="K254" s="398">
        <f>_xlfn.IFNA(VLOOKUP(A254,numbering!$K$3:$L$92,2,0),0)</f>
        <v>1</v>
      </c>
    </row>
    <row r="255" spans="1:11" ht="32" hidden="1" x14ac:dyDescent="0.2">
      <c r="A255" s="390">
        <v>91</v>
      </c>
      <c r="B255" s="390" t="s">
        <v>174</v>
      </c>
      <c r="C255" s="390">
        <f>VLOOKUP(B255,numbering!$N$18:$O$30,2,0)</f>
        <v>2</v>
      </c>
      <c r="D255" s="390" t="s">
        <v>1282</v>
      </c>
      <c r="E255" s="403">
        <f t="shared" si="9"/>
        <v>17</v>
      </c>
      <c r="F255" s="422" t="s">
        <v>1358</v>
      </c>
      <c r="G255" s="407" t="s">
        <v>1092</v>
      </c>
      <c r="H255" s="398"/>
      <c r="I255" s="398">
        <v>0.30000000000000004</v>
      </c>
      <c r="J255" s="398"/>
      <c r="K255" s="398">
        <f>_xlfn.IFNA(VLOOKUP(A255,numbering!$K$3:$L$92,2,0),0)</f>
        <v>1</v>
      </c>
    </row>
    <row r="256" spans="1:11" ht="32" hidden="1" x14ac:dyDescent="0.2">
      <c r="A256" s="390">
        <v>91</v>
      </c>
      <c r="B256" s="390" t="s">
        <v>174</v>
      </c>
      <c r="C256" s="390">
        <f>VLOOKUP(B256,numbering!$N$18:$O$30,2,0)</f>
        <v>2</v>
      </c>
      <c r="D256" s="390" t="s">
        <v>1282</v>
      </c>
      <c r="E256" s="403">
        <f t="shared" si="9"/>
        <v>17</v>
      </c>
      <c r="F256" s="422" t="s">
        <v>1358</v>
      </c>
      <c r="G256" s="407" t="s">
        <v>1093</v>
      </c>
      <c r="H256" s="398"/>
      <c r="I256" s="398">
        <v>0.30000000000000004</v>
      </c>
      <c r="J256" s="398"/>
      <c r="K256" s="398">
        <f>_xlfn.IFNA(VLOOKUP(A256,numbering!$K$3:$L$92,2,0),0)</f>
        <v>1</v>
      </c>
    </row>
    <row r="257" spans="1:11" ht="32" hidden="1" x14ac:dyDescent="0.2">
      <c r="A257" s="390">
        <v>91</v>
      </c>
      <c r="B257" s="390" t="s">
        <v>174</v>
      </c>
      <c r="C257" s="390">
        <f>VLOOKUP(B257,numbering!$N$18:$O$30,2,0)</f>
        <v>2</v>
      </c>
      <c r="D257" s="390" t="s">
        <v>1282</v>
      </c>
      <c r="E257" s="403">
        <f t="shared" si="9"/>
        <v>17</v>
      </c>
      <c r="F257" s="422" t="s">
        <v>1358</v>
      </c>
      <c r="G257" s="407" t="s">
        <v>1094</v>
      </c>
      <c r="H257" s="398"/>
      <c r="I257" s="398">
        <v>0.30000000000000004</v>
      </c>
      <c r="J257" s="398"/>
      <c r="K257" s="398">
        <f>_xlfn.IFNA(VLOOKUP(A257,numbering!$K$3:$L$92,2,0),0)</f>
        <v>1</v>
      </c>
    </row>
    <row r="258" spans="1:11" ht="32" hidden="1" x14ac:dyDescent="0.2">
      <c r="A258" s="390">
        <v>91</v>
      </c>
      <c r="B258" s="390" t="s">
        <v>174</v>
      </c>
      <c r="C258" s="390">
        <f>VLOOKUP(B258,numbering!$N$18:$O$30,2,0)</f>
        <v>2</v>
      </c>
      <c r="D258" s="390" t="s">
        <v>1282</v>
      </c>
      <c r="E258" s="403">
        <f t="shared" si="9"/>
        <v>17</v>
      </c>
      <c r="F258" s="422" t="s">
        <v>1358</v>
      </c>
      <c r="G258" s="407" t="s">
        <v>1095</v>
      </c>
      <c r="H258" s="398"/>
      <c r="I258" s="398">
        <v>0.89999999999999991</v>
      </c>
      <c r="J258" s="398"/>
      <c r="K258" s="398">
        <f>_xlfn.IFNA(VLOOKUP(A258,numbering!$K$3:$L$92,2,0),0)</f>
        <v>1</v>
      </c>
    </row>
    <row r="259" spans="1:11" ht="32" hidden="1" x14ac:dyDescent="0.2">
      <c r="A259" s="390">
        <v>91</v>
      </c>
      <c r="B259" s="390" t="s">
        <v>174</v>
      </c>
      <c r="C259" s="390">
        <f>VLOOKUP(B259,numbering!$N$18:$O$30,2,0)</f>
        <v>2</v>
      </c>
      <c r="D259" s="390" t="s">
        <v>1282</v>
      </c>
      <c r="E259" s="403">
        <f t="shared" si="9"/>
        <v>17</v>
      </c>
      <c r="F259" s="422" t="s">
        <v>1358</v>
      </c>
      <c r="G259" s="407" t="s">
        <v>700</v>
      </c>
      <c r="H259" s="398"/>
      <c r="I259" s="398">
        <v>1.2000000000000002</v>
      </c>
      <c r="J259" s="398"/>
      <c r="K259" s="398">
        <f>_xlfn.IFNA(VLOOKUP(A259,numbering!$K$3:$L$92,2,0),0)</f>
        <v>1</v>
      </c>
    </row>
    <row r="260" spans="1:11" ht="32" hidden="1" x14ac:dyDescent="0.2">
      <c r="A260" s="390">
        <v>91</v>
      </c>
      <c r="B260" s="390" t="s">
        <v>174</v>
      </c>
      <c r="C260" s="390">
        <f>VLOOKUP(B260,numbering!$N$18:$O$30,2,0)</f>
        <v>2</v>
      </c>
      <c r="D260" s="390" t="s">
        <v>1282</v>
      </c>
      <c r="E260" s="403">
        <f t="shared" si="9"/>
        <v>17</v>
      </c>
      <c r="F260" s="422" t="s">
        <v>1358</v>
      </c>
      <c r="G260" s="407" t="s">
        <v>1096</v>
      </c>
      <c r="H260" s="398"/>
      <c r="I260" s="398">
        <v>1.5</v>
      </c>
      <c r="J260" s="398"/>
      <c r="K260" s="398">
        <f>_xlfn.IFNA(VLOOKUP(A260,numbering!$K$3:$L$92,2,0),0)</f>
        <v>1</v>
      </c>
    </row>
    <row r="261" spans="1:11" ht="32" hidden="1" x14ac:dyDescent="0.2">
      <c r="A261" s="390">
        <v>91</v>
      </c>
      <c r="B261" s="390" t="s">
        <v>174</v>
      </c>
      <c r="C261" s="390">
        <f>VLOOKUP(B261,numbering!$N$18:$O$30,2,0)</f>
        <v>2</v>
      </c>
      <c r="D261" s="390" t="s">
        <v>1282</v>
      </c>
      <c r="E261" s="403">
        <f t="shared" si="9"/>
        <v>17</v>
      </c>
      <c r="F261" s="422" t="s">
        <v>1358</v>
      </c>
      <c r="G261" s="407" t="s">
        <v>1097</v>
      </c>
      <c r="H261" s="398"/>
      <c r="I261" s="398">
        <v>1.5</v>
      </c>
      <c r="J261" s="398"/>
      <c r="K261" s="398">
        <f>_xlfn.IFNA(VLOOKUP(A261,numbering!$K$3:$L$92,2,0),0)</f>
        <v>1</v>
      </c>
    </row>
    <row r="262" spans="1:11" ht="32" hidden="1" x14ac:dyDescent="0.2">
      <c r="A262" s="390">
        <v>91</v>
      </c>
      <c r="B262" s="390" t="s">
        <v>174</v>
      </c>
      <c r="C262" s="390">
        <f>VLOOKUP(B262,numbering!$N$18:$O$30,2,0)</f>
        <v>2</v>
      </c>
      <c r="D262" s="390" t="s">
        <v>1282</v>
      </c>
      <c r="E262" s="403">
        <f t="shared" si="9"/>
        <v>17</v>
      </c>
      <c r="F262" s="422" t="s">
        <v>1358</v>
      </c>
      <c r="G262" s="407" t="s">
        <v>1098</v>
      </c>
      <c r="H262" s="398"/>
      <c r="I262" s="398">
        <v>0.89999999999999991</v>
      </c>
      <c r="J262" s="398"/>
      <c r="K262" s="398">
        <f>_xlfn.IFNA(VLOOKUP(A262,numbering!$K$3:$L$92,2,0),0)</f>
        <v>1</v>
      </c>
    </row>
    <row r="263" spans="1:11" ht="32" hidden="1" x14ac:dyDescent="0.2">
      <c r="A263" s="390">
        <v>91</v>
      </c>
      <c r="B263" s="390" t="s">
        <v>174</v>
      </c>
      <c r="C263" s="390">
        <f>VLOOKUP(B263,numbering!$N$18:$O$30,2,0)</f>
        <v>2</v>
      </c>
      <c r="D263" s="390" t="s">
        <v>1282</v>
      </c>
      <c r="E263" s="403">
        <f t="shared" si="9"/>
        <v>17</v>
      </c>
      <c r="F263" s="422" t="s">
        <v>1358</v>
      </c>
      <c r="G263" s="407" t="s">
        <v>1099</v>
      </c>
      <c r="H263" s="398"/>
      <c r="I263" s="398">
        <v>0.89999999999999991</v>
      </c>
      <c r="J263" s="398"/>
      <c r="K263" s="398">
        <f>_xlfn.IFNA(VLOOKUP(A263,numbering!$K$3:$L$92,2,0),0)</f>
        <v>1</v>
      </c>
    </row>
    <row r="264" spans="1:11" ht="32" hidden="1" x14ac:dyDescent="0.2">
      <c r="A264" s="390">
        <v>91</v>
      </c>
      <c r="B264" s="390" t="s">
        <v>174</v>
      </c>
      <c r="C264" s="390">
        <f>VLOOKUP(B264,numbering!$N$18:$O$30,2,0)</f>
        <v>2</v>
      </c>
      <c r="D264" s="390" t="s">
        <v>1282</v>
      </c>
      <c r="E264" s="403">
        <f t="shared" si="9"/>
        <v>17</v>
      </c>
      <c r="F264" s="422" t="s">
        <v>1358</v>
      </c>
      <c r="G264" s="407" t="s">
        <v>1100</v>
      </c>
      <c r="H264" s="398"/>
      <c r="I264" s="398">
        <v>0.89999999999999991</v>
      </c>
      <c r="J264" s="398"/>
      <c r="K264" s="398">
        <f>_xlfn.IFNA(VLOOKUP(A264,numbering!$K$3:$L$92,2,0),0)</f>
        <v>1</v>
      </c>
    </row>
    <row r="265" spans="1:11" ht="32" hidden="1" x14ac:dyDescent="0.2">
      <c r="A265" s="390">
        <v>91</v>
      </c>
      <c r="B265" s="390" t="s">
        <v>174</v>
      </c>
      <c r="C265" s="390">
        <f>VLOOKUP(B265,numbering!$N$18:$O$30,2,0)</f>
        <v>2</v>
      </c>
      <c r="D265" s="390" t="s">
        <v>1282</v>
      </c>
      <c r="E265" s="403">
        <f t="shared" si="9"/>
        <v>17</v>
      </c>
      <c r="F265" s="422" t="s">
        <v>1358</v>
      </c>
      <c r="G265" s="407" t="s">
        <v>1101</v>
      </c>
      <c r="H265" s="398"/>
      <c r="I265" s="398">
        <v>3.75</v>
      </c>
      <c r="J265" s="398"/>
      <c r="K265" s="398">
        <f>_xlfn.IFNA(VLOOKUP(A265,numbering!$K$3:$L$92,2,0),0)</f>
        <v>1</v>
      </c>
    </row>
    <row r="266" spans="1:11" ht="32" hidden="1" x14ac:dyDescent="0.2">
      <c r="A266" s="390">
        <v>91</v>
      </c>
      <c r="B266" s="390" t="s">
        <v>174</v>
      </c>
      <c r="C266" s="390">
        <f>VLOOKUP(B266,numbering!$N$18:$O$30,2,0)</f>
        <v>2</v>
      </c>
      <c r="D266" s="390" t="s">
        <v>1282</v>
      </c>
      <c r="E266" s="403">
        <f t="shared" si="9"/>
        <v>17</v>
      </c>
      <c r="F266" s="422" t="s">
        <v>1358</v>
      </c>
      <c r="G266" s="407" t="s">
        <v>1102</v>
      </c>
      <c r="H266" s="398"/>
      <c r="I266" s="390">
        <v>3.75</v>
      </c>
      <c r="J266" s="390"/>
      <c r="K266" s="398">
        <f>_xlfn.IFNA(VLOOKUP(A266,numbering!$K$3:$L$92,2,0),0)</f>
        <v>1</v>
      </c>
    </row>
    <row r="267" spans="1:11" ht="32" hidden="1" x14ac:dyDescent="0.2">
      <c r="A267" s="390">
        <v>91</v>
      </c>
      <c r="B267" s="390" t="s">
        <v>174</v>
      </c>
      <c r="C267" s="390">
        <f>VLOOKUP(B267,numbering!$N$18:$O$30,2,0)</f>
        <v>2</v>
      </c>
      <c r="D267" s="390" t="s">
        <v>1282</v>
      </c>
      <c r="E267" s="403">
        <f t="shared" si="9"/>
        <v>17</v>
      </c>
      <c r="F267" s="422" t="s">
        <v>1358</v>
      </c>
      <c r="G267" s="407" t="s">
        <v>1103</v>
      </c>
      <c r="H267" s="398"/>
      <c r="I267" s="398">
        <v>1.7999999999999998</v>
      </c>
      <c r="J267" s="398"/>
      <c r="K267" s="398">
        <f>_xlfn.IFNA(VLOOKUP(A267,numbering!$K$3:$L$92,2,0),0)</f>
        <v>1</v>
      </c>
    </row>
    <row r="268" spans="1:11" ht="32" hidden="1" x14ac:dyDescent="0.2">
      <c r="A268" s="390">
        <v>91</v>
      </c>
      <c r="B268" s="390" t="s">
        <v>174</v>
      </c>
      <c r="C268" s="390">
        <f>VLOOKUP(B268,numbering!$N$18:$O$30,2,0)</f>
        <v>2</v>
      </c>
      <c r="D268" s="390" t="s">
        <v>1282</v>
      </c>
      <c r="E268" s="403">
        <f t="shared" si="9"/>
        <v>17</v>
      </c>
      <c r="F268" s="422" t="s">
        <v>1358</v>
      </c>
      <c r="G268" s="407" t="s">
        <v>1104</v>
      </c>
      <c r="H268" s="398"/>
      <c r="I268" s="398">
        <v>1.7999999999999998</v>
      </c>
      <c r="J268" s="398"/>
      <c r="K268" s="398">
        <f>_xlfn.IFNA(VLOOKUP(A268,numbering!$K$3:$L$92,2,0),0)</f>
        <v>1</v>
      </c>
    </row>
    <row r="269" spans="1:11" ht="32" hidden="1" x14ac:dyDescent="0.2">
      <c r="A269" s="390">
        <v>91</v>
      </c>
      <c r="B269" s="390" t="s">
        <v>174</v>
      </c>
      <c r="C269" s="390">
        <f>VLOOKUP(B269,numbering!$N$18:$O$30,2,0)</f>
        <v>2</v>
      </c>
      <c r="D269" s="390" t="s">
        <v>1282</v>
      </c>
      <c r="E269" s="403">
        <f t="shared" si="9"/>
        <v>17</v>
      </c>
      <c r="F269" s="422" t="s">
        <v>1358</v>
      </c>
      <c r="G269" s="407" t="s">
        <v>1105</v>
      </c>
      <c r="H269" s="398"/>
      <c r="I269" s="398">
        <v>2.25</v>
      </c>
      <c r="J269" s="398"/>
      <c r="K269" s="398">
        <f>_xlfn.IFNA(VLOOKUP(A269,numbering!$K$3:$L$92,2,0),0)</f>
        <v>1</v>
      </c>
    </row>
    <row r="270" spans="1:11" ht="32" hidden="1" x14ac:dyDescent="0.2">
      <c r="A270" s="390">
        <v>91</v>
      </c>
      <c r="B270" s="390" t="s">
        <v>174</v>
      </c>
      <c r="C270" s="390">
        <f>VLOOKUP(B270,numbering!$N$18:$O$30,2,0)</f>
        <v>2</v>
      </c>
      <c r="D270" s="390" t="s">
        <v>1282</v>
      </c>
      <c r="E270" s="403">
        <f t="shared" si="9"/>
        <v>17</v>
      </c>
      <c r="F270" s="422" t="s">
        <v>1358</v>
      </c>
      <c r="G270" s="407" t="s">
        <v>1106</v>
      </c>
      <c r="H270" s="398"/>
      <c r="I270" s="398">
        <v>1.5</v>
      </c>
      <c r="J270" s="398"/>
      <c r="K270" s="398">
        <f>_xlfn.IFNA(VLOOKUP(A270,numbering!$K$3:$L$92,2,0),0)</f>
        <v>1</v>
      </c>
    </row>
    <row r="271" spans="1:11" ht="32" hidden="1" x14ac:dyDescent="0.2">
      <c r="A271" s="390">
        <v>91</v>
      </c>
      <c r="B271" s="390" t="s">
        <v>174</v>
      </c>
      <c r="C271" s="390">
        <f>VLOOKUP(B271,numbering!$N$18:$O$30,2,0)</f>
        <v>2</v>
      </c>
      <c r="D271" s="390" t="s">
        <v>1282</v>
      </c>
      <c r="E271" s="403">
        <f t="shared" si="9"/>
        <v>17</v>
      </c>
      <c r="F271" s="422" t="s">
        <v>1358</v>
      </c>
      <c r="G271" s="407" t="s">
        <v>1107</v>
      </c>
      <c r="H271" s="398"/>
      <c r="I271" s="398">
        <v>1.5</v>
      </c>
      <c r="J271" s="398"/>
      <c r="K271" s="398">
        <f>_xlfn.IFNA(VLOOKUP(A271,numbering!$K$3:$L$92,2,0),0)</f>
        <v>1</v>
      </c>
    </row>
    <row r="272" spans="1:11" ht="32" hidden="1" x14ac:dyDescent="0.2">
      <c r="A272" s="390">
        <v>91</v>
      </c>
      <c r="B272" s="390" t="s">
        <v>174</v>
      </c>
      <c r="C272" s="390">
        <f>VLOOKUP(B272,numbering!$N$18:$O$30,2,0)</f>
        <v>2</v>
      </c>
      <c r="D272" s="390" t="s">
        <v>1282</v>
      </c>
      <c r="E272" s="403">
        <f t="shared" si="9"/>
        <v>17</v>
      </c>
      <c r="F272" s="422" t="s">
        <v>1358</v>
      </c>
      <c r="G272" s="407" t="s">
        <v>1108</v>
      </c>
      <c r="H272" s="398"/>
      <c r="I272" s="398">
        <v>1.5</v>
      </c>
      <c r="J272" s="398"/>
      <c r="K272" s="398">
        <f>_xlfn.IFNA(VLOOKUP(A272,numbering!$K$3:$L$92,2,0),0)</f>
        <v>1</v>
      </c>
    </row>
    <row r="273" spans="1:12" ht="32" hidden="1" x14ac:dyDescent="0.2">
      <c r="A273" s="390">
        <v>91</v>
      </c>
      <c r="B273" s="390" t="s">
        <v>174</v>
      </c>
      <c r="C273" s="390">
        <f>VLOOKUP(B273,numbering!$N$18:$O$30,2,0)</f>
        <v>2</v>
      </c>
      <c r="D273" s="390" t="s">
        <v>1282</v>
      </c>
      <c r="E273" s="403">
        <f t="shared" si="9"/>
        <v>17</v>
      </c>
      <c r="F273" s="422" t="s">
        <v>1358</v>
      </c>
      <c r="G273" s="407" t="s">
        <v>1109</v>
      </c>
      <c r="H273" s="398"/>
      <c r="I273" s="398">
        <v>1.5</v>
      </c>
      <c r="J273" s="398"/>
      <c r="K273" s="398">
        <f>_xlfn.IFNA(VLOOKUP(A273,numbering!$K$3:$L$92,2,0),0)</f>
        <v>1</v>
      </c>
    </row>
    <row r="274" spans="1:12" ht="32" hidden="1" x14ac:dyDescent="0.2">
      <c r="A274" s="390">
        <v>91</v>
      </c>
      <c r="B274" s="390" t="s">
        <v>174</v>
      </c>
      <c r="C274" s="390">
        <f>VLOOKUP(B274,numbering!$N$18:$O$30,2,0)</f>
        <v>2</v>
      </c>
      <c r="D274" s="390" t="s">
        <v>1282</v>
      </c>
      <c r="E274" s="403">
        <f t="shared" si="9"/>
        <v>17</v>
      </c>
      <c r="F274" s="422" t="s">
        <v>1358</v>
      </c>
      <c r="G274" s="407" t="s">
        <v>1110</v>
      </c>
      <c r="H274" s="398"/>
      <c r="I274" s="398">
        <v>4.5</v>
      </c>
      <c r="J274" s="398"/>
      <c r="K274" s="398">
        <f>_xlfn.IFNA(VLOOKUP(A274,numbering!$K$3:$L$92,2,0),0)</f>
        <v>1</v>
      </c>
    </row>
    <row r="275" spans="1:12" ht="60" hidden="1" x14ac:dyDescent="0.2">
      <c r="A275" s="390">
        <v>92</v>
      </c>
      <c r="B275" s="390" t="s">
        <v>253</v>
      </c>
      <c r="C275" s="390">
        <f>VLOOKUP(B275,numbering!$N$18:$O$30,2,0)</f>
        <v>4</v>
      </c>
      <c r="D275" s="390" t="s">
        <v>207</v>
      </c>
      <c r="E275" s="403">
        <f t="shared" si="9"/>
        <v>1</v>
      </c>
      <c r="F275" s="423" t="s">
        <v>369</v>
      </c>
      <c r="G275" s="407" t="s">
        <v>1191</v>
      </c>
      <c r="H275" s="398">
        <v>0</v>
      </c>
      <c r="I275" s="398">
        <v>0</v>
      </c>
      <c r="J275" s="398">
        <v>0.5</v>
      </c>
      <c r="K275" s="398">
        <f>_xlfn.IFNA(VLOOKUP(A275,numbering!$K$3:$L$92,2,0),0)</f>
        <v>1</v>
      </c>
    </row>
    <row r="276" spans="1:12" ht="60" hidden="1" x14ac:dyDescent="0.2">
      <c r="A276" s="390">
        <v>92</v>
      </c>
      <c r="B276" s="390" t="s">
        <v>253</v>
      </c>
      <c r="C276" s="390">
        <f>VLOOKUP(B276,numbering!$N$18:$O$30,2,0)</f>
        <v>4</v>
      </c>
      <c r="D276" s="390" t="s">
        <v>207</v>
      </c>
      <c r="E276" s="403">
        <f t="shared" si="9"/>
        <v>1</v>
      </c>
      <c r="F276" s="423" t="s">
        <v>369</v>
      </c>
      <c r="G276" s="388" t="s">
        <v>1192</v>
      </c>
      <c r="H276" s="390">
        <v>1</v>
      </c>
      <c r="I276" s="398">
        <v>1</v>
      </c>
      <c r="J276" s="398">
        <v>0.8</v>
      </c>
      <c r="K276" s="398">
        <f>_xlfn.IFNA(VLOOKUP(A276,numbering!$K$3:$L$92,2,0),0)</f>
        <v>1</v>
      </c>
    </row>
    <row r="277" spans="1:12" ht="60" hidden="1" x14ac:dyDescent="0.2">
      <c r="A277" s="390">
        <v>92</v>
      </c>
      <c r="B277" s="390" t="s">
        <v>253</v>
      </c>
      <c r="C277" s="390">
        <f>VLOOKUP(B277,numbering!$N$18:$O$30,2,0)</f>
        <v>4</v>
      </c>
      <c r="D277" s="390" t="s">
        <v>207</v>
      </c>
      <c r="E277" s="403">
        <f t="shared" si="9"/>
        <v>1</v>
      </c>
      <c r="F277" s="423" t="s">
        <v>369</v>
      </c>
      <c r="G277" s="388" t="s">
        <v>1193</v>
      </c>
      <c r="H277" s="390">
        <v>2</v>
      </c>
      <c r="I277" s="398">
        <v>2</v>
      </c>
      <c r="J277" s="398">
        <v>1.6</v>
      </c>
      <c r="K277" s="398">
        <f>_xlfn.IFNA(VLOOKUP(A277,numbering!$K$3:$L$92,2,0),0)</f>
        <v>1</v>
      </c>
    </row>
    <row r="278" spans="1:12" ht="60" hidden="1" x14ac:dyDescent="0.2">
      <c r="A278" s="390">
        <v>92</v>
      </c>
      <c r="B278" s="390" t="s">
        <v>253</v>
      </c>
      <c r="C278" s="390">
        <f>VLOOKUP(B278,numbering!$N$18:$O$30,2,0)</f>
        <v>4</v>
      </c>
      <c r="D278" s="390" t="s">
        <v>207</v>
      </c>
      <c r="E278" s="403">
        <f t="shared" si="9"/>
        <v>1</v>
      </c>
      <c r="F278" s="423" t="s">
        <v>369</v>
      </c>
      <c r="G278" s="388" t="s">
        <v>1194</v>
      </c>
      <c r="H278" s="390">
        <v>3</v>
      </c>
      <c r="I278" s="398">
        <v>3</v>
      </c>
      <c r="J278" s="398">
        <v>3</v>
      </c>
      <c r="K278" s="398">
        <f>_xlfn.IFNA(VLOOKUP(A278,numbering!$K$3:$L$92,2,0),0)</f>
        <v>1</v>
      </c>
    </row>
    <row r="279" spans="1:12" ht="60" hidden="1" x14ac:dyDescent="0.2">
      <c r="A279" s="390">
        <v>92</v>
      </c>
      <c r="B279" s="390" t="s">
        <v>253</v>
      </c>
      <c r="C279" s="390">
        <f>VLOOKUP(B279,numbering!$N$18:$O$30,2,0)</f>
        <v>4</v>
      </c>
      <c r="D279" s="390" t="s">
        <v>207</v>
      </c>
      <c r="E279" s="403">
        <f>IF(C279&lt;&gt;C392,1,IF(F279&lt;&gt;F392,E392+1,E392))</f>
        <v>2</v>
      </c>
      <c r="F279" s="423" t="s">
        <v>369</v>
      </c>
      <c r="G279" s="388" t="s">
        <v>1195</v>
      </c>
      <c r="H279" s="390">
        <v>4</v>
      </c>
      <c r="I279" s="398">
        <v>4</v>
      </c>
      <c r="J279" s="398">
        <v>5</v>
      </c>
      <c r="K279" s="398">
        <f>_xlfn.IFNA(VLOOKUP(A279,numbering!$K$3:$L$92,2,0),0)</f>
        <v>1</v>
      </c>
    </row>
    <row r="280" spans="1:12" ht="16" hidden="1" x14ac:dyDescent="0.2">
      <c r="A280" s="390">
        <v>93</v>
      </c>
      <c r="B280" s="390" t="s">
        <v>174</v>
      </c>
      <c r="C280" s="390">
        <f>VLOOKUP(B280,numbering!$N$18:$O$30,2,0)</f>
        <v>2</v>
      </c>
      <c r="D280" s="390" t="s">
        <v>207</v>
      </c>
      <c r="E280" s="403">
        <f>IF(C280&lt;&gt;C278,1,IF(D280&lt;&gt;D278,E278+1,E278))</f>
        <v>1</v>
      </c>
      <c r="F280" s="432" t="s">
        <v>208</v>
      </c>
      <c r="G280" s="404" t="s">
        <v>1056</v>
      </c>
      <c r="H280" s="405"/>
      <c r="I280" s="390"/>
      <c r="J280" s="390"/>
      <c r="K280" s="398">
        <f>_xlfn.IFNA(VLOOKUP(A280,numbering!$K$3:$L$92,2,0),0)</f>
        <v>0</v>
      </c>
    </row>
    <row r="281" spans="1:12" ht="28" hidden="1" x14ac:dyDescent="0.2">
      <c r="A281" s="390">
        <v>95</v>
      </c>
      <c r="B281" s="390" t="s">
        <v>174</v>
      </c>
      <c r="C281" s="390">
        <f>VLOOKUP(B281,numbering!$N$18:$O$30,2,0)</f>
        <v>2</v>
      </c>
      <c r="D281" s="390" t="s">
        <v>209</v>
      </c>
      <c r="E281" s="403">
        <f t="shared" ref="E281:E327" si="10">IF(C281&lt;&gt;C280,1,IF(D281&lt;&gt;D280,E280+1,E280))</f>
        <v>2</v>
      </c>
      <c r="F281" s="433" t="s">
        <v>210</v>
      </c>
      <c r="G281" s="388" t="s">
        <v>7</v>
      </c>
      <c r="H281" s="390">
        <v>1</v>
      </c>
      <c r="I281" s="390">
        <v>1</v>
      </c>
      <c r="J281" s="390"/>
      <c r="K281" s="398">
        <f>_xlfn.IFNA(VLOOKUP(A281,numbering!$K$3:$L$92,2,0),0)</f>
        <v>0</v>
      </c>
    </row>
    <row r="282" spans="1:12" ht="28" hidden="1" x14ac:dyDescent="0.2">
      <c r="A282" s="390">
        <v>95</v>
      </c>
      <c r="B282" s="390" t="s">
        <v>174</v>
      </c>
      <c r="C282" s="390">
        <f>VLOOKUP(B282,numbering!$N$18:$O$30,2,0)</f>
        <v>2</v>
      </c>
      <c r="D282" s="390" t="s">
        <v>209</v>
      </c>
      <c r="E282" s="403">
        <f t="shared" si="10"/>
        <v>2</v>
      </c>
      <c r="F282" s="433" t="s">
        <v>210</v>
      </c>
      <c r="G282" s="388" t="s">
        <v>8</v>
      </c>
      <c r="H282" s="390">
        <v>4</v>
      </c>
      <c r="I282" s="390">
        <v>4</v>
      </c>
      <c r="J282" s="390"/>
      <c r="K282" s="398">
        <f>_xlfn.IFNA(VLOOKUP(A282,numbering!$K$3:$L$92,2,0),0)</f>
        <v>0</v>
      </c>
    </row>
    <row r="283" spans="1:12" ht="16" hidden="1" x14ac:dyDescent="0.2">
      <c r="A283" s="390">
        <v>96</v>
      </c>
      <c r="B283" s="390" t="s">
        <v>174</v>
      </c>
      <c r="C283" s="390">
        <f>VLOOKUP(B283,numbering!$N$18:$O$30,2,0)</f>
        <v>2</v>
      </c>
      <c r="D283" s="390" t="s">
        <v>211</v>
      </c>
      <c r="E283" s="403">
        <f t="shared" si="10"/>
        <v>3</v>
      </c>
      <c r="F283" s="432" t="s">
        <v>212</v>
      </c>
      <c r="G283" s="413" t="s">
        <v>1056</v>
      </c>
      <c r="H283" s="414"/>
      <c r="I283" s="398"/>
      <c r="J283" s="398"/>
      <c r="K283" s="398">
        <f>_xlfn.IFNA(VLOOKUP(A283,numbering!$K$3:$L$92,2,0),0)</f>
        <v>0</v>
      </c>
    </row>
    <row r="284" spans="1:12" ht="16" hidden="1" x14ac:dyDescent="0.2">
      <c r="A284" s="390">
        <v>97</v>
      </c>
      <c r="B284" s="390" t="s">
        <v>174</v>
      </c>
      <c r="C284" s="390">
        <f>VLOOKUP(B284,numbering!$N$18:$O$30,2,0)</f>
        <v>2</v>
      </c>
      <c r="D284" s="390" t="s">
        <v>211</v>
      </c>
      <c r="E284" s="403">
        <f t="shared" si="10"/>
        <v>3</v>
      </c>
      <c r="F284" s="432" t="s">
        <v>213</v>
      </c>
      <c r="G284" s="413" t="s">
        <v>1056</v>
      </c>
      <c r="H284" s="414"/>
      <c r="I284" s="398"/>
      <c r="J284" s="398"/>
      <c r="K284" s="398">
        <f>_xlfn.IFNA(VLOOKUP(A284,numbering!$K$3:$L$92,2,0),0)</f>
        <v>0</v>
      </c>
    </row>
    <row r="285" spans="1:12" ht="16" hidden="1" x14ac:dyDescent="0.2">
      <c r="A285" s="390">
        <v>98</v>
      </c>
      <c r="B285" s="390" t="s">
        <v>174</v>
      </c>
      <c r="C285" s="390">
        <f>VLOOKUP(B285,numbering!$N$18:$O$30,2,0)</f>
        <v>2</v>
      </c>
      <c r="D285" s="390" t="s">
        <v>211</v>
      </c>
      <c r="E285" s="403">
        <f t="shared" si="10"/>
        <v>3</v>
      </c>
      <c r="F285" s="432" t="s">
        <v>214</v>
      </c>
      <c r="G285" s="407" t="s">
        <v>667</v>
      </c>
      <c r="H285" s="398">
        <v>1</v>
      </c>
      <c r="I285" s="398">
        <v>1</v>
      </c>
      <c r="J285" s="398"/>
      <c r="K285" s="398">
        <f>_xlfn.IFNA(VLOOKUP(A285,numbering!$K$3:$L$92,2,0),0)</f>
        <v>0</v>
      </c>
    </row>
    <row r="286" spans="1:12" s="420" customFormat="1" ht="16" hidden="1" x14ac:dyDescent="0.2">
      <c r="A286" s="390">
        <v>98</v>
      </c>
      <c r="B286" s="390" t="s">
        <v>174</v>
      </c>
      <c r="C286" s="390">
        <f>VLOOKUP(B286,numbering!$N$18:$O$30,2,0)</f>
        <v>2</v>
      </c>
      <c r="D286" s="390" t="s">
        <v>211</v>
      </c>
      <c r="E286" s="403">
        <f t="shared" si="10"/>
        <v>3</v>
      </c>
      <c r="F286" s="432" t="s">
        <v>214</v>
      </c>
      <c r="G286" s="407" t="s">
        <v>1076</v>
      </c>
      <c r="H286" s="398">
        <v>2</v>
      </c>
      <c r="I286" s="398">
        <v>2</v>
      </c>
      <c r="J286" s="398"/>
      <c r="K286" s="398">
        <f>_xlfn.IFNA(VLOOKUP(A286,numbering!$K$3:$L$92,2,0),0)</f>
        <v>0</v>
      </c>
      <c r="L286" s="399"/>
    </row>
    <row r="287" spans="1:12" s="420" customFormat="1" ht="16" hidden="1" x14ac:dyDescent="0.2">
      <c r="A287" s="390">
        <v>98</v>
      </c>
      <c r="B287" s="390" t="s">
        <v>174</v>
      </c>
      <c r="C287" s="390">
        <f>VLOOKUP(B287,numbering!$N$18:$O$30,2,0)</f>
        <v>2</v>
      </c>
      <c r="D287" s="390" t="s">
        <v>211</v>
      </c>
      <c r="E287" s="403">
        <f t="shared" si="10"/>
        <v>3</v>
      </c>
      <c r="F287" s="432" t="s">
        <v>214</v>
      </c>
      <c r="G287" s="407" t="s">
        <v>1077</v>
      </c>
      <c r="H287" s="398">
        <v>3</v>
      </c>
      <c r="I287" s="398">
        <v>3</v>
      </c>
      <c r="J287" s="398"/>
      <c r="K287" s="398">
        <f>_xlfn.IFNA(VLOOKUP(A287,numbering!$K$3:$L$92,2,0),0)</f>
        <v>0</v>
      </c>
      <c r="L287" s="399"/>
    </row>
    <row r="288" spans="1:12" s="420" customFormat="1" ht="16" hidden="1" x14ac:dyDescent="0.2">
      <c r="A288" s="390">
        <v>98</v>
      </c>
      <c r="B288" s="390" t="s">
        <v>174</v>
      </c>
      <c r="C288" s="390">
        <f>VLOOKUP(B288,numbering!$N$18:$O$30,2,0)</f>
        <v>2</v>
      </c>
      <c r="D288" s="390" t="s">
        <v>211</v>
      </c>
      <c r="E288" s="403">
        <f t="shared" si="10"/>
        <v>3</v>
      </c>
      <c r="F288" s="432" t="s">
        <v>214</v>
      </c>
      <c r="G288" s="407" t="s">
        <v>1078</v>
      </c>
      <c r="H288" s="398">
        <v>4</v>
      </c>
      <c r="I288" s="398">
        <v>4</v>
      </c>
      <c r="J288" s="398"/>
      <c r="K288" s="398">
        <f>_xlfn.IFNA(VLOOKUP(A288,numbering!$K$3:$L$92,2,0),0)</f>
        <v>0</v>
      </c>
      <c r="L288" s="399"/>
    </row>
    <row r="289" spans="1:12" s="420" customFormat="1" ht="16" hidden="1" x14ac:dyDescent="0.2">
      <c r="A289" s="390">
        <v>99</v>
      </c>
      <c r="B289" s="390" t="s">
        <v>174</v>
      </c>
      <c r="C289" s="390">
        <f>VLOOKUP(B289,numbering!$N$18:$O$30,2,0)</f>
        <v>2</v>
      </c>
      <c r="D289" s="390" t="s">
        <v>211</v>
      </c>
      <c r="E289" s="403">
        <f t="shared" si="10"/>
        <v>3</v>
      </c>
      <c r="F289" s="432" t="s">
        <v>215</v>
      </c>
      <c r="G289" s="407" t="s">
        <v>674</v>
      </c>
      <c r="H289" s="398"/>
      <c r="I289" s="398"/>
      <c r="J289" s="398"/>
      <c r="K289" s="398">
        <f>_xlfn.IFNA(VLOOKUP(A289,numbering!$K$3:$L$92,2,0),0)</f>
        <v>0</v>
      </c>
      <c r="L289" s="399"/>
    </row>
    <row r="290" spans="1:12" s="420" customFormat="1" ht="16" hidden="1" x14ac:dyDescent="0.2">
      <c r="A290" s="390">
        <v>99</v>
      </c>
      <c r="B290" s="390" t="s">
        <v>174</v>
      </c>
      <c r="C290" s="390">
        <f>VLOOKUP(B290,numbering!$N$18:$O$30,2,0)</f>
        <v>2</v>
      </c>
      <c r="D290" s="390" t="s">
        <v>211</v>
      </c>
      <c r="E290" s="403">
        <f t="shared" si="10"/>
        <v>3</v>
      </c>
      <c r="F290" s="432" t="s">
        <v>215</v>
      </c>
      <c r="G290" s="407" t="s">
        <v>1111</v>
      </c>
      <c r="H290" s="398"/>
      <c r="I290" s="398"/>
      <c r="J290" s="398"/>
      <c r="K290" s="398">
        <f>_xlfn.IFNA(VLOOKUP(A290,numbering!$K$3:$L$92,2,0),0)</f>
        <v>0</v>
      </c>
      <c r="L290" s="399"/>
    </row>
    <row r="291" spans="1:12" s="420" customFormat="1" ht="16" hidden="1" x14ac:dyDescent="0.2">
      <c r="A291" s="390">
        <v>100</v>
      </c>
      <c r="B291" s="390" t="s">
        <v>174</v>
      </c>
      <c r="C291" s="390">
        <f>VLOOKUP(B291,numbering!$N$18:$O$30,2,0)</f>
        <v>2</v>
      </c>
      <c r="D291" s="390" t="s">
        <v>211</v>
      </c>
      <c r="E291" s="403">
        <f t="shared" si="10"/>
        <v>3</v>
      </c>
      <c r="F291" s="432" t="s">
        <v>216</v>
      </c>
      <c r="G291" s="413" t="s">
        <v>1056</v>
      </c>
      <c r="H291" s="414"/>
      <c r="I291" s="398"/>
      <c r="J291" s="398"/>
      <c r="K291" s="398">
        <f>_xlfn.IFNA(VLOOKUP(A291,numbering!$K$3:$L$92,2,0),0)</f>
        <v>0</v>
      </c>
      <c r="L291" s="399"/>
    </row>
    <row r="292" spans="1:12" s="420" customFormat="1" ht="16" hidden="1" x14ac:dyDescent="0.2">
      <c r="A292" s="391">
        <v>101</v>
      </c>
      <c r="B292" s="391" t="s">
        <v>174</v>
      </c>
      <c r="C292" s="391">
        <f>VLOOKUP(B292,numbering!$N$18:$O$30,2,0)</f>
        <v>2</v>
      </c>
      <c r="D292" s="391" t="s">
        <v>217</v>
      </c>
      <c r="E292" s="403">
        <f t="shared" si="10"/>
        <v>4</v>
      </c>
      <c r="F292" s="431" t="s">
        <v>212</v>
      </c>
      <c r="G292" s="418" t="s">
        <v>1056</v>
      </c>
      <c r="H292" s="419"/>
      <c r="I292" s="391"/>
      <c r="J292" s="391"/>
      <c r="K292" s="398">
        <f>_xlfn.IFNA(VLOOKUP(A292,numbering!$K$3:$L$92,2,0),0)</f>
        <v>0</v>
      </c>
    </row>
    <row r="293" spans="1:12" s="420" customFormat="1" ht="16" hidden="1" x14ac:dyDescent="0.2">
      <c r="A293" s="391">
        <v>102</v>
      </c>
      <c r="B293" s="391" t="s">
        <v>174</v>
      </c>
      <c r="C293" s="391">
        <f>VLOOKUP(B293,numbering!$N$18:$O$30,2,0)</f>
        <v>2</v>
      </c>
      <c r="D293" s="391" t="s">
        <v>217</v>
      </c>
      <c r="E293" s="403">
        <f t="shared" si="10"/>
        <v>4</v>
      </c>
      <c r="F293" s="431" t="s">
        <v>218</v>
      </c>
      <c r="G293" s="418" t="s">
        <v>1019</v>
      </c>
      <c r="H293" s="419"/>
      <c r="I293" s="391"/>
      <c r="J293" s="391"/>
      <c r="K293" s="398">
        <f>_xlfn.IFNA(VLOOKUP(A293,numbering!$K$3:$L$92,2,0),0)</f>
        <v>0</v>
      </c>
    </row>
    <row r="294" spans="1:12" s="420" customFormat="1" ht="16" hidden="1" x14ac:dyDescent="0.2">
      <c r="A294" s="391">
        <v>103</v>
      </c>
      <c r="B294" s="391" t="s">
        <v>174</v>
      </c>
      <c r="C294" s="391">
        <f>VLOOKUP(B294,numbering!$N$18:$O$30,2,0)</f>
        <v>2</v>
      </c>
      <c r="D294" s="391" t="s">
        <v>217</v>
      </c>
      <c r="E294" s="403">
        <f t="shared" si="10"/>
        <v>4</v>
      </c>
      <c r="F294" s="431" t="s">
        <v>219</v>
      </c>
      <c r="G294" s="418" t="s">
        <v>1019</v>
      </c>
      <c r="H294" s="419"/>
      <c r="I294" s="391"/>
      <c r="J294" s="391"/>
      <c r="K294" s="398">
        <f>_xlfn.IFNA(VLOOKUP(A294,numbering!$K$3:$L$92,2,0),0)</f>
        <v>0</v>
      </c>
    </row>
    <row r="295" spans="1:12" s="420" customFormat="1" ht="16" hidden="1" x14ac:dyDescent="0.2">
      <c r="A295" s="391">
        <v>104</v>
      </c>
      <c r="B295" s="391" t="s">
        <v>174</v>
      </c>
      <c r="C295" s="391">
        <f>VLOOKUP(B295,numbering!$N$18:$O$30,2,0)</f>
        <v>2</v>
      </c>
      <c r="D295" s="391" t="s">
        <v>217</v>
      </c>
      <c r="E295" s="403">
        <f t="shared" si="10"/>
        <v>4</v>
      </c>
      <c r="F295" s="431" t="s">
        <v>220</v>
      </c>
      <c r="G295" s="418" t="s">
        <v>1019</v>
      </c>
      <c r="H295" s="419"/>
      <c r="I295" s="391"/>
      <c r="J295" s="391"/>
      <c r="K295" s="398">
        <f>_xlfn.IFNA(VLOOKUP(A295,numbering!$K$3:$L$92,2,0),0)</f>
        <v>0</v>
      </c>
    </row>
    <row r="296" spans="1:12" s="420" customFormat="1" ht="16" hidden="1" x14ac:dyDescent="0.2">
      <c r="A296" s="391">
        <v>105</v>
      </c>
      <c r="B296" s="391" t="s">
        <v>174</v>
      </c>
      <c r="C296" s="391">
        <f>VLOOKUP(B296,numbering!$N$18:$O$30,2,0)</f>
        <v>2</v>
      </c>
      <c r="D296" s="391" t="s">
        <v>221</v>
      </c>
      <c r="E296" s="403">
        <f t="shared" si="10"/>
        <v>5</v>
      </c>
      <c r="F296" s="431" t="s">
        <v>222</v>
      </c>
      <c r="G296" s="396" t="s">
        <v>1112</v>
      </c>
      <c r="H296" s="391"/>
      <c r="I296" s="391"/>
      <c r="J296" s="391"/>
      <c r="K296" s="398">
        <f>_xlfn.IFNA(VLOOKUP(A296,numbering!$K$3:$L$92,2,0),0)</f>
        <v>0</v>
      </c>
    </row>
    <row r="297" spans="1:12" s="420" customFormat="1" ht="16" hidden="1" x14ac:dyDescent="0.2">
      <c r="A297" s="391">
        <v>105</v>
      </c>
      <c r="B297" s="391" t="s">
        <v>174</v>
      </c>
      <c r="C297" s="391">
        <f>VLOOKUP(B297,numbering!$N$18:$O$30,2,0)</f>
        <v>2</v>
      </c>
      <c r="D297" s="391" t="s">
        <v>221</v>
      </c>
      <c r="E297" s="403">
        <f t="shared" si="10"/>
        <v>5</v>
      </c>
      <c r="F297" s="431" t="s">
        <v>222</v>
      </c>
      <c r="G297" s="396" t="s">
        <v>1113</v>
      </c>
      <c r="H297" s="391"/>
      <c r="I297" s="391"/>
      <c r="J297" s="391"/>
      <c r="K297" s="398">
        <f>_xlfn.IFNA(VLOOKUP(A297,numbering!$K$3:$L$92,2,0),0)</f>
        <v>0</v>
      </c>
    </row>
    <row r="298" spans="1:12" s="420" customFormat="1" ht="16" hidden="1" x14ac:dyDescent="0.2">
      <c r="A298" s="391">
        <v>105</v>
      </c>
      <c r="B298" s="391" t="s">
        <v>174</v>
      </c>
      <c r="C298" s="391">
        <f>VLOOKUP(B298,numbering!$N$18:$O$30,2,0)</f>
        <v>2</v>
      </c>
      <c r="D298" s="391" t="s">
        <v>221</v>
      </c>
      <c r="E298" s="403">
        <f t="shared" si="10"/>
        <v>5</v>
      </c>
      <c r="F298" s="431" t="s">
        <v>222</v>
      </c>
      <c r="G298" s="396" t="s">
        <v>1114</v>
      </c>
      <c r="H298" s="391"/>
      <c r="I298" s="391"/>
      <c r="J298" s="391"/>
      <c r="K298" s="398">
        <f>_xlfn.IFNA(VLOOKUP(A298,numbering!$K$3:$L$92,2,0),0)</f>
        <v>0</v>
      </c>
    </row>
    <row r="299" spans="1:12" s="420" customFormat="1" ht="16" hidden="1" x14ac:dyDescent="0.2">
      <c r="A299" s="391">
        <v>106</v>
      </c>
      <c r="B299" s="391" t="s">
        <v>174</v>
      </c>
      <c r="C299" s="391">
        <f>VLOOKUP(B299,numbering!$N$18:$O$30,2,0)</f>
        <v>2</v>
      </c>
      <c r="D299" s="391" t="s">
        <v>221</v>
      </c>
      <c r="E299" s="403">
        <f t="shared" si="10"/>
        <v>5</v>
      </c>
      <c r="F299" s="431" t="s">
        <v>223</v>
      </c>
      <c r="G299" s="396" t="s">
        <v>675</v>
      </c>
      <c r="H299" s="391"/>
      <c r="I299" s="391"/>
      <c r="J299" s="391"/>
      <c r="K299" s="398">
        <f>_xlfn.IFNA(VLOOKUP(A299,numbering!$K$3:$L$92,2,0),0)</f>
        <v>0</v>
      </c>
    </row>
    <row r="300" spans="1:12" s="420" customFormat="1" ht="16" hidden="1" x14ac:dyDescent="0.2">
      <c r="A300" s="391">
        <v>106</v>
      </c>
      <c r="B300" s="391" t="s">
        <v>174</v>
      </c>
      <c r="C300" s="391">
        <f>VLOOKUP(B300,numbering!$N$18:$O$30,2,0)</f>
        <v>2</v>
      </c>
      <c r="D300" s="391" t="s">
        <v>221</v>
      </c>
      <c r="E300" s="403">
        <f t="shared" si="10"/>
        <v>5</v>
      </c>
      <c r="F300" s="431" t="s">
        <v>223</v>
      </c>
      <c r="G300" s="396" t="s">
        <v>1118</v>
      </c>
      <c r="H300" s="391"/>
      <c r="I300" s="391"/>
      <c r="J300" s="391"/>
      <c r="K300" s="398">
        <f>_xlfn.IFNA(VLOOKUP(A300,numbering!$K$3:$L$92,2,0),0)</f>
        <v>0</v>
      </c>
    </row>
    <row r="301" spans="1:12" s="420" customFormat="1" ht="16" hidden="1" x14ac:dyDescent="0.2">
      <c r="A301" s="391">
        <v>106</v>
      </c>
      <c r="B301" s="391" t="s">
        <v>174</v>
      </c>
      <c r="C301" s="391">
        <f>VLOOKUP(B301,numbering!$N$18:$O$30,2,0)</f>
        <v>2</v>
      </c>
      <c r="D301" s="391" t="s">
        <v>221</v>
      </c>
      <c r="E301" s="403">
        <f t="shared" si="10"/>
        <v>5</v>
      </c>
      <c r="F301" s="431" t="s">
        <v>223</v>
      </c>
      <c r="G301" s="396" t="s">
        <v>1119</v>
      </c>
      <c r="H301" s="391"/>
      <c r="I301" s="391"/>
      <c r="J301" s="391"/>
      <c r="K301" s="398">
        <f>_xlfn.IFNA(VLOOKUP(A301,numbering!$K$3:$L$92,2,0),0)</f>
        <v>0</v>
      </c>
    </row>
    <row r="302" spans="1:12" ht="16" hidden="1" x14ac:dyDescent="0.2">
      <c r="A302" s="391">
        <v>106</v>
      </c>
      <c r="B302" s="391" t="s">
        <v>174</v>
      </c>
      <c r="C302" s="391">
        <f>VLOOKUP(B302,numbering!$N$18:$O$30,2,0)</f>
        <v>2</v>
      </c>
      <c r="D302" s="391" t="s">
        <v>221</v>
      </c>
      <c r="E302" s="403">
        <f t="shared" si="10"/>
        <v>5</v>
      </c>
      <c r="F302" s="431" t="s">
        <v>223</v>
      </c>
      <c r="G302" s="396" t="s">
        <v>1120</v>
      </c>
      <c r="H302" s="391"/>
      <c r="I302" s="391"/>
      <c r="J302" s="391"/>
      <c r="K302" s="398">
        <f>_xlfn.IFNA(VLOOKUP(A302,numbering!$K$3:$L$92,2,0),0)</f>
        <v>0</v>
      </c>
      <c r="L302" s="420"/>
    </row>
    <row r="303" spans="1:12" ht="16" hidden="1" x14ac:dyDescent="0.2">
      <c r="A303" s="391">
        <v>106</v>
      </c>
      <c r="B303" s="391" t="s">
        <v>174</v>
      </c>
      <c r="C303" s="391">
        <f>VLOOKUP(B303,numbering!$N$18:$O$30,2,0)</f>
        <v>2</v>
      </c>
      <c r="D303" s="391" t="s">
        <v>221</v>
      </c>
      <c r="E303" s="403">
        <f t="shared" si="10"/>
        <v>5</v>
      </c>
      <c r="F303" s="431" t="s">
        <v>223</v>
      </c>
      <c r="G303" s="396" t="s">
        <v>1121</v>
      </c>
      <c r="H303" s="391"/>
      <c r="I303" s="391"/>
      <c r="J303" s="391"/>
      <c r="K303" s="398">
        <f>_xlfn.IFNA(VLOOKUP(A303,numbering!$K$3:$L$92,2,0),0)</f>
        <v>0</v>
      </c>
      <c r="L303" s="420"/>
    </row>
    <row r="304" spans="1:12" ht="16" hidden="1" x14ac:dyDescent="0.2">
      <c r="A304" s="391">
        <v>106</v>
      </c>
      <c r="B304" s="391" t="s">
        <v>174</v>
      </c>
      <c r="C304" s="391">
        <f>VLOOKUP(B304,numbering!$N$18:$O$30,2,0)</f>
        <v>2</v>
      </c>
      <c r="D304" s="391" t="s">
        <v>221</v>
      </c>
      <c r="E304" s="403">
        <f t="shared" si="10"/>
        <v>5</v>
      </c>
      <c r="F304" s="431" t="s">
        <v>223</v>
      </c>
      <c r="G304" s="396" t="s">
        <v>1122</v>
      </c>
      <c r="H304" s="391"/>
      <c r="I304" s="391"/>
      <c r="J304" s="391"/>
      <c r="K304" s="398">
        <f>_xlfn.IFNA(VLOOKUP(A304,numbering!$K$3:$L$92,2,0),0)</f>
        <v>0</v>
      </c>
      <c r="L304" s="420"/>
    </row>
    <row r="305" spans="1:12" ht="16" hidden="1" x14ac:dyDescent="0.2">
      <c r="A305" s="391">
        <v>106</v>
      </c>
      <c r="B305" s="391" t="s">
        <v>174</v>
      </c>
      <c r="C305" s="391">
        <f>VLOOKUP(B305,numbering!$N$18:$O$30,2,0)</f>
        <v>2</v>
      </c>
      <c r="D305" s="391" t="s">
        <v>221</v>
      </c>
      <c r="E305" s="403">
        <f t="shared" si="10"/>
        <v>5</v>
      </c>
      <c r="F305" s="431" t="s">
        <v>223</v>
      </c>
      <c r="G305" s="396" t="s">
        <v>1123</v>
      </c>
      <c r="H305" s="391"/>
      <c r="I305" s="391"/>
      <c r="J305" s="391"/>
      <c r="K305" s="398">
        <f>_xlfn.IFNA(VLOOKUP(A305,numbering!$K$3:$L$92,2,0),0)</f>
        <v>0</v>
      </c>
      <c r="L305" s="420"/>
    </row>
    <row r="306" spans="1:12" ht="16" hidden="1" x14ac:dyDescent="0.2">
      <c r="A306" s="391">
        <v>106</v>
      </c>
      <c r="B306" s="391" t="s">
        <v>174</v>
      </c>
      <c r="C306" s="391">
        <f>VLOOKUP(B306,numbering!$N$18:$O$30,2,0)</f>
        <v>2</v>
      </c>
      <c r="D306" s="391" t="s">
        <v>221</v>
      </c>
      <c r="E306" s="403">
        <f t="shared" si="10"/>
        <v>5</v>
      </c>
      <c r="F306" s="431" t="s">
        <v>223</v>
      </c>
      <c r="G306" s="396" t="s">
        <v>1124</v>
      </c>
      <c r="H306" s="391"/>
      <c r="I306" s="391"/>
      <c r="J306" s="391"/>
      <c r="K306" s="398">
        <f>_xlfn.IFNA(VLOOKUP(A306,numbering!$K$3:$L$92,2,0),0)</f>
        <v>0</v>
      </c>
      <c r="L306" s="420"/>
    </row>
    <row r="307" spans="1:12" ht="16" hidden="1" x14ac:dyDescent="0.2">
      <c r="A307" s="391">
        <v>106</v>
      </c>
      <c r="B307" s="391" t="s">
        <v>174</v>
      </c>
      <c r="C307" s="391">
        <f>VLOOKUP(B307,numbering!$N$18:$O$30,2,0)</f>
        <v>2</v>
      </c>
      <c r="D307" s="391" t="s">
        <v>221</v>
      </c>
      <c r="E307" s="403">
        <f t="shared" si="10"/>
        <v>5</v>
      </c>
      <c r="F307" s="431" t="s">
        <v>223</v>
      </c>
      <c r="G307" s="396" t="s">
        <v>1125</v>
      </c>
      <c r="H307" s="391"/>
      <c r="I307" s="391"/>
      <c r="J307" s="391"/>
      <c r="K307" s="398">
        <f>_xlfn.IFNA(VLOOKUP(A307,numbering!$K$3:$L$92,2,0),0)</f>
        <v>0</v>
      </c>
      <c r="L307" s="420"/>
    </row>
    <row r="308" spans="1:12" ht="16" hidden="1" x14ac:dyDescent="0.2">
      <c r="A308" s="390">
        <v>108</v>
      </c>
      <c r="B308" s="390" t="s">
        <v>174</v>
      </c>
      <c r="C308" s="390">
        <f>VLOOKUP(B308,numbering!$N$18:$O$30,2,0)</f>
        <v>2</v>
      </c>
      <c r="D308" s="390" t="s">
        <v>224</v>
      </c>
      <c r="E308" s="403">
        <f t="shared" si="10"/>
        <v>6</v>
      </c>
      <c r="F308" s="432" t="s">
        <v>226</v>
      </c>
      <c r="G308" s="388" t="s">
        <v>1289</v>
      </c>
      <c r="H308" s="390"/>
      <c r="I308" s="390"/>
      <c r="J308" s="390"/>
      <c r="K308" s="398">
        <f>_xlfn.IFNA(VLOOKUP(A308,numbering!$K$3:$L$92,2,0),0)</f>
        <v>0</v>
      </c>
    </row>
    <row r="309" spans="1:12" ht="16" hidden="1" x14ac:dyDescent="0.2">
      <c r="A309" s="390">
        <v>108</v>
      </c>
      <c r="B309" s="390" t="s">
        <v>174</v>
      </c>
      <c r="C309" s="390">
        <f>VLOOKUP(B309,numbering!$N$18:$O$30,2,0)</f>
        <v>2</v>
      </c>
      <c r="D309" s="390" t="s">
        <v>224</v>
      </c>
      <c r="E309" s="403">
        <f t="shared" si="10"/>
        <v>6</v>
      </c>
      <c r="F309" s="432" t="s">
        <v>226</v>
      </c>
      <c r="G309" s="388" t="s">
        <v>1292</v>
      </c>
      <c r="H309" s="390"/>
      <c r="I309" s="390"/>
      <c r="J309" s="390"/>
      <c r="K309" s="398">
        <f>_xlfn.IFNA(VLOOKUP(A309,numbering!$K$3:$L$92,2,0),0)</f>
        <v>0</v>
      </c>
    </row>
    <row r="310" spans="1:12" ht="16" hidden="1" x14ac:dyDescent="0.2">
      <c r="A310" s="390">
        <v>108</v>
      </c>
      <c r="B310" s="390" t="s">
        <v>174</v>
      </c>
      <c r="C310" s="390">
        <f>VLOOKUP(B310,numbering!$N$18:$O$30,2,0)</f>
        <v>2</v>
      </c>
      <c r="D310" s="390" t="s">
        <v>224</v>
      </c>
      <c r="E310" s="403">
        <f t="shared" si="10"/>
        <v>6</v>
      </c>
      <c r="F310" s="432" t="s">
        <v>226</v>
      </c>
      <c r="G310" s="388" t="s">
        <v>1126</v>
      </c>
      <c r="H310" s="390"/>
      <c r="I310" s="390"/>
      <c r="J310" s="390"/>
      <c r="K310" s="398">
        <f>_xlfn.IFNA(VLOOKUP(A310,numbering!$K$3:$L$92,2,0),0)</f>
        <v>0</v>
      </c>
    </row>
    <row r="311" spans="1:12" ht="16" hidden="1" x14ac:dyDescent="0.2">
      <c r="A311" s="390">
        <v>108</v>
      </c>
      <c r="B311" s="390" t="s">
        <v>174</v>
      </c>
      <c r="C311" s="390">
        <f>VLOOKUP(B311,numbering!$N$18:$O$30,2,0)</f>
        <v>2</v>
      </c>
      <c r="D311" s="390" t="s">
        <v>224</v>
      </c>
      <c r="E311" s="403">
        <f t="shared" si="10"/>
        <v>6</v>
      </c>
      <c r="F311" s="432" t="s">
        <v>226</v>
      </c>
      <c r="G311" s="388" t="s">
        <v>1127</v>
      </c>
      <c r="H311" s="390"/>
      <c r="I311" s="390"/>
      <c r="J311" s="390"/>
      <c r="K311" s="398">
        <f>_xlfn.IFNA(VLOOKUP(A311,numbering!$K$3:$L$92,2,0),0)</f>
        <v>0</v>
      </c>
    </row>
    <row r="312" spans="1:12" ht="16" hidden="1" x14ac:dyDescent="0.2">
      <c r="A312" s="390">
        <v>108</v>
      </c>
      <c r="B312" s="390" t="s">
        <v>174</v>
      </c>
      <c r="C312" s="390">
        <f>VLOOKUP(B312,numbering!$N$18:$O$30,2,0)</f>
        <v>2</v>
      </c>
      <c r="D312" s="390" t="s">
        <v>224</v>
      </c>
      <c r="E312" s="403">
        <f t="shared" si="10"/>
        <v>6</v>
      </c>
      <c r="F312" s="432" t="s">
        <v>226</v>
      </c>
      <c r="G312" s="388" t="s">
        <v>1128</v>
      </c>
      <c r="H312" s="390"/>
      <c r="I312" s="390"/>
      <c r="J312" s="390"/>
      <c r="K312" s="398">
        <f>_xlfn.IFNA(VLOOKUP(A312,numbering!$K$3:$L$92,2,0),0)</f>
        <v>0</v>
      </c>
    </row>
    <row r="313" spans="1:12" ht="16" hidden="1" x14ac:dyDescent="0.2">
      <c r="A313" s="390">
        <v>108</v>
      </c>
      <c r="B313" s="390" t="s">
        <v>174</v>
      </c>
      <c r="C313" s="390">
        <f>VLOOKUP(B313,numbering!$N$18:$O$30,2,0)</f>
        <v>2</v>
      </c>
      <c r="D313" s="390" t="s">
        <v>224</v>
      </c>
      <c r="E313" s="403">
        <f t="shared" si="10"/>
        <v>6</v>
      </c>
      <c r="F313" s="432" t="s">
        <v>226</v>
      </c>
      <c r="G313" s="388" t="s">
        <v>1129</v>
      </c>
      <c r="H313" s="390"/>
      <c r="I313" s="390"/>
      <c r="J313" s="390"/>
      <c r="K313" s="398">
        <f>_xlfn.IFNA(VLOOKUP(A313,numbering!$K$3:$L$92,2,0),0)</f>
        <v>0</v>
      </c>
    </row>
    <row r="314" spans="1:12" ht="16" hidden="1" x14ac:dyDescent="0.2">
      <c r="A314" s="390">
        <v>108</v>
      </c>
      <c r="B314" s="390" t="s">
        <v>174</v>
      </c>
      <c r="C314" s="390">
        <f>VLOOKUP(B314,numbering!$N$18:$O$30,2,0)</f>
        <v>2</v>
      </c>
      <c r="D314" s="390" t="s">
        <v>224</v>
      </c>
      <c r="E314" s="403">
        <f t="shared" si="10"/>
        <v>6</v>
      </c>
      <c r="F314" s="432" t="s">
        <v>226</v>
      </c>
      <c r="G314" s="388" t="s">
        <v>676</v>
      </c>
      <c r="H314" s="390"/>
      <c r="I314" s="390"/>
      <c r="J314" s="390"/>
      <c r="K314" s="398">
        <f>_xlfn.IFNA(VLOOKUP(A314,numbering!$K$3:$L$92,2,0),0)</f>
        <v>0</v>
      </c>
    </row>
    <row r="315" spans="1:12" ht="16" hidden="1" x14ac:dyDescent="0.2">
      <c r="A315" s="390">
        <v>108</v>
      </c>
      <c r="B315" s="390" t="s">
        <v>174</v>
      </c>
      <c r="C315" s="390">
        <f>VLOOKUP(B315,numbering!$N$18:$O$30,2,0)</f>
        <v>2</v>
      </c>
      <c r="D315" s="390" t="s">
        <v>224</v>
      </c>
      <c r="E315" s="403">
        <f t="shared" si="10"/>
        <v>6</v>
      </c>
      <c r="F315" s="432" t="s">
        <v>226</v>
      </c>
      <c r="G315" s="388" t="s">
        <v>1130</v>
      </c>
      <c r="H315" s="390"/>
      <c r="I315" s="390"/>
      <c r="J315" s="390"/>
      <c r="K315" s="398">
        <f>_xlfn.IFNA(VLOOKUP(A315,numbering!$K$3:$L$92,2,0),0)</f>
        <v>0</v>
      </c>
    </row>
    <row r="316" spans="1:12" ht="16" hidden="1" x14ac:dyDescent="0.2">
      <c r="A316" s="390">
        <v>109</v>
      </c>
      <c r="B316" s="390" t="s">
        <v>174</v>
      </c>
      <c r="C316" s="390">
        <f>VLOOKUP(B316,numbering!$N$18:$O$30,2,0)</f>
        <v>2</v>
      </c>
      <c r="D316" s="390" t="s">
        <v>224</v>
      </c>
      <c r="E316" s="403">
        <f t="shared" si="10"/>
        <v>6</v>
      </c>
      <c r="F316" s="432" t="s">
        <v>227</v>
      </c>
      <c r="G316" s="388" t="s">
        <v>1131</v>
      </c>
      <c r="H316" s="390"/>
      <c r="I316" s="390"/>
      <c r="J316" s="390"/>
      <c r="K316" s="398">
        <f>_xlfn.IFNA(VLOOKUP(A316,numbering!$K$3:$L$92,2,0),0)</f>
        <v>0</v>
      </c>
    </row>
    <row r="317" spans="1:12" ht="16" hidden="1" x14ac:dyDescent="0.2">
      <c r="A317" s="390">
        <v>109</v>
      </c>
      <c r="B317" s="390" t="s">
        <v>174</v>
      </c>
      <c r="C317" s="390">
        <f>VLOOKUP(B317,numbering!$N$18:$O$30,2,0)</f>
        <v>2</v>
      </c>
      <c r="D317" s="390" t="s">
        <v>224</v>
      </c>
      <c r="E317" s="403">
        <f t="shared" si="10"/>
        <v>6</v>
      </c>
      <c r="F317" s="432" t="s">
        <v>227</v>
      </c>
      <c r="G317" s="388" t="s">
        <v>1132</v>
      </c>
      <c r="H317" s="390"/>
      <c r="I317" s="390"/>
      <c r="J317" s="390"/>
      <c r="K317" s="398">
        <f>_xlfn.IFNA(VLOOKUP(A317,numbering!$K$3:$L$92,2,0),0)</f>
        <v>0</v>
      </c>
    </row>
    <row r="318" spans="1:12" ht="16" hidden="1" x14ac:dyDescent="0.2">
      <c r="A318" s="390">
        <v>109</v>
      </c>
      <c r="B318" s="390" t="s">
        <v>174</v>
      </c>
      <c r="C318" s="390">
        <f>VLOOKUP(B318,numbering!$N$18:$O$30,2,0)</f>
        <v>2</v>
      </c>
      <c r="D318" s="390" t="s">
        <v>224</v>
      </c>
      <c r="E318" s="403">
        <f t="shared" si="10"/>
        <v>6</v>
      </c>
      <c r="F318" s="432" t="s">
        <v>227</v>
      </c>
      <c r="G318" s="388" t="s">
        <v>1133</v>
      </c>
      <c r="H318" s="390"/>
      <c r="I318" s="390"/>
      <c r="J318" s="390"/>
      <c r="K318" s="398">
        <f>_xlfn.IFNA(VLOOKUP(A318,numbering!$K$3:$L$92,2,0),0)</f>
        <v>0</v>
      </c>
    </row>
    <row r="319" spans="1:12" ht="16" hidden="1" x14ac:dyDescent="0.2">
      <c r="A319" s="390">
        <v>111</v>
      </c>
      <c r="B319" s="390" t="s">
        <v>174</v>
      </c>
      <c r="C319" s="390">
        <f>VLOOKUP(B319,numbering!$N$18:$O$30,2,0)</f>
        <v>2</v>
      </c>
      <c r="D319" s="390" t="s">
        <v>224</v>
      </c>
      <c r="E319" s="403">
        <f t="shared" si="10"/>
        <v>6</v>
      </c>
      <c r="F319" s="432" t="s">
        <v>228</v>
      </c>
      <c r="G319" s="388" t="s">
        <v>1290</v>
      </c>
      <c r="H319" s="390"/>
      <c r="I319" s="390"/>
      <c r="J319" s="390"/>
      <c r="K319" s="398">
        <f>_xlfn.IFNA(VLOOKUP(A319,numbering!$K$3:$L$92,2,0),0)</f>
        <v>0</v>
      </c>
    </row>
    <row r="320" spans="1:12" ht="16" hidden="1" x14ac:dyDescent="0.2">
      <c r="A320" s="390">
        <v>111</v>
      </c>
      <c r="B320" s="390" t="s">
        <v>174</v>
      </c>
      <c r="C320" s="390">
        <f>VLOOKUP(B320,numbering!$N$18:$O$30,2,0)</f>
        <v>2</v>
      </c>
      <c r="D320" s="390" t="s">
        <v>224</v>
      </c>
      <c r="E320" s="403">
        <f t="shared" si="10"/>
        <v>6</v>
      </c>
      <c r="F320" s="432" t="s">
        <v>228</v>
      </c>
      <c r="G320" s="388" t="s">
        <v>1291</v>
      </c>
      <c r="H320" s="390"/>
      <c r="I320" s="390"/>
      <c r="J320" s="390"/>
      <c r="K320" s="398">
        <f>_xlfn.IFNA(VLOOKUP(A320,numbering!$K$3:$L$92,2,0),0)</f>
        <v>0</v>
      </c>
    </row>
    <row r="321" spans="1:12" ht="16" hidden="1" x14ac:dyDescent="0.2">
      <c r="A321" s="390">
        <v>111</v>
      </c>
      <c r="B321" s="390" t="s">
        <v>174</v>
      </c>
      <c r="C321" s="390">
        <f>VLOOKUP(B321,numbering!$N$18:$O$30,2,0)</f>
        <v>2</v>
      </c>
      <c r="D321" s="390" t="s">
        <v>224</v>
      </c>
      <c r="E321" s="403">
        <f t="shared" si="10"/>
        <v>6</v>
      </c>
      <c r="F321" s="432" t="s">
        <v>228</v>
      </c>
      <c r="G321" s="388" t="s">
        <v>1134</v>
      </c>
      <c r="H321" s="390"/>
      <c r="I321" s="390"/>
      <c r="J321" s="390"/>
      <c r="K321" s="398">
        <f>_xlfn.IFNA(VLOOKUP(A321,numbering!$K$3:$L$92,2,0),0)</f>
        <v>0</v>
      </c>
    </row>
    <row r="322" spans="1:12" s="420" customFormat="1" ht="16" hidden="1" x14ac:dyDescent="0.2">
      <c r="A322" s="390">
        <v>111</v>
      </c>
      <c r="B322" s="390" t="s">
        <v>174</v>
      </c>
      <c r="C322" s="390">
        <f>VLOOKUP(B322,numbering!$N$18:$O$30,2,0)</f>
        <v>2</v>
      </c>
      <c r="D322" s="390" t="s">
        <v>224</v>
      </c>
      <c r="E322" s="403">
        <f t="shared" si="10"/>
        <v>6</v>
      </c>
      <c r="F322" s="432" t="s">
        <v>228</v>
      </c>
      <c r="G322" s="388" t="s">
        <v>1135</v>
      </c>
      <c r="H322" s="390"/>
      <c r="I322" s="390"/>
      <c r="J322" s="390"/>
      <c r="K322" s="398">
        <f>_xlfn.IFNA(VLOOKUP(A322,numbering!$K$3:$L$92,2,0),0)</f>
        <v>0</v>
      </c>
      <c r="L322" s="399"/>
    </row>
    <row r="323" spans="1:12" s="420" customFormat="1" ht="16" hidden="1" x14ac:dyDescent="0.2">
      <c r="A323" s="390">
        <v>111</v>
      </c>
      <c r="B323" s="390" t="s">
        <v>174</v>
      </c>
      <c r="C323" s="390">
        <f>VLOOKUP(B323,numbering!$N$18:$O$30,2,0)</f>
        <v>2</v>
      </c>
      <c r="D323" s="390" t="s">
        <v>224</v>
      </c>
      <c r="E323" s="403">
        <f t="shared" si="10"/>
        <v>6</v>
      </c>
      <c r="F323" s="432" t="s">
        <v>228</v>
      </c>
      <c r="G323" s="388" t="s">
        <v>1136</v>
      </c>
      <c r="H323" s="390"/>
      <c r="I323" s="390"/>
      <c r="J323" s="390"/>
      <c r="K323" s="398">
        <f>_xlfn.IFNA(VLOOKUP(A323,numbering!$K$3:$L$92,2,0),0)</f>
        <v>0</v>
      </c>
      <c r="L323" s="399"/>
    </row>
    <row r="324" spans="1:12" ht="16" hidden="1" x14ac:dyDescent="0.2">
      <c r="A324" s="390">
        <v>113</v>
      </c>
      <c r="B324" s="390" t="s">
        <v>174</v>
      </c>
      <c r="C324" s="390">
        <f>VLOOKUP(B324,numbering!$N$18:$O$30,2,0)</f>
        <v>2</v>
      </c>
      <c r="D324" s="390" t="s">
        <v>224</v>
      </c>
      <c r="E324" s="403">
        <f t="shared" si="10"/>
        <v>6</v>
      </c>
      <c r="F324" s="432" t="s">
        <v>229</v>
      </c>
      <c r="G324" s="388" t="s">
        <v>1296</v>
      </c>
      <c r="H324" s="390"/>
      <c r="I324" s="390">
        <v>1</v>
      </c>
      <c r="J324" s="390"/>
      <c r="K324" s="398">
        <f>_xlfn.IFNA(VLOOKUP(A324,numbering!$K$3:$L$92,2,0),0)</f>
        <v>0</v>
      </c>
    </row>
    <row r="325" spans="1:12" ht="16" hidden="1" x14ac:dyDescent="0.2">
      <c r="A325" s="390">
        <v>113</v>
      </c>
      <c r="B325" s="390" t="s">
        <v>174</v>
      </c>
      <c r="C325" s="390">
        <f>VLOOKUP(B325,numbering!$N$18:$O$30,2,0)</f>
        <v>2</v>
      </c>
      <c r="D325" s="390" t="s">
        <v>224</v>
      </c>
      <c r="E325" s="403">
        <f t="shared" si="10"/>
        <v>6</v>
      </c>
      <c r="F325" s="432" t="s">
        <v>229</v>
      </c>
      <c r="G325" s="388" t="s">
        <v>1297</v>
      </c>
      <c r="H325" s="390"/>
      <c r="I325" s="390">
        <v>1</v>
      </c>
      <c r="J325" s="390"/>
      <c r="K325" s="398">
        <f>_xlfn.IFNA(VLOOKUP(A325,numbering!$K$3:$L$92,2,0),0)</f>
        <v>0</v>
      </c>
    </row>
    <row r="326" spans="1:12" ht="16" hidden="1" x14ac:dyDescent="0.2">
      <c r="A326" s="390">
        <v>113</v>
      </c>
      <c r="B326" s="390" t="s">
        <v>174</v>
      </c>
      <c r="C326" s="390">
        <f>VLOOKUP(B326,numbering!$N$18:$O$30,2,0)</f>
        <v>2</v>
      </c>
      <c r="D326" s="390" t="s">
        <v>224</v>
      </c>
      <c r="E326" s="403">
        <f t="shared" si="10"/>
        <v>6</v>
      </c>
      <c r="F326" s="432" t="s">
        <v>229</v>
      </c>
      <c r="G326" s="388" t="s">
        <v>1298</v>
      </c>
      <c r="H326" s="390"/>
      <c r="I326" s="390">
        <v>2</v>
      </c>
      <c r="J326" s="390"/>
      <c r="K326" s="398">
        <f>_xlfn.IFNA(VLOOKUP(A326,numbering!$K$3:$L$92,2,0),0)</f>
        <v>0</v>
      </c>
    </row>
    <row r="327" spans="1:12" ht="16" hidden="1" x14ac:dyDescent="0.2">
      <c r="A327" s="390">
        <v>113</v>
      </c>
      <c r="B327" s="390" t="s">
        <v>174</v>
      </c>
      <c r="C327" s="390">
        <f>VLOOKUP(B327,numbering!$N$18:$O$30,2,0)</f>
        <v>2</v>
      </c>
      <c r="D327" s="390" t="s">
        <v>224</v>
      </c>
      <c r="E327" s="403">
        <f t="shared" si="10"/>
        <v>6</v>
      </c>
      <c r="F327" s="432" t="s">
        <v>229</v>
      </c>
      <c r="G327" s="388" t="s">
        <v>1137</v>
      </c>
      <c r="H327" s="390"/>
      <c r="I327" s="390">
        <v>3</v>
      </c>
      <c r="J327" s="390"/>
      <c r="K327" s="398">
        <f>_xlfn.IFNA(VLOOKUP(A327,numbering!$K$3:$L$92,2,0),0)</f>
        <v>0</v>
      </c>
    </row>
    <row r="328" spans="1:12" ht="30" hidden="1" x14ac:dyDescent="0.2">
      <c r="A328" s="390">
        <v>114</v>
      </c>
      <c r="B328" s="390" t="s">
        <v>174</v>
      </c>
      <c r="C328" s="390">
        <f>VLOOKUP(B328,numbering!$N$18:$O$30,2,0)</f>
        <v>2</v>
      </c>
      <c r="D328" s="390" t="s">
        <v>224</v>
      </c>
      <c r="E328" s="403">
        <f>IF(C328&lt;&gt;C214,1,IF(F328&lt;&gt;F214,E214+1,E214))</f>
        <v>11</v>
      </c>
      <c r="F328" s="422" t="s">
        <v>1267</v>
      </c>
      <c r="G328" s="404" t="s">
        <v>1019</v>
      </c>
      <c r="H328" s="405"/>
      <c r="I328" s="390"/>
      <c r="J328" s="390"/>
      <c r="K328" s="398">
        <f>_xlfn.IFNA(VLOOKUP(A328,numbering!$K$3:$L$92,2,0),0)</f>
        <v>1</v>
      </c>
    </row>
    <row r="329" spans="1:12" ht="32" hidden="1" x14ac:dyDescent="0.2">
      <c r="A329" s="391">
        <v>115</v>
      </c>
      <c r="B329" s="391" t="s">
        <v>174</v>
      </c>
      <c r="C329" s="391">
        <f>VLOOKUP(B329,numbering!$N$18:$O$30,2,0)</f>
        <v>2</v>
      </c>
      <c r="D329" s="391" t="s">
        <v>230</v>
      </c>
      <c r="E329" s="417">
        <f>IF(C329&lt;&gt;C31,1,IF(D329&lt;&gt;D31,E31+1,E31))</f>
        <v>1</v>
      </c>
      <c r="F329" s="434" t="s">
        <v>231</v>
      </c>
      <c r="G329" s="396" t="s">
        <v>7</v>
      </c>
      <c r="H329" s="391">
        <v>1</v>
      </c>
      <c r="I329" s="391">
        <v>1</v>
      </c>
      <c r="J329" s="391"/>
      <c r="K329" s="398">
        <f>_xlfn.IFNA(VLOOKUP(A329,numbering!$K$3:$L$92,2,0),0)</f>
        <v>0</v>
      </c>
      <c r="L329" s="420"/>
    </row>
    <row r="330" spans="1:12" ht="32" hidden="1" x14ac:dyDescent="0.2">
      <c r="A330" s="391">
        <v>115</v>
      </c>
      <c r="B330" s="391" t="s">
        <v>174</v>
      </c>
      <c r="C330" s="391">
        <f>VLOOKUP(B330,numbering!$N$18:$O$30,2,0)</f>
        <v>2</v>
      </c>
      <c r="D330" s="391" t="s">
        <v>230</v>
      </c>
      <c r="E330" s="417">
        <f t="shared" ref="E330:E357" si="11">IF(C330&lt;&gt;C329,1,IF(D330&lt;&gt;D329,E329+1,E329))</f>
        <v>1</v>
      </c>
      <c r="F330" s="434" t="s">
        <v>231</v>
      </c>
      <c r="G330" s="396" t="s">
        <v>8</v>
      </c>
      <c r="H330" s="391">
        <v>4</v>
      </c>
      <c r="I330" s="391">
        <v>4</v>
      </c>
      <c r="J330" s="391"/>
      <c r="K330" s="398">
        <f>_xlfn.IFNA(VLOOKUP(A330,numbering!$K$3:$L$92,2,0),0)</f>
        <v>0</v>
      </c>
      <c r="L330" s="420"/>
    </row>
    <row r="331" spans="1:12" ht="32" hidden="1" x14ac:dyDescent="0.2">
      <c r="A331" s="390">
        <v>116</v>
      </c>
      <c r="B331" s="390" t="s">
        <v>174</v>
      </c>
      <c r="C331" s="390">
        <f>VLOOKUP(B331,numbering!$N$18:$O$30,2,0)</f>
        <v>2</v>
      </c>
      <c r="D331" s="390" t="s">
        <v>232</v>
      </c>
      <c r="E331" s="403">
        <f t="shared" si="11"/>
        <v>2</v>
      </c>
      <c r="F331" s="432" t="s">
        <v>233</v>
      </c>
      <c r="G331" s="388" t="s">
        <v>236</v>
      </c>
      <c r="H331" s="390">
        <v>1</v>
      </c>
      <c r="I331" s="390">
        <v>1</v>
      </c>
      <c r="J331" s="390"/>
      <c r="K331" s="398">
        <f>_xlfn.IFNA(VLOOKUP(A331,numbering!$K$3:$L$92,2,0),0)</f>
        <v>0</v>
      </c>
    </row>
    <row r="332" spans="1:12" ht="32" hidden="1" x14ac:dyDescent="0.2">
      <c r="A332" s="390">
        <v>116</v>
      </c>
      <c r="B332" s="390" t="s">
        <v>174</v>
      </c>
      <c r="C332" s="390">
        <f>VLOOKUP(B332,numbering!$N$18:$O$30,2,0)</f>
        <v>2</v>
      </c>
      <c r="D332" s="390" t="s">
        <v>232</v>
      </c>
      <c r="E332" s="403">
        <f t="shared" si="11"/>
        <v>2</v>
      </c>
      <c r="F332" s="432" t="s">
        <v>233</v>
      </c>
      <c r="G332" s="388" t="s">
        <v>1138</v>
      </c>
      <c r="H332" s="390">
        <v>2</v>
      </c>
      <c r="I332" s="390">
        <v>2</v>
      </c>
      <c r="J332" s="390"/>
      <c r="K332" s="398">
        <f>_xlfn.IFNA(VLOOKUP(A332,numbering!$K$3:$L$92,2,0),0)</f>
        <v>0</v>
      </c>
    </row>
    <row r="333" spans="1:12" ht="32" hidden="1" x14ac:dyDescent="0.2">
      <c r="A333" s="390">
        <v>116</v>
      </c>
      <c r="B333" s="390" t="s">
        <v>174</v>
      </c>
      <c r="C333" s="390">
        <f>VLOOKUP(B333,numbering!$N$18:$O$30,2,0)</f>
        <v>2</v>
      </c>
      <c r="D333" s="390" t="s">
        <v>232</v>
      </c>
      <c r="E333" s="403">
        <f t="shared" si="11"/>
        <v>2</v>
      </c>
      <c r="F333" s="432" t="s">
        <v>233</v>
      </c>
      <c r="G333" s="388" t="s">
        <v>1139</v>
      </c>
      <c r="H333" s="390">
        <v>3</v>
      </c>
      <c r="I333" s="390">
        <v>3</v>
      </c>
      <c r="J333" s="390"/>
      <c r="K333" s="398">
        <f>_xlfn.IFNA(VLOOKUP(A333,numbering!$K$3:$L$92,2,0),0)</f>
        <v>0</v>
      </c>
    </row>
    <row r="334" spans="1:12" ht="32" hidden="1" x14ac:dyDescent="0.2">
      <c r="A334" s="390">
        <v>116</v>
      </c>
      <c r="B334" s="390" t="s">
        <v>174</v>
      </c>
      <c r="C334" s="390">
        <f>VLOOKUP(B334,numbering!$N$18:$O$30,2,0)</f>
        <v>2</v>
      </c>
      <c r="D334" s="390" t="s">
        <v>232</v>
      </c>
      <c r="E334" s="403">
        <f t="shared" si="11"/>
        <v>2</v>
      </c>
      <c r="F334" s="432" t="s">
        <v>233</v>
      </c>
      <c r="G334" s="388" t="s">
        <v>234</v>
      </c>
      <c r="H334" s="390">
        <v>4</v>
      </c>
      <c r="I334" s="390">
        <v>4</v>
      </c>
      <c r="J334" s="390"/>
      <c r="K334" s="398">
        <f>_xlfn.IFNA(VLOOKUP(A334,numbering!$K$3:$L$92,2,0),0)</f>
        <v>0</v>
      </c>
    </row>
    <row r="335" spans="1:12" ht="32" hidden="1" x14ac:dyDescent="0.2">
      <c r="A335" s="390">
        <v>117</v>
      </c>
      <c r="B335" s="390" t="s">
        <v>174</v>
      </c>
      <c r="C335" s="390">
        <f>VLOOKUP(B335,numbering!$N$18:$O$30,2,0)</f>
        <v>2</v>
      </c>
      <c r="D335" s="390" t="s">
        <v>232</v>
      </c>
      <c r="E335" s="403">
        <f t="shared" si="11"/>
        <v>2</v>
      </c>
      <c r="F335" s="432" t="s">
        <v>235</v>
      </c>
      <c r="G335" s="388" t="s">
        <v>236</v>
      </c>
      <c r="H335" s="390">
        <v>1</v>
      </c>
      <c r="I335" s="390">
        <v>1</v>
      </c>
      <c r="J335" s="390"/>
      <c r="K335" s="398">
        <f>_xlfn.IFNA(VLOOKUP(A335,numbering!$K$3:$L$92,2,0),0)</f>
        <v>0</v>
      </c>
    </row>
    <row r="336" spans="1:12" ht="32" hidden="1" x14ac:dyDescent="0.2">
      <c r="A336" s="390">
        <v>117</v>
      </c>
      <c r="B336" s="390" t="s">
        <v>174</v>
      </c>
      <c r="C336" s="390">
        <f>VLOOKUP(B336,numbering!$N$18:$O$30,2,0)</f>
        <v>2</v>
      </c>
      <c r="D336" s="390" t="s">
        <v>232</v>
      </c>
      <c r="E336" s="403">
        <f t="shared" si="11"/>
        <v>2</v>
      </c>
      <c r="F336" s="432" t="s">
        <v>235</v>
      </c>
      <c r="G336" s="388" t="s">
        <v>1138</v>
      </c>
      <c r="H336" s="390">
        <v>2</v>
      </c>
      <c r="I336" s="390">
        <v>2</v>
      </c>
      <c r="J336" s="390"/>
      <c r="K336" s="398">
        <f>_xlfn.IFNA(VLOOKUP(A336,numbering!$K$3:$L$92,2,0),0)</f>
        <v>0</v>
      </c>
    </row>
    <row r="337" spans="1:11" ht="32" hidden="1" x14ac:dyDescent="0.2">
      <c r="A337" s="390">
        <v>117</v>
      </c>
      <c r="B337" s="390" t="s">
        <v>174</v>
      </c>
      <c r="C337" s="390">
        <f>VLOOKUP(B337,numbering!$N$18:$O$30,2,0)</f>
        <v>2</v>
      </c>
      <c r="D337" s="390" t="s">
        <v>232</v>
      </c>
      <c r="E337" s="403">
        <f t="shared" si="11"/>
        <v>2</v>
      </c>
      <c r="F337" s="432" t="s">
        <v>235</v>
      </c>
      <c r="G337" s="388" t="s">
        <v>1139</v>
      </c>
      <c r="H337" s="390">
        <v>3</v>
      </c>
      <c r="I337" s="390">
        <v>3</v>
      </c>
      <c r="J337" s="390"/>
      <c r="K337" s="398">
        <f>_xlfn.IFNA(VLOOKUP(A337,numbering!$K$3:$L$92,2,0),0)</f>
        <v>0</v>
      </c>
    </row>
    <row r="338" spans="1:11" ht="32" hidden="1" x14ac:dyDescent="0.2">
      <c r="A338" s="390">
        <v>117</v>
      </c>
      <c r="B338" s="390" t="s">
        <v>174</v>
      </c>
      <c r="C338" s="390">
        <f>VLOOKUP(B338,numbering!$N$18:$O$30,2,0)</f>
        <v>2</v>
      </c>
      <c r="D338" s="390" t="s">
        <v>232</v>
      </c>
      <c r="E338" s="403">
        <f t="shared" si="11"/>
        <v>2</v>
      </c>
      <c r="F338" s="432" t="s">
        <v>235</v>
      </c>
      <c r="G338" s="388" t="s">
        <v>234</v>
      </c>
      <c r="H338" s="390">
        <v>4</v>
      </c>
      <c r="I338" s="390">
        <v>4</v>
      </c>
      <c r="J338" s="390"/>
      <c r="K338" s="398">
        <f>_xlfn.IFNA(VLOOKUP(A338,numbering!$K$3:$L$92,2,0),0)</f>
        <v>0</v>
      </c>
    </row>
    <row r="339" spans="1:11" ht="32" hidden="1" x14ac:dyDescent="0.2">
      <c r="A339" s="390">
        <v>118</v>
      </c>
      <c r="B339" s="390" t="s">
        <v>174</v>
      </c>
      <c r="C339" s="390">
        <f>VLOOKUP(B339,numbering!$N$18:$O$30,2,0)</f>
        <v>2</v>
      </c>
      <c r="D339" s="390" t="s">
        <v>232</v>
      </c>
      <c r="E339" s="403">
        <f t="shared" si="11"/>
        <v>2</v>
      </c>
      <c r="F339" s="432" t="s">
        <v>237</v>
      </c>
      <c r="G339" s="388" t="s">
        <v>7</v>
      </c>
      <c r="H339" s="390">
        <v>1</v>
      </c>
      <c r="I339" s="390">
        <v>1</v>
      </c>
      <c r="J339" s="390"/>
      <c r="K339" s="398">
        <f>_xlfn.IFNA(VLOOKUP(A339,numbering!$K$3:$L$92,2,0),0)</f>
        <v>0</v>
      </c>
    </row>
    <row r="340" spans="1:11" ht="32" hidden="1" x14ac:dyDescent="0.2">
      <c r="A340" s="390">
        <v>118</v>
      </c>
      <c r="B340" s="390" t="s">
        <v>174</v>
      </c>
      <c r="C340" s="390">
        <f>VLOOKUP(B340,numbering!$N$18:$O$30,2,0)</f>
        <v>2</v>
      </c>
      <c r="D340" s="390" t="s">
        <v>232</v>
      </c>
      <c r="E340" s="403">
        <f t="shared" si="11"/>
        <v>2</v>
      </c>
      <c r="F340" s="432" t="s">
        <v>237</v>
      </c>
      <c r="G340" s="388" t="s">
        <v>8</v>
      </c>
      <c r="H340" s="390">
        <v>2</v>
      </c>
      <c r="I340" s="390">
        <v>2</v>
      </c>
      <c r="J340" s="390"/>
      <c r="K340" s="398">
        <f>_xlfn.IFNA(VLOOKUP(A340,numbering!$K$3:$L$92,2,0),0)</f>
        <v>0</v>
      </c>
    </row>
    <row r="341" spans="1:11" ht="32" hidden="1" x14ac:dyDescent="0.2">
      <c r="A341" s="390">
        <v>119</v>
      </c>
      <c r="B341" s="390" t="s">
        <v>174</v>
      </c>
      <c r="C341" s="390">
        <f>VLOOKUP(B341,numbering!$N$18:$O$30,2,0)</f>
        <v>2</v>
      </c>
      <c r="D341" s="390" t="s">
        <v>232</v>
      </c>
      <c r="E341" s="403">
        <f t="shared" si="11"/>
        <v>2</v>
      </c>
      <c r="F341" s="432" t="s">
        <v>238</v>
      </c>
      <c r="G341" s="388" t="s">
        <v>1140</v>
      </c>
      <c r="H341" s="390">
        <v>1</v>
      </c>
      <c r="I341" s="390">
        <v>1</v>
      </c>
      <c r="J341" s="390"/>
      <c r="K341" s="398">
        <f>_xlfn.IFNA(VLOOKUP(A341,numbering!$K$3:$L$92,2,0),0)</f>
        <v>0</v>
      </c>
    </row>
    <row r="342" spans="1:11" ht="32" hidden="1" x14ac:dyDescent="0.2">
      <c r="A342" s="390">
        <v>119</v>
      </c>
      <c r="B342" s="390" t="s">
        <v>174</v>
      </c>
      <c r="C342" s="390">
        <f>VLOOKUP(B342,numbering!$N$18:$O$30,2,0)</f>
        <v>2</v>
      </c>
      <c r="D342" s="390" t="s">
        <v>232</v>
      </c>
      <c r="E342" s="403">
        <f t="shared" si="11"/>
        <v>2</v>
      </c>
      <c r="F342" s="432" t="s">
        <v>238</v>
      </c>
      <c r="G342" s="388" t="s">
        <v>1141</v>
      </c>
      <c r="H342" s="390">
        <v>2</v>
      </c>
      <c r="I342" s="390">
        <v>2</v>
      </c>
      <c r="J342" s="390"/>
      <c r="K342" s="398">
        <f>_xlfn.IFNA(VLOOKUP(A342,numbering!$K$3:$L$92,2,0),0)</f>
        <v>0</v>
      </c>
    </row>
    <row r="343" spans="1:11" ht="32" hidden="1" x14ac:dyDescent="0.2">
      <c r="A343" s="390">
        <v>119</v>
      </c>
      <c r="B343" s="390" t="s">
        <v>174</v>
      </c>
      <c r="C343" s="390">
        <f>VLOOKUP(B343,numbering!$N$18:$O$30,2,0)</f>
        <v>2</v>
      </c>
      <c r="D343" s="390" t="s">
        <v>232</v>
      </c>
      <c r="E343" s="403">
        <f t="shared" si="11"/>
        <v>2</v>
      </c>
      <c r="F343" s="432" t="s">
        <v>238</v>
      </c>
      <c r="G343" s="388" t="s">
        <v>1142</v>
      </c>
      <c r="H343" s="390">
        <v>3</v>
      </c>
      <c r="I343" s="390">
        <v>3</v>
      </c>
      <c r="J343" s="390"/>
      <c r="K343" s="398">
        <f>_xlfn.IFNA(VLOOKUP(A343,numbering!$K$3:$L$92,2,0),0)</f>
        <v>0</v>
      </c>
    </row>
    <row r="344" spans="1:11" ht="32" hidden="1" x14ac:dyDescent="0.2">
      <c r="A344" s="390">
        <v>119</v>
      </c>
      <c r="B344" s="390" t="s">
        <v>174</v>
      </c>
      <c r="C344" s="390">
        <f>VLOOKUP(B344,numbering!$N$18:$O$30,2,0)</f>
        <v>2</v>
      </c>
      <c r="D344" s="390" t="s">
        <v>232</v>
      </c>
      <c r="E344" s="403">
        <f t="shared" si="11"/>
        <v>2</v>
      </c>
      <c r="F344" s="432" t="s">
        <v>238</v>
      </c>
      <c r="G344" s="388" t="s">
        <v>1143</v>
      </c>
      <c r="H344" s="390">
        <v>4</v>
      </c>
      <c r="I344" s="390">
        <v>4</v>
      </c>
      <c r="J344" s="390"/>
      <c r="K344" s="398">
        <f>_xlfn.IFNA(VLOOKUP(A344,numbering!$K$3:$L$92,2,0),0)</f>
        <v>0</v>
      </c>
    </row>
    <row r="345" spans="1:11" ht="32" hidden="1" x14ac:dyDescent="0.2">
      <c r="A345" s="390">
        <v>120</v>
      </c>
      <c r="B345" s="390" t="s">
        <v>174</v>
      </c>
      <c r="C345" s="390">
        <f>VLOOKUP(B345,numbering!$N$18:$O$30,2,0)</f>
        <v>2</v>
      </c>
      <c r="D345" s="390" t="s">
        <v>232</v>
      </c>
      <c r="E345" s="403">
        <f t="shared" si="11"/>
        <v>2</v>
      </c>
      <c r="F345" s="432" t="s">
        <v>239</v>
      </c>
      <c r="G345" s="388" t="s">
        <v>1144</v>
      </c>
      <c r="H345" s="390">
        <v>1</v>
      </c>
      <c r="I345" s="390">
        <v>1</v>
      </c>
      <c r="J345" s="390"/>
      <c r="K345" s="398">
        <f>_xlfn.IFNA(VLOOKUP(A345,numbering!$K$3:$L$92,2,0),0)</f>
        <v>0</v>
      </c>
    </row>
    <row r="346" spans="1:11" ht="32" hidden="1" x14ac:dyDescent="0.2">
      <c r="A346" s="390">
        <v>120</v>
      </c>
      <c r="B346" s="390" t="s">
        <v>174</v>
      </c>
      <c r="C346" s="390">
        <f>VLOOKUP(B346,numbering!$N$18:$O$30,2,0)</f>
        <v>2</v>
      </c>
      <c r="D346" s="390" t="s">
        <v>232</v>
      </c>
      <c r="E346" s="403">
        <f t="shared" si="11"/>
        <v>2</v>
      </c>
      <c r="F346" s="432" t="s">
        <v>239</v>
      </c>
      <c r="G346" s="388" t="s">
        <v>1145</v>
      </c>
      <c r="H346" s="390">
        <v>2</v>
      </c>
      <c r="I346" s="390">
        <v>2</v>
      </c>
      <c r="J346" s="390"/>
      <c r="K346" s="398">
        <f>_xlfn.IFNA(VLOOKUP(A346,numbering!$K$3:$L$92,2,0),0)</f>
        <v>0</v>
      </c>
    </row>
    <row r="347" spans="1:11" ht="32" hidden="1" x14ac:dyDescent="0.2">
      <c r="A347" s="390">
        <v>120</v>
      </c>
      <c r="B347" s="390" t="s">
        <v>174</v>
      </c>
      <c r="C347" s="390">
        <f>VLOOKUP(B347,numbering!$N$18:$O$30,2,0)</f>
        <v>2</v>
      </c>
      <c r="D347" s="390" t="s">
        <v>232</v>
      </c>
      <c r="E347" s="403">
        <f t="shared" si="11"/>
        <v>2</v>
      </c>
      <c r="F347" s="432" t="s">
        <v>239</v>
      </c>
      <c r="G347" s="388" t="s">
        <v>1146</v>
      </c>
      <c r="H347" s="390">
        <v>3</v>
      </c>
      <c r="I347" s="390">
        <v>3</v>
      </c>
      <c r="J347" s="390"/>
      <c r="K347" s="398">
        <f>_xlfn.IFNA(VLOOKUP(A347,numbering!$K$3:$L$92,2,0),0)</f>
        <v>0</v>
      </c>
    </row>
    <row r="348" spans="1:11" ht="32" hidden="1" x14ac:dyDescent="0.2">
      <c r="A348" s="390">
        <v>120</v>
      </c>
      <c r="B348" s="390" t="s">
        <v>174</v>
      </c>
      <c r="C348" s="390">
        <f>VLOOKUP(B348,numbering!$N$18:$O$30,2,0)</f>
        <v>2</v>
      </c>
      <c r="D348" s="390" t="s">
        <v>232</v>
      </c>
      <c r="E348" s="403">
        <f t="shared" si="11"/>
        <v>2</v>
      </c>
      <c r="F348" s="432" t="s">
        <v>239</v>
      </c>
      <c r="G348" s="388" t="s">
        <v>1147</v>
      </c>
      <c r="H348" s="390">
        <v>4</v>
      </c>
      <c r="I348" s="390">
        <v>4</v>
      </c>
      <c r="J348" s="390"/>
      <c r="K348" s="398">
        <f>_xlfn.IFNA(VLOOKUP(A348,numbering!$K$3:$L$92,2,0),0)</f>
        <v>0</v>
      </c>
    </row>
    <row r="349" spans="1:11" ht="32" hidden="1" x14ac:dyDescent="0.2">
      <c r="A349" s="390">
        <v>121</v>
      </c>
      <c r="B349" s="390" t="s">
        <v>174</v>
      </c>
      <c r="C349" s="390">
        <f>VLOOKUP(B349,numbering!$N$18:$O$30,2,0)</f>
        <v>2</v>
      </c>
      <c r="D349" s="390" t="s">
        <v>232</v>
      </c>
      <c r="E349" s="403">
        <f t="shared" si="11"/>
        <v>2</v>
      </c>
      <c r="F349" s="432" t="s">
        <v>240</v>
      </c>
      <c r="G349" s="388" t="s">
        <v>1148</v>
      </c>
      <c r="H349" s="390">
        <v>1</v>
      </c>
      <c r="I349" s="390">
        <v>1</v>
      </c>
      <c r="J349" s="390"/>
      <c r="K349" s="398">
        <f>_xlfn.IFNA(VLOOKUP(A349,numbering!$K$3:$L$92,2,0),0)</f>
        <v>0</v>
      </c>
    </row>
    <row r="350" spans="1:11" ht="32" hidden="1" x14ac:dyDescent="0.2">
      <c r="A350" s="390">
        <v>121</v>
      </c>
      <c r="B350" s="390" t="s">
        <v>174</v>
      </c>
      <c r="C350" s="390">
        <f>VLOOKUP(B350,numbering!$N$18:$O$30,2,0)</f>
        <v>2</v>
      </c>
      <c r="D350" s="390" t="s">
        <v>232</v>
      </c>
      <c r="E350" s="403">
        <f t="shared" si="11"/>
        <v>2</v>
      </c>
      <c r="F350" s="432" t="s">
        <v>240</v>
      </c>
      <c r="G350" s="388" t="s">
        <v>1149</v>
      </c>
      <c r="H350" s="390">
        <v>2</v>
      </c>
      <c r="I350" s="390">
        <v>2</v>
      </c>
      <c r="J350" s="390"/>
      <c r="K350" s="398">
        <f>_xlfn.IFNA(VLOOKUP(A350,numbering!$K$3:$L$92,2,0),0)</f>
        <v>0</v>
      </c>
    </row>
    <row r="351" spans="1:11" ht="32" hidden="1" x14ac:dyDescent="0.2">
      <c r="A351" s="390">
        <v>121</v>
      </c>
      <c r="B351" s="390" t="s">
        <v>174</v>
      </c>
      <c r="C351" s="390">
        <f>VLOOKUP(B351,numbering!$N$18:$O$30,2,0)</f>
        <v>2</v>
      </c>
      <c r="D351" s="390" t="s">
        <v>232</v>
      </c>
      <c r="E351" s="403">
        <f t="shared" si="11"/>
        <v>2</v>
      </c>
      <c r="F351" s="432" t="s">
        <v>240</v>
      </c>
      <c r="G351" s="388" t="s">
        <v>1150</v>
      </c>
      <c r="H351" s="390">
        <v>3</v>
      </c>
      <c r="I351" s="390">
        <v>3</v>
      </c>
      <c r="J351" s="390"/>
      <c r="K351" s="398">
        <f>_xlfn.IFNA(VLOOKUP(A351,numbering!$K$3:$L$92,2,0),0)</f>
        <v>0</v>
      </c>
    </row>
    <row r="352" spans="1:11" ht="32" hidden="1" x14ac:dyDescent="0.2">
      <c r="A352" s="390">
        <v>121</v>
      </c>
      <c r="B352" s="390" t="s">
        <v>174</v>
      </c>
      <c r="C352" s="390">
        <f>VLOOKUP(B352,numbering!$N$18:$O$30,2,0)</f>
        <v>2</v>
      </c>
      <c r="D352" s="390" t="s">
        <v>232</v>
      </c>
      <c r="E352" s="403">
        <f t="shared" si="11"/>
        <v>2</v>
      </c>
      <c r="F352" s="432" t="s">
        <v>240</v>
      </c>
      <c r="G352" s="388" t="s">
        <v>1151</v>
      </c>
      <c r="H352" s="390">
        <v>4</v>
      </c>
      <c r="I352" s="390">
        <v>4</v>
      </c>
      <c r="J352" s="390"/>
      <c r="K352" s="398">
        <f>_xlfn.IFNA(VLOOKUP(A352,numbering!$K$3:$L$92,2,0),0)</f>
        <v>0</v>
      </c>
    </row>
    <row r="353" spans="1:11" ht="32" hidden="1" x14ac:dyDescent="0.2">
      <c r="A353" s="390">
        <v>121</v>
      </c>
      <c r="B353" s="390" t="s">
        <v>174</v>
      </c>
      <c r="C353" s="390">
        <f>VLOOKUP(B353,numbering!$N$18:$O$30,2,0)</f>
        <v>2</v>
      </c>
      <c r="D353" s="390" t="s">
        <v>232</v>
      </c>
      <c r="E353" s="403">
        <f t="shared" si="11"/>
        <v>2</v>
      </c>
      <c r="F353" s="432" t="s">
        <v>240</v>
      </c>
      <c r="G353" s="388" t="s">
        <v>1152</v>
      </c>
      <c r="H353" s="390">
        <v>5</v>
      </c>
      <c r="I353" s="390">
        <v>5</v>
      </c>
      <c r="J353" s="390"/>
      <c r="K353" s="398">
        <f>_xlfn.IFNA(VLOOKUP(A353,numbering!$K$3:$L$92,2,0),0)</f>
        <v>0</v>
      </c>
    </row>
    <row r="354" spans="1:11" ht="32" hidden="1" x14ac:dyDescent="0.2">
      <c r="A354" s="390">
        <v>122</v>
      </c>
      <c r="B354" s="390" t="s">
        <v>174</v>
      </c>
      <c r="C354" s="390">
        <f>VLOOKUP(B354,numbering!$N$18:$O$30,2,0)</f>
        <v>2</v>
      </c>
      <c r="D354" s="390" t="s">
        <v>232</v>
      </c>
      <c r="E354" s="403">
        <f t="shared" si="11"/>
        <v>2</v>
      </c>
      <c r="F354" s="432" t="s">
        <v>241</v>
      </c>
      <c r="G354" s="388" t="s">
        <v>1153</v>
      </c>
      <c r="H354" s="390">
        <v>1</v>
      </c>
      <c r="I354" s="390">
        <v>1</v>
      </c>
      <c r="J354" s="390"/>
      <c r="K354" s="398">
        <f>_xlfn.IFNA(VLOOKUP(A354,numbering!$K$3:$L$92,2,0),0)</f>
        <v>0</v>
      </c>
    </row>
    <row r="355" spans="1:11" ht="32" hidden="1" x14ac:dyDescent="0.2">
      <c r="A355" s="390">
        <v>122</v>
      </c>
      <c r="B355" s="390" t="s">
        <v>174</v>
      </c>
      <c r="C355" s="390">
        <f>VLOOKUP(B355,numbering!$N$18:$O$30,2,0)</f>
        <v>2</v>
      </c>
      <c r="D355" s="390" t="s">
        <v>232</v>
      </c>
      <c r="E355" s="403">
        <f t="shared" si="11"/>
        <v>2</v>
      </c>
      <c r="F355" s="432" t="s">
        <v>241</v>
      </c>
      <c r="G355" s="388" t="s">
        <v>1154</v>
      </c>
      <c r="H355" s="390">
        <v>2</v>
      </c>
      <c r="I355" s="390">
        <v>2</v>
      </c>
      <c r="J355" s="390"/>
      <c r="K355" s="398">
        <f>_xlfn.IFNA(VLOOKUP(A355,numbering!$K$3:$L$92,2,0),0)</f>
        <v>0</v>
      </c>
    </row>
    <row r="356" spans="1:11" ht="32" hidden="1" x14ac:dyDescent="0.2">
      <c r="A356" s="390">
        <v>122</v>
      </c>
      <c r="B356" s="390" t="s">
        <v>174</v>
      </c>
      <c r="C356" s="390">
        <f>VLOOKUP(B356,numbering!$N$18:$O$30,2,0)</f>
        <v>2</v>
      </c>
      <c r="D356" s="390" t="s">
        <v>232</v>
      </c>
      <c r="E356" s="403">
        <f t="shared" si="11"/>
        <v>2</v>
      </c>
      <c r="F356" s="432" t="s">
        <v>241</v>
      </c>
      <c r="G356" s="388" t="s">
        <v>1155</v>
      </c>
      <c r="H356" s="390">
        <v>3</v>
      </c>
      <c r="I356" s="390">
        <v>3</v>
      </c>
      <c r="J356" s="390"/>
      <c r="K356" s="398">
        <f>_xlfn.IFNA(VLOOKUP(A356,numbering!$K$3:$L$92,2,0),0)</f>
        <v>0</v>
      </c>
    </row>
    <row r="357" spans="1:11" ht="32" hidden="1" x14ac:dyDescent="0.2">
      <c r="A357" s="390">
        <v>122</v>
      </c>
      <c r="B357" s="390" t="s">
        <v>174</v>
      </c>
      <c r="C357" s="390">
        <f>VLOOKUP(B357,numbering!$N$18:$O$30,2,0)</f>
        <v>2</v>
      </c>
      <c r="D357" s="390" t="s">
        <v>232</v>
      </c>
      <c r="E357" s="403">
        <f t="shared" si="11"/>
        <v>2</v>
      </c>
      <c r="F357" s="432" t="s">
        <v>241</v>
      </c>
      <c r="G357" s="388" t="s">
        <v>1156</v>
      </c>
      <c r="H357" s="390">
        <v>4</v>
      </c>
      <c r="I357" s="390">
        <v>4</v>
      </c>
      <c r="J357" s="390"/>
      <c r="K357" s="398">
        <f>_xlfn.IFNA(VLOOKUP(A357,numbering!$K$3:$L$92,2,0),0)</f>
        <v>0</v>
      </c>
    </row>
    <row r="358" spans="1:11" ht="32" hidden="1" x14ac:dyDescent="0.2">
      <c r="A358" s="390">
        <v>123</v>
      </c>
      <c r="B358" s="390" t="s">
        <v>174</v>
      </c>
      <c r="C358" s="390">
        <f>VLOOKUP(B358,numbering!$N$18:$O$30,2,0)</f>
        <v>2</v>
      </c>
      <c r="D358" s="390" t="s">
        <v>232</v>
      </c>
      <c r="E358" s="403">
        <f>IF(C358&lt;&gt;C357,1,IF(F358&lt;&gt;F357,E357+1,E357))</f>
        <v>3</v>
      </c>
      <c r="F358" s="422" t="s">
        <v>242</v>
      </c>
      <c r="G358" s="404" t="s">
        <v>1019</v>
      </c>
      <c r="H358" s="405"/>
      <c r="I358" s="390"/>
      <c r="J358" s="390"/>
      <c r="K358" s="398">
        <f>_xlfn.IFNA(VLOOKUP(A358,numbering!$K$3:$L$92,2,0),0)</f>
        <v>1</v>
      </c>
    </row>
    <row r="359" spans="1:11" ht="60" hidden="1" x14ac:dyDescent="0.2">
      <c r="A359" s="390">
        <v>124</v>
      </c>
      <c r="B359" s="390" t="s">
        <v>253</v>
      </c>
      <c r="C359" s="390">
        <f>VLOOKUP(B359,numbering!$N$18:$O$30,2,0)</f>
        <v>4</v>
      </c>
      <c r="D359" s="390" t="s">
        <v>244</v>
      </c>
      <c r="E359" s="403">
        <f t="shared" ref="E359:E394" si="12">IF(C359&lt;&gt;C358,1,IF(D359&lt;&gt;D358,E358+1,E358))</f>
        <v>1</v>
      </c>
      <c r="F359" s="432" t="s">
        <v>1157</v>
      </c>
      <c r="G359" s="388" t="s">
        <v>1192</v>
      </c>
      <c r="H359" s="390">
        <v>1</v>
      </c>
      <c r="I359" s="390">
        <v>1</v>
      </c>
      <c r="J359" s="390"/>
      <c r="K359" s="398">
        <f>_xlfn.IFNA(VLOOKUP(A359,numbering!$K$3:$L$92,2,0),0)</f>
        <v>0</v>
      </c>
    </row>
    <row r="360" spans="1:11" ht="60" hidden="1" x14ac:dyDescent="0.2">
      <c r="A360" s="390">
        <v>124</v>
      </c>
      <c r="B360" s="390" t="s">
        <v>253</v>
      </c>
      <c r="C360" s="390">
        <f>VLOOKUP(B360,numbering!$N$18:$O$30,2,0)</f>
        <v>4</v>
      </c>
      <c r="D360" s="390" t="s">
        <v>244</v>
      </c>
      <c r="E360" s="403">
        <f t="shared" si="12"/>
        <v>1</v>
      </c>
      <c r="F360" s="432" t="str">
        <f>F359</f>
        <v xml:space="preserve">A Design Basis Report is available which achieves the objective of stating and detailing all current design assumptions and criteria and operating and site assumptions and constraints, with evidence, to an appropriate level for all life cycle stages of the facility, as required by relevant standards and guidelines.  </v>
      </c>
      <c r="G360" s="388" t="s">
        <v>1193</v>
      </c>
      <c r="H360" s="390">
        <v>2</v>
      </c>
      <c r="I360" s="390">
        <v>2</v>
      </c>
      <c r="J360" s="390"/>
      <c r="K360" s="398">
        <f>_xlfn.IFNA(VLOOKUP(A360,numbering!$K$3:$L$92,2,0),0)</f>
        <v>0</v>
      </c>
    </row>
    <row r="361" spans="1:11" ht="60" hidden="1" x14ac:dyDescent="0.2">
      <c r="A361" s="390">
        <v>124</v>
      </c>
      <c r="B361" s="390" t="s">
        <v>253</v>
      </c>
      <c r="C361" s="390">
        <f>VLOOKUP(B361,numbering!$N$18:$O$30,2,0)</f>
        <v>4</v>
      </c>
      <c r="D361" s="390" t="s">
        <v>244</v>
      </c>
      <c r="E361" s="403">
        <f t="shared" si="12"/>
        <v>1</v>
      </c>
      <c r="F361" s="432" t="str">
        <f>F360</f>
        <v xml:space="preserve">A Design Basis Report is available which achieves the objective of stating and detailing all current design assumptions and criteria and operating and site assumptions and constraints, with evidence, to an appropriate level for all life cycle stages of the facility, as required by relevant standards and guidelines.  </v>
      </c>
      <c r="G361" s="388" t="s">
        <v>1194</v>
      </c>
      <c r="H361" s="390">
        <v>3</v>
      </c>
      <c r="I361" s="390">
        <v>3</v>
      </c>
      <c r="J361" s="390"/>
      <c r="K361" s="398">
        <f>_xlfn.IFNA(VLOOKUP(A361,numbering!$K$3:$L$92,2,0),0)</f>
        <v>0</v>
      </c>
    </row>
    <row r="362" spans="1:11" ht="60" hidden="1" x14ac:dyDescent="0.2">
      <c r="A362" s="390">
        <v>124</v>
      </c>
      <c r="B362" s="390" t="s">
        <v>253</v>
      </c>
      <c r="C362" s="390">
        <f>VLOOKUP(B362,numbering!$N$18:$O$30,2,0)</f>
        <v>4</v>
      </c>
      <c r="D362" s="390" t="s">
        <v>244</v>
      </c>
      <c r="E362" s="403">
        <f t="shared" si="12"/>
        <v>1</v>
      </c>
      <c r="F362" s="432" t="str">
        <f>F361</f>
        <v xml:space="preserve">A Design Basis Report is available which achieves the objective of stating and detailing all current design assumptions and criteria and operating and site assumptions and constraints, with evidence, to an appropriate level for all life cycle stages of the facility, as required by relevant standards and guidelines.  </v>
      </c>
      <c r="G362" s="388" t="s">
        <v>1195</v>
      </c>
      <c r="H362" s="390">
        <v>4</v>
      </c>
      <c r="I362" s="390">
        <v>4</v>
      </c>
      <c r="J362" s="390"/>
      <c r="K362" s="398">
        <f>_xlfn.IFNA(VLOOKUP(A362,numbering!$K$3:$L$92,2,0),0)</f>
        <v>0</v>
      </c>
    </row>
    <row r="363" spans="1:11" ht="75" hidden="1" x14ac:dyDescent="0.2">
      <c r="A363" s="390">
        <v>125</v>
      </c>
      <c r="B363" s="390" t="s">
        <v>253</v>
      </c>
      <c r="C363" s="390">
        <f>VLOOKUP(B363,numbering!$N$18:$O$30,2,0)</f>
        <v>4</v>
      </c>
      <c r="D363" s="390" t="s">
        <v>244</v>
      </c>
      <c r="E363" s="403">
        <f t="shared" si="12"/>
        <v>1</v>
      </c>
      <c r="F363" s="432" t="s">
        <v>246</v>
      </c>
      <c r="G363" s="388" t="s">
        <v>1192</v>
      </c>
      <c r="H363" s="390">
        <v>1</v>
      </c>
      <c r="I363" s="390">
        <v>1</v>
      </c>
      <c r="J363" s="390"/>
      <c r="K363" s="398">
        <f>_xlfn.IFNA(VLOOKUP(A363,numbering!$K$3:$L$92,2,0),0)</f>
        <v>0</v>
      </c>
    </row>
    <row r="364" spans="1:11" ht="75" hidden="1" x14ac:dyDescent="0.2">
      <c r="A364" s="390">
        <v>125</v>
      </c>
      <c r="B364" s="390" t="s">
        <v>253</v>
      </c>
      <c r="C364" s="390">
        <f>VLOOKUP(B364,numbering!$N$18:$O$30,2,0)</f>
        <v>4</v>
      </c>
      <c r="D364" s="390" t="s">
        <v>244</v>
      </c>
      <c r="E364" s="403">
        <f t="shared" si="12"/>
        <v>1</v>
      </c>
      <c r="F364" s="432" t="str">
        <f>F363</f>
        <v>Is there documented evidence that the Design Basis Document has been reviewed periodically as required by relevant standards and guidelines and updated as a result of material changes to the facility, to achieve the objective of having all content in the Design Basis document reflecting the current knowledge base and context of the facility and operations?</v>
      </c>
      <c r="G364" s="388" t="s">
        <v>1193</v>
      </c>
      <c r="H364" s="390">
        <v>2</v>
      </c>
      <c r="I364" s="390">
        <v>2</v>
      </c>
      <c r="J364" s="390"/>
      <c r="K364" s="398">
        <f>_xlfn.IFNA(VLOOKUP(A364,numbering!$K$3:$L$92,2,0),0)</f>
        <v>0</v>
      </c>
    </row>
    <row r="365" spans="1:11" ht="75" hidden="1" x14ac:dyDescent="0.2">
      <c r="A365" s="390">
        <v>125</v>
      </c>
      <c r="B365" s="390" t="s">
        <v>253</v>
      </c>
      <c r="C365" s="390">
        <f>VLOOKUP(B365,numbering!$N$18:$O$30,2,0)</f>
        <v>4</v>
      </c>
      <c r="D365" s="390" t="s">
        <v>244</v>
      </c>
      <c r="E365" s="403">
        <f t="shared" si="12"/>
        <v>1</v>
      </c>
      <c r="F365" s="432" t="str">
        <f>F364</f>
        <v>Is there documented evidence that the Design Basis Document has been reviewed periodically as required by relevant standards and guidelines and updated as a result of material changes to the facility, to achieve the objective of having all content in the Design Basis document reflecting the current knowledge base and context of the facility and operations?</v>
      </c>
      <c r="G365" s="388" t="s">
        <v>1194</v>
      </c>
      <c r="H365" s="390">
        <v>3</v>
      </c>
      <c r="I365" s="390">
        <v>3</v>
      </c>
      <c r="J365" s="390"/>
      <c r="K365" s="398">
        <f>_xlfn.IFNA(VLOOKUP(A365,numbering!$K$3:$L$92,2,0),0)</f>
        <v>0</v>
      </c>
    </row>
    <row r="366" spans="1:11" ht="75" hidden="1" x14ac:dyDescent="0.2">
      <c r="A366" s="390">
        <v>125</v>
      </c>
      <c r="B366" s="390" t="s">
        <v>253</v>
      </c>
      <c r="C366" s="390">
        <f>VLOOKUP(B366,numbering!$N$18:$O$30,2,0)</f>
        <v>4</v>
      </c>
      <c r="D366" s="390" t="s">
        <v>244</v>
      </c>
      <c r="E366" s="403">
        <f t="shared" si="12"/>
        <v>1</v>
      </c>
      <c r="F366" s="432" t="str">
        <f>F365</f>
        <v>Is there documented evidence that the Design Basis Document has been reviewed periodically as required by relevant standards and guidelines and updated as a result of material changes to the facility, to achieve the objective of having all content in the Design Basis document reflecting the current knowledge base and context of the facility and operations?</v>
      </c>
      <c r="G366" s="388" t="s">
        <v>1195</v>
      </c>
      <c r="H366" s="390">
        <v>4</v>
      </c>
      <c r="I366" s="390">
        <v>4</v>
      </c>
      <c r="J366" s="390"/>
      <c r="K366" s="398">
        <f>_xlfn.IFNA(VLOOKUP(A366,numbering!$K$3:$L$92,2,0),0)</f>
        <v>0</v>
      </c>
    </row>
    <row r="367" spans="1:11" ht="75" hidden="1" x14ac:dyDescent="0.2">
      <c r="A367" s="390">
        <v>126</v>
      </c>
      <c r="B367" s="390" t="s">
        <v>248</v>
      </c>
      <c r="C367" s="390">
        <f>VLOOKUP(B367,numbering!$N$18:$O$30,2,0)</f>
        <v>3</v>
      </c>
      <c r="D367" s="390" t="s">
        <v>249</v>
      </c>
      <c r="E367" s="403">
        <f t="shared" si="12"/>
        <v>1</v>
      </c>
      <c r="F367" s="424" t="s">
        <v>1158</v>
      </c>
      <c r="G367" s="388" t="s">
        <v>1192</v>
      </c>
      <c r="H367" s="390">
        <v>1</v>
      </c>
      <c r="I367" s="390">
        <v>1</v>
      </c>
      <c r="J367" s="390"/>
      <c r="K367" s="398">
        <f>_xlfn.IFNA(VLOOKUP(A367,numbering!$K$3:$L$92,2,0),0)</f>
        <v>0</v>
      </c>
    </row>
    <row r="368" spans="1:11" ht="75" hidden="1" x14ac:dyDescent="0.2">
      <c r="A368" s="390">
        <v>126</v>
      </c>
      <c r="B368" s="390" t="s">
        <v>248</v>
      </c>
      <c r="C368" s="390">
        <f>VLOOKUP(B368,numbering!$N$18:$O$30,2,0)</f>
        <v>3</v>
      </c>
      <c r="D368" s="390" t="s">
        <v>249</v>
      </c>
      <c r="E368" s="403">
        <f t="shared" si="12"/>
        <v>1</v>
      </c>
      <c r="F368" s="424" t="str">
        <f>F367</f>
        <v xml:space="preserve">Have all required consequence/hazard categories for the facility been documented, with evidence provided to prove that objective that the consequence/hazard categories were based on an assessment of consequences for relevant failure scenarios and that the relevant consequence/hazard category frameworks were adhered to. </v>
      </c>
      <c r="G368" s="388" t="s">
        <v>1193</v>
      </c>
      <c r="H368" s="390">
        <v>2</v>
      </c>
      <c r="I368" s="390">
        <v>2</v>
      </c>
      <c r="J368" s="390"/>
      <c r="K368" s="398">
        <f>_xlfn.IFNA(VLOOKUP(A368,numbering!$K$3:$L$92,2,0),0)</f>
        <v>0</v>
      </c>
    </row>
    <row r="369" spans="1:11" ht="75" hidden="1" x14ac:dyDescent="0.2">
      <c r="A369" s="390">
        <v>126</v>
      </c>
      <c r="B369" s="390" t="s">
        <v>248</v>
      </c>
      <c r="C369" s="390">
        <f>VLOOKUP(B369,numbering!$N$18:$O$30,2,0)</f>
        <v>3</v>
      </c>
      <c r="D369" s="390" t="s">
        <v>249</v>
      </c>
      <c r="E369" s="403">
        <f t="shared" si="12"/>
        <v>1</v>
      </c>
      <c r="F369" s="424" t="str">
        <f>F368</f>
        <v xml:space="preserve">Have all required consequence/hazard categories for the facility been documented, with evidence provided to prove that objective that the consequence/hazard categories were based on an assessment of consequences for relevant failure scenarios and that the relevant consequence/hazard category frameworks were adhered to. </v>
      </c>
      <c r="G369" s="388" t="s">
        <v>1194</v>
      </c>
      <c r="H369" s="390">
        <v>3</v>
      </c>
      <c r="I369" s="390">
        <v>3</v>
      </c>
      <c r="J369" s="390"/>
      <c r="K369" s="398">
        <f>_xlfn.IFNA(VLOOKUP(A369,numbering!$K$3:$L$92,2,0),0)</f>
        <v>0</v>
      </c>
    </row>
    <row r="370" spans="1:11" ht="75" hidden="1" x14ac:dyDescent="0.2">
      <c r="A370" s="390">
        <v>126</v>
      </c>
      <c r="B370" s="390" t="s">
        <v>248</v>
      </c>
      <c r="C370" s="390">
        <f>VLOOKUP(B370,numbering!$N$18:$O$30,2,0)</f>
        <v>3</v>
      </c>
      <c r="D370" s="390" t="s">
        <v>249</v>
      </c>
      <c r="E370" s="403">
        <f t="shared" si="12"/>
        <v>1</v>
      </c>
      <c r="F370" s="424" t="str">
        <f>F369</f>
        <v xml:space="preserve">Have all required consequence/hazard categories for the facility been documented, with evidence provided to prove that objective that the consequence/hazard categories were based on an assessment of consequences for relevant failure scenarios and that the relevant consequence/hazard category frameworks were adhered to. </v>
      </c>
      <c r="G370" s="388" t="s">
        <v>1195</v>
      </c>
      <c r="H370" s="390">
        <v>4</v>
      </c>
      <c r="I370" s="390">
        <v>4</v>
      </c>
      <c r="J370" s="390"/>
      <c r="K370" s="398">
        <f>_xlfn.IFNA(VLOOKUP(A370,numbering!$K$3:$L$92,2,0),0)</f>
        <v>0</v>
      </c>
    </row>
    <row r="371" spans="1:11" ht="75" hidden="1" x14ac:dyDescent="0.2">
      <c r="A371" s="390">
        <v>127</v>
      </c>
      <c r="B371" s="390" t="s">
        <v>248</v>
      </c>
      <c r="C371" s="390">
        <f>VLOOKUP(B371,numbering!$N$18:$O$30,2,0)</f>
        <v>3</v>
      </c>
      <c r="D371" s="390" t="s">
        <v>249</v>
      </c>
      <c r="E371" s="403">
        <f t="shared" si="12"/>
        <v>1</v>
      </c>
      <c r="F371" s="424" t="s">
        <v>250</v>
      </c>
      <c r="G371" s="388" t="s">
        <v>1192</v>
      </c>
      <c r="H371" s="390">
        <v>1</v>
      </c>
      <c r="I371" s="390">
        <v>1</v>
      </c>
      <c r="J371" s="390"/>
      <c r="K371" s="398">
        <f>_xlfn.IFNA(VLOOKUP(A371,numbering!$K$3:$L$92,2,0),0)</f>
        <v>0</v>
      </c>
    </row>
    <row r="372" spans="1:11" ht="75" hidden="1" x14ac:dyDescent="0.2">
      <c r="A372" s="390">
        <v>127</v>
      </c>
      <c r="B372" s="390" t="s">
        <v>248</v>
      </c>
      <c r="C372" s="390">
        <f>VLOOKUP(B372,numbering!$N$18:$O$30,2,0)</f>
        <v>3</v>
      </c>
      <c r="D372" s="390" t="s">
        <v>249</v>
      </c>
      <c r="E372" s="403">
        <f t="shared" si="12"/>
        <v>1</v>
      </c>
      <c r="F372" s="424" t="str">
        <f>F371</f>
        <v>Is there documented evidence that the consequence/hazard categories have been reviewed at the frequency required by relevant Standards and Guidelines, to achieve the objective of the consequence/hazard categories reflecting the most current and accurate estimate of potential consequences of failure and context of the facility?</v>
      </c>
      <c r="G372" s="388" t="s">
        <v>1193</v>
      </c>
      <c r="H372" s="390">
        <v>2</v>
      </c>
      <c r="I372" s="390">
        <v>2</v>
      </c>
      <c r="J372" s="390"/>
      <c r="K372" s="398">
        <f>_xlfn.IFNA(VLOOKUP(A372,numbering!$K$3:$L$92,2,0),0)</f>
        <v>0</v>
      </c>
    </row>
    <row r="373" spans="1:11" ht="75" hidden="1" x14ac:dyDescent="0.2">
      <c r="A373" s="390">
        <v>127</v>
      </c>
      <c r="B373" s="390" t="s">
        <v>248</v>
      </c>
      <c r="C373" s="390">
        <f>VLOOKUP(B373,numbering!$N$18:$O$30,2,0)</f>
        <v>3</v>
      </c>
      <c r="D373" s="390" t="s">
        <v>249</v>
      </c>
      <c r="E373" s="403">
        <f t="shared" si="12"/>
        <v>1</v>
      </c>
      <c r="F373" s="424" t="str">
        <f>F372</f>
        <v>Is there documented evidence that the consequence/hazard categories have been reviewed at the frequency required by relevant Standards and Guidelines, to achieve the objective of the consequence/hazard categories reflecting the most current and accurate estimate of potential consequences of failure and context of the facility?</v>
      </c>
      <c r="G373" s="388" t="s">
        <v>1194</v>
      </c>
      <c r="H373" s="390">
        <v>3</v>
      </c>
      <c r="I373" s="390">
        <v>3</v>
      </c>
      <c r="J373" s="390"/>
      <c r="K373" s="398">
        <f>_xlfn.IFNA(VLOOKUP(A373,numbering!$K$3:$L$92,2,0),0)</f>
        <v>0</v>
      </c>
    </row>
    <row r="374" spans="1:11" ht="75" hidden="1" x14ac:dyDescent="0.2">
      <c r="A374" s="390">
        <v>127</v>
      </c>
      <c r="B374" s="390" t="s">
        <v>248</v>
      </c>
      <c r="C374" s="390">
        <f>VLOOKUP(B374,numbering!$N$18:$O$30,2,0)</f>
        <v>3</v>
      </c>
      <c r="D374" s="390" t="s">
        <v>249</v>
      </c>
      <c r="E374" s="403">
        <f t="shared" si="12"/>
        <v>1</v>
      </c>
      <c r="F374" s="424" t="str">
        <f>F373</f>
        <v>Is there documented evidence that the consequence/hazard categories have been reviewed at the frequency required by relevant Standards and Guidelines, to achieve the objective of the consequence/hazard categories reflecting the most current and accurate estimate of potential consequences of failure and context of the facility?</v>
      </c>
      <c r="G374" s="388" t="s">
        <v>1195</v>
      </c>
      <c r="H374" s="390">
        <v>4</v>
      </c>
      <c r="I374" s="390">
        <v>4</v>
      </c>
      <c r="J374" s="390"/>
      <c r="K374" s="398">
        <f>_xlfn.IFNA(VLOOKUP(A374,numbering!$K$3:$L$92,2,0),0)</f>
        <v>0</v>
      </c>
    </row>
    <row r="375" spans="1:11" ht="60" hidden="1" x14ac:dyDescent="0.2">
      <c r="A375" s="390">
        <v>128</v>
      </c>
      <c r="B375" s="390" t="s">
        <v>248</v>
      </c>
      <c r="C375" s="390">
        <f>VLOOKUP(B375,numbering!$N$18:$O$30,2,0)</f>
        <v>3</v>
      </c>
      <c r="D375" s="390" t="s">
        <v>249</v>
      </c>
      <c r="E375" s="403">
        <f t="shared" si="12"/>
        <v>1</v>
      </c>
      <c r="F375" s="424" t="s">
        <v>251</v>
      </c>
      <c r="G375" s="388" t="s">
        <v>1192</v>
      </c>
      <c r="H375" s="390">
        <v>1</v>
      </c>
      <c r="I375" s="390">
        <v>1</v>
      </c>
      <c r="J375" s="390"/>
      <c r="K375" s="398">
        <f>_xlfn.IFNA(VLOOKUP(A375,numbering!$K$3:$L$92,2,0),0)</f>
        <v>0</v>
      </c>
    </row>
    <row r="376" spans="1:11" ht="60" hidden="1" x14ac:dyDescent="0.2">
      <c r="A376" s="390">
        <v>128</v>
      </c>
      <c r="B376" s="390" t="s">
        <v>248</v>
      </c>
      <c r="C376" s="390">
        <f>VLOOKUP(B376,numbering!$N$18:$O$30,2,0)</f>
        <v>3</v>
      </c>
      <c r="D376" s="390" t="s">
        <v>249</v>
      </c>
      <c r="E376" s="403">
        <f t="shared" si="12"/>
        <v>1</v>
      </c>
      <c r="F376" s="424" t="str">
        <f>F375</f>
        <v>Is there documented evidence that the Accountable Executive has accepted the consequence/hazard categories, to achieve the objective that the consequence/hazard category informs the requirements and criteria of the design, operation and management of the facility?</v>
      </c>
      <c r="G376" s="388" t="s">
        <v>1193</v>
      </c>
      <c r="H376" s="390">
        <v>2</v>
      </c>
      <c r="I376" s="390">
        <v>2</v>
      </c>
      <c r="J376" s="390"/>
      <c r="K376" s="398">
        <f>_xlfn.IFNA(VLOOKUP(A376,numbering!$K$3:$L$92,2,0),0)</f>
        <v>0</v>
      </c>
    </row>
    <row r="377" spans="1:11" ht="60" hidden="1" x14ac:dyDescent="0.2">
      <c r="A377" s="390">
        <v>128</v>
      </c>
      <c r="B377" s="390" t="s">
        <v>248</v>
      </c>
      <c r="C377" s="390">
        <f>VLOOKUP(B377,numbering!$N$18:$O$30,2,0)</f>
        <v>3</v>
      </c>
      <c r="D377" s="390" t="s">
        <v>249</v>
      </c>
      <c r="E377" s="403">
        <f t="shared" si="12"/>
        <v>1</v>
      </c>
      <c r="F377" s="424" t="str">
        <f>F376</f>
        <v>Is there documented evidence that the Accountable Executive has accepted the consequence/hazard categories, to achieve the objective that the consequence/hazard category informs the requirements and criteria of the design, operation and management of the facility?</v>
      </c>
      <c r="G377" s="388" t="s">
        <v>1194</v>
      </c>
      <c r="H377" s="390">
        <v>3</v>
      </c>
      <c r="I377" s="390">
        <v>3</v>
      </c>
      <c r="J377" s="390"/>
      <c r="K377" s="398">
        <f>_xlfn.IFNA(VLOOKUP(A377,numbering!$K$3:$L$92,2,0),0)</f>
        <v>0</v>
      </c>
    </row>
    <row r="378" spans="1:11" ht="60" hidden="1" x14ac:dyDescent="0.2">
      <c r="A378" s="390">
        <v>128</v>
      </c>
      <c r="B378" s="390" t="s">
        <v>248</v>
      </c>
      <c r="C378" s="390">
        <f>VLOOKUP(B378,numbering!$N$18:$O$30,2,0)</f>
        <v>3</v>
      </c>
      <c r="D378" s="390" t="s">
        <v>249</v>
      </c>
      <c r="E378" s="403">
        <f t="shared" si="12"/>
        <v>1</v>
      </c>
      <c r="F378" s="424" t="str">
        <f>F377</f>
        <v>Is there documented evidence that the Accountable Executive has accepted the consequence/hazard categories, to achieve the objective that the consequence/hazard category informs the requirements and criteria of the design, operation and management of the facility?</v>
      </c>
      <c r="G378" s="388" t="s">
        <v>1195</v>
      </c>
      <c r="H378" s="390">
        <v>4</v>
      </c>
      <c r="I378" s="390">
        <v>4</v>
      </c>
      <c r="J378" s="390"/>
      <c r="K378" s="398">
        <f>_xlfn.IFNA(VLOOKUP(A378,numbering!$K$3:$L$92,2,0),0)</f>
        <v>0</v>
      </c>
    </row>
    <row r="379" spans="1:11" ht="32" hidden="1" x14ac:dyDescent="0.2">
      <c r="A379" s="390">
        <v>129</v>
      </c>
      <c r="B379" s="390" t="s">
        <v>253</v>
      </c>
      <c r="C379" s="390">
        <f>VLOOKUP(B379,numbering!$N$18:$O$30,2,0)</f>
        <v>4</v>
      </c>
      <c r="D379" s="390" t="s">
        <v>254</v>
      </c>
      <c r="E379" s="403">
        <f t="shared" si="12"/>
        <v>1</v>
      </c>
      <c r="F379" s="424" t="s">
        <v>255</v>
      </c>
      <c r="G379" s="388" t="s">
        <v>7</v>
      </c>
      <c r="H379" s="390">
        <v>1</v>
      </c>
      <c r="I379" s="390">
        <v>1</v>
      </c>
      <c r="J379" s="390"/>
      <c r="K379" s="398">
        <f>_xlfn.IFNA(VLOOKUP(A379,numbering!$K$3:$L$92,2,0),0)</f>
        <v>0</v>
      </c>
    </row>
    <row r="380" spans="1:11" ht="32" hidden="1" x14ac:dyDescent="0.2">
      <c r="A380" s="390">
        <v>129</v>
      </c>
      <c r="B380" s="390" t="s">
        <v>253</v>
      </c>
      <c r="C380" s="390">
        <f>VLOOKUP(B380,numbering!$N$18:$O$30,2,0)</f>
        <v>4</v>
      </c>
      <c r="D380" s="390" t="s">
        <v>254</v>
      </c>
      <c r="E380" s="403">
        <f t="shared" si="12"/>
        <v>1</v>
      </c>
      <c r="F380" s="424" t="s">
        <v>255</v>
      </c>
      <c r="G380" s="388" t="s">
        <v>8</v>
      </c>
      <c r="H380" s="390">
        <v>4</v>
      </c>
      <c r="I380" s="390">
        <v>4</v>
      </c>
      <c r="J380" s="390"/>
      <c r="K380" s="398">
        <f>_xlfn.IFNA(VLOOKUP(A380,numbering!$K$3:$L$92,2,0),0)</f>
        <v>0</v>
      </c>
    </row>
    <row r="381" spans="1:11" ht="60" hidden="1" x14ac:dyDescent="0.2">
      <c r="A381" s="390">
        <v>130</v>
      </c>
      <c r="B381" s="390" t="s">
        <v>253</v>
      </c>
      <c r="C381" s="390">
        <f>VLOOKUP(B381,numbering!$N$18:$O$30,2,0)</f>
        <v>4</v>
      </c>
      <c r="D381" s="390" t="s">
        <v>254</v>
      </c>
      <c r="E381" s="403">
        <f t="shared" si="12"/>
        <v>1</v>
      </c>
      <c r="F381" s="424" t="s">
        <v>256</v>
      </c>
      <c r="G381" s="388" t="s">
        <v>1192</v>
      </c>
      <c r="H381" s="390">
        <v>1</v>
      </c>
      <c r="I381" s="390">
        <v>1</v>
      </c>
      <c r="J381" s="390"/>
      <c r="K381" s="398">
        <f>_xlfn.IFNA(VLOOKUP(A381,numbering!$K$3:$L$92,2,0),0)</f>
        <v>0</v>
      </c>
    </row>
    <row r="382" spans="1:11" ht="60" hidden="1" x14ac:dyDescent="0.2">
      <c r="A382" s="390">
        <v>130</v>
      </c>
      <c r="B382" s="390" t="s">
        <v>253</v>
      </c>
      <c r="C382" s="390">
        <f>VLOOKUP(B382,numbering!$N$18:$O$30,2,0)</f>
        <v>4</v>
      </c>
      <c r="D382" s="390" t="s">
        <v>254</v>
      </c>
      <c r="E382" s="403">
        <f t="shared" si="12"/>
        <v>1</v>
      </c>
      <c r="F382" s="424" t="str">
        <f>F381</f>
        <v>Is there documented evidence that the climate data referenced in the study is representative of the latest available and most appropriate climate data, to achieve the objective that the rainfall and climate inputs into the design of the facility are as current and reflect actual conditions as much as practicable?</v>
      </c>
      <c r="G382" s="388" t="s">
        <v>1193</v>
      </c>
      <c r="H382" s="390">
        <v>2</v>
      </c>
      <c r="I382" s="390">
        <v>2</v>
      </c>
      <c r="J382" s="390"/>
      <c r="K382" s="398">
        <f>_xlfn.IFNA(VLOOKUP(A382,numbering!$K$3:$L$92,2,0),0)</f>
        <v>0</v>
      </c>
    </row>
    <row r="383" spans="1:11" ht="60" hidden="1" x14ac:dyDescent="0.2">
      <c r="A383" s="390">
        <v>130</v>
      </c>
      <c r="B383" s="390" t="s">
        <v>253</v>
      </c>
      <c r="C383" s="390">
        <f>VLOOKUP(B383,numbering!$N$18:$O$30,2,0)</f>
        <v>4</v>
      </c>
      <c r="D383" s="390" t="s">
        <v>254</v>
      </c>
      <c r="E383" s="403">
        <f t="shared" si="12"/>
        <v>1</v>
      </c>
      <c r="F383" s="424" t="str">
        <f>F382</f>
        <v>Is there documented evidence that the climate data referenced in the study is representative of the latest available and most appropriate climate data, to achieve the objective that the rainfall and climate inputs into the design of the facility are as current and reflect actual conditions as much as practicable?</v>
      </c>
      <c r="G383" s="388" t="s">
        <v>1194</v>
      </c>
      <c r="H383" s="390">
        <v>3</v>
      </c>
      <c r="I383" s="390">
        <v>3</v>
      </c>
      <c r="J383" s="390"/>
      <c r="K383" s="398">
        <f>_xlfn.IFNA(VLOOKUP(A383,numbering!$K$3:$L$92,2,0),0)</f>
        <v>0</v>
      </c>
    </row>
    <row r="384" spans="1:11" ht="60" hidden="1" x14ac:dyDescent="0.2">
      <c r="A384" s="390">
        <v>130</v>
      </c>
      <c r="B384" s="390" t="s">
        <v>253</v>
      </c>
      <c r="C384" s="390">
        <f>VLOOKUP(B384,numbering!$N$18:$O$30,2,0)</f>
        <v>4</v>
      </c>
      <c r="D384" s="390" t="s">
        <v>254</v>
      </c>
      <c r="E384" s="403">
        <f t="shared" si="12"/>
        <v>1</v>
      </c>
      <c r="F384" s="424" t="str">
        <f>F383</f>
        <v>Is there documented evidence that the climate data referenced in the study is representative of the latest available and most appropriate climate data, to achieve the objective that the rainfall and climate inputs into the design of the facility are as current and reflect actual conditions as much as practicable?</v>
      </c>
      <c r="G384" s="388" t="s">
        <v>1195</v>
      </c>
      <c r="H384" s="390">
        <v>4</v>
      </c>
      <c r="I384" s="390">
        <v>4</v>
      </c>
      <c r="J384" s="390"/>
      <c r="K384" s="398">
        <f>_xlfn.IFNA(VLOOKUP(A384,numbering!$K$3:$L$92,2,0),0)</f>
        <v>0</v>
      </c>
    </row>
    <row r="385" spans="1:11" ht="45" hidden="1" x14ac:dyDescent="0.2">
      <c r="A385" s="390">
        <v>131</v>
      </c>
      <c r="B385" s="390" t="s">
        <v>253</v>
      </c>
      <c r="C385" s="390">
        <f>VLOOKUP(B385,numbering!$N$18:$O$30,2,0)</f>
        <v>4</v>
      </c>
      <c r="D385" s="390" t="s">
        <v>254</v>
      </c>
      <c r="E385" s="403">
        <f t="shared" si="12"/>
        <v>1</v>
      </c>
      <c r="F385" s="424" t="s">
        <v>257</v>
      </c>
      <c r="G385" s="388" t="s">
        <v>1192</v>
      </c>
      <c r="H385" s="390">
        <v>1</v>
      </c>
      <c r="I385" s="390">
        <v>1</v>
      </c>
      <c r="J385" s="390"/>
      <c r="K385" s="398">
        <f>_xlfn.IFNA(VLOOKUP(A385,numbering!$K$3:$L$92,2,0),0)</f>
        <v>0</v>
      </c>
    </row>
    <row r="386" spans="1:11" ht="45" hidden="1" x14ac:dyDescent="0.2">
      <c r="A386" s="390">
        <v>131</v>
      </c>
      <c r="B386" s="390" t="s">
        <v>253</v>
      </c>
      <c r="C386" s="390">
        <f>VLOOKUP(B386,numbering!$N$18:$O$30,2,0)</f>
        <v>4</v>
      </c>
      <c r="D386" s="390" t="s">
        <v>254</v>
      </c>
      <c r="E386" s="403">
        <f t="shared" si="12"/>
        <v>1</v>
      </c>
      <c r="F386" s="424" t="str">
        <f>F385</f>
        <v>Is there documented evidence of how the rare and extreme intensity-frequency-duration values were derived, to achieve the objective of demonstrating that defensible methods were used?</v>
      </c>
      <c r="G386" s="388" t="s">
        <v>1193</v>
      </c>
      <c r="H386" s="390">
        <v>2</v>
      </c>
      <c r="I386" s="390">
        <v>2</v>
      </c>
      <c r="J386" s="390"/>
      <c r="K386" s="398">
        <f>_xlfn.IFNA(VLOOKUP(A386,numbering!$K$3:$L$92,2,0),0)</f>
        <v>0</v>
      </c>
    </row>
    <row r="387" spans="1:11" ht="45" hidden="1" x14ac:dyDescent="0.2">
      <c r="A387" s="390">
        <v>131</v>
      </c>
      <c r="B387" s="390" t="s">
        <v>253</v>
      </c>
      <c r="C387" s="390">
        <f>VLOOKUP(B387,numbering!$N$18:$O$30,2,0)</f>
        <v>4</v>
      </c>
      <c r="D387" s="390" t="s">
        <v>254</v>
      </c>
      <c r="E387" s="403">
        <f t="shared" si="12"/>
        <v>1</v>
      </c>
      <c r="F387" s="424" t="str">
        <f>F386</f>
        <v>Is there documented evidence of how the rare and extreme intensity-frequency-duration values were derived, to achieve the objective of demonstrating that defensible methods were used?</v>
      </c>
      <c r="G387" s="388" t="s">
        <v>1194</v>
      </c>
      <c r="H387" s="390">
        <v>3</v>
      </c>
      <c r="I387" s="390">
        <v>3</v>
      </c>
      <c r="J387" s="390"/>
      <c r="K387" s="398">
        <f>_xlfn.IFNA(VLOOKUP(A387,numbering!$K$3:$L$92,2,0),0)</f>
        <v>0</v>
      </c>
    </row>
    <row r="388" spans="1:11" ht="45" hidden="1" x14ac:dyDescent="0.2">
      <c r="A388" s="390">
        <v>131</v>
      </c>
      <c r="B388" s="390" t="s">
        <v>253</v>
      </c>
      <c r="C388" s="390">
        <f>VLOOKUP(B388,numbering!$N$18:$O$30,2,0)</f>
        <v>4</v>
      </c>
      <c r="D388" s="390" t="s">
        <v>254</v>
      </c>
      <c r="E388" s="403">
        <f t="shared" si="12"/>
        <v>1</v>
      </c>
      <c r="F388" s="424" t="str">
        <f>F387</f>
        <v>Is there documented evidence of how the rare and extreme intensity-frequency-duration values were derived, to achieve the objective of demonstrating that defensible methods were used?</v>
      </c>
      <c r="G388" s="388" t="s">
        <v>1195</v>
      </c>
      <c r="H388" s="390">
        <v>4</v>
      </c>
      <c r="I388" s="390">
        <v>4</v>
      </c>
      <c r="J388" s="390"/>
      <c r="K388" s="398">
        <f>_xlfn.IFNA(VLOOKUP(A388,numbering!$K$3:$L$92,2,0),0)</f>
        <v>0</v>
      </c>
    </row>
    <row r="389" spans="1:11" ht="45" hidden="1" x14ac:dyDescent="0.2">
      <c r="A389" s="390">
        <v>132</v>
      </c>
      <c r="B389" s="390" t="s">
        <v>253</v>
      </c>
      <c r="C389" s="390">
        <f>VLOOKUP(B389,numbering!$N$18:$O$30,2,0)</f>
        <v>4</v>
      </c>
      <c r="D389" s="390" t="s">
        <v>254</v>
      </c>
      <c r="E389" s="403">
        <f t="shared" si="12"/>
        <v>1</v>
      </c>
      <c r="F389" s="424" t="s">
        <v>258</v>
      </c>
      <c r="G389" s="388" t="s">
        <v>1192</v>
      </c>
      <c r="H389" s="390">
        <v>1</v>
      </c>
      <c r="I389" s="390">
        <v>1</v>
      </c>
      <c r="J389" s="390"/>
      <c r="K389" s="398">
        <f>_xlfn.IFNA(VLOOKUP(A389,numbering!$K$3:$L$92,2,0),0)</f>
        <v>0</v>
      </c>
    </row>
    <row r="390" spans="1:11" ht="45" hidden="1" x14ac:dyDescent="0.2">
      <c r="A390" s="390">
        <v>132</v>
      </c>
      <c r="B390" s="390" t="s">
        <v>253</v>
      </c>
      <c r="C390" s="390">
        <f>VLOOKUP(B390,numbering!$N$18:$O$30,2,0)</f>
        <v>4</v>
      </c>
      <c r="D390" s="390" t="s">
        <v>254</v>
      </c>
      <c r="E390" s="403">
        <f t="shared" si="12"/>
        <v>1</v>
      </c>
      <c r="F390" s="424" t="str">
        <f>F389</f>
        <v>Are the results of the flood study presented clearly, to achieve the objective of the results being appropriate and useable for design (e.g. intensity-duration-frequency curves, inflow hydrograph, etc.)?</v>
      </c>
      <c r="G390" s="388" t="s">
        <v>1193</v>
      </c>
      <c r="H390" s="390">
        <v>2</v>
      </c>
      <c r="I390" s="390">
        <v>2</v>
      </c>
      <c r="J390" s="390"/>
      <c r="K390" s="398">
        <f>_xlfn.IFNA(VLOOKUP(A390,numbering!$K$3:$L$92,2,0),0)</f>
        <v>0</v>
      </c>
    </row>
    <row r="391" spans="1:11" ht="45" hidden="1" x14ac:dyDescent="0.2">
      <c r="A391" s="390">
        <v>132</v>
      </c>
      <c r="B391" s="390" t="s">
        <v>253</v>
      </c>
      <c r="C391" s="390">
        <f>VLOOKUP(B391,numbering!$N$18:$O$30,2,0)</f>
        <v>4</v>
      </c>
      <c r="D391" s="390" t="s">
        <v>254</v>
      </c>
      <c r="E391" s="403">
        <f t="shared" si="12"/>
        <v>1</v>
      </c>
      <c r="F391" s="424" t="str">
        <f>F390</f>
        <v>Are the results of the flood study presented clearly, to achieve the objective of the results being appropriate and useable for design (e.g. intensity-duration-frequency curves, inflow hydrograph, etc.)?</v>
      </c>
      <c r="G391" s="388" t="s">
        <v>1194</v>
      </c>
      <c r="H391" s="390">
        <v>3</v>
      </c>
      <c r="I391" s="390">
        <v>3</v>
      </c>
      <c r="J391" s="390"/>
      <c r="K391" s="398">
        <f>_xlfn.IFNA(VLOOKUP(A391,numbering!$K$3:$L$92,2,0),0)</f>
        <v>0</v>
      </c>
    </row>
    <row r="392" spans="1:11" ht="45" hidden="1" x14ac:dyDescent="0.2">
      <c r="A392" s="390">
        <v>132</v>
      </c>
      <c r="B392" s="390" t="s">
        <v>253</v>
      </c>
      <c r="C392" s="390">
        <f>VLOOKUP(B392,numbering!$N$18:$O$30,2,0)</f>
        <v>4</v>
      </c>
      <c r="D392" s="390" t="s">
        <v>254</v>
      </c>
      <c r="E392" s="403">
        <f t="shared" si="12"/>
        <v>1</v>
      </c>
      <c r="F392" s="424" t="str">
        <f>F391</f>
        <v>Are the results of the flood study presented clearly, to achieve the objective of the results being appropriate and useable for design (e.g. intensity-duration-frequency curves, inflow hydrograph, etc.)?</v>
      </c>
      <c r="G392" s="388" t="s">
        <v>1195</v>
      </c>
      <c r="H392" s="390">
        <v>4</v>
      </c>
      <c r="I392" s="390">
        <v>4</v>
      </c>
      <c r="J392" s="390"/>
      <c r="K392" s="398">
        <f>_xlfn.IFNA(VLOOKUP(A392,numbering!$K$3:$L$92,2,0),0)</f>
        <v>0</v>
      </c>
    </row>
    <row r="393" spans="1:11" ht="16" hidden="1" x14ac:dyDescent="0.2">
      <c r="A393" s="390">
        <v>133</v>
      </c>
      <c r="B393" s="390" t="s">
        <v>253</v>
      </c>
      <c r="C393" s="390">
        <f>VLOOKUP(B393,numbering!$N$18:$O$30,2,0)</f>
        <v>4</v>
      </c>
      <c r="D393" s="390" t="s">
        <v>259</v>
      </c>
      <c r="E393" s="403">
        <f t="shared" si="12"/>
        <v>2</v>
      </c>
      <c r="F393" s="440" t="s">
        <v>260</v>
      </c>
      <c r="G393" s="388" t="s">
        <v>7</v>
      </c>
      <c r="H393" s="390">
        <v>1</v>
      </c>
      <c r="I393" s="390">
        <v>1</v>
      </c>
      <c r="J393" s="390"/>
      <c r="K393" s="398">
        <f>_xlfn.IFNA(VLOOKUP(A393,numbering!$K$3:$L$92,2,0),0)</f>
        <v>0</v>
      </c>
    </row>
    <row r="394" spans="1:11" ht="16" hidden="1" x14ac:dyDescent="0.2">
      <c r="A394" s="390">
        <v>133</v>
      </c>
      <c r="B394" s="390" t="s">
        <v>253</v>
      </c>
      <c r="C394" s="390">
        <f>VLOOKUP(B394,numbering!$N$18:$O$30,2,0)</f>
        <v>4</v>
      </c>
      <c r="D394" s="390" t="s">
        <v>259</v>
      </c>
      <c r="E394" s="403">
        <f t="shared" si="12"/>
        <v>2</v>
      </c>
      <c r="F394" s="440" t="s">
        <v>260</v>
      </c>
      <c r="G394" s="388" t="s">
        <v>8</v>
      </c>
      <c r="H394" s="390">
        <v>4</v>
      </c>
      <c r="I394" s="390">
        <v>4</v>
      </c>
      <c r="J394" s="390"/>
      <c r="K394" s="398">
        <f>_xlfn.IFNA(VLOOKUP(A394,numbering!$K$3:$L$92,2,0),0)</f>
        <v>0</v>
      </c>
    </row>
    <row r="395" spans="1:11" ht="60" hidden="1" x14ac:dyDescent="0.2">
      <c r="A395" s="390">
        <v>134</v>
      </c>
      <c r="B395" s="390" t="s">
        <v>253</v>
      </c>
      <c r="C395" s="390">
        <f>VLOOKUP(B395,numbering!$N$18:$O$30,2,0)</f>
        <v>4</v>
      </c>
      <c r="D395" s="390" t="s">
        <v>259</v>
      </c>
      <c r="E395" s="403">
        <f t="shared" ref="E395:E422" si="13">IF(C395&lt;&gt;C394,1,IF(F395&lt;&gt;F394,E394+1,E394))</f>
        <v>3</v>
      </c>
      <c r="F395" s="424" t="s">
        <v>1331</v>
      </c>
      <c r="G395" s="388" t="s">
        <v>1192</v>
      </c>
      <c r="H395" s="390">
        <v>1</v>
      </c>
      <c r="I395" s="390">
        <v>1</v>
      </c>
      <c r="J395" s="390"/>
      <c r="K395" s="398">
        <f>_xlfn.IFNA(VLOOKUP(A395,numbering!$K$3:$L$92,2,0),0)</f>
        <v>1</v>
      </c>
    </row>
    <row r="396" spans="1:11" ht="60" hidden="1" x14ac:dyDescent="0.2">
      <c r="A396" s="390">
        <v>134</v>
      </c>
      <c r="B396" s="390" t="s">
        <v>253</v>
      </c>
      <c r="C396" s="390">
        <f>VLOOKUP(B396,numbering!$N$18:$O$30,2,0)</f>
        <v>4</v>
      </c>
      <c r="D396" s="390" t="s">
        <v>259</v>
      </c>
      <c r="E396" s="403">
        <f t="shared" si="13"/>
        <v>3</v>
      </c>
      <c r="F396" s="424" t="s">
        <v>1331</v>
      </c>
      <c r="G396" s="388" t="s">
        <v>1193</v>
      </c>
      <c r="H396" s="390">
        <v>2</v>
      </c>
      <c r="I396" s="390">
        <v>2</v>
      </c>
      <c r="J396" s="390"/>
      <c r="K396" s="398">
        <f>_xlfn.IFNA(VLOOKUP(A396,numbering!$K$3:$L$92,2,0),0)</f>
        <v>1</v>
      </c>
    </row>
    <row r="397" spans="1:11" ht="60" hidden="1" x14ac:dyDescent="0.2">
      <c r="A397" s="390">
        <v>134</v>
      </c>
      <c r="B397" s="390" t="s">
        <v>253</v>
      </c>
      <c r="C397" s="390">
        <f>VLOOKUP(B397,numbering!$N$18:$O$30,2,0)</f>
        <v>4</v>
      </c>
      <c r="D397" s="390" t="s">
        <v>259</v>
      </c>
      <c r="E397" s="403">
        <f t="shared" si="13"/>
        <v>3</v>
      </c>
      <c r="F397" s="424" t="s">
        <v>1331</v>
      </c>
      <c r="G397" s="388" t="s">
        <v>1194</v>
      </c>
      <c r="H397" s="390">
        <v>3</v>
      </c>
      <c r="I397" s="390">
        <v>3</v>
      </c>
      <c r="J397" s="390"/>
      <c r="K397" s="398">
        <f>_xlfn.IFNA(VLOOKUP(A397,numbering!$K$3:$L$92,2,0),0)</f>
        <v>1</v>
      </c>
    </row>
    <row r="398" spans="1:11" ht="60" hidden="1" x14ac:dyDescent="0.2">
      <c r="A398" s="390">
        <v>134</v>
      </c>
      <c r="B398" s="390" t="s">
        <v>253</v>
      </c>
      <c r="C398" s="390">
        <f>VLOOKUP(B398,numbering!$N$18:$O$30,2,0)</f>
        <v>4</v>
      </c>
      <c r="D398" s="390" t="s">
        <v>259</v>
      </c>
      <c r="E398" s="403">
        <f t="shared" si="13"/>
        <v>3</v>
      </c>
      <c r="F398" s="424" t="s">
        <v>1331</v>
      </c>
      <c r="G398" s="388" t="s">
        <v>1195</v>
      </c>
      <c r="H398" s="390">
        <v>4</v>
      </c>
      <c r="I398" s="390">
        <v>4</v>
      </c>
      <c r="J398" s="390"/>
      <c r="K398" s="398">
        <f>_xlfn.IFNA(VLOOKUP(A398,numbering!$K$3:$L$92,2,0),0)</f>
        <v>1</v>
      </c>
    </row>
    <row r="399" spans="1:11" ht="60" hidden="1" x14ac:dyDescent="0.2">
      <c r="A399" s="390">
        <v>135</v>
      </c>
      <c r="B399" s="390" t="s">
        <v>253</v>
      </c>
      <c r="C399" s="390">
        <f>VLOOKUP(B399,numbering!$N$18:$O$30,2,0)</f>
        <v>4</v>
      </c>
      <c r="D399" s="390" t="s">
        <v>259</v>
      </c>
      <c r="E399" s="403">
        <f t="shared" si="13"/>
        <v>4</v>
      </c>
      <c r="F399" s="424" t="s">
        <v>1333</v>
      </c>
      <c r="G399" s="388" t="s">
        <v>1192</v>
      </c>
      <c r="H399" s="390">
        <v>1</v>
      </c>
      <c r="I399" s="390">
        <v>1</v>
      </c>
      <c r="J399" s="390"/>
      <c r="K399" s="398">
        <f>_xlfn.IFNA(VLOOKUP(A399,numbering!$K$3:$L$92,2,0),0)</f>
        <v>1</v>
      </c>
    </row>
    <row r="400" spans="1:11" ht="60" hidden="1" x14ac:dyDescent="0.2">
      <c r="A400" s="390">
        <v>135</v>
      </c>
      <c r="B400" s="390" t="s">
        <v>253</v>
      </c>
      <c r="C400" s="390">
        <f>VLOOKUP(B400,numbering!$N$18:$O$30,2,0)</f>
        <v>4</v>
      </c>
      <c r="D400" s="390" t="s">
        <v>259</v>
      </c>
      <c r="E400" s="403">
        <f t="shared" si="13"/>
        <v>4</v>
      </c>
      <c r="F400" s="424" t="s">
        <v>1333</v>
      </c>
      <c r="G400" s="388" t="s">
        <v>1193</v>
      </c>
      <c r="H400" s="390">
        <v>2</v>
      </c>
      <c r="I400" s="390">
        <v>2</v>
      </c>
      <c r="J400" s="390"/>
      <c r="K400" s="398">
        <f>_xlfn.IFNA(VLOOKUP(A400,numbering!$K$3:$L$92,2,0),0)</f>
        <v>1</v>
      </c>
    </row>
    <row r="401" spans="1:11" ht="60" hidden="1" x14ac:dyDescent="0.2">
      <c r="A401" s="390">
        <v>135</v>
      </c>
      <c r="B401" s="390" t="s">
        <v>253</v>
      </c>
      <c r="C401" s="390">
        <f>VLOOKUP(B401,numbering!$N$18:$O$30,2,0)</f>
        <v>4</v>
      </c>
      <c r="D401" s="390" t="s">
        <v>259</v>
      </c>
      <c r="E401" s="403">
        <f t="shared" si="13"/>
        <v>4</v>
      </c>
      <c r="F401" s="424" t="s">
        <v>1333</v>
      </c>
      <c r="G401" s="388" t="s">
        <v>1194</v>
      </c>
      <c r="H401" s="390">
        <v>3</v>
      </c>
      <c r="I401" s="390">
        <v>3</v>
      </c>
      <c r="J401" s="390"/>
      <c r="K401" s="398">
        <f>_xlfn.IFNA(VLOOKUP(A401,numbering!$K$3:$L$92,2,0),0)</f>
        <v>1</v>
      </c>
    </row>
    <row r="402" spans="1:11" ht="60" hidden="1" x14ac:dyDescent="0.2">
      <c r="A402" s="390">
        <v>135</v>
      </c>
      <c r="B402" s="390" t="s">
        <v>253</v>
      </c>
      <c r="C402" s="390">
        <f>VLOOKUP(B402,numbering!$N$18:$O$30,2,0)</f>
        <v>4</v>
      </c>
      <c r="D402" s="390" t="s">
        <v>259</v>
      </c>
      <c r="E402" s="403">
        <f t="shared" si="13"/>
        <v>4</v>
      </c>
      <c r="F402" s="424" t="s">
        <v>1333</v>
      </c>
      <c r="G402" s="388" t="s">
        <v>1195</v>
      </c>
      <c r="H402" s="390">
        <v>4</v>
      </c>
      <c r="I402" s="390">
        <v>4</v>
      </c>
      <c r="J402" s="390"/>
      <c r="K402" s="398">
        <f>_xlfn.IFNA(VLOOKUP(A402,numbering!$K$3:$L$92,2,0),0)</f>
        <v>1</v>
      </c>
    </row>
    <row r="403" spans="1:11" ht="60" hidden="1" x14ac:dyDescent="0.2">
      <c r="A403" s="390">
        <v>136</v>
      </c>
      <c r="B403" s="390" t="s">
        <v>253</v>
      </c>
      <c r="C403" s="390">
        <f>VLOOKUP(B403,numbering!$N$18:$O$30,2,0)</f>
        <v>4</v>
      </c>
      <c r="D403" s="390" t="s">
        <v>259</v>
      </c>
      <c r="E403" s="403">
        <f t="shared" si="13"/>
        <v>5</v>
      </c>
      <c r="F403" s="424" t="s">
        <v>1332</v>
      </c>
      <c r="G403" s="388" t="s">
        <v>1192</v>
      </c>
      <c r="H403" s="390">
        <v>1</v>
      </c>
      <c r="I403" s="390">
        <v>1</v>
      </c>
      <c r="J403" s="390"/>
      <c r="K403" s="398">
        <f>_xlfn.IFNA(VLOOKUP(A403,numbering!$K$3:$L$92,2,0),0)</f>
        <v>1</v>
      </c>
    </row>
    <row r="404" spans="1:11" ht="60" hidden="1" x14ac:dyDescent="0.2">
      <c r="A404" s="390">
        <v>136</v>
      </c>
      <c r="B404" s="390" t="s">
        <v>253</v>
      </c>
      <c r="C404" s="390">
        <f>VLOOKUP(B404,numbering!$N$18:$O$30,2,0)</f>
        <v>4</v>
      </c>
      <c r="D404" s="390" t="s">
        <v>259</v>
      </c>
      <c r="E404" s="403">
        <f t="shared" si="13"/>
        <v>5</v>
      </c>
      <c r="F404" s="424" t="s">
        <v>1332</v>
      </c>
      <c r="G404" s="388" t="s">
        <v>1193</v>
      </c>
      <c r="H404" s="390">
        <v>2</v>
      </c>
      <c r="I404" s="390">
        <v>2</v>
      </c>
      <c r="J404" s="390"/>
      <c r="K404" s="398">
        <f>_xlfn.IFNA(VLOOKUP(A404,numbering!$K$3:$L$92,2,0),0)</f>
        <v>1</v>
      </c>
    </row>
    <row r="405" spans="1:11" ht="60" hidden="1" x14ac:dyDescent="0.2">
      <c r="A405" s="390">
        <v>136</v>
      </c>
      <c r="B405" s="390" t="s">
        <v>253</v>
      </c>
      <c r="C405" s="390">
        <f>VLOOKUP(B405,numbering!$N$18:$O$30,2,0)</f>
        <v>4</v>
      </c>
      <c r="D405" s="390" t="s">
        <v>259</v>
      </c>
      <c r="E405" s="403">
        <f t="shared" si="13"/>
        <v>5</v>
      </c>
      <c r="F405" s="424" t="s">
        <v>1332</v>
      </c>
      <c r="G405" s="388" t="s">
        <v>1194</v>
      </c>
      <c r="H405" s="390">
        <v>3</v>
      </c>
      <c r="I405" s="390">
        <v>3</v>
      </c>
      <c r="J405" s="390"/>
      <c r="K405" s="398">
        <f>_xlfn.IFNA(VLOOKUP(A405,numbering!$K$3:$L$92,2,0),0)</f>
        <v>1</v>
      </c>
    </row>
    <row r="406" spans="1:11" ht="60" hidden="1" x14ac:dyDescent="0.2">
      <c r="A406" s="390">
        <v>136</v>
      </c>
      <c r="B406" s="390" t="s">
        <v>253</v>
      </c>
      <c r="C406" s="390">
        <f>VLOOKUP(B406,numbering!$N$18:$O$30,2,0)</f>
        <v>4</v>
      </c>
      <c r="D406" s="390" t="s">
        <v>259</v>
      </c>
      <c r="E406" s="403">
        <f t="shared" si="13"/>
        <v>5</v>
      </c>
      <c r="F406" s="424" t="s">
        <v>1332</v>
      </c>
      <c r="G406" s="388" t="s">
        <v>1195</v>
      </c>
      <c r="H406" s="390">
        <v>4</v>
      </c>
      <c r="I406" s="390">
        <v>4</v>
      </c>
      <c r="J406" s="390"/>
      <c r="K406" s="398">
        <f>_xlfn.IFNA(VLOOKUP(A406,numbering!$K$3:$L$92,2,0),0)</f>
        <v>1</v>
      </c>
    </row>
    <row r="407" spans="1:11" ht="60" hidden="1" x14ac:dyDescent="0.2">
      <c r="A407" s="390">
        <v>137</v>
      </c>
      <c r="B407" s="390" t="s">
        <v>253</v>
      </c>
      <c r="C407" s="390">
        <f>VLOOKUP(B407,numbering!$N$18:$O$30,2,0)</f>
        <v>4</v>
      </c>
      <c r="D407" s="390" t="s">
        <v>262</v>
      </c>
      <c r="E407" s="403">
        <f t="shared" si="13"/>
        <v>6</v>
      </c>
      <c r="F407" s="424" t="s">
        <v>1340</v>
      </c>
      <c r="G407" s="388" t="s">
        <v>1192</v>
      </c>
      <c r="H407" s="390">
        <v>1</v>
      </c>
      <c r="I407" s="390">
        <v>1</v>
      </c>
      <c r="J407" s="390"/>
      <c r="K407" s="398">
        <f>_xlfn.IFNA(VLOOKUP(A407,numbering!$K$3:$L$92,2,0),0)</f>
        <v>1</v>
      </c>
    </row>
    <row r="408" spans="1:11" ht="60" hidden="1" x14ac:dyDescent="0.2">
      <c r="A408" s="390">
        <v>137</v>
      </c>
      <c r="B408" s="390" t="s">
        <v>253</v>
      </c>
      <c r="C408" s="390">
        <f>VLOOKUP(B408,numbering!$N$18:$O$30,2,0)</f>
        <v>4</v>
      </c>
      <c r="D408" s="390" t="s">
        <v>262</v>
      </c>
      <c r="E408" s="403">
        <f t="shared" si="13"/>
        <v>6</v>
      </c>
      <c r="F408" s="424" t="s">
        <v>1340</v>
      </c>
      <c r="G408" s="388" t="s">
        <v>1193</v>
      </c>
      <c r="H408" s="390">
        <v>2</v>
      </c>
      <c r="I408" s="390">
        <v>2</v>
      </c>
      <c r="J408" s="390"/>
      <c r="K408" s="398">
        <f>_xlfn.IFNA(VLOOKUP(A408,numbering!$K$3:$L$92,2,0),0)</f>
        <v>1</v>
      </c>
    </row>
    <row r="409" spans="1:11" ht="60" hidden="1" x14ac:dyDescent="0.2">
      <c r="A409" s="390">
        <v>137</v>
      </c>
      <c r="B409" s="390" t="s">
        <v>253</v>
      </c>
      <c r="C409" s="390">
        <f>VLOOKUP(B409,numbering!$N$18:$O$30,2,0)</f>
        <v>4</v>
      </c>
      <c r="D409" s="390" t="s">
        <v>262</v>
      </c>
      <c r="E409" s="403">
        <f t="shared" si="13"/>
        <v>6</v>
      </c>
      <c r="F409" s="424" t="s">
        <v>1340</v>
      </c>
      <c r="G409" s="388" t="s">
        <v>1194</v>
      </c>
      <c r="H409" s="390">
        <v>3</v>
      </c>
      <c r="I409" s="390">
        <v>3</v>
      </c>
      <c r="J409" s="390"/>
      <c r="K409" s="398">
        <f>_xlfn.IFNA(VLOOKUP(A409,numbering!$K$3:$L$92,2,0),0)</f>
        <v>1</v>
      </c>
    </row>
    <row r="410" spans="1:11" ht="60" hidden="1" x14ac:dyDescent="0.2">
      <c r="A410" s="390">
        <v>137</v>
      </c>
      <c r="B410" s="390" t="s">
        <v>253</v>
      </c>
      <c r="C410" s="390">
        <f>VLOOKUP(B410,numbering!$N$18:$O$30,2,0)</f>
        <v>4</v>
      </c>
      <c r="D410" s="390" t="s">
        <v>262</v>
      </c>
      <c r="E410" s="403">
        <f t="shared" si="13"/>
        <v>6</v>
      </c>
      <c r="F410" s="424" t="s">
        <v>1340</v>
      </c>
      <c r="G410" s="388" t="s">
        <v>1195</v>
      </c>
      <c r="H410" s="390">
        <v>4</v>
      </c>
      <c r="I410" s="390">
        <v>4</v>
      </c>
      <c r="J410" s="390"/>
      <c r="K410" s="398">
        <f>_xlfn.IFNA(VLOOKUP(A410,numbering!$K$3:$L$92,2,0),0)</f>
        <v>1</v>
      </c>
    </row>
    <row r="411" spans="1:11" ht="75" hidden="1" x14ac:dyDescent="0.2">
      <c r="A411" s="390">
        <v>138</v>
      </c>
      <c r="B411" s="390" t="s">
        <v>253</v>
      </c>
      <c r="C411" s="390">
        <f>VLOOKUP(B411,numbering!$N$18:$O$30,2,0)</f>
        <v>4</v>
      </c>
      <c r="D411" s="390" t="s">
        <v>262</v>
      </c>
      <c r="E411" s="403">
        <f t="shared" si="13"/>
        <v>7</v>
      </c>
      <c r="F411" s="440" t="s">
        <v>1334</v>
      </c>
      <c r="G411" s="388" t="s">
        <v>1192</v>
      </c>
      <c r="H411" s="390">
        <v>1</v>
      </c>
      <c r="I411" s="390">
        <v>1</v>
      </c>
      <c r="J411" s="390"/>
      <c r="K411" s="398">
        <f>_xlfn.IFNA(VLOOKUP(A411,numbering!$K$3:$L$92,2,0),0)</f>
        <v>1</v>
      </c>
    </row>
    <row r="412" spans="1:11" ht="75" hidden="1" x14ac:dyDescent="0.2">
      <c r="A412" s="390">
        <v>138</v>
      </c>
      <c r="B412" s="390" t="s">
        <v>253</v>
      </c>
      <c r="C412" s="390">
        <f>VLOOKUP(B412,numbering!$N$18:$O$30,2,0)</f>
        <v>4</v>
      </c>
      <c r="D412" s="390" t="s">
        <v>262</v>
      </c>
      <c r="E412" s="403">
        <f t="shared" si="13"/>
        <v>7</v>
      </c>
      <c r="F412" s="440" t="s">
        <v>1334</v>
      </c>
      <c r="G412" s="388" t="s">
        <v>1193</v>
      </c>
      <c r="H412" s="390">
        <v>2</v>
      </c>
      <c r="I412" s="390">
        <v>2</v>
      </c>
      <c r="J412" s="390"/>
      <c r="K412" s="398">
        <f>_xlfn.IFNA(VLOOKUP(A412,numbering!$K$3:$L$92,2,0),0)</f>
        <v>1</v>
      </c>
    </row>
    <row r="413" spans="1:11" ht="75" hidden="1" x14ac:dyDescent="0.2">
      <c r="A413" s="390">
        <v>138</v>
      </c>
      <c r="B413" s="390" t="s">
        <v>253</v>
      </c>
      <c r="C413" s="390">
        <f>VLOOKUP(B413,numbering!$N$18:$O$30,2,0)</f>
        <v>4</v>
      </c>
      <c r="D413" s="390" t="s">
        <v>262</v>
      </c>
      <c r="E413" s="403">
        <f t="shared" si="13"/>
        <v>7</v>
      </c>
      <c r="F413" s="440" t="s">
        <v>1334</v>
      </c>
      <c r="G413" s="388" t="s">
        <v>1194</v>
      </c>
      <c r="H413" s="390">
        <v>3</v>
      </c>
      <c r="I413" s="390">
        <v>3</v>
      </c>
      <c r="J413" s="390"/>
      <c r="K413" s="398">
        <f>_xlfn.IFNA(VLOOKUP(A413,numbering!$K$3:$L$92,2,0),0)</f>
        <v>1</v>
      </c>
    </row>
    <row r="414" spans="1:11" ht="75" hidden="1" x14ac:dyDescent="0.2">
      <c r="A414" s="390">
        <v>138</v>
      </c>
      <c r="B414" s="390" t="s">
        <v>253</v>
      </c>
      <c r="C414" s="390">
        <f>VLOOKUP(B414,numbering!$N$18:$O$30,2,0)</f>
        <v>4</v>
      </c>
      <c r="D414" s="390" t="s">
        <v>262</v>
      </c>
      <c r="E414" s="403">
        <f t="shared" si="13"/>
        <v>7</v>
      </c>
      <c r="F414" s="440" t="s">
        <v>1334</v>
      </c>
      <c r="G414" s="388" t="s">
        <v>1195</v>
      </c>
      <c r="H414" s="390">
        <v>4</v>
      </c>
      <c r="I414" s="390">
        <v>4</v>
      </c>
      <c r="J414" s="390"/>
      <c r="K414" s="398">
        <f>_xlfn.IFNA(VLOOKUP(A414,numbering!$K$3:$L$92,2,0),0)</f>
        <v>1</v>
      </c>
    </row>
    <row r="415" spans="1:11" ht="75" hidden="1" x14ac:dyDescent="0.2">
      <c r="A415" s="390">
        <v>139</v>
      </c>
      <c r="B415" s="390" t="s">
        <v>253</v>
      </c>
      <c r="C415" s="390">
        <f>VLOOKUP(B415,numbering!$N$18:$O$30,2,0)</f>
        <v>4</v>
      </c>
      <c r="D415" s="390" t="s">
        <v>262</v>
      </c>
      <c r="E415" s="403">
        <f t="shared" si="13"/>
        <v>8</v>
      </c>
      <c r="F415" s="440" t="s">
        <v>1159</v>
      </c>
      <c r="G415" s="388" t="s">
        <v>1192</v>
      </c>
      <c r="H415" s="390">
        <v>1</v>
      </c>
      <c r="I415" s="390">
        <v>1</v>
      </c>
      <c r="J415" s="390"/>
      <c r="K415" s="398">
        <f>_xlfn.IFNA(VLOOKUP(A415,numbering!$K$3:$L$92,2,0),0)</f>
        <v>1</v>
      </c>
    </row>
    <row r="416" spans="1:11" ht="75" hidden="1" x14ac:dyDescent="0.2">
      <c r="A416" s="390">
        <v>139</v>
      </c>
      <c r="B416" s="390" t="s">
        <v>253</v>
      </c>
      <c r="C416" s="390">
        <f>VLOOKUP(B416,numbering!$N$18:$O$30,2,0)</f>
        <v>4</v>
      </c>
      <c r="D416" s="390" t="s">
        <v>262</v>
      </c>
      <c r="E416" s="403">
        <f t="shared" si="13"/>
        <v>8</v>
      </c>
      <c r="F416" s="440" t="s">
        <v>1159</v>
      </c>
      <c r="G416" s="388" t="s">
        <v>1193</v>
      </c>
      <c r="H416" s="390">
        <v>2</v>
      </c>
      <c r="I416" s="390">
        <v>2</v>
      </c>
      <c r="J416" s="390"/>
      <c r="K416" s="398">
        <f>_xlfn.IFNA(VLOOKUP(A416,numbering!$K$3:$L$92,2,0),0)</f>
        <v>1</v>
      </c>
    </row>
    <row r="417" spans="1:11" ht="75" hidden="1" x14ac:dyDescent="0.2">
      <c r="A417" s="390">
        <v>139</v>
      </c>
      <c r="B417" s="390" t="s">
        <v>253</v>
      </c>
      <c r="C417" s="390">
        <f>VLOOKUP(B417,numbering!$N$18:$O$30,2,0)</f>
        <v>4</v>
      </c>
      <c r="D417" s="390" t="s">
        <v>262</v>
      </c>
      <c r="E417" s="403">
        <f t="shared" si="13"/>
        <v>8</v>
      </c>
      <c r="F417" s="440" t="s">
        <v>1159</v>
      </c>
      <c r="G417" s="388" t="s">
        <v>1194</v>
      </c>
      <c r="H417" s="390">
        <v>3</v>
      </c>
      <c r="I417" s="390">
        <v>3</v>
      </c>
      <c r="J417" s="390"/>
      <c r="K417" s="398">
        <f>_xlfn.IFNA(VLOOKUP(A417,numbering!$K$3:$L$92,2,0),0)</f>
        <v>1</v>
      </c>
    </row>
    <row r="418" spans="1:11" ht="75" hidden="1" x14ac:dyDescent="0.2">
      <c r="A418" s="390">
        <v>139</v>
      </c>
      <c r="B418" s="390" t="s">
        <v>253</v>
      </c>
      <c r="C418" s="390">
        <f>VLOOKUP(B418,numbering!$N$18:$O$30,2,0)</f>
        <v>4</v>
      </c>
      <c r="D418" s="390" t="s">
        <v>262</v>
      </c>
      <c r="E418" s="403">
        <f t="shared" si="13"/>
        <v>8</v>
      </c>
      <c r="F418" s="440" t="s">
        <v>1159</v>
      </c>
      <c r="G418" s="388" t="s">
        <v>1195</v>
      </c>
      <c r="H418" s="390">
        <v>4</v>
      </c>
      <c r="I418" s="390">
        <v>4</v>
      </c>
      <c r="J418" s="390"/>
      <c r="K418" s="398">
        <f>_xlfn.IFNA(VLOOKUP(A418,numbering!$K$3:$L$92,2,0),0)</f>
        <v>1</v>
      </c>
    </row>
    <row r="419" spans="1:11" ht="60" hidden="1" x14ac:dyDescent="0.2">
      <c r="A419" s="390">
        <v>140</v>
      </c>
      <c r="B419" s="390" t="s">
        <v>253</v>
      </c>
      <c r="C419" s="390">
        <f>VLOOKUP(B419,numbering!$N$18:$O$30,2,0)</f>
        <v>4</v>
      </c>
      <c r="D419" s="390" t="s">
        <v>262</v>
      </c>
      <c r="E419" s="403">
        <f t="shared" si="13"/>
        <v>9</v>
      </c>
      <c r="F419" s="440" t="s">
        <v>263</v>
      </c>
      <c r="G419" s="388" t="s">
        <v>1192</v>
      </c>
      <c r="H419" s="390">
        <v>1</v>
      </c>
      <c r="I419" s="390">
        <v>1</v>
      </c>
      <c r="J419" s="390"/>
      <c r="K419" s="398">
        <f>_xlfn.IFNA(VLOOKUP(A419,numbering!$K$3:$L$92,2,0),0)</f>
        <v>1</v>
      </c>
    </row>
    <row r="420" spans="1:11" ht="60" hidden="1" x14ac:dyDescent="0.2">
      <c r="A420" s="390">
        <v>140</v>
      </c>
      <c r="B420" s="390" t="s">
        <v>253</v>
      </c>
      <c r="C420" s="390">
        <f>VLOOKUP(B420,numbering!$N$18:$O$30,2,0)</f>
        <v>4</v>
      </c>
      <c r="D420" s="390" t="s">
        <v>262</v>
      </c>
      <c r="E420" s="403">
        <f t="shared" si="13"/>
        <v>9</v>
      </c>
      <c r="F420" s="440" t="s">
        <v>263</v>
      </c>
      <c r="G420" s="388" t="s">
        <v>1193</v>
      </c>
      <c r="H420" s="390">
        <v>2</v>
      </c>
      <c r="I420" s="390">
        <v>2</v>
      </c>
      <c r="J420" s="390"/>
      <c r="K420" s="398">
        <f>_xlfn.IFNA(VLOOKUP(A420,numbering!$K$3:$L$92,2,0),0)</f>
        <v>1</v>
      </c>
    </row>
    <row r="421" spans="1:11" ht="60" hidden="1" x14ac:dyDescent="0.2">
      <c r="A421" s="390">
        <v>140</v>
      </c>
      <c r="B421" s="390" t="s">
        <v>253</v>
      </c>
      <c r="C421" s="390">
        <f>VLOOKUP(B421,numbering!$N$18:$O$30,2,0)</f>
        <v>4</v>
      </c>
      <c r="D421" s="390" t="s">
        <v>262</v>
      </c>
      <c r="E421" s="403">
        <f t="shared" si="13"/>
        <v>9</v>
      </c>
      <c r="F421" s="440" t="s">
        <v>263</v>
      </c>
      <c r="G421" s="388" t="s">
        <v>1194</v>
      </c>
      <c r="H421" s="390">
        <v>3</v>
      </c>
      <c r="I421" s="390">
        <v>3</v>
      </c>
      <c r="J421" s="390"/>
      <c r="K421" s="398">
        <f>_xlfn.IFNA(VLOOKUP(A421,numbering!$K$3:$L$92,2,0),0)</f>
        <v>1</v>
      </c>
    </row>
    <row r="422" spans="1:11" ht="60" hidden="1" x14ac:dyDescent="0.2">
      <c r="A422" s="390">
        <v>140</v>
      </c>
      <c r="B422" s="390" t="s">
        <v>253</v>
      </c>
      <c r="C422" s="390">
        <f>VLOOKUP(B422,numbering!$N$18:$O$30,2,0)</f>
        <v>4</v>
      </c>
      <c r="D422" s="390" t="s">
        <v>262</v>
      </c>
      <c r="E422" s="403">
        <f t="shared" si="13"/>
        <v>9</v>
      </c>
      <c r="F422" s="440" t="s">
        <v>263</v>
      </c>
      <c r="G422" s="388" t="s">
        <v>1195</v>
      </c>
      <c r="H422" s="390">
        <v>4</v>
      </c>
      <c r="I422" s="390">
        <v>4</v>
      </c>
      <c r="J422" s="390"/>
      <c r="K422" s="398">
        <f>_xlfn.IFNA(VLOOKUP(A422,numbering!$K$3:$L$92,2,0),0)</f>
        <v>1</v>
      </c>
    </row>
    <row r="423" spans="1:11" ht="16" hidden="1" x14ac:dyDescent="0.2">
      <c r="A423" s="390">
        <v>141</v>
      </c>
      <c r="B423" s="390" t="s">
        <v>253</v>
      </c>
      <c r="C423" s="390">
        <f>VLOOKUP(B423,numbering!$N$18:$O$30,2,0)</f>
        <v>4</v>
      </c>
      <c r="D423" s="390" t="s">
        <v>264</v>
      </c>
      <c r="E423" s="403">
        <f>IF(C423&lt;&gt;C422,1,IF(D423&lt;&gt;D422,E422+1,E422))</f>
        <v>10</v>
      </c>
      <c r="F423" s="434" t="s">
        <v>265</v>
      </c>
      <c r="G423" s="407" t="s">
        <v>7</v>
      </c>
      <c r="H423" s="398">
        <v>1</v>
      </c>
      <c r="I423" s="398">
        <v>1</v>
      </c>
      <c r="J423" s="398"/>
      <c r="K423" s="398">
        <f>_xlfn.IFNA(VLOOKUP(A423,numbering!$K$3:$L$92,2,0),0)</f>
        <v>0</v>
      </c>
    </row>
    <row r="424" spans="1:11" ht="16" hidden="1" x14ac:dyDescent="0.2">
      <c r="A424" s="390">
        <v>141</v>
      </c>
      <c r="B424" s="390" t="s">
        <v>253</v>
      </c>
      <c r="C424" s="390">
        <f>VLOOKUP(B424,numbering!$N$18:$O$30,2,0)</f>
        <v>4</v>
      </c>
      <c r="D424" s="390" t="s">
        <v>264</v>
      </c>
      <c r="E424" s="403">
        <f>IF(C424&lt;&gt;C423,1,IF(D424&lt;&gt;D423,E423+1,E423))</f>
        <v>10</v>
      </c>
      <c r="F424" s="434" t="s">
        <v>265</v>
      </c>
      <c r="G424" s="407" t="s">
        <v>8</v>
      </c>
      <c r="H424" s="398">
        <v>4</v>
      </c>
      <c r="I424" s="398">
        <v>4</v>
      </c>
      <c r="J424" s="398"/>
      <c r="K424" s="398">
        <f>_xlfn.IFNA(VLOOKUP(A424,numbering!$K$3:$L$92,2,0),0)</f>
        <v>0</v>
      </c>
    </row>
    <row r="425" spans="1:11" ht="60" hidden="1" x14ac:dyDescent="0.2">
      <c r="A425" s="390">
        <v>142</v>
      </c>
      <c r="B425" s="390" t="s">
        <v>253</v>
      </c>
      <c r="C425" s="390">
        <f>VLOOKUP(B425,numbering!$N$18:$O$30,2,0)</f>
        <v>4</v>
      </c>
      <c r="D425" s="390" t="s">
        <v>264</v>
      </c>
      <c r="E425" s="403">
        <f>IF(C425&lt;&gt;C424,1,IF(F425&lt;&gt;F424,E424+1,E424))</f>
        <v>11</v>
      </c>
      <c r="F425" s="424" t="s">
        <v>1335</v>
      </c>
      <c r="G425" s="388" t="s">
        <v>1192</v>
      </c>
      <c r="H425" s="390">
        <v>1</v>
      </c>
      <c r="I425" s="390">
        <v>1</v>
      </c>
      <c r="J425" s="390"/>
      <c r="K425" s="398">
        <f>_xlfn.IFNA(VLOOKUP(A425,numbering!$K$3:$L$92,2,0),0)</f>
        <v>1</v>
      </c>
    </row>
    <row r="426" spans="1:11" ht="60" hidden="1" x14ac:dyDescent="0.2">
      <c r="A426" s="390">
        <v>142</v>
      </c>
      <c r="B426" s="390" t="s">
        <v>253</v>
      </c>
      <c r="C426" s="390">
        <f>VLOOKUP(B426,numbering!$N$18:$O$30,2,0)</f>
        <v>4</v>
      </c>
      <c r="D426" s="390" t="s">
        <v>264</v>
      </c>
      <c r="E426" s="403">
        <f t="shared" ref="E426:E432" si="14">IF(C426&lt;&gt;C425,1,IF(F426&lt;&gt;F425,E425+1,E425))</f>
        <v>11</v>
      </c>
      <c r="F426" s="424" t="s">
        <v>1335</v>
      </c>
      <c r="G426" s="388" t="s">
        <v>1193</v>
      </c>
      <c r="H426" s="390">
        <v>2</v>
      </c>
      <c r="I426" s="390">
        <v>2</v>
      </c>
      <c r="J426" s="390"/>
      <c r="K426" s="398">
        <f>_xlfn.IFNA(VLOOKUP(A426,numbering!$K$3:$L$92,2,0),0)</f>
        <v>1</v>
      </c>
    </row>
    <row r="427" spans="1:11" ht="60" hidden="1" x14ac:dyDescent="0.2">
      <c r="A427" s="390">
        <v>142</v>
      </c>
      <c r="B427" s="390" t="s">
        <v>253</v>
      </c>
      <c r="C427" s="390">
        <f>VLOOKUP(B427,numbering!$N$18:$O$30,2,0)</f>
        <v>4</v>
      </c>
      <c r="D427" s="390" t="s">
        <v>264</v>
      </c>
      <c r="E427" s="403">
        <f t="shared" si="14"/>
        <v>11</v>
      </c>
      <c r="F427" s="424" t="s">
        <v>1335</v>
      </c>
      <c r="G427" s="388" t="s">
        <v>1194</v>
      </c>
      <c r="H427" s="390">
        <v>3</v>
      </c>
      <c r="I427" s="390">
        <v>3</v>
      </c>
      <c r="J427" s="390"/>
      <c r="K427" s="398">
        <f>_xlfn.IFNA(VLOOKUP(A427,numbering!$K$3:$L$92,2,0),0)</f>
        <v>1</v>
      </c>
    </row>
    <row r="428" spans="1:11" ht="60" hidden="1" x14ac:dyDescent="0.2">
      <c r="A428" s="390">
        <v>142</v>
      </c>
      <c r="B428" s="390" t="s">
        <v>253</v>
      </c>
      <c r="C428" s="390">
        <f>VLOOKUP(B428,numbering!$N$18:$O$30,2,0)</f>
        <v>4</v>
      </c>
      <c r="D428" s="390" t="s">
        <v>264</v>
      </c>
      <c r="E428" s="403">
        <f t="shared" si="14"/>
        <v>11</v>
      </c>
      <c r="F428" s="424" t="s">
        <v>1335</v>
      </c>
      <c r="G428" s="388" t="s">
        <v>1195</v>
      </c>
      <c r="H428" s="390">
        <v>4</v>
      </c>
      <c r="I428" s="390">
        <v>4</v>
      </c>
      <c r="J428" s="390"/>
      <c r="K428" s="398">
        <f>_xlfn.IFNA(VLOOKUP(A428,numbering!$K$3:$L$92,2,0),0)</f>
        <v>1</v>
      </c>
    </row>
    <row r="429" spans="1:11" ht="60" hidden="1" x14ac:dyDescent="0.2">
      <c r="A429" s="390">
        <v>143</v>
      </c>
      <c r="B429" s="390" t="s">
        <v>253</v>
      </c>
      <c r="C429" s="390">
        <f>VLOOKUP(B429,numbering!$N$18:$O$30,2,0)</f>
        <v>4</v>
      </c>
      <c r="D429" s="390" t="s">
        <v>264</v>
      </c>
      <c r="E429" s="403">
        <f t="shared" si="14"/>
        <v>12</v>
      </c>
      <c r="F429" s="424" t="s">
        <v>1323</v>
      </c>
      <c r="G429" s="388" t="s">
        <v>1192</v>
      </c>
      <c r="H429" s="390">
        <v>1</v>
      </c>
      <c r="I429" s="390">
        <v>1</v>
      </c>
      <c r="J429" s="390"/>
      <c r="K429" s="398">
        <f>_xlfn.IFNA(VLOOKUP(A429,numbering!$K$3:$L$92,2,0),0)</f>
        <v>1</v>
      </c>
    </row>
    <row r="430" spans="1:11" ht="60" hidden="1" x14ac:dyDescent="0.2">
      <c r="A430" s="390">
        <v>143</v>
      </c>
      <c r="B430" s="390" t="s">
        <v>253</v>
      </c>
      <c r="C430" s="390">
        <f>VLOOKUP(B430,numbering!$N$18:$O$30,2,0)</f>
        <v>4</v>
      </c>
      <c r="D430" s="390" t="s">
        <v>264</v>
      </c>
      <c r="E430" s="403">
        <f t="shared" si="14"/>
        <v>12</v>
      </c>
      <c r="F430" s="424" t="s">
        <v>1323</v>
      </c>
      <c r="G430" s="388" t="s">
        <v>1193</v>
      </c>
      <c r="H430" s="390">
        <v>2</v>
      </c>
      <c r="I430" s="390">
        <v>2</v>
      </c>
      <c r="J430" s="390"/>
      <c r="K430" s="398">
        <f>_xlfn.IFNA(VLOOKUP(A430,numbering!$K$3:$L$92,2,0),0)</f>
        <v>1</v>
      </c>
    </row>
    <row r="431" spans="1:11" ht="60" hidden="1" x14ac:dyDescent="0.2">
      <c r="A431" s="390">
        <v>143</v>
      </c>
      <c r="B431" s="390" t="s">
        <v>253</v>
      </c>
      <c r="C431" s="390">
        <f>VLOOKUP(B431,numbering!$N$18:$O$30,2,0)</f>
        <v>4</v>
      </c>
      <c r="D431" s="390" t="s">
        <v>264</v>
      </c>
      <c r="E431" s="403">
        <f t="shared" si="14"/>
        <v>12</v>
      </c>
      <c r="F431" s="424" t="s">
        <v>1323</v>
      </c>
      <c r="G431" s="388" t="s">
        <v>1194</v>
      </c>
      <c r="H431" s="390">
        <v>3</v>
      </c>
      <c r="I431" s="390">
        <v>3</v>
      </c>
      <c r="J431" s="390"/>
      <c r="K431" s="398">
        <f>_xlfn.IFNA(VLOOKUP(A431,numbering!$K$3:$L$92,2,0),0)</f>
        <v>1</v>
      </c>
    </row>
    <row r="432" spans="1:11" ht="60" hidden="1" x14ac:dyDescent="0.2">
      <c r="A432" s="390">
        <v>143</v>
      </c>
      <c r="B432" s="390" t="s">
        <v>253</v>
      </c>
      <c r="C432" s="390">
        <f>VLOOKUP(B432,numbering!$N$18:$O$30,2,0)</f>
        <v>4</v>
      </c>
      <c r="D432" s="390" t="s">
        <v>264</v>
      </c>
      <c r="E432" s="403">
        <f t="shared" si="14"/>
        <v>12</v>
      </c>
      <c r="F432" s="424" t="s">
        <v>1323</v>
      </c>
      <c r="G432" s="388" t="s">
        <v>1195</v>
      </c>
      <c r="H432" s="390">
        <v>4</v>
      </c>
      <c r="I432" s="390">
        <v>4</v>
      </c>
      <c r="J432" s="390"/>
      <c r="K432" s="398">
        <f>_xlfn.IFNA(VLOOKUP(A432,numbering!$K$3:$L$92,2,0),0)</f>
        <v>1</v>
      </c>
    </row>
    <row r="433" spans="1:11" ht="16" hidden="1" x14ac:dyDescent="0.2">
      <c r="A433" s="390">
        <v>144</v>
      </c>
      <c r="B433" s="390" t="s">
        <v>253</v>
      </c>
      <c r="C433" s="390">
        <f>VLOOKUP(B433,numbering!$N$18:$O$30,2,0)</f>
        <v>4</v>
      </c>
      <c r="D433" s="390" t="s">
        <v>266</v>
      </c>
      <c r="E433" s="403">
        <f t="shared" ref="E433:E464" si="15">IF(C433&lt;&gt;C432,1,IF(D433&lt;&gt;D432,E432+1,E432))</f>
        <v>13</v>
      </c>
      <c r="F433" s="433" t="s">
        <v>267</v>
      </c>
      <c r="G433" s="388" t="s">
        <v>7</v>
      </c>
      <c r="H433" s="390">
        <v>1</v>
      </c>
      <c r="I433" s="390">
        <v>1</v>
      </c>
      <c r="J433" s="390"/>
      <c r="K433" s="398">
        <f>_xlfn.IFNA(VLOOKUP(A433,numbering!$K$3:$L$92,2,0),0)</f>
        <v>0</v>
      </c>
    </row>
    <row r="434" spans="1:11" ht="16" hidden="1" x14ac:dyDescent="0.2">
      <c r="A434" s="390">
        <v>144</v>
      </c>
      <c r="B434" s="390" t="s">
        <v>253</v>
      </c>
      <c r="C434" s="390">
        <f>VLOOKUP(B434,numbering!$N$18:$O$30,2,0)</f>
        <v>4</v>
      </c>
      <c r="D434" s="390" t="s">
        <v>266</v>
      </c>
      <c r="E434" s="403">
        <f t="shared" si="15"/>
        <v>13</v>
      </c>
      <c r="F434" s="433" t="s">
        <v>267</v>
      </c>
      <c r="G434" s="388" t="s">
        <v>8</v>
      </c>
      <c r="H434" s="390">
        <v>4</v>
      </c>
      <c r="I434" s="390">
        <v>4</v>
      </c>
      <c r="J434" s="390"/>
      <c r="K434" s="398">
        <f>_xlfn.IFNA(VLOOKUP(A434,numbering!$K$3:$L$92,2,0),0)</f>
        <v>0</v>
      </c>
    </row>
    <row r="435" spans="1:11" ht="56" hidden="1" x14ac:dyDescent="0.2">
      <c r="A435" s="390">
        <v>145</v>
      </c>
      <c r="B435" s="390" t="s">
        <v>253</v>
      </c>
      <c r="C435" s="390">
        <f>VLOOKUP(B435,numbering!$N$18:$O$30,2,0)</f>
        <v>4</v>
      </c>
      <c r="D435" s="390" t="s">
        <v>266</v>
      </c>
      <c r="E435" s="403">
        <f t="shared" si="15"/>
        <v>13</v>
      </c>
      <c r="F435" s="433" t="s">
        <v>268</v>
      </c>
      <c r="G435" s="388" t="s">
        <v>1192</v>
      </c>
      <c r="H435" s="390">
        <v>1</v>
      </c>
      <c r="I435" s="390">
        <v>1</v>
      </c>
      <c r="J435" s="390"/>
      <c r="K435" s="398">
        <f>_xlfn.IFNA(VLOOKUP(A435,numbering!$K$3:$L$92,2,0),0)</f>
        <v>0</v>
      </c>
    </row>
    <row r="436" spans="1:11" ht="56" hidden="1" x14ac:dyDescent="0.2">
      <c r="A436" s="390">
        <v>145</v>
      </c>
      <c r="B436" s="390" t="s">
        <v>253</v>
      </c>
      <c r="C436" s="390">
        <f>VLOOKUP(B436,numbering!$N$18:$O$30,2,0)</f>
        <v>4</v>
      </c>
      <c r="D436" s="390" t="s">
        <v>266</v>
      </c>
      <c r="E436" s="403">
        <f t="shared" si="15"/>
        <v>13</v>
      </c>
      <c r="F436" s="433" t="s">
        <v>268</v>
      </c>
      <c r="G436" s="388" t="s">
        <v>1193</v>
      </c>
      <c r="H436" s="390">
        <v>2</v>
      </c>
      <c r="I436" s="390">
        <v>2</v>
      </c>
      <c r="J436" s="390"/>
      <c r="K436" s="398">
        <f>_xlfn.IFNA(VLOOKUP(A436,numbering!$K$3:$L$92,2,0),0)</f>
        <v>0</v>
      </c>
    </row>
    <row r="437" spans="1:11" ht="56" hidden="1" x14ac:dyDescent="0.2">
      <c r="A437" s="390">
        <v>145</v>
      </c>
      <c r="B437" s="390" t="s">
        <v>253</v>
      </c>
      <c r="C437" s="390">
        <f>VLOOKUP(B437,numbering!$N$18:$O$30,2,0)</f>
        <v>4</v>
      </c>
      <c r="D437" s="390" t="s">
        <v>266</v>
      </c>
      <c r="E437" s="403">
        <f t="shared" si="15"/>
        <v>13</v>
      </c>
      <c r="F437" s="433" t="s">
        <v>268</v>
      </c>
      <c r="G437" s="388" t="s">
        <v>1194</v>
      </c>
      <c r="H437" s="390">
        <v>3</v>
      </c>
      <c r="I437" s="390">
        <v>3</v>
      </c>
      <c r="J437" s="390"/>
      <c r="K437" s="398">
        <f>_xlfn.IFNA(VLOOKUP(A437,numbering!$K$3:$L$92,2,0),0)</f>
        <v>0</v>
      </c>
    </row>
    <row r="438" spans="1:11" ht="56" hidden="1" x14ac:dyDescent="0.2">
      <c r="A438" s="390">
        <v>145</v>
      </c>
      <c r="B438" s="390" t="s">
        <v>253</v>
      </c>
      <c r="C438" s="390">
        <f>VLOOKUP(B438,numbering!$N$18:$O$30,2,0)</f>
        <v>4</v>
      </c>
      <c r="D438" s="390" t="s">
        <v>266</v>
      </c>
      <c r="E438" s="403">
        <f t="shared" si="15"/>
        <v>13</v>
      </c>
      <c r="F438" s="433" t="s">
        <v>268</v>
      </c>
      <c r="G438" s="388" t="s">
        <v>1195</v>
      </c>
      <c r="H438" s="390">
        <v>4</v>
      </c>
      <c r="I438" s="390">
        <v>4</v>
      </c>
      <c r="J438" s="390"/>
      <c r="K438" s="398">
        <f>_xlfn.IFNA(VLOOKUP(A438,numbering!$K$3:$L$92,2,0),0)</f>
        <v>0</v>
      </c>
    </row>
    <row r="439" spans="1:11" ht="56" hidden="1" x14ac:dyDescent="0.2">
      <c r="A439" s="390">
        <v>146</v>
      </c>
      <c r="B439" s="390" t="s">
        <v>253</v>
      </c>
      <c r="C439" s="390">
        <f>VLOOKUP(B439,numbering!$N$18:$O$30,2,0)</f>
        <v>4</v>
      </c>
      <c r="D439" s="390" t="s">
        <v>266</v>
      </c>
      <c r="E439" s="403">
        <f t="shared" si="15"/>
        <v>13</v>
      </c>
      <c r="F439" s="433" t="s">
        <v>269</v>
      </c>
      <c r="G439" s="388" t="s">
        <v>1192</v>
      </c>
      <c r="H439" s="390">
        <v>1</v>
      </c>
      <c r="I439" s="390">
        <v>1</v>
      </c>
      <c r="J439" s="390"/>
      <c r="K439" s="398">
        <f>_xlfn.IFNA(VLOOKUP(A439,numbering!$K$3:$L$92,2,0),0)</f>
        <v>0</v>
      </c>
    </row>
    <row r="440" spans="1:11" ht="56" hidden="1" x14ac:dyDescent="0.2">
      <c r="A440" s="390">
        <v>146</v>
      </c>
      <c r="B440" s="390" t="s">
        <v>253</v>
      </c>
      <c r="C440" s="390">
        <f>VLOOKUP(B440,numbering!$N$18:$O$30,2,0)</f>
        <v>4</v>
      </c>
      <c r="D440" s="390" t="s">
        <v>266</v>
      </c>
      <c r="E440" s="403">
        <f t="shared" si="15"/>
        <v>13</v>
      </c>
      <c r="F440" s="433" t="s">
        <v>269</v>
      </c>
      <c r="G440" s="388" t="s">
        <v>1193</v>
      </c>
      <c r="H440" s="390">
        <v>2</v>
      </c>
      <c r="I440" s="390">
        <v>2</v>
      </c>
      <c r="J440" s="390"/>
      <c r="K440" s="398">
        <f>_xlfn.IFNA(VLOOKUP(A440,numbering!$K$3:$L$92,2,0),0)</f>
        <v>0</v>
      </c>
    </row>
    <row r="441" spans="1:11" ht="56" hidden="1" x14ac:dyDescent="0.2">
      <c r="A441" s="390">
        <v>146</v>
      </c>
      <c r="B441" s="390" t="s">
        <v>253</v>
      </c>
      <c r="C441" s="390">
        <f>VLOOKUP(B441,numbering!$N$18:$O$30,2,0)</f>
        <v>4</v>
      </c>
      <c r="D441" s="390" t="s">
        <v>266</v>
      </c>
      <c r="E441" s="403">
        <f t="shared" si="15"/>
        <v>13</v>
      </c>
      <c r="F441" s="433" t="s">
        <v>269</v>
      </c>
      <c r="G441" s="388" t="s">
        <v>1194</v>
      </c>
      <c r="H441" s="390">
        <v>3</v>
      </c>
      <c r="I441" s="390">
        <v>3</v>
      </c>
      <c r="J441" s="390"/>
      <c r="K441" s="398">
        <f>_xlfn.IFNA(VLOOKUP(A441,numbering!$K$3:$L$92,2,0),0)</f>
        <v>0</v>
      </c>
    </row>
    <row r="442" spans="1:11" ht="56" hidden="1" x14ac:dyDescent="0.2">
      <c r="A442" s="390">
        <v>146</v>
      </c>
      <c r="B442" s="390" t="s">
        <v>253</v>
      </c>
      <c r="C442" s="390">
        <f>VLOOKUP(B442,numbering!$N$18:$O$30,2,0)</f>
        <v>4</v>
      </c>
      <c r="D442" s="390" t="s">
        <v>266</v>
      </c>
      <c r="E442" s="403">
        <f t="shared" si="15"/>
        <v>13</v>
      </c>
      <c r="F442" s="433" t="s">
        <v>269</v>
      </c>
      <c r="G442" s="388" t="s">
        <v>1195</v>
      </c>
      <c r="H442" s="390">
        <v>4</v>
      </c>
      <c r="I442" s="390">
        <v>4</v>
      </c>
      <c r="J442" s="390"/>
      <c r="K442" s="398">
        <f>_xlfn.IFNA(VLOOKUP(A442,numbering!$K$3:$L$92,2,0),0)</f>
        <v>0</v>
      </c>
    </row>
    <row r="443" spans="1:11" ht="56" hidden="1" x14ac:dyDescent="0.2">
      <c r="A443" s="390">
        <v>147</v>
      </c>
      <c r="B443" s="390" t="s">
        <v>253</v>
      </c>
      <c r="C443" s="390">
        <f>VLOOKUP(B443,numbering!$N$18:$O$30,2,0)</f>
        <v>4</v>
      </c>
      <c r="D443" s="390" t="s">
        <v>266</v>
      </c>
      <c r="E443" s="403">
        <f t="shared" si="15"/>
        <v>13</v>
      </c>
      <c r="F443" s="433" t="s">
        <v>270</v>
      </c>
      <c r="G443" s="388" t="s">
        <v>1192</v>
      </c>
      <c r="H443" s="390">
        <v>1</v>
      </c>
      <c r="I443" s="390">
        <v>1</v>
      </c>
      <c r="J443" s="390"/>
      <c r="K443" s="398">
        <f>_xlfn.IFNA(VLOOKUP(A443,numbering!$K$3:$L$92,2,0),0)</f>
        <v>0</v>
      </c>
    </row>
    <row r="444" spans="1:11" ht="56" hidden="1" x14ac:dyDescent="0.2">
      <c r="A444" s="390">
        <v>147</v>
      </c>
      <c r="B444" s="390" t="s">
        <v>253</v>
      </c>
      <c r="C444" s="390">
        <f>VLOOKUP(B444,numbering!$N$18:$O$30,2,0)</f>
        <v>4</v>
      </c>
      <c r="D444" s="390" t="s">
        <v>266</v>
      </c>
      <c r="E444" s="403">
        <f t="shared" si="15"/>
        <v>13</v>
      </c>
      <c r="F444" s="433" t="s">
        <v>270</v>
      </c>
      <c r="G444" s="388" t="s">
        <v>1193</v>
      </c>
      <c r="H444" s="390">
        <v>2</v>
      </c>
      <c r="I444" s="390">
        <v>2</v>
      </c>
      <c r="J444" s="390"/>
      <c r="K444" s="398">
        <f>_xlfn.IFNA(VLOOKUP(A444,numbering!$K$3:$L$92,2,0),0)</f>
        <v>0</v>
      </c>
    </row>
    <row r="445" spans="1:11" ht="56" hidden="1" x14ac:dyDescent="0.2">
      <c r="A445" s="390">
        <v>147</v>
      </c>
      <c r="B445" s="390" t="s">
        <v>253</v>
      </c>
      <c r="C445" s="390">
        <f>VLOOKUP(B445,numbering!$N$18:$O$30,2,0)</f>
        <v>4</v>
      </c>
      <c r="D445" s="390" t="s">
        <v>266</v>
      </c>
      <c r="E445" s="403">
        <f t="shared" si="15"/>
        <v>13</v>
      </c>
      <c r="F445" s="433" t="s">
        <v>270</v>
      </c>
      <c r="G445" s="388" t="s">
        <v>1194</v>
      </c>
      <c r="H445" s="390">
        <v>3</v>
      </c>
      <c r="I445" s="390">
        <v>3</v>
      </c>
      <c r="J445" s="390"/>
      <c r="K445" s="398">
        <f>_xlfn.IFNA(VLOOKUP(A445,numbering!$K$3:$L$92,2,0),0)</f>
        <v>0</v>
      </c>
    </row>
    <row r="446" spans="1:11" ht="56" hidden="1" x14ac:dyDescent="0.2">
      <c r="A446" s="390">
        <v>147</v>
      </c>
      <c r="B446" s="390" t="s">
        <v>253</v>
      </c>
      <c r="C446" s="390">
        <f>VLOOKUP(B446,numbering!$N$18:$O$30,2,0)</f>
        <v>4</v>
      </c>
      <c r="D446" s="390" t="s">
        <v>266</v>
      </c>
      <c r="E446" s="403">
        <f t="shared" si="15"/>
        <v>13</v>
      </c>
      <c r="F446" s="433" t="s">
        <v>270</v>
      </c>
      <c r="G446" s="388" t="s">
        <v>1195</v>
      </c>
      <c r="H446" s="390">
        <v>4</v>
      </c>
      <c r="I446" s="390">
        <v>4</v>
      </c>
      <c r="J446" s="390"/>
      <c r="K446" s="398">
        <f>_xlfn.IFNA(VLOOKUP(A446,numbering!$K$3:$L$92,2,0),0)</f>
        <v>0</v>
      </c>
    </row>
    <row r="447" spans="1:11" ht="70" hidden="1" x14ac:dyDescent="0.2">
      <c r="A447" s="390">
        <v>148</v>
      </c>
      <c r="B447" s="390" t="s">
        <v>253</v>
      </c>
      <c r="C447" s="390">
        <f>VLOOKUP(B447,numbering!$N$18:$O$30,2,0)</f>
        <v>4</v>
      </c>
      <c r="D447" s="390" t="s">
        <v>266</v>
      </c>
      <c r="E447" s="403">
        <f t="shared" si="15"/>
        <v>13</v>
      </c>
      <c r="F447" s="433" t="s">
        <v>271</v>
      </c>
      <c r="G447" s="388" t="s">
        <v>1192</v>
      </c>
      <c r="H447" s="390">
        <v>1</v>
      </c>
      <c r="I447" s="390">
        <v>1</v>
      </c>
      <c r="J447" s="390"/>
      <c r="K447" s="398">
        <f>_xlfn.IFNA(VLOOKUP(A447,numbering!$K$3:$L$92,2,0),0)</f>
        <v>0</v>
      </c>
    </row>
    <row r="448" spans="1:11" ht="70" hidden="1" x14ac:dyDescent="0.2">
      <c r="A448" s="390">
        <v>148</v>
      </c>
      <c r="B448" s="390" t="s">
        <v>253</v>
      </c>
      <c r="C448" s="390">
        <f>VLOOKUP(B448,numbering!$N$18:$O$30,2,0)</f>
        <v>4</v>
      </c>
      <c r="D448" s="390" t="s">
        <v>266</v>
      </c>
      <c r="E448" s="403">
        <f t="shared" si="15"/>
        <v>13</v>
      </c>
      <c r="F448" s="433" t="s">
        <v>271</v>
      </c>
      <c r="G448" s="388" t="s">
        <v>1193</v>
      </c>
      <c r="H448" s="390">
        <v>2</v>
      </c>
      <c r="I448" s="390">
        <v>2</v>
      </c>
      <c r="J448" s="390"/>
      <c r="K448" s="398">
        <f>_xlfn.IFNA(VLOOKUP(A448,numbering!$K$3:$L$92,2,0),0)</f>
        <v>0</v>
      </c>
    </row>
    <row r="449" spans="1:11" ht="70" hidden="1" x14ac:dyDescent="0.2">
      <c r="A449" s="390">
        <v>148</v>
      </c>
      <c r="B449" s="390" t="s">
        <v>253</v>
      </c>
      <c r="C449" s="390">
        <f>VLOOKUP(B449,numbering!$N$18:$O$30,2,0)</f>
        <v>4</v>
      </c>
      <c r="D449" s="390" t="s">
        <v>266</v>
      </c>
      <c r="E449" s="403">
        <f t="shared" si="15"/>
        <v>13</v>
      </c>
      <c r="F449" s="433" t="s">
        <v>271</v>
      </c>
      <c r="G449" s="388" t="s">
        <v>1194</v>
      </c>
      <c r="H449" s="390">
        <v>3</v>
      </c>
      <c r="I449" s="390">
        <v>3</v>
      </c>
      <c r="J449" s="390"/>
      <c r="K449" s="398">
        <f>_xlfn.IFNA(VLOOKUP(A449,numbering!$K$3:$L$92,2,0),0)</f>
        <v>0</v>
      </c>
    </row>
    <row r="450" spans="1:11" ht="70" hidden="1" x14ac:dyDescent="0.2">
      <c r="A450" s="390">
        <v>148</v>
      </c>
      <c r="B450" s="390" t="s">
        <v>253</v>
      </c>
      <c r="C450" s="390">
        <f>VLOOKUP(B450,numbering!$N$18:$O$30,2,0)</f>
        <v>4</v>
      </c>
      <c r="D450" s="390" t="s">
        <v>266</v>
      </c>
      <c r="E450" s="403">
        <f t="shared" si="15"/>
        <v>13</v>
      </c>
      <c r="F450" s="433" t="s">
        <v>271</v>
      </c>
      <c r="G450" s="388" t="s">
        <v>1195</v>
      </c>
      <c r="H450" s="390">
        <v>4</v>
      </c>
      <c r="I450" s="390">
        <v>4</v>
      </c>
      <c r="J450" s="390"/>
      <c r="K450" s="398">
        <f>_xlfn.IFNA(VLOOKUP(A450,numbering!$K$3:$L$92,2,0),0)</f>
        <v>0</v>
      </c>
    </row>
    <row r="451" spans="1:11" ht="56" hidden="1" x14ac:dyDescent="0.2">
      <c r="A451" s="390">
        <v>149</v>
      </c>
      <c r="B451" s="390" t="s">
        <v>253</v>
      </c>
      <c r="C451" s="390">
        <f>VLOOKUP(B451,numbering!$N$18:$O$30,2,0)</f>
        <v>4</v>
      </c>
      <c r="D451" s="390" t="s">
        <v>272</v>
      </c>
      <c r="E451" s="403">
        <f t="shared" si="15"/>
        <v>14</v>
      </c>
      <c r="F451" s="433" t="s">
        <v>273</v>
      </c>
      <c r="G451" s="388" t="s">
        <v>1192</v>
      </c>
      <c r="H451" s="390">
        <v>1</v>
      </c>
      <c r="I451" s="390">
        <v>1</v>
      </c>
      <c r="J451" s="390"/>
      <c r="K451" s="398">
        <f>_xlfn.IFNA(VLOOKUP(A451,numbering!$K$3:$L$92,2,0),0)</f>
        <v>0</v>
      </c>
    </row>
    <row r="452" spans="1:11" ht="56" hidden="1" x14ac:dyDescent="0.2">
      <c r="A452" s="390">
        <v>149</v>
      </c>
      <c r="B452" s="390" t="s">
        <v>253</v>
      </c>
      <c r="C452" s="390">
        <f>VLOOKUP(B452,numbering!$N$18:$O$30,2,0)</f>
        <v>4</v>
      </c>
      <c r="D452" s="390" t="s">
        <v>272</v>
      </c>
      <c r="E452" s="403">
        <f t="shared" si="15"/>
        <v>14</v>
      </c>
      <c r="F452" s="433" t="s">
        <v>273</v>
      </c>
      <c r="G452" s="388" t="s">
        <v>1193</v>
      </c>
      <c r="H452" s="390">
        <v>2</v>
      </c>
      <c r="I452" s="390">
        <v>2</v>
      </c>
      <c r="J452" s="390"/>
      <c r="K452" s="398">
        <f>_xlfn.IFNA(VLOOKUP(A452,numbering!$K$3:$L$92,2,0),0)</f>
        <v>0</v>
      </c>
    </row>
    <row r="453" spans="1:11" ht="56" hidden="1" x14ac:dyDescent="0.2">
      <c r="A453" s="390">
        <v>149</v>
      </c>
      <c r="B453" s="390" t="s">
        <v>253</v>
      </c>
      <c r="C453" s="390">
        <f>VLOOKUP(B453,numbering!$N$18:$O$30,2,0)</f>
        <v>4</v>
      </c>
      <c r="D453" s="390" t="s">
        <v>272</v>
      </c>
      <c r="E453" s="403">
        <f t="shared" si="15"/>
        <v>14</v>
      </c>
      <c r="F453" s="433" t="s">
        <v>273</v>
      </c>
      <c r="G453" s="388" t="s">
        <v>1194</v>
      </c>
      <c r="H453" s="390">
        <v>3</v>
      </c>
      <c r="I453" s="390">
        <v>3</v>
      </c>
      <c r="J453" s="390"/>
      <c r="K453" s="398">
        <f>_xlfn.IFNA(VLOOKUP(A453,numbering!$K$3:$L$92,2,0),0)</f>
        <v>0</v>
      </c>
    </row>
    <row r="454" spans="1:11" ht="56" hidden="1" x14ac:dyDescent="0.2">
      <c r="A454" s="390">
        <v>149</v>
      </c>
      <c r="B454" s="390" t="s">
        <v>253</v>
      </c>
      <c r="C454" s="390">
        <f>VLOOKUP(B454,numbering!$N$18:$O$30,2,0)</f>
        <v>4</v>
      </c>
      <c r="D454" s="390" t="s">
        <v>272</v>
      </c>
      <c r="E454" s="403">
        <f t="shared" si="15"/>
        <v>14</v>
      </c>
      <c r="F454" s="433" t="s">
        <v>273</v>
      </c>
      <c r="G454" s="388" t="s">
        <v>1195</v>
      </c>
      <c r="H454" s="390">
        <v>4</v>
      </c>
      <c r="I454" s="390">
        <v>4</v>
      </c>
      <c r="J454" s="390"/>
      <c r="K454" s="398">
        <f>_xlfn.IFNA(VLOOKUP(A454,numbering!$K$3:$L$92,2,0),0)</f>
        <v>0</v>
      </c>
    </row>
    <row r="455" spans="1:11" ht="56" hidden="1" x14ac:dyDescent="0.2">
      <c r="A455" s="390">
        <v>150</v>
      </c>
      <c r="B455" s="390" t="s">
        <v>253</v>
      </c>
      <c r="C455" s="390">
        <f>VLOOKUP(B455,numbering!$N$18:$O$30,2,0)</f>
        <v>4</v>
      </c>
      <c r="D455" s="390" t="s">
        <v>272</v>
      </c>
      <c r="E455" s="403">
        <f t="shared" si="15"/>
        <v>14</v>
      </c>
      <c r="F455" s="433" t="s">
        <v>274</v>
      </c>
      <c r="G455" s="388" t="s">
        <v>1192</v>
      </c>
      <c r="H455" s="390">
        <v>1</v>
      </c>
      <c r="I455" s="390">
        <v>1</v>
      </c>
      <c r="J455" s="390"/>
      <c r="K455" s="398">
        <f>_xlfn.IFNA(VLOOKUP(A455,numbering!$K$3:$L$92,2,0),0)</f>
        <v>0</v>
      </c>
    </row>
    <row r="456" spans="1:11" ht="56" hidden="1" x14ac:dyDescent="0.2">
      <c r="A456" s="390">
        <v>150</v>
      </c>
      <c r="B456" s="390" t="s">
        <v>253</v>
      </c>
      <c r="C456" s="390">
        <f>VLOOKUP(B456,numbering!$N$18:$O$30,2,0)</f>
        <v>4</v>
      </c>
      <c r="D456" s="390" t="s">
        <v>272</v>
      </c>
      <c r="E456" s="403">
        <f t="shared" si="15"/>
        <v>14</v>
      </c>
      <c r="F456" s="433" t="s">
        <v>274</v>
      </c>
      <c r="G456" s="388" t="s">
        <v>1193</v>
      </c>
      <c r="H456" s="390">
        <v>2</v>
      </c>
      <c r="I456" s="390">
        <v>2</v>
      </c>
      <c r="J456" s="390"/>
      <c r="K456" s="398">
        <f>_xlfn.IFNA(VLOOKUP(A456,numbering!$K$3:$L$92,2,0),0)</f>
        <v>0</v>
      </c>
    </row>
    <row r="457" spans="1:11" ht="56" hidden="1" x14ac:dyDescent="0.2">
      <c r="A457" s="390">
        <v>150</v>
      </c>
      <c r="B457" s="390" t="s">
        <v>253</v>
      </c>
      <c r="C457" s="390">
        <f>VLOOKUP(B457,numbering!$N$18:$O$30,2,0)</f>
        <v>4</v>
      </c>
      <c r="D457" s="390" t="s">
        <v>272</v>
      </c>
      <c r="E457" s="403">
        <f t="shared" si="15"/>
        <v>14</v>
      </c>
      <c r="F457" s="433" t="s">
        <v>274</v>
      </c>
      <c r="G457" s="388" t="s">
        <v>1194</v>
      </c>
      <c r="H457" s="390">
        <v>3</v>
      </c>
      <c r="I457" s="390">
        <v>3</v>
      </c>
      <c r="J457" s="390"/>
      <c r="K457" s="398">
        <f>_xlfn.IFNA(VLOOKUP(A457,numbering!$K$3:$L$92,2,0),0)</f>
        <v>0</v>
      </c>
    </row>
    <row r="458" spans="1:11" ht="56" hidden="1" x14ac:dyDescent="0.2">
      <c r="A458" s="390">
        <v>150</v>
      </c>
      <c r="B458" s="390" t="s">
        <v>253</v>
      </c>
      <c r="C458" s="390">
        <f>VLOOKUP(B458,numbering!$N$18:$O$30,2,0)</f>
        <v>4</v>
      </c>
      <c r="D458" s="390" t="s">
        <v>272</v>
      </c>
      <c r="E458" s="403">
        <f t="shared" si="15"/>
        <v>14</v>
      </c>
      <c r="F458" s="433" t="s">
        <v>274</v>
      </c>
      <c r="G458" s="388" t="s">
        <v>1195</v>
      </c>
      <c r="H458" s="390">
        <v>4</v>
      </c>
      <c r="I458" s="390">
        <v>4</v>
      </c>
      <c r="J458" s="390"/>
      <c r="K458" s="398">
        <f>_xlfn.IFNA(VLOOKUP(A458,numbering!$K$3:$L$92,2,0),0)</f>
        <v>0</v>
      </c>
    </row>
    <row r="459" spans="1:11" ht="70" hidden="1" x14ac:dyDescent="0.2">
      <c r="A459" s="390">
        <v>151</v>
      </c>
      <c r="B459" s="390" t="s">
        <v>253</v>
      </c>
      <c r="C459" s="390">
        <f>VLOOKUP(B459,numbering!$N$18:$O$30,2,0)</f>
        <v>4</v>
      </c>
      <c r="D459" s="390" t="s">
        <v>272</v>
      </c>
      <c r="E459" s="403">
        <f t="shared" si="15"/>
        <v>14</v>
      </c>
      <c r="F459" s="433" t="s">
        <v>275</v>
      </c>
      <c r="G459" s="388" t="s">
        <v>1192</v>
      </c>
      <c r="H459" s="390">
        <v>1</v>
      </c>
      <c r="I459" s="390">
        <v>1</v>
      </c>
      <c r="J459" s="390"/>
      <c r="K459" s="398">
        <f>_xlfn.IFNA(VLOOKUP(A459,numbering!$K$3:$L$92,2,0),0)</f>
        <v>0</v>
      </c>
    </row>
    <row r="460" spans="1:11" ht="70" hidden="1" x14ac:dyDescent="0.2">
      <c r="A460" s="390">
        <v>151</v>
      </c>
      <c r="B460" s="390" t="s">
        <v>253</v>
      </c>
      <c r="C460" s="390">
        <f>VLOOKUP(B460,numbering!$N$18:$O$30,2,0)</f>
        <v>4</v>
      </c>
      <c r="D460" s="390" t="s">
        <v>272</v>
      </c>
      <c r="E460" s="403">
        <f t="shared" si="15"/>
        <v>14</v>
      </c>
      <c r="F460" s="433" t="s">
        <v>275</v>
      </c>
      <c r="G460" s="388" t="s">
        <v>1193</v>
      </c>
      <c r="H460" s="390">
        <v>2</v>
      </c>
      <c r="I460" s="390">
        <v>2</v>
      </c>
      <c r="J460" s="390"/>
      <c r="K460" s="398">
        <f>_xlfn.IFNA(VLOOKUP(A460,numbering!$K$3:$L$92,2,0),0)</f>
        <v>0</v>
      </c>
    </row>
    <row r="461" spans="1:11" ht="70" hidden="1" x14ac:dyDescent="0.2">
      <c r="A461" s="390">
        <v>151</v>
      </c>
      <c r="B461" s="390" t="s">
        <v>253</v>
      </c>
      <c r="C461" s="390">
        <f>VLOOKUP(B461,numbering!$N$18:$O$30,2,0)</f>
        <v>4</v>
      </c>
      <c r="D461" s="390" t="s">
        <v>272</v>
      </c>
      <c r="E461" s="403">
        <f t="shared" si="15"/>
        <v>14</v>
      </c>
      <c r="F461" s="433" t="s">
        <v>275</v>
      </c>
      <c r="G461" s="388" t="s">
        <v>1194</v>
      </c>
      <c r="H461" s="390">
        <v>3</v>
      </c>
      <c r="I461" s="390">
        <v>3</v>
      </c>
      <c r="J461" s="390"/>
      <c r="K461" s="398">
        <f>_xlfn.IFNA(VLOOKUP(A461,numbering!$K$3:$L$92,2,0),0)</f>
        <v>0</v>
      </c>
    </row>
    <row r="462" spans="1:11" ht="70" hidden="1" x14ac:dyDescent="0.2">
      <c r="A462" s="390">
        <v>151</v>
      </c>
      <c r="B462" s="390" t="s">
        <v>253</v>
      </c>
      <c r="C462" s="390">
        <f>VLOOKUP(B462,numbering!$N$18:$O$30,2,0)</f>
        <v>4</v>
      </c>
      <c r="D462" s="390" t="s">
        <v>272</v>
      </c>
      <c r="E462" s="403">
        <f t="shared" si="15"/>
        <v>14</v>
      </c>
      <c r="F462" s="433" t="s">
        <v>275</v>
      </c>
      <c r="G462" s="388" t="s">
        <v>1195</v>
      </c>
      <c r="H462" s="390">
        <v>4</v>
      </c>
      <c r="I462" s="390">
        <v>4</v>
      </c>
      <c r="J462" s="390"/>
      <c r="K462" s="398">
        <f>_xlfn.IFNA(VLOOKUP(A462,numbering!$K$3:$L$92,2,0),0)</f>
        <v>0</v>
      </c>
    </row>
    <row r="463" spans="1:11" ht="70" hidden="1" x14ac:dyDescent="0.2">
      <c r="A463" s="390">
        <v>152</v>
      </c>
      <c r="B463" s="390" t="s">
        <v>253</v>
      </c>
      <c r="C463" s="390">
        <f>VLOOKUP(B463,numbering!$N$18:$O$30,2,0)</f>
        <v>4</v>
      </c>
      <c r="D463" s="390" t="s">
        <v>276</v>
      </c>
      <c r="E463" s="403">
        <f t="shared" si="15"/>
        <v>15</v>
      </c>
      <c r="F463" s="433" t="s">
        <v>277</v>
      </c>
      <c r="G463" s="388" t="s">
        <v>1192</v>
      </c>
      <c r="H463" s="390">
        <v>1</v>
      </c>
      <c r="I463" s="390">
        <v>1</v>
      </c>
      <c r="J463" s="390"/>
      <c r="K463" s="398">
        <f>_xlfn.IFNA(VLOOKUP(A463,numbering!$K$3:$L$92,2,0),0)</f>
        <v>0</v>
      </c>
    </row>
    <row r="464" spans="1:11" ht="70" hidden="1" x14ac:dyDescent="0.2">
      <c r="A464" s="390">
        <v>152</v>
      </c>
      <c r="B464" s="390" t="s">
        <v>253</v>
      </c>
      <c r="C464" s="390">
        <f>VLOOKUP(B464,numbering!$N$18:$O$30,2,0)</f>
        <v>4</v>
      </c>
      <c r="D464" s="390" t="s">
        <v>276</v>
      </c>
      <c r="E464" s="403">
        <f t="shared" si="15"/>
        <v>15</v>
      </c>
      <c r="F464" s="433" t="s">
        <v>277</v>
      </c>
      <c r="G464" s="388" t="s">
        <v>1193</v>
      </c>
      <c r="H464" s="390">
        <v>2</v>
      </c>
      <c r="I464" s="390">
        <v>2</v>
      </c>
      <c r="J464" s="390"/>
      <c r="K464" s="398">
        <f>_xlfn.IFNA(VLOOKUP(A464,numbering!$K$3:$L$92,2,0),0)</f>
        <v>0</v>
      </c>
    </row>
    <row r="465" spans="1:11" ht="70" hidden="1" x14ac:dyDescent="0.2">
      <c r="A465" s="390">
        <v>152</v>
      </c>
      <c r="B465" s="390" t="s">
        <v>253</v>
      </c>
      <c r="C465" s="390">
        <f>VLOOKUP(B465,numbering!$N$18:$O$30,2,0)</f>
        <v>4</v>
      </c>
      <c r="D465" s="390" t="s">
        <v>276</v>
      </c>
      <c r="E465" s="403">
        <f t="shared" ref="E465:E484" si="16">IF(C465&lt;&gt;C464,1,IF(D465&lt;&gt;D464,E464+1,E464))</f>
        <v>15</v>
      </c>
      <c r="F465" s="433" t="s">
        <v>277</v>
      </c>
      <c r="G465" s="388" t="s">
        <v>1194</v>
      </c>
      <c r="H465" s="390">
        <v>3</v>
      </c>
      <c r="I465" s="390">
        <v>3</v>
      </c>
      <c r="J465" s="390"/>
      <c r="K465" s="398">
        <f>_xlfn.IFNA(VLOOKUP(A465,numbering!$K$3:$L$92,2,0),0)</f>
        <v>0</v>
      </c>
    </row>
    <row r="466" spans="1:11" ht="70" hidden="1" x14ac:dyDescent="0.2">
      <c r="A466" s="390">
        <v>152</v>
      </c>
      <c r="B466" s="390" t="s">
        <v>253</v>
      </c>
      <c r="C466" s="390">
        <f>VLOOKUP(B466,numbering!$N$18:$O$30,2,0)</f>
        <v>4</v>
      </c>
      <c r="D466" s="390" t="s">
        <v>276</v>
      </c>
      <c r="E466" s="403">
        <f t="shared" si="16"/>
        <v>15</v>
      </c>
      <c r="F466" s="433" t="s">
        <v>277</v>
      </c>
      <c r="G466" s="388" t="s">
        <v>1195</v>
      </c>
      <c r="H466" s="390">
        <v>4</v>
      </c>
      <c r="I466" s="390">
        <v>4</v>
      </c>
      <c r="J466" s="390"/>
      <c r="K466" s="398">
        <f>_xlfn.IFNA(VLOOKUP(A466,numbering!$K$3:$L$92,2,0),0)</f>
        <v>0</v>
      </c>
    </row>
    <row r="467" spans="1:11" ht="56" hidden="1" x14ac:dyDescent="0.2">
      <c r="A467" s="390">
        <v>153</v>
      </c>
      <c r="B467" s="390" t="s">
        <v>253</v>
      </c>
      <c r="C467" s="390">
        <f>VLOOKUP(B467,numbering!$N$18:$O$30,2,0)</f>
        <v>4</v>
      </c>
      <c r="D467" s="390" t="s">
        <v>276</v>
      </c>
      <c r="E467" s="403">
        <f t="shared" si="16"/>
        <v>15</v>
      </c>
      <c r="F467" s="433" t="s">
        <v>278</v>
      </c>
      <c r="G467" s="388" t="s">
        <v>1192</v>
      </c>
      <c r="H467" s="390">
        <v>1</v>
      </c>
      <c r="I467" s="390">
        <v>1</v>
      </c>
      <c r="J467" s="390"/>
      <c r="K467" s="398">
        <f>_xlfn.IFNA(VLOOKUP(A467,numbering!$K$3:$L$92,2,0),0)</f>
        <v>0</v>
      </c>
    </row>
    <row r="468" spans="1:11" ht="56" hidden="1" x14ac:dyDescent="0.2">
      <c r="A468" s="390">
        <v>153</v>
      </c>
      <c r="B468" s="390" t="s">
        <v>253</v>
      </c>
      <c r="C468" s="390">
        <f>VLOOKUP(B468,numbering!$N$18:$O$30,2,0)</f>
        <v>4</v>
      </c>
      <c r="D468" s="390" t="s">
        <v>276</v>
      </c>
      <c r="E468" s="403">
        <f t="shared" si="16"/>
        <v>15</v>
      </c>
      <c r="F468" s="433" t="s">
        <v>278</v>
      </c>
      <c r="G468" s="388" t="s">
        <v>1193</v>
      </c>
      <c r="H468" s="390">
        <v>2</v>
      </c>
      <c r="I468" s="390">
        <v>2</v>
      </c>
      <c r="J468" s="390"/>
      <c r="K468" s="398">
        <f>_xlfn.IFNA(VLOOKUP(A468,numbering!$K$3:$L$92,2,0),0)</f>
        <v>0</v>
      </c>
    </row>
    <row r="469" spans="1:11" ht="56" hidden="1" x14ac:dyDescent="0.2">
      <c r="A469" s="390">
        <v>153</v>
      </c>
      <c r="B469" s="390" t="s">
        <v>253</v>
      </c>
      <c r="C469" s="390">
        <f>VLOOKUP(B469,numbering!$N$18:$O$30,2,0)</f>
        <v>4</v>
      </c>
      <c r="D469" s="390" t="s">
        <v>276</v>
      </c>
      <c r="E469" s="403">
        <f t="shared" si="16"/>
        <v>15</v>
      </c>
      <c r="F469" s="433" t="s">
        <v>278</v>
      </c>
      <c r="G469" s="388" t="s">
        <v>1194</v>
      </c>
      <c r="H469" s="390">
        <v>3</v>
      </c>
      <c r="I469" s="390">
        <v>3</v>
      </c>
      <c r="J469" s="390"/>
      <c r="K469" s="398">
        <f>_xlfn.IFNA(VLOOKUP(A469,numbering!$K$3:$L$92,2,0),0)</f>
        <v>0</v>
      </c>
    </row>
    <row r="470" spans="1:11" ht="56" hidden="1" x14ac:dyDescent="0.2">
      <c r="A470" s="390">
        <v>153</v>
      </c>
      <c r="B470" s="390" t="s">
        <v>253</v>
      </c>
      <c r="C470" s="390">
        <f>VLOOKUP(B470,numbering!$N$18:$O$30,2,0)</f>
        <v>4</v>
      </c>
      <c r="D470" s="390" t="s">
        <v>276</v>
      </c>
      <c r="E470" s="403">
        <f t="shared" si="16"/>
        <v>15</v>
      </c>
      <c r="F470" s="433" t="s">
        <v>278</v>
      </c>
      <c r="G470" s="388" t="s">
        <v>1195</v>
      </c>
      <c r="H470" s="390">
        <v>4</v>
      </c>
      <c r="I470" s="390">
        <v>4</v>
      </c>
      <c r="J470" s="390"/>
      <c r="K470" s="398">
        <f>_xlfn.IFNA(VLOOKUP(A470,numbering!$K$3:$L$92,2,0),0)</f>
        <v>0</v>
      </c>
    </row>
    <row r="471" spans="1:11" ht="60" hidden="1" x14ac:dyDescent="0.2">
      <c r="A471" s="390">
        <v>154</v>
      </c>
      <c r="B471" s="390" t="s">
        <v>253</v>
      </c>
      <c r="C471" s="390">
        <f>VLOOKUP(B471,numbering!$N$18:$O$30,2,0)</f>
        <v>4</v>
      </c>
      <c r="D471" s="390" t="s">
        <v>279</v>
      </c>
      <c r="E471" s="403">
        <f t="shared" si="16"/>
        <v>16</v>
      </c>
      <c r="F471" s="432" t="s">
        <v>1160</v>
      </c>
      <c r="G471" s="388" t="s">
        <v>1192</v>
      </c>
      <c r="H471" s="390">
        <v>1</v>
      </c>
      <c r="I471" s="390">
        <v>1</v>
      </c>
      <c r="J471" s="390"/>
      <c r="K471" s="398">
        <f>_xlfn.IFNA(VLOOKUP(A471,numbering!$K$3:$L$92,2,0),0)</f>
        <v>0</v>
      </c>
    </row>
    <row r="472" spans="1:11" ht="60" hidden="1" x14ac:dyDescent="0.2">
      <c r="A472" s="390">
        <v>154</v>
      </c>
      <c r="B472" s="390" t="s">
        <v>253</v>
      </c>
      <c r="C472" s="390">
        <f>VLOOKUP(B472,numbering!$N$18:$O$30,2,0)</f>
        <v>4</v>
      </c>
      <c r="D472" s="390" t="s">
        <v>279</v>
      </c>
      <c r="E472" s="403">
        <f t="shared" si="16"/>
        <v>16</v>
      </c>
      <c r="F472" s="432" t="s">
        <v>1160</v>
      </c>
      <c r="G472" s="388" t="s">
        <v>1193</v>
      </c>
      <c r="H472" s="390">
        <v>2</v>
      </c>
      <c r="I472" s="390">
        <v>2</v>
      </c>
      <c r="J472" s="390"/>
      <c r="K472" s="398">
        <f>_xlfn.IFNA(VLOOKUP(A472,numbering!$K$3:$L$92,2,0),0)</f>
        <v>0</v>
      </c>
    </row>
    <row r="473" spans="1:11" ht="60" hidden="1" x14ac:dyDescent="0.2">
      <c r="A473" s="390">
        <v>154</v>
      </c>
      <c r="B473" s="390" t="s">
        <v>253</v>
      </c>
      <c r="C473" s="390">
        <f>VLOOKUP(B473,numbering!$N$18:$O$30,2,0)</f>
        <v>4</v>
      </c>
      <c r="D473" s="390" t="s">
        <v>279</v>
      </c>
      <c r="E473" s="403">
        <f t="shared" si="16"/>
        <v>16</v>
      </c>
      <c r="F473" s="432" t="s">
        <v>1160</v>
      </c>
      <c r="G473" s="388" t="s">
        <v>1194</v>
      </c>
      <c r="H473" s="390">
        <v>3</v>
      </c>
      <c r="I473" s="390">
        <v>3</v>
      </c>
      <c r="J473" s="390"/>
      <c r="K473" s="398">
        <f>_xlfn.IFNA(VLOOKUP(A473,numbering!$K$3:$L$92,2,0),0)</f>
        <v>0</v>
      </c>
    </row>
    <row r="474" spans="1:11" ht="60" hidden="1" x14ac:dyDescent="0.2">
      <c r="A474" s="390">
        <v>154</v>
      </c>
      <c r="B474" s="390" t="s">
        <v>253</v>
      </c>
      <c r="C474" s="390">
        <f>VLOOKUP(B474,numbering!$N$18:$O$30,2,0)</f>
        <v>4</v>
      </c>
      <c r="D474" s="390" t="s">
        <v>279</v>
      </c>
      <c r="E474" s="403">
        <f t="shared" si="16"/>
        <v>16</v>
      </c>
      <c r="F474" s="432" t="s">
        <v>1160</v>
      </c>
      <c r="G474" s="388" t="s">
        <v>1195</v>
      </c>
      <c r="H474" s="390">
        <v>4</v>
      </c>
      <c r="I474" s="390">
        <v>4</v>
      </c>
      <c r="J474" s="390"/>
      <c r="K474" s="398">
        <f>_xlfn.IFNA(VLOOKUP(A474,numbering!$K$3:$L$92,2,0),0)</f>
        <v>0</v>
      </c>
    </row>
    <row r="475" spans="1:11" ht="75" hidden="1" x14ac:dyDescent="0.2">
      <c r="A475" s="390">
        <v>155</v>
      </c>
      <c r="B475" s="390" t="s">
        <v>253</v>
      </c>
      <c r="C475" s="390">
        <f>VLOOKUP(B475,numbering!$N$18:$O$30,2,0)</f>
        <v>4</v>
      </c>
      <c r="D475" s="390" t="s">
        <v>279</v>
      </c>
      <c r="E475" s="403">
        <f t="shared" si="16"/>
        <v>16</v>
      </c>
      <c r="F475" s="432" t="s">
        <v>280</v>
      </c>
      <c r="G475" s="388" t="s">
        <v>1192</v>
      </c>
      <c r="H475" s="390">
        <v>1</v>
      </c>
      <c r="I475" s="390">
        <v>1</v>
      </c>
      <c r="J475" s="390"/>
      <c r="K475" s="398">
        <f>_xlfn.IFNA(VLOOKUP(A475,numbering!$K$3:$L$92,2,0),0)</f>
        <v>0</v>
      </c>
    </row>
    <row r="476" spans="1:11" ht="75" hidden="1" x14ac:dyDescent="0.2">
      <c r="A476" s="390">
        <v>155</v>
      </c>
      <c r="B476" s="390" t="s">
        <v>253</v>
      </c>
      <c r="C476" s="390">
        <f>VLOOKUP(B476,numbering!$N$18:$O$30,2,0)</f>
        <v>4</v>
      </c>
      <c r="D476" s="390" t="s">
        <v>279</v>
      </c>
      <c r="E476" s="403">
        <f t="shared" si="16"/>
        <v>16</v>
      </c>
      <c r="F476" s="432" t="s">
        <v>280</v>
      </c>
      <c r="G476" s="388" t="s">
        <v>1193</v>
      </c>
      <c r="H476" s="390">
        <v>2</v>
      </c>
      <c r="I476" s="390">
        <v>2</v>
      </c>
      <c r="J476" s="390"/>
      <c r="K476" s="398">
        <f>_xlfn.IFNA(VLOOKUP(A476,numbering!$K$3:$L$92,2,0),0)</f>
        <v>0</v>
      </c>
    </row>
    <row r="477" spans="1:11" ht="75" hidden="1" x14ac:dyDescent="0.2">
      <c r="A477" s="390">
        <v>155</v>
      </c>
      <c r="B477" s="390" t="s">
        <v>253</v>
      </c>
      <c r="C477" s="390">
        <f>VLOOKUP(B477,numbering!$N$18:$O$30,2,0)</f>
        <v>4</v>
      </c>
      <c r="D477" s="390" t="s">
        <v>279</v>
      </c>
      <c r="E477" s="403">
        <f t="shared" si="16"/>
        <v>16</v>
      </c>
      <c r="F477" s="432" t="s">
        <v>280</v>
      </c>
      <c r="G477" s="388" t="s">
        <v>1194</v>
      </c>
      <c r="H477" s="390">
        <v>3</v>
      </c>
      <c r="I477" s="390">
        <v>3</v>
      </c>
      <c r="J477" s="390"/>
      <c r="K477" s="398">
        <f>_xlfn.IFNA(VLOOKUP(A477,numbering!$K$3:$L$92,2,0),0)</f>
        <v>0</v>
      </c>
    </row>
    <row r="478" spans="1:11" ht="75" hidden="1" x14ac:dyDescent="0.2">
      <c r="A478" s="390">
        <v>155</v>
      </c>
      <c r="B478" s="390" t="s">
        <v>253</v>
      </c>
      <c r="C478" s="390">
        <f>VLOOKUP(B478,numbering!$N$18:$O$30,2,0)</f>
        <v>4</v>
      </c>
      <c r="D478" s="390" t="s">
        <v>279</v>
      </c>
      <c r="E478" s="403">
        <f t="shared" si="16"/>
        <v>16</v>
      </c>
      <c r="F478" s="432" t="s">
        <v>280</v>
      </c>
      <c r="G478" s="388" t="s">
        <v>1195</v>
      </c>
      <c r="H478" s="390">
        <v>4</v>
      </c>
      <c r="I478" s="390">
        <v>4</v>
      </c>
      <c r="J478" s="390"/>
      <c r="K478" s="398">
        <f>_xlfn.IFNA(VLOOKUP(A478,numbering!$K$3:$L$92,2,0),0)</f>
        <v>0</v>
      </c>
    </row>
    <row r="479" spans="1:11" ht="60" hidden="1" x14ac:dyDescent="0.2">
      <c r="A479" s="390">
        <v>156</v>
      </c>
      <c r="B479" s="390" t="s">
        <v>253</v>
      </c>
      <c r="C479" s="390">
        <f>VLOOKUP(B479,numbering!$N$18:$O$30,2,0)</f>
        <v>4</v>
      </c>
      <c r="D479" s="390" t="s">
        <v>279</v>
      </c>
      <c r="E479" s="403">
        <f t="shared" si="16"/>
        <v>16</v>
      </c>
      <c r="F479" s="432" t="s">
        <v>281</v>
      </c>
      <c r="G479" s="388" t="s">
        <v>1192</v>
      </c>
      <c r="H479" s="390">
        <v>1</v>
      </c>
      <c r="I479" s="390">
        <v>1</v>
      </c>
      <c r="J479" s="390"/>
      <c r="K479" s="398">
        <f>_xlfn.IFNA(VLOOKUP(A479,numbering!$K$3:$L$92,2,0),0)</f>
        <v>0</v>
      </c>
    </row>
    <row r="480" spans="1:11" ht="60" hidden="1" x14ac:dyDescent="0.2">
      <c r="A480" s="390">
        <v>156</v>
      </c>
      <c r="B480" s="390" t="s">
        <v>253</v>
      </c>
      <c r="C480" s="390">
        <f>VLOOKUP(B480,numbering!$N$18:$O$30,2,0)</f>
        <v>4</v>
      </c>
      <c r="D480" s="390" t="s">
        <v>279</v>
      </c>
      <c r="E480" s="403">
        <f t="shared" si="16"/>
        <v>16</v>
      </c>
      <c r="F480" s="432" t="s">
        <v>281</v>
      </c>
      <c r="G480" s="388" t="s">
        <v>1193</v>
      </c>
      <c r="H480" s="390">
        <v>2</v>
      </c>
      <c r="I480" s="390">
        <v>2</v>
      </c>
      <c r="J480" s="390"/>
      <c r="K480" s="398">
        <f>_xlfn.IFNA(VLOOKUP(A480,numbering!$K$3:$L$92,2,0),0)</f>
        <v>0</v>
      </c>
    </row>
    <row r="481" spans="1:11" ht="60" hidden="1" x14ac:dyDescent="0.2">
      <c r="A481" s="390">
        <v>156</v>
      </c>
      <c r="B481" s="390" t="s">
        <v>253</v>
      </c>
      <c r="C481" s="390">
        <f>VLOOKUP(B481,numbering!$N$18:$O$30,2,0)</f>
        <v>4</v>
      </c>
      <c r="D481" s="390" t="s">
        <v>279</v>
      </c>
      <c r="E481" s="403">
        <f t="shared" si="16"/>
        <v>16</v>
      </c>
      <c r="F481" s="432" t="s">
        <v>281</v>
      </c>
      <c r="G481" s="388" t="s">
        <v>1194</v>
      </c>
      <c r="H481" s="390">
        <v>3</v>
      </c>
      <c r="I481" s="390">
        <v>3</v>
      </c>
      <c r="J481" s="390"/>
      <c r="K481" s="398">
        <f>_xlfn.IFNA(VLOOKUP(A481,numbering!$K$3:$L$92,2,0),0)</f>
        <v>0</v>
      </c>
    </row>
    <row r="482" spans="1:11" ht="60" hidden="1" x14ac:dyDescent="0.2">
      <c r="A482" s="390">
        <v>156</v>
      </c>
      <c r="B482" s="390" t="s">
        <v>253</v>
      </c>
      <c r="C482" s="390">
        <f>VLOOKUP(B482,numbering!$N$18:$O$30,2,0)</f>
        <v>4</v>
      </c>
      <c r="D482" s="390" t="s">
        <v>279</v>
      </c>
      <c r="E482" s="403">
        <f t="shared" si="16"/>
        <v>16</v>
      </c>
      <c r="F482" s="432" t="s">
        <v>281</v>
      </c>
      <c r="G482" s="388" t="s">
        <v>1195</v>
      </c>
      <c r="H482" s="390">
        <v>4</v>
      </c>
      <c r="I482" s="390">
        <v>4</v>
      </c>
      <c r="J482" s="390"/>
      <c r="K482" s="398">
        <f>_xlfn.IFNA(VLOOKUP(A482,numbering!$K$3:$L$92,2,0),0)</f>
        <v>0</v>
      </c>
    </row>
    <row r="483" spans="1:11" ht="32" hidden="1" x14ac:dyDescent="0.2">
      <c r="A483" s="390">
        <v>157</v>
      </c>
      <c r="B483" s="390" t="s">
        <v>253</v>
      </c>
      <c r="C483" s="390">
        <f>VLOOKUP(B483,numbering!$N$18:$O$30,2,0)</f>
        <v>4</v>
      </c>
      <c r="D483" s="390" t="s">
        <v>282</v>
      </c>
      <c r="E483" s="403">
        <f t="shared" si="16"/>
        <v>17</v>
      </c>
      <c r="F483" s="432" t="s">
        <v>283</v>
      </c>
      <c r="G483" s="388" t="s">
        <v>7</v>
      </c>
      <c r="H483" s="390">
        <v>1</v>
      </c>
      <c r="I483" s="390">
        <v>1</v>
      </c>
      <c r="J483" s="390"/>
      <c r="K483" s="398">
        <f>_xlfn.IFNA(VLOOKUP(A483,numbering!$K$3:$L$92,2,0),0)</f>
        <v>0</v>
      </c>
    </row>
    <row r="484" spans="1:11" ht="32" hidden="1" x14ac:dyDescent="0.2">
      <c r="A484" s="390">
        <v>157</v>
      </c>
      <c r="B484" s="390" t="s">
        <v>253</v>
      </c>
      <c r="C484" s="390">
        <f>VLOOKUP(B484,numbering!$N$18:$O$30,2,0)</f>
        <v>4</v>
      </c>
      <c r="D484" s="390" t="s">
        <v>282</v>
      </c>
      <c r="E484" s="403">
        <f t="shared" si="16"/>
        <v>17</v>
      </c>
      <c r="F484" s="432" t="s">
        <v>283</v>
      </c>
      <c r="G484" s="388" t="s">
        <v>8</v>
      </c>
      <c r="H484" s="390">
        <v>4</v>
      </c>
      <c r="I484" s="390">
        <v>4</v>
      </c>
      <c r="J484" s="390"/>
      <c r="K484" s="398">
        <f>_xlfn.IFNA(VLOOKUP(A484,numbering!$K$3:$L$92,2,0),0)</f>
        <v>0</v>
      </c>
    </row>
    <row r="485" spans="1:11" ht="45" hidden="1" x14ac:dyDescent="0.2">
      <c r="A485" s="390">
        <v>158</v>
      </c>
      <c r="B485" s="390" t="s">
        <v>253</v>
      </c>
      <c r="C485" s="390">
        <f>VLOOKUP(B485,numbering!$N$18:$O$30,2,0)</f>
        <v>4</v>
      </c>
      <c r="D485" s="390" t="s">
        <v>282</v>
      </c>
      <c r="E485" s="403">
        <f>IF(C485&lt;&gt;C484,1,IF(F485&lt;&gt;F484,E484+1,E484))</f>
        <v>18</v>
      </c>
      <c r="F485" s="422" t="s">
        <v>284</v>
      </c>
      <c r="G485" s="388" t="s">
        <v>1192</v>
      </c>
      <c r="H485" s="390">
        <v>1</v>
      </c>
      <c r="I485" s="390">
        <v>1</v>
      </c>
      <c r="J485" s="390"/>
      <c r="K485" s="398">
        <f>_xlfn.IFNA(VLOOKUP(A485,numbering!$K$3:$L$92,2,0),0)</f>
        <v>1</v>
      </c>
    </row>
    <row r="486" spans="1:11" ht="45" hidden="1" x14ac:dyDescent="0.2">
      <c r="A486" s="390">
        <v>158</v>
      </c>
      <c r="B486" s="390" t="s">
        <v>253</v>
      </c>
      <c r="C486" s="390">
        <f>VLOOKUP(B486,numbering!$N$18:$O$30,2,0)</f>
        <v>4</v>
      </c>
      <c r="D486" s="390" t="s">
        <v>282</v>
      </c>
      <c r="E486" s="403">
        <f>IF(C486&lt;&gt;C485,1,IF(F486&lt;&gt;F485,E485+1,E485))</f>
        <v>18</v>
      </c>
      <c r="F486" s="422" t="s">
        <v>284</v>
      </c>
      <c r="G486" s="388" t="s">
        <v>1193</v>
      </c>
      <c r="H486" s="390">
        <v>2</v>
      </c>
      <c r="I486" s="390">
        <v>2</v>
      </c>
      <c r="J486" s="390"/>
      <c r="K486" s="398">
        <f>_xlfn.IFNA(VLOOKUP(A486,numbering!$K$3:$L$92,2,0),0)</f>
        <v>1</v>
      </c>
    </row>
    <row r="487" spans="1:11" ht="45" hidden="1" x14ac:dyDescent="0.2">
      <c r="A487" s="390">
        <v>158</v>
      </c>
      <c r="B487" s="390" t="s">
        <v>253</v>
      </c>
      <c r="C487" s="390">
        <f>VLOOKUP(B487,numbering!$N$18:$O$30,2,0)</f>
        <v>4</v>
      </c>
      <c r="D487" s="390" t="s">
        <v>282</v>
      </c>
      <c r="E487" s="403">
        <f t="shared" ref="E487:E550" si="17">IF(C487&lt;&gt;C486,1,IF(D487&lt;&gt;D486,E486+1,E486))</f>
        <v>18</v>
      </c>
      <c r="F487" s="422" t="s">
        <v>284</v>
      </c>
      <c r="G487" s="388" t="s">
        <v>1194</v>
      </c>
      <c r="H487" s="390">
        <v>3</v>
      </c>
      <c r="I487" s="390">
        <v>3</v>
      </c>
      <c r="J487" s="390"/>
      <c r="K487" s="398">
        <f>_xlfn.IFNA(VLOOKUP(A487,numbering!$K$3:$L$92,2,0),0)</f>
        <v>1</v>
      </c>
    </row>
    <row r="488" spans="1:11" ht="45" hidden="1" x14ac:dyDescent="0.2">
      <c r="A488" s="390">
        <v>158</v>
      </c>
      <c r="B488" s="390" t="s">
        <v>253</v>
      </c>
      <c r="C488" s="390">
        <f>VLOOKUP(B488,numbering!$N$18:$O$30,2,0)</f>
        <v>4</v>
      </c>
      <c r="D488" s="390" t="s">
        <v>282</v>
      </c>
      <c r="E488" s="403">
        <f t="shared" si="17"/>
        <v>18</v>
      </c>
      <c r="F488" s="422" t="s">
        <v>284</v>
      </c>
      <c r="G488" s="388" t="s">
        <v>1195</v>
      </c>
      <c r="H488" s="390">
        <v>4</v>
      </c>
      <c r="I488" s="390">
        <v>4</v>
      </c>
      <c r="J488" s="390"/>
      <c r="K488" s="398">
        <f>_xlfn.IFNA(VLOOKUP(A488,numbering!$K$3:$L$92,2,0),0)</f>
        <v>1</v>
      </c>
    </row>
    <row r="489" spans="1:11" ht="75" hidden="1" x14ac:dyDescent="0.2">
      <c r="A489" s="390">
        <v>159</v>
      </c>
      <c r="B489" s="390" t="s">
        <v>253</v>
      </c>
      <c r="C489" s="390">
        <f>VLOOKUP(B489,numbering!$N$18:$O$30,2,0)</f>
        <v>4</v>
      </c>
      <c r="D489" s="390" t="s">
        <v>282</v>
      </c>
      <c r="E489" s="403">
        <f t="shared" si="17"/>
        <v>18</v>
      </c>
      <c r="F489" s="422" t="s">
        <v>1359</v>
      </c>
      <c r="G489" s="388" t="s">
        <v>1192</v>
      </c>
      <c r="H489" s="390">
        <v>1</v>
      </c>
      <c r="I489" s="390">
        <v>1</v>
      </c>
      <c r="J489" s="390"/>
      <c r="K489" s="398">
        <f>_xlfn.IFNA(VLOOKUP(A489,numbering!$K$3:$L$92,2,0),0)</f>
        <v>1</v>
      </c>
    </row>
    <row r="490" spans="1:11" ht="75" hidden="1" x14ac:dyDescent="0.2">
      <c r="A490" s="390">
        <v>159</v>
      </c>
      <c r="B490" s="390" t="s">
        <v>253</v>
      </c>
      <c r="C490" s="390">
        <f>VLOOKUP(B490,numbering!$N$18:$O$30,2,0)</f>
        <v>4</v>
      </c>
      <c r="D490" s="390" t="s">
        <v>282</v>
      </c>
      <c r="E490" s="403">
        <f t="shared" si="17"/>
        <v>18</v>
      </c>
      <c r="F490" s="422" t="s">
        <v>1359</v>
      </c>
      <c r="G490" s="388" t="s">
        <v>1193</v>
      </c>
      <c r="H490" s="390">
        <v>2</v>
      </c>
      <c r="I490" s="390">
        <v>2</v>
      </c>
      <c r="J490" s="390"/>
      <c r="K490" s="398">
        <f>_xlfn.IFNA(VLOOKUP(A490,numbering!$K$3:$L$92,2,0),0)</f>
        <v>1</v>
      </c>
    </row>
    <row r="491" spans="1:11" ht="75" hidden="1" x14ac:dyDescent="0.2">
      <c r="A491" s="390">
        <v>159</v>
      </c>
      <c r="B491" s="390" t="s">
        <v>253</v>
      </c>
      <c r="C491" s="390">
        <f>VLOOKUP(B491,numbering!$N$18:$O$30,2,0)</f>
        <v>4</v>
      </c>
      <c r="D491" s="390" t="s">
        <v>282</v>
      </c>
      <c r="E491" s="403">
        <f t="shared" si="17"/>
        <v>18</v>
      </c>
      <c r="F491" s="422" t="s">
        <v>1359</v>
      </c>
      <c r="G491" s="388" t="s">
        <v>1194</v>
      </c>
      <c r="H491" s="390">
        <v>3</v>
      </c>
      <c r="I491" s="390">
        <v>3</v>
      </c>
      <c r="J491" s="390"/>
      <c r="K491" s="398">
        <f>_xlfn.IFNA(VLOOKUP(A491,numbering!$K$3:$L$92,2,0),0)</f>
        <v>1</v>
      </c>
    </row>
    <row r="492" spans="1:11" ht="75" hidden="1" x14ac:dyDescent="0.2">
      <c r="A492" s="390">
        <v>159</v>
      </c>
      <c r="B492" s="390" t="s">
        <v>253</v>
      </c>
      <c r="C492" s="390">
        <f>VLOOKUP(B492,numbering!$N$18:$O$30,2,0)</f>
        <v>4</v>
      </c>
      <c r="D492" s="390" t="s">
        <v>282</v>
      </c>
      <c r="E492" s="403">
        <f t="shared" si="17"/>
        <v>18</v>
      </c>
      <c r="F492" s="422" t="s">
        <v>1359</v>
      </c>
      <c r="G492" s="388" t="s">
        <v>1195</v>
      </c>
      <c r="H492" s="390">
        <v>4</v>
      </c>
      <c r="I492" s="390">
        <v>4</v>
      </c>
      <c r="J492" s="390"/>
      <c r="K492" s="398">
        <f>_xlfn.IFNA(VLOOKUP(A492,numbering!$K$3:$L$92,2,0),0)</f>
        <v>1</v>
      </c>
    </row>
    <row r="493" spans="1:11" ht="45" hidden="1" x14ac:dyDescent="0.2">
      <c r="A493" s="390">
        <v>160</v>
      </c>
      <c r="B493" s="390" t="s">
        <v>253</v>
      </c>
      <c r="C493" s="390">
        <f>VLOOKUP(B493,numbering!$N$18:$O$30,2,0)</f>
        <v>4</v>
      </c>
      <c r="D493" s="390" t="s">
        <v>282</v>
      </c>
      <c r="E493" s="403">
        <f t="shared" si="17"/>
        <v>18</v>
      </c>
      <c r="F493" s="422" t="s">
        <v>1349</v>
      </c>
      <c r="G493" s="388" t="s">
        <v>1192</v>
      </c>
      <c r="H493" s="390">
        <v>1</v>
      </c>
      <c r="I493" s="390">
        <v>1</v>
      </c>
      <c r="J493" s="390"/>
      <c r="K493" s="398">
        <f>_xlfn.IFNA(VLOOKUP(A493,numbering!$K$3:$L$92,2,0),0)</f>
        <v>1</v>
      </c>
    </row>
    <row r="494" spans="1:11" ht="45" hidden="1" x14ac:dyDescent="0.2">
      <c r="A494" s="390">
        <v>160</v>
      </c>
      <c r="B494" s="390" t="s">
        <v>253</v>
      </c>
      <c r="C494" s="390">
        <f>VLOOKUP(B494,numbering!$N$18:$O$30,2,0)</f>
        <v>4</v>
      </c>
      <c r="D494" s="390" t="s">
        <v>282</v>
      </c>
      <c r="E494" s="403">
        <f t="shared" si="17"/>
        <v>18</v>
      </c>
      <c r="F494" s="422" t="s">
        <v>1349</v>
      </c>
      <c r="G494" s="388" t="s">
        <v>1193</v>
      </c>
      <c r="H494" s="390">
        <v>2</v>
      </c>
      <c r="I494" s="390">
        <v>2</v>
      </c>
      <c r="J494" s="390"/>
      <c r="K494" s="398">
        <f>_xlfn.IFNA(VLOOKUP(A494,numbering!$K$3:$L$92,2,0),0)</f>
        <v>1</v>
      </c>
    </row>
    <row r="495" spans="1:11" ht="45" hidden="1" x14ac:dyDescent="0.2">
      <c r="A495" s="390">
        <v>160</v>
      </c>
      <c r="B495" s="390" t="s">
        <v>253</v>
      </c>
      <c r="C495" s="390">
        <f>VLOOKUP(B495,numbering!$N$18:$O$30,2,0)</f>
        <v>4</v>
      </c>
      <c r="D495" s="390" t="s">
        <v>282</v>
      </c>
      <c r="E495" s="403">
        <f t="shared" si="17"/>
        <v>18</v>
      </c>
      <c r="F495" s="422" t="s">
        <v>1349</v>
      </c>
      <c r="G495" s="388" t="s">
        <v>1194</v>
      </c>
      <c r="H495" s="390">
        <v>3</v>
      </c>
      <c r="I495" s="390">
        <v>3</v>
      </c>
      <c r="J495" s="390"/>
      <c r="K495" s="398">
        <f>_xlfn.IFNA(VLOOKUP(A495,numbering!$K$3:$L$92,2,0),0)</f>
        <v>1</v>
      </c>
    </row>
    <row r="496" spans="1:11" ht="45" hidden="1" x14ac:dyDescent="0.2">
      <c r="A496" s="390">
        <v>160</v>
      </c>
      <c r="B496" s="390" t="s">
        <v>253</v>
      </c>
      <c r="C496" s="390">
        <f>VLOOKUP(B496,numbering!$N$18:$O$30,2,0)</f>
        <v>4</v>
      </c>
      <c r="D496" s="390" t="s">
        <v>282</v>
      </c>
      <c r="E496" s="403">
        <f t="shared" si="17"/>
        <v>18</v>
      </c>
      <c r="F496" s="422" t="s">
        <v>1349</v>
      </c>
      <c r="G496" s="388" t="s">
        <v>1195</v>
      </c>
      <c r="H496" s="390">
        <v>4</v>
      </c>
      <c r="I496" s="390">
        <v>4</v>
      </c>
      <c r="J496" s="390"/>
      <c r="K496" s="398">
        <f>_xlfn.IFNA(VLOOKUP(A496,numbering!$K$3:$L$92,2,0),0)</f>
        <v>1</v>
      </c>
    </row>
    <row r="497" spans="1:11" ht="28" hidden="1" x14ac:dyDescent="0.2">
      <c r="A497" s="390">
        <v>161</v>
      </c>
      <c r="B497" s="390" t="s">
        <v>253</v>
      </c>
      <c r="C497" s="390">
        <f>VLOOKUP(B497,numbering!$N$18:$O$30,2,0)</f>
        <v>4</v>
      </c>
      <c r="D497" s="390" t="s">
        <v>285</v>
      </c>
      <c r="E497" s="403">
        <f t="shared" si="17"/>
        <v>19</v>
      </c>
      <c r="F497" s="433" t="s">
        <v>286</v>
      </c>
      <c r="G497" s="388" t="s">
        <v>7</v>
      </c>
      <c r="H497" s="390">
        <v>1</v>
      </c>
      <c r="I497" s="390">
        <v>1</v>
      </c>
      <c r="J497" s="390"/>
      <c r="K497" s="398">
        <f>_xlfn.IFNA(VLOOKUP(A497,numbering!$K$3:$L$92,2,0),0)</f>
        <v>0</v>
      </c>
    </row>
    <row r="498" spans="1:11" ht="28" hidden="1" x14ac:dyDescent="0.2">
      <c r="A498" s="390">
        <v>161</v>
      </c>
      <c r="B498" s="390" t="s">
        <v>253</v>
      </c>
      <c r="C498" s="390">
        <f>VLOOKUP(B498,numbering!$N$18:$O$30,2,0)</f>
        <v>4</v>
      </c>
      <c r="D498" s="390" t="s">
        <v>285</v>
      </c>
      <c r="E498" s="403">
        <f t="shared" si="17"/>
        <v>19</v>
      </c>
      <c r="F498" s="433" t="s">
        <v>286</v>
      </c>
      <c r="G498" s="388" t="s">
        <v>8</v>
      </c>
      <c r="H498" s="390">
        <v>4</v>
      </c>
      <c r="I498" s="390">
        <v>4</v>
      </c>
      <c r="J498" s="390"/>
      <c r="K498" s="398">
        <f>_xlfn.IFNA(VLOOKUP(A498,numbering!$K$3:$L$92,2,0),0)</f>
        <v>0</v>
      </c>
    </row>
    <row r="499" spans="1:11" ht="56" hidden="1" x14ac:dyDescent="0.2">
      <c r="A499" s="390">
        <v>162</v>
      </c>
      <c r="B499" s="390" t="s">
        <v>253</v>
      </c>
      <c r="C499" s="390">
        <f>VLOOKUP(B499,numbering!$N$18:$O$30,2,0)</f>
        <v>4</v>
      </c>
      <c r="D499" s="390" t="s">
        <v>285</v>
      </c>
      <c r="E499" s="403">
        <f t="shared" si="17"/>
        <v>19</v>
      </c>
      <c r="F499" s="433" t="s">
        <v>1161</v>
      </c>
      <c r="G499" s="388" t="s">
        <v>1192</v>
      </c>
      <c r="H499" s="390">
        <v>1</v>
      </c>
      <c r="I499" s="390">
        <v>1</v>
      </c>
      <c r="J499" s="390"/>
      <c r="K499" s="398">
        <f>_xlfn.IFNA(VLOOKUP(A499,numbering!$K$3:$L$92,2,0),0)</f>
        <v>0</v>
      </c>
    </row>
    <row r="500" spans="1:11" ht="56" hidden="1" x14ac:dyDescent="0.2">
      <c r="A500" s="390">
        <v>162</v>
      </c>
      <c r="B500" s="390" t="s">
        <v>253</v>
      </c>
      <c r="C500" s="390">
        <f>VLOOKUP(B500,numbering!$N$18:$O$30,2,0)</f>
        <v>4</v>
      </c>
      <c r="D500" s="390" t="s">
        <v>285</v>
      </c>
      <c r="E500" s="403">
        <f t="shared" si="17"/>
        <v>19</v>
      </c>
      <c r="F500" s="433" t="s">
        <v>1161</v>
      </c>
      <c r="G500" s="388" t="s">
        <v>1193</v>
      </c>
      <c r="H500" s="390">
        <v>2</v>
      </c>
      <c r="I500" s="390">
        <v>2</v>
      </c>
      <c r="J500" s="390"/>
      <c r="K500" s="398">
        <f>_xlfn.IFNA(VLOOKUP(A500,numbering!$K$3:$L$92,2,0),0)</f>
        <v>0</v>
      </c>
    </row>
    <row r="501" spans="1:11" ht="56" hidden="1" x14ac:dyDescent="0.2">
      <c r="A501" s="390">
        <v>162</v>
      </c>
      <c r="B501" s="390" t="s">
        <v>253</v>
      </c>
      <c r="C501" s="390">
        <f>VLOOKUP(B501,numbering!$N$18:$O$30,2,0)</f>
        <v>4</v>
      </c>
      <c r="D501" s="390" t="s">
        <v>285</v>
      </c>
      <c r="E501" s="403">
        <f t="shared" si="17"/>
        <v>19</v>
      </c>
      <c r="F501" s="433" t="s">
        <v>1161</v>
      </c>
      <c r="G501" s="388" t="s">
        <v>1194</v>
      </c>
      <c r="H501" s="390">
        <v>3</v>
      </c>
      <c r="I501" s="390">
        <v>3</v>
      </c>
      <c r="J501" s="390"/>
      <c r="K501" s="398">
        <f>_xlfn.IFNA(VLOOKUP(A501,numbering!$K$3:$L$92,2,0),0)</f>
        <v>0</v>
      </c>
    </row>
    <row r="502" spans="1:11" ht="56" hidden="1" x14ac:dyDescent="0.2">
      <c r="A502" s="390">
        <v>162</v>
      </c>
      <c r="B502" s="390" t="s">
        <v>253</v>
      </c>
      <c r="C502" s="390">
        <f>VLOOKUP(B502,numbering!$N$18:$O$30,2,0)</f>
        <v>4</v>
      </c>
      <c r="D502" s="390" t="s">
        <v>285</v>
      </c>
      <c r="E502" s="403">
        <f t="shared" si="17"/>
        <v>19</v>
      </c>
      <c r="F502" s="433" t="s">
        <v>1161</v>
      </c>
      <c r="G502" s="388" t="s">
        <v>1195</v>
      </c>
      <c r="H502" s="390">
        <v>4</v>
      </c>
      <c r="I502" s="390">
        <v>4</v>
      </c>
      <c r="J502" s="390"/>
      <c r="K502" s="398">
        <f>_xlfn.IFNA(VLOOKUP(A502,numbering!$K$3:$L$92,2,0),0)</f>
        <v>0</v>
      </c>
    </row>
    <row r="503" spans="1:11" ht="56" hidden="1" x14ac:dyDescent="0.2">
      <c r="A503" s="390">
        <v>163</v>
      </c>
      <c r="B503" s="390" t="s">
        <v>253</v>
      </c>
      <c r="C503" s="390">
        <f>VLOOKUP(B503,numbering!$N$18:$O$30,2,0)</f>
        <v>4</v>
      </c>
      <c r="D503" s="390" t="s">
        <v>285</v>
      </c>
      <c r="E503" s="403">
        <f t="shared" si="17"/>
        <v>19</v>
      </c>
      <c r="F503" s="433" t="s">
        <v>287</v>
      </c>
      <c r="G503" s="388" t="s">
        <v>1192</v>
      </c>
      <c r="H503" s="390">
        <v>1</v>
      </c>
      <c r="I503" s="390">
        <v>1</v>
      </c>
      <c r="J503" s="390"/>
      <c r="K503" s="398">
        <f>_xlfn.IFNA(VLOOKUP(A503,numbering!$K$3:$L$92,2,0),0)</f>
        <v>0</v>
      </c>
    </row>
    <row r="504" spans="1:11" ht="56" hidden="1" x14ac:dyDescent="0.2">
      <c r="A504" s="390">
        <v>163</v>
      </c>
      <c r="B504" s="390" t="s">
        <v>253</v>
      </c>
      <c r="C504" s="390">
        <f>VLOOKUP(B504,numbering!$N$18:$O$30,2,0)</f>
        <v>4</v>
      </c>
      <c r="D504" s="390" t="s">
        <v>285</v>
      </c>
      <c r="E504" s="403">
        <f t="shared" si="17"/>
        <v>19</v>
      </c>
      <c r="F504" s="433" t="str">
        <f>F503</f>
        <v>Is there sufficiently detailed documented evidence of the methodology used for the dam break analysis to achieve the objective of demonstrating that the utilised method was suitable and appropriate considering the potential consequences of the facility? (e.g. 1D or 2D analysis and software)</v>
      </c>
      <c r="G504" s="388" t="s">
        <v>1193</v>
      </c>
      <c r="H504" s="390">
        <v>2</v>
      </c>
      <c r="I504" s="390">
        <v>2</v>
      </c>
      <c r="J504" s="390"/>
      <c r="K504" s="398">
        <f>_xlfn.IFNA(VLOOKUP(A504,numbering!$K$3:$L$92,2,0),0)</f>
        <v>0</v>
      </c>
    </row>
    <row r="505" spans="1:11" ht="56" hidden="1" x14ac:dyDescent="0.2">
      <c r="A505" s="390">
        <v>163</v>
      </c>
      <c r="B505" s="390" t="s">
        <v>253</v>
      </c>
      <c r="C505" s="390">
        <f>VLOOKUP(B505,numbering!$N$18:$O$30,2,0)</f>
        <v>4</v>
      </c>
      <c r="D505" s="390" t="s">
        <v>285</v>
      </c>
      <c r="E505" s="403">
        <f t="shared" si="17"/>
        <v>19</v>
      </c>
      <c r="F505" s="433" t="str">
        <f>F504</f>
        <v>Is there sufficiently detailed documented evidence of the methodology used for the dam break analysis to achieve the objective of demonstrating that the utilised method was suitable and appropriate considering the potential consequences of the facility? (e.g. 1D or 2D analysis and software)</v>
      </c>
      <c r="G505" s="388" t="s">
        <v>1194</v>
      </c>
      <c r="H505" s="390">
        <v>3</v>
      </c>
      <c r="I505" s="390">
        <v>3</v>
      </c>
      <c r="J505" s="390"/>
      <c r="K505" s="398">
        <f>_xlfn.IFNA(VLOOKUP(A505,numbering!$K$3:$L$92,2,0),0)</f>
        <v>0</v>
      </c>
    </row>
    <row r="506" spans="1:11" ht="56" hidden="1" x14ac:dyDescent="0.2">
      <c r="A506" s="390">
        <v>163</v>
      </c>
      <c r="B506" s="390" t="s">
        <v>253</v>
      </c>
      <c r="C506" s="390">
        <f>VLOOKUP(B506,numbering!$N$18:$O$30,2,0)</f>
        <v>4</v>
      </c>
      <c r="D506" s="390" t="s">
        <v>285</v>
      </c>
      <c r="E506" s="403">
        <f t="shared" si="17"/>
        <v>19</v>
      </c>
      <c r="F506" s="433" t="str">
        <f>F505</f>
        <v>Is there sufficiently detailed documented evidence of the methodology used for the dam break analysis to achieve the objective of demonstrating that the utilised method was suitable and appropriate considering the potential consequences of the facility? (e.g. 1D or 2D analysis and software)</v>
      </c>
      <c r="G506" s="388" t="s">
        <v>1195</v>
      </c>
      <c r="H506" s="390">
        <v>4</v>
      </c>
      <c r="I506" s="390">
        <v>4</v>
      </c>
      <c r="J506" s="390"/>
      <c r="K506" s="398">
        <f>_xlfn.IFNA(VLOOKUP(A506,numbering!$K$3:$L$92,2,0),0)</f>
        <v>0</v>
      </c>
    </row>
    <row r="507" spans="1:11" ht="56" hidden="1" x14ac:dyDescent="0.2">
      <c r="A507" s="390">
        <v>164</v>
      </c>
      <c r="B507" s="390" t="s">
        <v>253</v>
      </c>
      <c r="C507" s="390">
        <f>VLOOKUP(B507,numbering!$N$18:$O$30,2,0)</f>
        <v>4</v>
      </c>
      <c r="D507" s="390" t="s">
        <v>285</v>
      </c>
      <c r="E507" s="403">
        <f t="shared" si="17"/>
        <v>19</v>
      </c>
      <c r="F507" s="433" t="s">
        <v>288</v>
      </c>
      <c r="G507" s="388" t="s">
        <v>1192</v>
      </c>
      <c r="H507" s="390">
        <v>1</v>
      </c>
      <c r="I507" s="390">
        <v>1</v>
      </c>
      <c r="J507" s="390"/>
      <c r="K507" s="398">
        <f>_xlfn.IFNA(VLOOKUP(A507,numbering!$K$3:$L$92,2,0),0)</f>
        <v>0</v>
      </c>
    </row>
    <row r="508" spans="1:11" ht="56" hidden="1" x14ac:dyDescent="0.2">
      <c r="A508" s="390">
        <v>164</v>
      </c>
      <c r="B508" s="390" t="s">
        <v>253</v>
      </c>
      <c r="C508" s="390">
        <f>VLOOKUP(B508,numbering!$N$18:$O$30,2,0)</f>
        <v>4</v>
      </c>
      <c r="D508" s="390" t="s">
        <v>285</v>
      </c>
      <c r="E508" s="403">
        <f t="shared" si="17"/>
        <v>19</v>
      </c>
      <c r="F508" s="433" t="str">
        <f>F507</f>
        <v>Is there documented evidence that the topographic data used in the dam break assessment was sufficiently accurate and current achieve the objective of allowing the impact of potential failure to be estimated and understood with confidence ?</v>
      </c>
      <c r="G508" s="388" t="s">
        <v>1193</v>
      </c>
      <c r="H508" s="390">
        <v>2</v>
      </c>
      <c r="I508" s="390">
        <v>2</v>
      </c>
      <c r="J508" s="390"/>
      <c r="K508" s="398">
        <f>_xlfn.IFNA(VLOOKUP(A508,numbering!$K$3:$L$92,2,0),0)</f>
        <v>0</v>
      </c>
    </row>
    <row r="509" spans="1:11" ht="56" hidden="1" x14ac:dyDescent="0.2">
      <c r="A509" s="390">
        <v>164</v>
      </c>
      <c r="B509" s="390" t="s">
        <v>253</v>
      </c>
      <c r="C509" s="390">
        <f>VLOOKUP(B509,numbering!$N$18:$O$30,2,0)</f>
        <v>4</v>
      </c>
      <c r="D509" s="390" t="s">
        <v>285</v>
      </c>
      <c r="E509" s="403">
        <f t="shared" si="17"/>
        <v>19</v>
      </c>
      <c r="F509" s="433" t="str">
        <f>F508</f>
        <v>Is there documented evidence that the topographic data used in the dam break assessment was sufficiently accurate and current achieve the objective of allowing the impact of potential failure to be estimated and understood with confidence ?</v>
      </c>
      <c r="G509" s="388" t="s">
        <v>1194</v>
      </c>
      <c r="H509" s="390">
        <v>3</v>
      </c>
      <c r="I509" s="390">
        <v>3</v>
      </c>
      <c r="J509" s="390"/>
      <c r="K509" s="398">
        <f>_xlfn.IFNA(VLOOKUP(A509,numbering!$K$3:$L$92,2,0),0)</f>
        <v>0</v>
      </c>
    </row>
    <row r="510" spans="1:11" ht="56" hidden="1" x14ac:dyDescent="0.2">
      <c r="A510" s="390">
        <v>164</v>
      </c>
      <c r="B510" s="390" t="s">
        <v>253</v>
      </c>
      <c r="C510" s="390">
        <f>VLOOKUP(B510,numbering!$N$18:$O$30,2,0)</f>
        <v>4</v>
      </c>
      <c r="D510" s="390" t="s">
        <v>285</v>
      </c>
      <c r="E510" s="403">
        <f t="shared" si="17"/>
        <v>19</v>
      </c>
      <c r="F510" s="433" t="str">
        <f>F509</f>
        <v>Is there documented evidence that the topographic data used in the dam break assessment was sufficiently accurate and current achieve the objective of allowing the impact of potential failure to be estimated and understood with confidence ?</v>
      </c>
      <c r="G510" s="388" t="s">
        <v>1195</v>
      </c>
      <c r="H510" s="390">
        <v>4</v>
      </c>
      <c r="I510" s="390">
        <v>4</v>
      </c>
      <c r="J510" s="390"/>
      <c r="K510" s="398">
        <f>_xlfn.IFNA(VLOOKUP(A510,numbering!$K$3:$L$92,2,0),0)</f>
        <v>0</v>
      </c>
    </row>
    <row r="511" spans="1:11" ht="56" hidden="1" x14ac:dyDescent="0.2">
      <c r="A511" s="390">
        <v>165</v>
      </c>
      <c r="B511" s="390" t="s">
        <v>253</v>
      </c>
      <c r="C511" s="390">
        <f>VLOOKUP(B511,numbering!$N$18:$O$30,2,0)</f>
        <v>4</v>
      </c>
      <c r="D511" s="390" t="s">
        <v>285</v>
      </c>
      <c r="E511" s="403">
        <f t="shared" si="17"/>
        <v>19</v>
      </c>
      <c r="F511" s="433" t="s">
        <v>1162</v>
      </c>
      <c r="G511" s="388" t="s">
        <v>1192</v>
      </c>
      <c r="H511" s="390">
        <v>1</v>
      </c>
      <c r="I511" s="390">
        <v>1</v>
      </c>
      <c r="J511" s="390"/>
      <c r="K511" s="398">
        <f>_xlfn.IFNA(VLOOKUP(A511,numbering!$K$3:$L$92,2,0),0)</f>
        <v>0</v>
      </c>
    </row>
    <row r="512" spans="1:11" ht="56" hidden="1" x14ac:dyDescent="0.2">
      <c r="A512" s="390">
        <v>165</v>
      </c>
      <c r="B512" s="390" t="s">
        <v>253</v>
      </c>
      <c r="C512" s="390">
        <f>VLOOKUP(B512,numbering!$N$18:$O$30,2,0)</f>
        <v>4</v>
      </c>
      <c r="D512" s="390" t="s">
        <v>285</v>
      </c>
      <c r="E512" s="403">
        <f t="shared" si="17"/>
        <v>19</v>
      </c>
      <c r="F512" s="433" t="str">
        <f>F511</f>
        <v xml:space="preserve">Is there detailed documented evidence that the downstream topography model (e.g. extents, cross-section lengths and reach lengths, or mesh sizes) was appropriately produced to achieve the objective of allowing the impact of potential failure to be estimated with confidence? </v>
      </c>
      <c r="G512" s="388" t="s">
        <v>1193</v>
      </c>
      <c r="H512" s="390">
        <v>2</v>
      </c>
      <c r="I512" s="390">
        <v>2</v>
      </c>
      <c r="J512" s="390"/>
      <c r="K512" s="398">
        <f>_xlfn.IFNA(VLOOKUP(A512,numbering!$K$3:$L$92,2,0),0)</f>
        <v>0</v>
      </c>
    </row>
    <row r="513" spans="1:11" ht="56" hidden="1" x14ac:dyDescent="0.2">
      <c r="A513" s="390">
        <v>165</v>
      </c>
      <c r="B513" s="390" t="s">
        <v>253</v>
      </c>
      <c r="C513" s="390">
        <f>VLOOKUP(B513,numbering!$N$18:$O$30,2,0)</f>
        <v>4</v>
      </c>
      <c r="D513" s="390" t="s">
        <v>285</v>
      </c>
      <c r="E513" s="403">
        <f t="shared" si="17"/>
        <v>19</v>
      </c>
      <c r="F513" s="433" t="str">
        <f>F512</f>
        <v xml:space="preserve">Is there detailed documented evidence that the downstream topography model (e.g. extents, cross-section lengths and reach lengths, or mesh sizes) was appropriately produced to achieve the objective of allowing the impact of potential failure to be estimated with confidence? </v>
      </c>
      <c r="G513" s="388" t="s">
        <v>1194</v>
      </c>
      <c r="H513" s="390">
        <v>3</v>
      </c>
      <c r="I513" s="390">
        <v>3</v>
      </c>
      <c r="J513" s="390"/>
      <c r="K513" s="398">
        <f>_xlfn.IFNA(VLOOKUP(A513,numbering!$K$3:$L$92,2,0),0)</f>
        <v>0</v>
      </c>
    </row>
    <row r="514" spans="1:11" ht="56" hidden="1" x14ac:dyDescent="0.2">
      <c r="A514" s="390">
        <v>165</v>
      </c>
      <c r="B514" s="390" t="s">
        <v>253</v>
      </c>
      <c r="C514" s="390">
        <f>VLOOKUP(B514,numbering!$N$18:$O$30,2,0)</f>
        <v>4</v>
      </c>
      <c r="D514" s="390" t="s">
        <v>285</v>
      </c>
      <c r="E514" s="403">
        <f t="shared" si="17"/>
        <v>19</v>
      </c>
      <c r="F514" s="433" t="str">
        <f>F513</f>
        <v xml:space="preserve">Is there detailed documented evidence that the downstream topography model (e.g. extents, cross-section lengths and reach lengths, or mesh sizes) was appropriately produced to achieve the objective of allowing the impact of potential failure to be estimated with confidence? </v>
      </c>
      <c r="G514" s="388" t="s">
        <v>1195</v>
      </c>
      <c r="H514" s="390">
        <v>4</v>
      </c>
      <c r="I514" s="390">
        <v>4</v>
      </c>
      <c r="J514" s="390"/>
      <c r="K514" s="398">
        <f>_xlfn.IFNA(VLOOKUP(A514,numbering!$K$3:$L$92,2,0),0)</f>
        <v>0</v>
      </c>
    </row>
    <row r="515" spans="1:11" ht="70" hidden="1" x14ac:dyDescent="0.2">
      <c r="A515" s="390">
        <v>166</v>
      </c>
      <c r="B515" s="390" t="s">
        <v>253</v>
      </c>
      <c r="C515" s="390">
        <f>VLOOKUP(B515,numbering!$N$18:$O$30,2,0)</f>
        <v>4</v>
      </c>
      <c r="D515" s="390" t="s">
        <v>285</v>
      </c>
      <c r="E515" s="403">
        <f t="shared" si="17"/>
        <v>19</v>
      </c>
      <c r="F515" s="433" t="s">
        <v>289</v>
      </c>
      <c r="G515" s="388" t="s">
        <v>1192</v>
      </c>
      <c r="H515" s="390">
        <v>1</v>
      </c>
      <c r="I515" s="390">
        <v>1</v>
      </c>
      <c r="J515" s="390"/>
      <c r="K515" s="398">
        <f>_xlfn.IFNA(VLOOKUP(A515,numbering!$K$3:$L$92,2,0),0)</f>
        <v>0</v>
      </c>
    </row>
    <row r="516" spans="1:11" ht="70" hidden="1" x14ac:dyDescent="0.2">
      <c r="A516" s="390">
        <v>166</v>
      </c>
      <c r="B516" s="390" t="s">
        <v>253</v>
      </c>
      <c r="C516" s="390">
        <f>VLOOKUP(B516,numbering!$N$18:$O$30,2,0)</f>
        <v>4</v>
      </c>
      <c r="D516" s="390" t="s">
        <v>285</v>
      </c>
      <c r="E516" s="403">
        <f t="shared" si="17"/>
        <v>19</v>
      </c>
      <c r="F516" s="433" t="str">
        <f>F515</f>
        <v>Is there detailed documented evidence of the dam break parameters estimation methodology (e.g. breach dimensions and time-to-breach) for each scenario to achieve the objective of incorporating facility-specific failure modes, objective data and defensible methods into the dam break assessment?</v>
      </c>
      <c r="G516" s="388" t="s">
        <v>1193</v>
      </c>
      <c r="H516" s="390">
        <v>2</v>
      </c>
      <c r="I516" s="390">
        <v>2</v>
      </c>
      <c r="J516" s="390"/>
      <c r="K516" s="398">
        <f>_xlfn.IFNA(VLOOKUP(A516,numbering!$K$3:$L$92,2,0),0)</f>
        <v>0</v>
      </c>
    </row>
    <row r="517" spans="1:11" ht="70" hidden="1" x14ac:dyDescent="0.2">
      <c r="A517" s="390">
        <v>166</v>
      </c>
      <c r="B517" s="390" t="s">
        <v>253</v>
      </c>
      <c r="C517" s="390">
        <f>VLOOKUP(B517,numbering!$N$18:$O$30,2,0)</f>
        <v>4</v>
      </c>
      <c r="D517" s="390" t="s">
        <v>285</v>
      </c>
      <c r="E517" s="403">
        <f t="shared" si="17"/>
        <v>19</v>
      </c>
      <c r="F517" s="433" t="str">
        <f>F516</f>
        <v>Is there detailed documented evidence of the dam break parameters estimation methodology (e.g. breach dimensions and time-to-breach) for each scenario to achieve the objective of incorporating facility-specific failure modes, objective data and defensible methods into the dam break assessment?</v>
      </c>
      <c r="G517" s="388" t="s">
        <v>1194</v>
      </c>
      <c r="H517" s="390">
        <v>3</v>
      </c>
      <c r="I517" s="390">
        <v>3</v>
      </c>
      <c r="J517" s="390"/>
      <c r="K517" s="398">
        <f>_xlfn.IFNA(VLOOKUP(A517,numbering!$K$3:$L$92,2,0),0)</f>
        <v>0</v>
      </c>
    </row>
    <row r="518" spans="1:11" ht="70" hidden="1" x14ac:dyDescent="0.2">
      <c r="A518" s="390">
        <v>166</v>
      </c>
      <c r="B518" s="390" t="s">
        <v>253</v>
      </c>
      <c r="C518" s="390">
        <f>VLOOKUP(B518,numbering!$N$18:$O$30,2,0)</f>
        <v>4</v>
      </c>
      <c r="D518" s="390" t="s">
        <v>285</v>
      </c>
      <c r="E518" s="403">
        <f t="shared" si="17"/>
        <v>19</v>
      </c>
      <c r="F518" s="433" t="str">
        <f>F517</f>
        <v>Is there detailed documented evidence of the dam break parameters estimation methodology (e.g. breach dimensions and time-to-breach) for each scenario to achieve the objective of incorporating facility-specific failure modes, objective data and defensible methods into the dam break assessment?</v>
      </c>
      <c r="G518" s="388" t="s">
        <v>1195</v>
      </c>
      <c r="H518" s="390">
        <v>4</v>
      </c>
      <c r="I518" s="390">
        <v>4</v>
      </c>
      <c r="J518" s="390"/>
      <c r="K518" s="398">
        <f>_xlfn.IFNA(VLOOKUP(A518,numbering!$K$3:$L$92,2,0),0)</f>
        <v>0</v>
      </c>
    </row>
    <row r="519" spans="1:11" ht="56" hidden="1" x14ac:dyDescent="0.2">
      <c r="A519" s="390">
        <v>167</v>
      </c>
      <c r="B519" s="390" t="s">
        <v>253</v>
      </c>
      <c r="C519" s="390">
        <f>VLOOKUP(B519,numbering!$N$18:$O$30,2,0)</f>
        <v>4</v>
      </c>
      <c r="D519" s="390" t="s">
        <v>285</v>
      </c>
      <c r="E519" s="403">
        <f t="shared" si="17"/>
        <v>19</v>
      </c>
      <c r="F519" s="433" t="s">
        <v>290</v>
      </c>
      <c r="G519" s="388" t="s">
        <v>1192</v>
      </c>
      <c r="H519" s="390">
        <v>1</v>
      </c>
      <c r="I519" s="390">
        <v>1</v>
      </c>
      <c r="J519" s="390"/>
      <c r="K519" s="398">
        <f>_xlfn.IFNA(VLOOKUP(A519,numbering!$K$3:$L$92,2,0),0)</f>
        <v>0</v>
      </c>
    </row>
    <row r="520" spans="1:11" ht="56" hidden="1" x14ac:dyDescent="0.2">
      <c r="A520" s="390">
        <v>167</v>
      </c>
      <c r="B520" s="390" t="s">
        <v>253</v>
      </c>
      <c r="C520" s="390">
        <f>VLOOKUP(B520,numbering!$N$18:$O$30,2,0)</f>
        <v>4</v>
      </c>
      <c r="D520" s="390" t="s">
        <v>285</v>
      </c>
      <c r="E520" s="403">
        <f t="shared" si="17"/>
        <v>19</v>
      </c>
      <c r="F520" s="433" t="str">
        <f>F519</f>
        <v>Is there documented evidence that a dam break sensitivity assessment was appropriately assessed/discussed, to achieve the objective of assessing the sensitivity of the dam break results to variable input parameters and determining representative input parameters and inundation areas?</v>
      </c>
      <c r="G520" s="388" t="s">
        <v>1193</v>
      </c>
      <c r="H520" s="390">
        <v>2</v>
      </c>
      <c r="I520" s="390">
        <v>2</v>
      </c>
      <c r="J520" s="390"/>
      <c r="K520" s="398">
        <f>_xlfn.IFNA(VLOOKUP(A520,numbering!$K$3:$L$92,2,0),0)</f>
        <v>0</v>
      </c>
    </row>
    <row r="521" spans="1:11" ht="56" hidden="1" x14ac:dyDescent="0.2">
      <c r="A521" s="390">
        <v>167</v>
      </c>
      <c r="B521" s="390" t="s">
        <v>253</v>
      </c>
      <c r="C521" s="390">
        <f>VLOOKUP(B521,numbering!$N$18:$O$30,2,0)</f>
        <v>4</v>
      </c>
      <c r="D521" s="390" t="s">
        <v>285</v>
      </c>
      <c r="E521" s="403">
        <f t="shared" si="17"/>
        <v>19</v>
      </c>
      <c r="F521" s="433" t="str">
        <f>F520</f>
        <v>Is there documented evidence that a dam break sensitivity assessment was appropriately assessed/discussed, to achieve the objective of assessing the sensitivity of the dam break results to variable input parameters and determining representative input parameters and inundation areas?</v>
      </c>
      <c r="G521" s="388" t="s">
        <v>1194</v>
      </c>
      <c r="H521" s="390">
        <v>3</v>
      </c>
      <c r="I521" s="390">
        <v>3</v>
      </c>
      <c r="J521" s="390"/>
      <c r="K521" s="398">
        <f>_xlfn.IFNA(VLOOKUP(A521,numbering!$K$3:$L$92,2,0),0)</f>
        <v>0</v>
      </c>
    </row>
    <row r="522" spans="1:11" ht="56" hidden="1" x14ac:dyDescent="0.2">
      <c r="A522" s="390">
        <v>167</v>
      </c>
      <c r="B522" s="390" t="s">
        <v>253</v>
      </c>
      <c r="C522" s="390">
        <f>VLOOKUP(B522,numbering!$N$18:$O$30,2,0)</f>
        <v>4</v>
      </c>
      <c r="D522" s="390" t="s">
        <v>285</v>
      </c>
      <c r="E522" s="403">
        <f t="shared" si="17"/>
        <v>19</v>
      </c>
      <c r="F522" s="433" t="str">
        <f>F521</f>
        <v>Is there documented evidence that a dam break sensitivity assessment was appropriately assessed/discussed, to achieve the objective of assessing the sensitivity of the dam break results to variable input parameters and determining representative input parameters and inundation areas?</v>
      </c>
      <c r="G522" s="388" t="s">
        <v>1195</v>
      </c>
      <c r="H522" s="390">
        <v>4</v>
      </c>
      <c r="I522" s="390">
        <v>4</v>
      </c>
      <c r="J522" s="390"/>
      <c r="K522" s="398">
        <f>_xlfn.IFNA(VLOOKUP(A522,numbering!$K$3:$L$92,2,0),0)</f>
        <v>0</v>
      </c>
    </row>
    <row r="523" spans="1:11" ht="70" hidden="1" x14ac:dyDescent="0.2">
      <c r="A523" s="390">
        <v>168</v>
      </c>
      <c r="B523" s="390" t="s">
        <v>253</v>
      </c>
      <c r="C523" s="390">
        <f>VLOOKUP(B523,numbering!$N$18:$O$30,2,0)</f>
        <v>4</v>
      </c>
      <c r="D523" s="390" t="s">
        <v>285</v>
      </c>
      <c r="E523" s="403">
        <f t="shared" si="17"/>
        <v>19</v>
      </c>
      <c r="F523" s="435" t="s">
        <v>291</v>
      </c>
      <c r="G523" s="388" t="s">
        <v>1192</v>
      </c>
      <c r="H523" s="390">
        <v>1</v>
      </c>
      <c r="I523" s="390">
        <v>1</v>
      </c>
      <c r="J523" s="390"/>
      <c r="K523" s="398">
        <f>_xlfn.IFNA(VLOOKUP(A523,numbering!$K$3:$L$92,2,0),0)</f>
        <v>0</v>
      </c>
    </row>
    <row r="524" spans="1:11" ht="70" hidden="1" x14ac:dyDescent="0.2">
      <c r="A524" s="390">
        <v>168</v>
      </c>
      <c r="B524" s="390" t="s">
        <v>253</v>
      </c>
      <c r="C524" s="390">
        <f>VLOOKUP(B524,numbering!$N$18:$O$30,2,0)</f>
        <v>4</v>
      </c>
      <c r="D524" s="390" t="s">
        <v>285</v>
      </c>
      <c r="E524" s="403">
        <f t="shared" si="17"/>
        <v>19</v>
      </c>
      <c r="F524" s="435" t="str">
        <f>F523</f>
        <v>Is there documented evidence of that the Manning's number/s used in the assessment was/were selected based on objective observation of the downstream conditions and defensible reference material, to achieve the objective of appropriately accounting for the conditions of the inundation area in the inundation modelling?</v>
      </c>
      <c r="G524" s="388" t="s">
        <v>1193</v>
      </c>
      <c r="H524" s="390">
        <v>2</v>
      </c>
      <c r="I524" s="390">
        <v>2</v>
      </c>
      <c r="J524" s="390"/>
      <c r="K524" s="398">
        <f>_xlfn.IFNA(VLOOKUP(A524,numbering!$K$3:$L$92,2,0),0)</f>
        <v>0</v>
      </c>
    </row>
    <row r="525" spans="1:11" ht="70" hidden="1" x14ac:dyDescent="0.2">
      <c r="A525" s="390">
        <v>168</v>
      </c>
      <c r="B525" s="390" t="s">
        <v>253</v>
      </c>
      <c r="C525" s="390">
        <f>VLOOKUP(B525,numbering!$N$18:$O$30,2,0)</f>
        <v>4</v>
      </c>
      <c r="D525" s="390" t="s">
        <v>285</v>
      </c>
      <c r="E525" s="403">
        <f t="shared" si="17"/>
        <v>19</v>
      </c>
      <c r="F525" s="435" t="str">
        <f>F524</f>
        <v>Is there documented evidence of that the Manning's number/s used in the assessment was/were selected based on objective observation of the downstream conditions and defensible reference material, to achieve the objective of appropriately accounting for the conditions of the inundation area in the inundation modelling?</v>
      </c>
      <c r="G525" s="388" t="s">
        <v>1194</v>
      </c>
      <c r="H525" s="390">
        <v>3</v>
      </c>
      <c r="I525" s="390">
        <v>3</v>
      </c>
      <c r="J525" s="390"/>
      <c r="K525" s="398">
        <f>_xlfn.IFNA(VLOOKUP(A525,numbering!$K$3:$L$92,2,0),0)</f>
        <v>0</v>
      </c>
    </row>
    <row r="526" spans="1:11" ht="70" hidden="1" x14ac:dyDescent="0.2">
      <c r="A526" s="390">
        <v>168</v>
      </c>
      <c r="B526" s="390" t="s">
        <v>253</v>
      </c>
      <c r="C526" s="390">
        <f>VLOOKUP(B526,numbering!$N$18:$O$30,2,0)</f>
        <v>4</v>
      </c>
      <c r="D526" s="390" t="s">
        <v>285</v>
      </c>
      <c r="E526" s="403">
        <f t="shared" si="17"/>
        <v>19</v>
      </c>
      <c r="F526" s="435" t="str">
        <f>F525</f>
        <v>Is there documented evidence of that the Manning's number/s used in the assessment was/were selected based on objective observation of the downstream conditions and defensible reference material, to achieve the objective of appropriately accounting for the conditions of the inundation area in the inundation modelling?</v>
      </c>
      <c r="G526" s="388" t="s">
        <v>1195</v>
      </c>
      <c r="H526" s="390">
        <v>4</v>
      </c>
      <c r="I526" s="390">
        <v>4</v>
      </c>
      <c r="J526" s="390"/>
      <c r="K526" s="398">
        <f>_xlfn.IFNA(VLOOKUP(A526,numbering!$K$3:$L$92,2,0),0)</f>
        <v>0</v>
      </c>
    </row>
    <row r="527" spans="1:11" ht="70" hidden="1" x14ac:dyDescent="0.2">
      <c r="A527" s="390">
        <v>169</v>
      </c>
      <c r="B527" s="390" t="s">
        <v>253</v>
      </c>
      <c r="C527" s="390">
        <f>VLOOKUP(B527,numbering!$N$18:$O$30,2,0)</f>
        <v>4</v>
      </c>
      <c r="D527" s="390" t="s">
        <v>285</v>
      </c>
      <c r="E527" s="403">
        <f t="shared" si="17"/>
        <v>19</v>
      </c>
      <c r="F527" s="435" t="s">
        <v>292</v>
      </c>
      <c r="G527" s="388" t="s">
        <v>1192</v>
      </c>
      <c r="H527" s="390">
        <v>1</v>
      </c>
      <c r="I527" s="390">
        <v>1</v>
      </c>
      <c r="J527" s="390"/>
      <c r="K527" s="398">
        <f>_xlfn.IFNA(VLOOKUP(A527,numbering!$K$3:$L$92,2,0),0)</f>
        <v>0</v>
      </c>
    </row>
    <row r="528" spans="1:11" ht="70" hidden="1" x14ac:dyDescent="0.2">
      <c r="A528" s="390">
        <v>169</v>
      </c>
      <c r="B528" s="390" t="s">
        <v>253</v>
      </c>
      <c r="C528" s="390">
        <f>VLOOKUP(B528,numbering!$N$18:$O$30,2,0)</f>
        <v>4</v>
      </c>
      <c r="D528" s="390" t="s">
        <v>285</v>
      </c>
      <c r="E528" s="403">
        <f t="shared" si="17"/>
        <v>19</v>
      </c>
      <c r="F528" s="435" t="str">
        <f>F527</f>
        <v>Is there documented evidence that the potential for Non-Newtonian fluid behaviour of the outflow material was appropriately considered based on objective data and defensible methods, to achieve the objective of understanding if Non-Newtonian behaviour of the outflow material is possible given the potential conditions at failure?</v>
      </c>
      <c r="G528" s="388" t="s">
        <v>1193</v>
      </c>
      <c r="H528" s="390">
        <v>2</v>
      </c>
      <c r="I528" s="390">
        <v>2</v>
      </c>
      <c r="J528" s="390"/>
      <c r="K528" s="398">
        <f>_xlfn.IFNA(VLOOKUP(A528,numbering!$K$3:$L$92,2,0),0)</f>
        <v>0</v>
      </c>
    </row>
    <row r="529" spans="1:11" ht="70" hidden="1" x14ac:dyDescent="0.2">
      <c r="A529" s="390">
        <v>169</v>
      </c>
      <c r="B529" s="390" t="s">
        <v>253</v>
      </c>
      <c r="C529" s="390">
        <f>VLOOKUP(B529,numbering!$N$18:$O$30,2,0)</f>
        <v>4</v>
      </c>
      <c r="D529" s="390" t="s">
        <v>285</v>
      </c>
      <c r="E529" s="403">
        <f t="shared" si="17"/>
        <v>19</v>
      </c>
      <c r="F529" s="435" t="str">
        <f>F528</f>
        <v>Is there documented evidence that the potential for Non-Newtonian fluid behaviour of the outflow material was appropriately considered based on objective data and defensible methods, to achieve the objective of understanding if Non-Newtonian behaviour of the outflow material is possible given the potential conditions at failure?</v>
      </c>
      <c r="G529" s="388" t="s">
        <v>1194</v>
      </c>
      <c r="H529" s="390">
        <v>3</v>
      </c>
      <c r="I529" s="390">
        <v>3</v>
      </c>
      <c r="J529" s="390"/>
      <c r="K529" s="398">
        <f>_xlfn.IFNA(VLOOKUP(A529,numbering!$K$3:$L$92,2,0),0)</f>
        <v>0</v>
      </c>
    </row>
    <row r="530" spans="1:11" ht="70" hidden="1" x14ac:dyDescent="0.2">
      <c r="A530" s="390">
        <v>169</v>
      </c>
      <c r="B530" s="390" t="s">
        <v>253</v>
      </c>
      <c r="C530" s="390">
        <f>VLOOKUP(B530,numbering!$N$18:$O$30,2,0)</f>
        <v>4</v>
      </c>
      <c r="D530" s="390" t="s">
        <v>285</v>
      </c>
      <c r="E530" s="403">
        <f t="shared" si="17"/>
        <v>19</v>
      </c>
      <c r="F530" s="435" t="str">
        <f>F529</f>
        <v>Is there documented evidence that the potential for Non-Newtonian fluid behaviour of the outflow material was appropriately considered based on objective data and defensible methods, to achieve the objective of understanding if Non-Newtonian behaviour of the outflow material is possible given the potential conditions at failure?</v>
      </c>
      <c r="G530" s="388" t="s">
        <v>1195</v>
      </c>
      <c r="H530" s="390">
        <v>4</v>
      </c>
      <c r="I530" s="390">
        <v>4</v>
      </c>
      <c r="J530" s="390"/>
      <c r="K530" s="398">
        <f>_xlfn.IFNA(VLOOKUP(A530,numbering!$K$3:$L$92,2,0),0)</f>
        <v>0</v>
      </c>
    </row>
    <row r="531" spans="1:11" ht="70" hidden="1" x14ac:dyDescent="0.2">
      <c r="A531" s="390">
        <v>170</v>
      </c>
      <c r="B531" s="390" t="s">
        <v>253</v>
      </c>
      <c r="C531" s="390">
        <f>VLOOKUP(B531,numbering!$N$18:$O$30,2,0)</f>
        <v>4</v>
      </c>
      <c r="D531" s="390" t="s">
        <v>285</v>
      </c>
      <c r="E531" s="403">
        <f t="shared" si="17"/>
        <v>19</v>
      </c>
      <c r="F531" s="435" t="s">
        <v>293</v>
      </c>
      <c r="G531" s="388" t="s">
        <v>1192</v>
      </c>
      <c r="H531" s="390">
        <v>1</v>
      </c>
      <c r="I531" s="390">
        <v>1</v>
      </c>
      <c r="J531" s="390"/>
      <c r="K531" s="398">
        <f>_xlfn.IFNA(VLOOKUP(A531,numbering!$K$3:$L$92,2,0),0)</f>
        <v>0</v>
      </c>
    </row>
    <row r="532" spans="1:11" ht="70" hidden="1" x14ac:dyDescent="0.2">
      <c r="A532" s="390">
        <v>170</v>
      </c>
      <c r="B532" s="390" t="s">
        <v>253</v>
      </c>
      <c r="C532" s="390">
        <f>VLOOKUP(B532,numbering!$N$18:$O$30,2,0)</f>
        <v>4</v>
      </c>
      <c r="D532" s="390" t="s">
        <v>285</v>
      </c>
      <c r="E532" s="403">
        <f t="shared" si="17"/>
        <v>19</v>
      </c>
      <c r="F532" s="435" t="str">
        <f>F531</f>
        <v>If Non-Newtonian fluid behaviour was assessed in the dam break model, is there documented evidence that the Non-Newtonian fluid parameters used were based on objectively measured data, to achieve the objective of accurately accounting for the Non-Newtonian behaviour of the released material in dam break modelling?</v>
      </c>
      <c r="G532" s="388" t="s">
        <v>1193</v>
      </c>
      <c r="H532" s="390">
        <v>2</v>
      </c>
      <c r="I532" s="390">
        <v>2</v>
      </c>
      <c r="J532" s="390"/>
      <c r="K532" s="398">
        <f>_xlfn.IFNA(VLOOKUP(A532,numbering!$K$3:$L$92,2,0),0)</f>
        <v>0</v>
      </c>
    </row>
    <row r="533" spans="1:11" ht="70" hidden="1" x14ac:dyDescent="0.2">
      <c r="A533" s="390">
        <v>170</v>
      </c>
      <c r="B533" s="390" t="s">
        <v>253</v>
      </c>
      <c r="C533" s="390">
        <f>VLOOKUP(B533,numbering!$N$18:$O$30,2,0)</f>
        <v>4</v>
      </c>
      <c r="D533" s="390" t="s">
        <v>285</v>
      </c>
      <c r="E533" s="403">
        <f t="shared" si="17"/>
        <v>19</v>
      </c>
      <c r="F533" s="435" t="str">
        <f>F532</f>
        <v>If Non-Newtonian fluid behaviour was assessed in the dam break model, is there documented evidence that the Non-Newtonian fluid parameters used were based on objectively measured data, to achieve the objective of accurately accounting for the Non-Newtonian behaviour of the released material in dam break modelling?</v>
      </c>
      <c r="G533" s="388" t="s">
        <v>1194</v>
      </c>
      <c r="H533" s="390">
        <v>3</v>
      </c>
      <c r="I533" s="390">
        <v>3</v>
      </c>
      <c r="J533" s="390"/>
      <c r="K533" s="398">
        <f>_xlfn.IFNA(VLOOKUP(A533,numbering!$K$3:$L$92,2,0),0)</f>
        <v>0</v>
      </c>
    </row>
    <row r="534" spans="1:11" ht="70" hidden="1" x14ac:dyDescent="0.2">
      <c r="A534" s="390">
        <v>170</v>
      </c>
      <c r="B534" s="390" t="s">
        <v>253</v>
      </c>
      <c r="C534" s="390">
        <f>VLOOKUP(B534,numbering!$N$18:$O$30,2,0)</f>
        <v>4</v>
      </c>
      <c r="D534" s="390" t="s">
        <v>285</v>
      </c>
      <c r="E534" s="403">
        <f t="shared" si="17"/>
        <v>19</v>
      </c>
      <c r="F534" s="435" t="str">
        <f>F533</f>
        <v>If Non-Newtonian fluid behaviour was assessed in the dam break model, is there documented evidence that the Non-Newtonian fluid parameters used were based on objectively measured data, to achieve the objective of accurately accounting for the Non-Newtonian behaviour of the released material in dam break modelling?</v>
      </c>
      <c r="G534" s="388" t="s">
        <v>1195</v>
      </c>
      <c r="H534" s="390">
        <v>4</v>
      </c>
      <c r="I534" s="390">
        <v>4</v>
      </c>
      <c r="J534" s="390"/>
      <c r="K534" s="398">
        <f>_xlfn.IFNA(VLOOKUP(A534,numbering!$K$3:$L$92,2,0),0)</f>
        <v>0</v>
      </c>
    </row>
    <row r="535" spans="1:11" ht="56" hidden="1" x14ac:dyDescent="0.2">
      <c r="A535" s="390">
        <v>171</v>
      </c>
      <c r="B535" s="390" t="s">
        <v>253</v>
      </c>
      <c r="C535" s="390">
        <f>VLOOKUP(B535,numbering!$N$18:$O$30,2,0)</f>
        <v>4</v>
      </c>
      <c r="D535" s="390" t="s">
        <v>285</v>
      </c>
      <c r="E535" s="403">
        <f t="shared" si="17"/>
        <v>19</v>
      </c>
      <c r="F535" s="435" t="s">
        <v>294</v>
      </c>
      <c r="G535" s="388" t="s">
        <v>1192</v>
      </c>
      <c r="H535" s="390">
        <v>1</v>
      </c>
      <c r="I535" s="390">
        <v>1</v>
      </c>
      <c r="J535" s="390"/>
      <c r="K535" s="398">
        <f>_xlfn.IFNA(VLOOKUP(A535,numbering!$K$3:$L$92,2,0),0)</f>
        <v>0</v>
      </c>
    </row>
    <row r="536" spans="1:11" ht="56" hidden="1" x14ac:dyDescent="0.2">
      <c r="A536" s="390">
        <v>171</v>
      </c>
      <c r="B536" s="390" t="s">
        <v>253</v>
      </c>
      <c r="C536" s="390">
        <f>VLOOKUP(B536,numbering!$N$18:$O$30,2,0)</f>
        <v>4</v>
      </c>
      <c r="D536" s="390" t="s">
        <v>285</v>
      </c>
      <c r="E536" s="403">
        <f t="shared" si="17"/>
        <v>19</v>
      </c>
      <c r="F536" s="435" t="str">
        <f>F535</f>
        <v>Is there documented evidence that the time-step used in the assessment was  selected based on the characteristics of the model, to achieve the objective of producing inundation models that is not negatively impacted by coarse time-steps</v>
      </c>
      <c r="G536" s="388" t="s">
        <v>1193</v>
      </c>
      <c r="H536" s="390">
        <v>2</v>
      </c>
      <c r="I536" s="390">
        <v>2</v>
      </c>
      <c r="J536" s="390"/>
      <c r="K536" s="398">
        <f>_xlfn.IFNA(VLOOKUP(A536,numbering!$K$3:$L$92,2,0),0)</f>
        <v>0</v>
      </c>
    </row>
    <row r="537" spans="1:11" ht="56" hidden="1" x14ac:dyDescent="0.2">
      <c r="A537" s="390">
        <v>171</v>
      </c>
      <c r="B537" s="390" t="s">
        <v>253</v>
      </c>
      <c r="C537" s="390">
        <f>VLOOKUP(B537,numbering!$N$18:$O$30,2,0)</f>
        <v>4</v>
      </c>
      <c r="D537" s="390" t="s">
        <v>285</v>
      </c>
      <c r="E537" s="403">
        <f t="shared" si="17"/>
        <v>19</v>
      </c>
      <c r="F537" s="435" t="str">
        <f>F536</f>
        <v>Is there documented evidence that the time-step used in the assessment was  selected based on the characteristics of the model, to achieve the objective of producing inundation models that is not negatively impacted by coarse time-steps</v>
      </c>
      <c r="G537" s="388" t="s">
        <v>1194</v>
      </c>
      <c r="H537" s="390">
        <v>3</v>
      </c>
      <c r="I537" s="390">
        <v>3</v>
      </c>
      <c r="J537" s="390"/>
      <c r="K537" s="398">
        <f>_xlfn.IFNA(VLOOKUP(A537,numbering!$K$3:$L$92,2,0),0)</f>
        <v>0</v>
      </c>
    </row>
    <row r="538" spans="1:11" ht="56" hidden="1" x14ac:dyDescent="0.2">
      <c r="A538" s="390">
        <v>171</v>
      </c>
      <c r="B538" s="390" t="s">
        <v>253</v>
      </c>
      <c r="C538" s="390">
        <f>VLOOKUP(B538,numbering!$N$18:$O$30,2,0)</f>
        <v>4</v>
      </c>
      <c r="D538" s="390" t="s">
        <v>285</v>
      </c>
      <c r="E538" s="403">
        <f t="shared" si="17"/>
        <v>19</v>
      </c>
      <c r="F538" s="435" t="str">
        <f>F537</f>
        <v>Is there documented evidence that the time-step used in the assessment was  selected based on the characteristics of the model, to achieve the objective of producing inundation models that is not negatively impacted by coarse time-steps</v>
      </c>
      <c r="G538" s="388" t="s">
        <v>1195</v>
      </c>
      <c r="H538" s="390">
        <v>4</v>
      </c>
      <c r="I538" s="390">
        <v>4</v>
      </c>
      <c r="J538" s="390"/>
      <c r="K538" s="398">
        <f>_xlfn.IFNA(VLOOKUP(A538,numbering!$K$3:$L$92,2,0),0)</f>
        <v>0</v>
      </c>
    </row>
    <row r="539" spans="1:11" ht="56" hidden="1" x14ac:dyDescent="0.2">
      <c r="A539" s="390">
        <v>172</v>
      </c>
      <c r="B539" s="390" t="s">
        <v>253</v>
      </c>
      <c r="C539" s="390">
        <f>VLOOKUP(B539,numbering!$N$18:$O$30,2,0)</f>
        <v>4</v>
      </c>
      <c r="D539" s="390" t="s">
        <v>285</v>
      </c>
      <c r="E539" s="403">
        <f t="shared" si="17"/>
        <v>19</v>
      </c>
      <c r="F539" s="435" t="s">
        <v>1163</v>
      </c>
      <c r="G539" s="388" t="s">
        <v>1192</v>
      </c>
      <c r="H539" s="390">
        <v>1</v>
      </c>
      <c r="I539" s="390">
        <v>1</v>
      </c>
      <c r="J539" s="390"/>
      <c r="K539" s="398">
        <f>_xlfn.IFNA(VLOOKUP(A539,numbering!$K$3:$L$92,2,0),0)</f>
        <v>0</v>
      </c>
    </row>
    <row r="540" spans="1:11" ht="56" hidden="1" x14ac:dyDescent="0.2">
      <c r="A540" s="390">
        <v>172</v>
      </c>
      <c r="B540" s="390" t="s">
        <v>253</v>
      </c>
      <c r="C540" s="390">
        <f>VLOOKUP(B540,numbering!$N$18:$O$30,2,0)</f>
        <v>4</v>
      </c>
      <c r="D540" s="390" t="s">
        <v>285</v>
      </c>
      <c r="E540" s="403">
        <f t="shared" si="17"/>
        <v>19</v>
      </c>
      <c r="F540" s="435" t="str">
        <f>F539</f>
        <v xml:space="preserve">Is there documented evidence that the upstream and downstream boundary conditions of the model geometry was based on onsite conditions and assigned correctly within the model, to achieve the objective of producing a model geometry that reflects onsite conditions. </v>
      </c>
      <c r="G540" s="388" t="s">
        <v>1193</v>
      </c>
      <c r="H540" s="390">
        <v>2</v>
      </c>
      <c r="I540" s="390">
        <v>2</v>
      </c>
      <c r="J540" s="390"/>
      <c r="K540" s="398">
        <f>_xlfn.IFNA(VLOOKUP(A540,numbering!$K$3:$L$92,2,0),0)</f>
        <v>0</v>
      </c>
    </row>
    <row r="541" spans="1:11" ht="56" hidden="1" x14ac:dyDescent="0.2">
      <c r="A541" s="390">
        <v>172</v>
      </c>
      <c r="B541" s="390" t="s">
        <v>253</v>
      </c>
      <c r="C541" s="390">
        <f>VLOOKUP(B541,numbering!$N$18:$O$30,2,0)</f>
        <v>4</v>
      </c>
      <c r="D541" s="390" t="s">
        <v>285</v>
      </c>
      <c r="E541" s="403">
        <f t="shared" si="17"/>
        <v>19</v>
      </c>
      <c r="F541" s="435" t="str">
        <f>F540</f>
        <v xml:space="preserve">Is there documented evidence that the upstream and downstream boundary conditions of the model geometry was based on onsite conditions and assigned correctly within the model, to achieve the objective of producing a model geometry that reflects onsite conditions. </v>
      </c>
      <c r="G541" s="388" t="s">
        <v>1194</v>
      </c>
      <c r="H541" s="390">
        <v>3</v>
      </c>
      <c r="I541" s="390">
        <v>3</v>
      </c>
      <c r="J541" s="390"/>
      <c r="K541" s="398">
        <f>_xlfn.IFNA(VLOOKUP(A541,numbering!$K$3:$L$92,2,0),0)</f>
        <v>0</v>
      </c>
    </row>
    <row r="542" spans="1:11" ht="56" hidden="1" x14ac:dyDescent="0.2">
      <c r="A542" s="390">
        <v>172</v>
      </c>
      <c r="B542" s="390" t="s">
        <v>253</v>
      </c>
      <c r="C542" s="390">
        <f>VLOOKUP(B542,numbering!$N$18:$O$30,2,0)</f>
        <v>4</v>
      </c>
      <c r="D542" s="390" t="s">
        <v>285</v>
      </c>
      <c r="E542" s="403">
        <f t="shared" si="17"/>
        <v>19</v>
      </c>
      <c r="F542" s="435" t="str">
        <f>F541</f>
        <v xml:space="preserve">Is there documented evidence that the upstream and downstream boundary conditions of the model geometry was based on onsite conditions and assigned correctly within the model, to achieve the objective of producing a model geometry that reflects onsite conditions. </v>
      </c>
      <c r="G542" s="388" t="s">
        <v>1195</v>
      </c>
      <c r="H542" s="390">
        <v>4</v>
      </c>
      <c r="I542" s="390">
        <v>4</v>
      </c>
      <c r="J542" s="390"/>
      <c r="K542" s="398">
        <f>_xlfn.IFNA(VLOOKUP(A542,numbering!$K$3:$L$92,2,0),0)</f>
        <v>0</v>
      </c>
    </row>
    <row r="543" spans="1:11" ht="56" hidden="1" x14ac:dyDescent="0.2">
      <c r="A543" s="390">
        <v>173</v>
      </c>
      <c r="B543" s="390" t="s">
        <v>253</v>
      </c>
      <c r="C543" s="390">
        <f>VLOOKUP(B543,numbering!$N$18:$O$30,2,0)</f>
        <v>4</v>
      </c>
      <c r="D543" s="390" t="s">
        <v>285</v>
      </c>
      <c r="E543" s="403">
        <f t="shared" si="17"/>
        <v>19</v>
      </c>
      <c r="F543" s="435" t="s">
        <v>295</v>
      </c>
      <c r="G543" s="388" t="s">
        <v>1192</v>
      </c>
      <c r="H543" s="390">
        <v>1</v>
      </c>
      <c r="I543" s="390">
        <v>1</v>
      </c>
      <c r="J543" s="390"/>
      <c r="K543" s="398">
        <f>_xlfn.IFNA(VLOOKUP(A543,numbering!$K$3:$L$92,2,0),0)</f>
        <v>0</v>
      </c>
    </row>
    <row r="544" spans="1:11" ht="56" hidden="1" x14ac:dyDescent="0.2">
      <c r="A544" s="390">
        <v>173</v>
      </c>
      <c r="B544" s="390" t="s">
        <v>253</v>
      </c>
      <c r="C544" s="390">
        <f>VLOOKUP(B544,numbering!$N$18:$O$30,2,0)</f>
        <v>4</v>
      </c>
      <c r="D544" s="390" t="s">
        <v>285</v>
      </c>
      <c r="E544" s="403">
        <f t="shared" si="17"/>
        <v>19</v>
      </c>
      <c r="F544" s="435" t="str">
        <f>F543</f>
        <v>Is there documented evidence describing the utilised dam break assessment methodology to demonstrate that the dam break assessments achieves the objective of being undertaken in alignment with current practice?</v>
      </c>
      <c r="G544" s="388" t="s">
        <v>1193</v>
      </c>
      <c r="H544" s="390">
        <v>2</v>
      </c>
      <c r="I544" s="390">
        <v>2</v>
      </c>
      <c r="J544" s="390"/>
      <c r="K544" s="398">
        <f>_xlfn.IFNA(VLOOKUP(A544,numbering!$K$3:$L$92,2,0),0)</f>
        <v>0</v>
      </c>
    </row>
    <row r="545" spans="1:11" ht="56" hidden="1" x14ac:dyDescent="0.2">
      <c r="A545" s="390">
        <v>173</v>
      </c>
      <c r="B545" s="390" t="s">
        <v>253</v>
      </c>
      <c r="C545" s="390">
        <f>VLOOKUP(B545,numbering!$N$18:$O$30,2,0)</f>
        <v>4</v>
      </c>
      <c r="D545" s="390" t="s">
        <v>285</v>
      </c>
      <c r="E545" s="403">
        <f t="shared" si="17"/>
        <v>19</v>
      </c>
      <c r="F545" s="435" t="str">
        <f>F544</f>
        <v>Is there documented evidence describing the utilised dam break assessment methodology to demonstrate that the dam break assessments achieves the objective of being undertaken in alignment with current practice?</v>
      </c>
      <c r="G545" s="388" t="s">
        <v>1194</v>
      </c>
      <c r="H545" s="390">
        <v>3</v>
      </c>
      <c r="I545" s="390">
        <v>3</v>
      </c>
      <c r="J545" s="390"/>
      <c r="K545" s="398">
        <f>_xlfn.IFNA(VLOOKUP(A545,numbering!$K$3:$L$92,2,0),0)</f>
        <v>0</v>
      </c>
    </row>
    <row r="546" spans="1:11" ht="56" hidden="1" x14ac:dyDescent="0.2">
      <c r="A546" s="390">
        <v>173</v>
      </c>
      <c r="B546" s="390" t="s">
        <v>253</v>
      </c>
      <c r="C546" s="390">
        <f>VLOOKUP(B546,numbering!$N$18:$O$30,2,0)</f>
        <v>4</v>
      </c>
      <c r="D546" s="390" t="s">
        <v>285</v>
      </c>
      <c r="E546" s="403">
        <f t="shared" si="17"/>
        <v>19</v>
      </c>
      <c r="F546" s="435" t="str">
        <f>F545</f>
        <v>Is there documented evidence describing the utilised dam break assessment methodology to demonstrate that the dam break assessments achieves the objective of being undertaken in alignment with current practice?</v>
      </c>
      <c r="G546" s="388" t="s">
        <v>1195</v>
      </c>
      <c r="H546" s="390">
        <v>4</v>
      </c>
      <c r="I546" s="390">
        <v>4</v>
      </c>
      <c r="J546" s="390"/>
      <c r="K546" s="398">
        <f>_xlfn.IFNA(VLOOKUP(A546,numbering!$K$3:$L$92,2,0),0)</f>
        <v>0</v>
      </c>
    </row>
    <row r="547" spans="1:11" ht="56" hidden="1" x14ac:dyDescent="0.2">
      <c r="A547" s="390">
        <v>174</v>
      </c>
      <c r="B547" s="390" t="s">
        <v>253</v>
      </c>
      <c r="C547" s="390">
        <f>VLOOKUP(B547,numbering!$N$18:$O$30,2,0)</f>
        <v>4</v>
      </c>
      <c r="D547" s="390" t="s">
        <v>285</v>
      </c>
      <c r="E547" s="403">
        <f t="shared" si="17"/>
        <v>19</v>
      </c>
      <c r="F547" s="435" t="s">
        <v>296</v>
      </c>
      <c r="G547" s="388" t="s">
        <v>1192</v>
      </c>
      <c r="H547" s="390">
        <v>1</v>
      </c>
      <c r="I547" s="390">
        <v>1</v>
      </c>
      <c r="J547" s="390"/>
      <c r="K547" s="398">
        <f>_xlfn.IFNA(VLOOKUP(A547,numbering!$K$3:$L$92,2,0),0)</f>
        <v>0</v>
      </c>
    </row>
    <row r="548" spans="1:11" ht="56" hidden="1" x14ac:dyDescent="0.2">
      <c r="A548" s="390">
        <v>174</v>
      </c>
      <c r="B548" s="390" t="s">
        <v>253</v>
      </c>
      <c r="C548" s="390">
        <f>VLOOKUP(B548,numbering!$N$18:$O$30,2,0)</f>
        <v>4</v>
      </c>
      <c r="D548" s="390" t="s">
        <v>285</v>
      </c>
      <c r="E548" s="403">
        <f t="shared" si="17"/>
        <v>19</v>
      </c>
      <c r="F548" s="435" t="str">
        <f>F547</f>
        <v>Is there documented evidence that a dam break assessment has been appropriately undertaken to reflect the preferred future arrangement of the facility, to achieve the objective of presenting the potential inundation area as a result of the preferred future storage arrangement failing?</v>
      </c>
      <c r="G548" s="388" t="s">
        <v>1193</v>
      </c>
      <c r="H548" s="390">
        <v>2</v>
      </c>
      <c r="I548" s="390">
        <v>2</v>
      </c>
      <c r="J548" s="390"/>
      <c r="K548" s="398">
        <f>_xlfn.IFNA(VLOOKUP(A548,numbering!$K$3:$L$92,2,0),0)</f>
        <v>0</v>
      </c>
    </row>
    <row r="549" spans="1:11" ht="56" hidden="1" x14ac:dyDescent="0.2">
      <c r="A549" s="390">
        <v>174</v>
      </c>
      <c r="B549" s="390" t="s">
        <v>253</v>
      </c>
      <c r="C549" s="390">
        <f>VLOOKUP(B549,numbering!$N$18:$O$30,2,0)</f>
        <v>4</v>
      </c>
      <c r="D549" s="390" t="s">
        <v>285</v>
      </c>
      <c r="E549" s="403">
        <f t="shared" si="17"/>
        <v>19</v>
      </c>
      <c r="F549" s="435" t="str">
        <f>F548</f>
        <v>Is there documented evidence that a dam break assessment has been appropriately undertaken to reflect the preferred future arrangement of the facility, to achieve the objective of presenting the potential inundation area as a result of the preferred future storage arrangement failing?</v>
      </c>
      <c r="G549" s="388" t="s">
        <v>1194</v>
      </c>
      <c r="H549" s="390">
        <v>3</v>
      </c>
      <c r="I549" s="390">
        <v>3</v>
      </c>
      <c r="J549" s="390"/>
      <c r="K549" s="398">
        <f>_xlfn.IFNA(VLOOKUP(A549,numbering!$K$3:$L$92,2,0),0)</f>
        <v>0</v>
      </c>
    </row>
    <row r="550" spans="1:11" ht="56" hidden="1" x14ac:dyDescent="0.2">
      <c r="A550" s="390">
        <v>174</v>
      </c>
      <c r="B550" s="390" t="s">
        <v>253</v>
      </c>
      <c r="C550" s="390">
        <f>VLOOKUP(B550,numbering!$N$18:$O$30,2,0)</f>
        <v>4</v>
      </c>
      <c r="D550" s="390" t="s">
        <v>285</v>
      </c>
      <c r="E550" s="403">
        <f t="shared" si="17"/>
        <v>19</v>
      </c>
      <c r="F550" s="435" t="str">
        <f>F549</f>
        <v>Is there documented evidence that a dam break assessment has been appropriately undertaken to reflect the preferred future arrangement of the facility, to achieve the objective of presenting the potential inundation area as a result of the preferred future storage arrangement failing?</v>
      </c>
      <c r="G550" s="388" t="s">
        <v>1195</v>
      </c>
      <c r="H550" s="390">
        <v>4</v>
      </c>
      <c r="I550" s="390">
        <v>4</v>
      </c>
      <c r="J550" s="390"/>
      <c r="K550" s="398">
        <f>_xlfn.IFNA(VLOOKUP(A550,numbering!$K$3:$L$92,2,0),0)</f>
        <v>0</v>
      </c>
    </row>
    <row r="551" spans="1:11" ht="56" hidden="1" x14ac:dyDescent="0.2">
      <c r="A551" s="390">
        <v>175</v>
      </c>
      <c r="B551" s="390" t="s">
        <v>253</v>
      </c>
      <c r="C551" s="390">
        <f>VLOOKUP(B551,numbering!$N$18:$O$30,2,0)</f>
        <v>4</v>
      </c>
      <c r="D551" s="390" t="s">
        <v>297</v>
      </c>
      <c r="E551" s="403">
        <f t="shared" ref="E551:E614" si="18">IF(C551&lt;&gt;C550,1,IF(D551&lt;&gt;D550,E550+1,E550))</f>
        <v>20</v>
      </c>
      <c r="F551" s="433" t="s">
        <v>298</v>
      </c>
      <c r="G551" s="388" t="s">
        <v>1192</v>
      </c>
      <c r="H551" s="390">
        <v>1</v>
      </c>
      <c r="I551" s="390">
        <v>1</v>
      </c>
      <c r="J551" s="390"/>
      <c r="K551" s="398">
        <f>_xlfn.IFNA(VLOOKUP(A551,numbering!$K$3:$L$92,2,0),0)</f>
        <v>0</v>
      </c>
    </row>
    <row r="552" spans="1:11" ht="56" hidden="1" x14ac:dyDescent="0.2">
      <c r="A552" s="390">
        <v>175</v>
      </c>
      <c r="B552" s="390" t="s">
        <v>253</v>
      </c>
      <c r="C552" s="390">
        <f>VLOOKUP(B552,numbering!$N$18:$O$30,2,0)</f>
        <v>4</v>
      </c>
      <c r="D552" s="390" t="s">
        <v>297</v>
      </c>
      <c r="E552" s="403">
        <f t="shared" si="18"/>
        <v>20</v>
      </c>
      <c r="F552" s="433" t="str">
        <f>F551</f>
        <v>Is there documented evidence describing the assessment of consequences of failure for the facility, demonstrating that the objective of estimating consequences of failure based on a standard or guidance framework was achieved?</v>
      </c>
      <c r="G552" s="388" t="s">
        <v>1193</v>
      </c>
      <c r="H552" s="390">
        <v>2</v>
      </c>
      <c r="I552" s="390">
        <v>2</v>
      </c>
      <c r="J552" s="390"/>
      <c r="K552" s="398">
        <f>_xlfn.IFNA(VLOOKUP(A552,numbering!$K$3:$L$92,2,0),0)</f>
        <v>0</v>
      </c>
    </row>
    <row r="553" spans="1:11" ht="56" hidden="1" x14ac:dyDescent="0.2">
      <c r="A553" s="390">
        <v>175</v>
      </c>
      <c r="B553" s="390" t="s">
        <v>253</v>
      </c>
      <c r="C553" s="390">
        <f>VLOOKUP(B553,numbering!$N$18:$O$30,2,0)</f>
        <v>4</v>
      </c>
      <c r="D553" s="390" t="s">
        <v>297</v>
      </c>
      <c r="E553" s="403">
        <f t="shared" si="18"/>
        <v>20</v>
      </c>
      <c r="F553" s="433" t="str">
        <f>F552</f>
        <v>Is there documented evidence describing the assessment of consequences of failure for the facility, demonstrating that the objective of estimating consequences of failure based on a standard or guidance framework was achieved?</v>
      </c>
      <c r="G553" s="388" t="s">
        <v>1194</v>
      </c>
      <c r="H553" s="390">
        <v>3</v>
      </c>
      <c r="I553" s="390">
        <v>3</v>
      </c>
      <c r="J553" s="390"/>
      <c r="K553" s="398">
        <f>_xlfn.IFNA(VLOOKUP(A553,numbering!$K$3:$L$92,2,0),0)</f>
        <v>0</v>
      </c>
    </row>
    <row r="554" spans="1:11" ht="56" hidden="1" x14ac:dyDescent="0.2">
      <c r="A554" s="390">
        <v>175</v>
      </c>
      <c r="B554" s="390" t="s">
        <v>253</v>
      </c>
      <c r="C554" s="390">
        <f>VLOOKUP(B554,numbering!$N$18:$O$30,2,0)</f>
        <v>4</v>
      </c>
      <c r="D554" s="390" t="s">
        <v>297</v>
      </c>
      <c r="E554" s="403">
        <f t="shared" si="18"/>
        <v>20</v>
      </c>
      <c r="F554" s="433" t="str">
        <f>F553</f>
        <v>Is there documented evidence describing the assessment of consequences of failure for the facility, demonstrating that the objective of estimating consequences of failure based on a standard or guidance framework was achieved?</v>
      </c>
      <c r="G554" s="388" t="s">
        <v>1195</v>
      </c>
      <c r="H554" s="390">
        <v>4</v>
      </c>
      <c r="I554" s="390">
        <v>4</v>
      </c>
      <c r="J554" s="390"/>
      <c r="K554" s="398">
        <f>_xlfn.IFNA(VLOOKUP(A554,numbering!$K$3:$L$92,2,0),0)</f>
        <v>0</v>
      </c>
    </row>
    <row r="555" spans="1:11" ht="42" hidden="1" x14ac:dyDescent="0.2">
      <c r="A555" s="390">
        <v>176</v>
      </c>
      <c r="B555" s="390" t="s">
        <v>253</v>
      </c>
      <c r="C555" s="390">
        <f>VLOOKUP(B555,numbering!$N$18:$O$30,2,0)</f>
        <v>4</v>
      </c>
      <c r="D555" s="390" t="s">
        <v>297</v>
      </c>
      <c r="E555" s="403">
        <f t="shared" si="18"/>
        <v>20</v>
      </c>
      <c r="F555" s="433" t="s">
        <v>299</v>
      </c>
      <c r="G555" s="388" t="s">
        <v>1192</v>
      </c>
      <c r="H555" s="390">
        <v>1</v>
      </c>
      <c r="I555" s="390">
        <v>1</v>
      </c>
      <c r="J555" s="390"/>
      <c r="K555" s="398">
        <f>_xlfn.IFNA(VLOOKUP(A555,numbering!$K$3:$L$92,2,0),0)</f>
        <v>0</v>
      </c>
    </row>
    <row r="556" spans="1:11" ht="42" hidden="1" x14ac:dyDescent="0.2">
      <c r="A556" s="390">
        <v>176</v>
      </c>
      <c r="B556" s="390" t="s">
        <v>253</v>
      </c>
      <c r="C556" s="390">
        <f>VLOOKUP(B556,numbering!$N$18:$O$30,2,0)</f>
        <v>4</v>
      </c>
      <c r="D556" s="390" t="s">
        <v>297</v>
      </c>
      <c r="E556" s="403">
        <f t="shared" si="18"/>
        <v>20</v>
      </c>
      <c r="F556" s="433" t="str">
        <f>F555</f>
        <v>Is there documented evidence that the objective of estimated societal consequences of failure being based on the results of modelled dam break scenarios and objective data regarding the impacted areas was achieved?</v>
      </c>
      <c r="G556" s="388" t="s">
        <v>1193</v>
      </c>
      <c r="H556" s="390">
        <v>2</v>
      </c>
      <c r="I556" s="390">
        <v>2</v>
      </c>
      <c r="J556" s="390"/>
      <c r="K556" s="398">
        <f>_xlfn.IFNA(VLOOKUP(A556,numbering!$K$3:$L$92,2,0),0)</f>
        <v>0</v>
      </c>
    </row>
    <row r="557" spans="1:11" ht="42" hidden="1" x14ac:dyDescent="0.2">
      <c r="A557" s="390">
        <v>176</v>
      </c>
      <c r="B557" s="390" t="s">
        <v>253</v>
      </c>
      <c r="C557" s="390">
        <f>VLOOKUP(B557,numbering!$N$18:$O$30,2,0)</f>
        <v>4</v>
      </c>
      <c r="D557" s="390" t="s">
        <v>297</v>
      </c>
      <c r="E557" s="403">
        <f t="shared" si="18"/>
        <v>20</v>
      </c>
      <c r="F557" s="433" t="str">
        <f>F556</f>
        <v>Is there documented evidence that the objective of estimated societal consequences of failure being based on the results of modelled dam break scenarios and objective data regarding the impacted areas was achieved?</v>
      </c>
      <c r="G557" s="388" t="s">
        <v>1194</v>
      </c>
      <c r="H557" s="390">
        <v>3</v>
      </c>
      <c r="I557" s="390">
        <v>3</v>
      </c>
      <c r="J557" s="390"/>
      <c r="K557" s="398">
        <f>_xlfn.IFNA(VLOOKUP(A557,numbering!$K$3:$L$92,2,0),0)</f>
        <v>0</v>
      </c>
    </row>
    <row r="558" spans="1:11" ht="42" hidden="1" x14ac:dyDescent="0.2">
      <c r="A558" s="390">
        <v>176</v>
      </c>
      <c r="B558" s="390" t="s">
        <v>253</v>
      </c>
      <c r="C558" s="390">
        <f>VLOOKUP(B558,numbering!$N$18:$O$30,2,0)</f>
        <v>4</v>
      </c>
      <c r="D558" s="390" t="s">
        <v>297</v>
      </c>
      <c r="E558" s="403">
        <f t="shared" si="18"/>
        <v>20</v>
      </c>
      <c r="F558" s="433" t="str">
        <f>F557</f>
        <v>Is there documented evidence that the objective of estimated societal consequences of failure being based on the results of modelled dam break scenarios and objective data regarding the impacted areas was achieved?</v>
      </c>
      <c r="G558" s="388" t="s">
        <v>1195</v>
      </c>
      <c r="H558" s="390">
        <v>4</v>
      </c>
      <c r="I558" s="390">
        <v>4</v>
      </c>
      <c r="J558" s="390"/>
      <c r="K558" s="398">
        <f>_xlfn.IFNA(VLOOKUP(A558,numbering!$K$3:$L$92,2,0),0)</f>
        <v>0</v>
      </c>
    </row>
    <row r="559" spans="1:11" ht="42" hidden="1" x14ac:dyDescent="0.2">
      <c r="A559" s="390">
        <v>177</v>
      </c>
      <c r="B559" s="390" t="s">
        <v>253</v>
      </c>
      <c r="C559" s="390">
        <f>VLOOKUP(B559,numbering!$N$18:$O$30,2,0)</f>
        <v>4</v>
      </c>
      <c r="D559" s="390" t="s">
        <v>297</v>
      </c>
      <c r="E559" s="403">
        <f t="shared" si="18"/>
        <v>20</v>
      </c>
      <c r="F559" s="433" t="s">
        <v>300</v>
      </c>
      <c r="G559" s="388" t="s">
        <v>1192</v>
      </c>
      <c r="H559" s="390">
        <v>1</v>
      </c>
      <c r="I559" s="390">
        <v>1</v>
      </c>
      <c r="J559" s="390"/>
      <c r="K559" s="398">
        <f>_xlfn.IFNA(VLOOKUP(A559,numbering!$K$3:$L$92,2,0),0)</f>
        <v>0</v>
      </c>
    </row>
    <row r="560" spans="1:11" ht="42" hidden="1" x14ac:dyDescent="0.2">
      <c r="A560" s="390">
        <v>177</v>
      </c>
      <c r="B560" s="390" t="s">
        <v>253</v>
      </c>
      <c r="C560" s="390">
        <f>VLOOKUP(B560,numbering!$N$18:$O$30,2,0)</f>
        <v>4</v>
      </c>
      <c r="D560" s="390" t="s">
        <v>297</v>
      </c>
      <c r="E560" s="403">
        <f t="shared" si="18"/>
        <v>20</v>
      </c>
      <c r="F560" s="433" t="str">
        <f>F559</f>
        <v>Is there documented evidence that the objective of societal consequences of failure (Population at Risk and Potential Loss of Life) being estimated for all required dam break scenarios was achieved?</v>
      </c>
      <c r="G560" s="388" t="s">
        <v>1193</v>
      </c>
      <c r="H560" s="390">
        <v>2</v>
      </c>
      <c r="I560" s="390">
        <v>2</v>
      </c>
      <c r="J560" s="390"/>
      <c r="K560" s="398">
        <f>_xlfn.IFNA(VLOOKUP(A560,numbering!$K$3:$L$92,2,0),0)</f>
        <v>0</v>
      </c>
    </row>
    <row r="561" spans="1:11" ht="42" hidden="1" x14ac:dyDescent="0.2">
      <c r="A561" s="390">
        <v>177</v>
      </c>
      <c r="B561" s="390" t="s">
        <v>253</v>
      </c>
      <c r="C561" s="390">
        <f>VLOOKUP(B561,numbering!$N$18:$O$30,2,0)</f>
        <v>4</v>
      </c>
      <c r="D561" s="390" t="s">
        <v>297</v>
      </c>
      <c r="E561" s="403">
        <f t="shared" si="18"/>
        <v>20</v>
      </c>
      <c r="F561" s="433" t="str">
        <f>F560</f>
        <v>Is there documented evidence that the objective of societal consequences of failure (Population at Risk and Potential Loss of Life) being estimated for all required dam break scenarios was achieved?</v>
      </c>
      <c r="G561" s="388" t="s">
        <v>1194</v>
      </c>
      <c r="H561" s="390">
        <v>3</v>
      </c>
      <c r="I561" s="390">
        <v>3</v>
      </c>
      <c r="J561" s="390"/>
      <c r="K561" s="398">
        <f>_xlfn.IFNA(VLOOKUP(A561,numbering!$K$3:$L$92,2,0),0)</f>
        <v>0</v>
      </c>
    </row>
    <row r="562" spans="1:11" ht="42" hidden="1" x14ac:dyDescent="0.2">
      <c r="A562" s="390">
        <v>177</v>
      </c>
      <c r="B562" s="390" t="s">
        <v>253</v>
      </c>
      <c r="C562" s="390">
        <f>VLOOKUP(B562,numbering!$N$18:$O$30,2,0)</f>
        <v>4</v>
      </c>
      <c r="D562" s="390" t="s">
        <v>297</v>
      </c>
      <c r="E562" s="403">
        <f t="shared" si="18"/>
        <v>20</v>
      </c>
      <c r="F562" s="433" t="str">
        <f>F561</f>
        <v>Is there documented evidence that the objective of societal consequences of failure (Population at Risk and Potential Loss of Life) being estimated for all required dam break scenarios was achieved?</v>
      </c>
      <c r="G562" s="388" t="s">
        <v>1195</v>
      </c>
      <c r="H562" s="390">
        <v>4</v>
      </c>
      <c r="I562" s="390">
        <v>4</v>
      </c>
      <c r="J562" s="390"/>
      <c r="K562" s="398">
        <f>_xlfn.IFNA(VLOOKUP(A562,numbering!$K$3:$L$92,2,0),0)</f>
        <v>0</v>
      </c>
    </row>
    <row r="563" spans="1:11" ht="56" hidden="1" x14ac:dyDescent="0.2">
      <c r="A563" s="390">
        <v>178</v>
      </c>
      <c r="B563" s="390" t="s">
        <v>253</v>
      </c>
      <c r="C563" s="390">
        <f>VLOOKUP(B563,numbering!$N$18:$O$30,2,0)</f>
        <v>4</v>
      </c>
      <c r="D563" s="390" t="s">
        <v>297</v>
      </c>
      <c r="E563" s="403">
        <f t="shared" si="18"/>
        <v>20</v>
      </c>
      <c r="F563" s="433" t="s">
        <v>301</v>
      </c>
      <c r="G563" s="388" t="s">
        <v>1192</v>
      </c>
      <c r="H563" s="390">
        <v>1</v>
      </c>
      <c r="I563" s="390">
        <v>1</v>
      </c>
      <c r="J563" s="390"/>
      <c r="K563" s="398">
        <f>_xlfn.IFNA(VLOOKUP(A563,numbering!$K$3:$L$92,2,0),0)</f>
        <v>0</v>
      </c>
    </row>
    <row r="564" spans="1:11" ht="56" hidden="1" x14ac:dyDescent="0.2">
      <c r="A564" s="390">
        <v>178</v>
      </c>
      <c r="B564" s="390" t="s">
        <v>253</v>
      </c>
      <c r="C564" s="390">
        <f>VLOOKUP(B564,numbering!$N$18:$O$30,2,0)</f>
        <v>4</v>
      </c>
      <c r="D564" s="390" t="s">
        <v>297</v>
      </c>
      <c r="E564" s="403">
        <f t="shared" si="18"/>
        <v>20</v>
      </c>
      <c r="F564" s="433" t="str">
        <f>F563</f>
        <v>Is there documented evidence that the objective of estimated environmental consequences of failure being based on the results of modelled dam break scenarios and objective data regarding the impacted areas was achieved?</v>
      </c>
      <c r="G564" s="388" t="s">
        <v>1193</v>
      </c>
      <c r="H564" s="390">
        <v>2</v>
      </c>
      <c r="I564" s="390">
        <v>2</v>
      </c>
      <c r="J564" s="390"/>
      <c r="K564" s="398">
        <f>_xlfn.IFNA(VLOOKUP(A564,numbering!$K$3:$L$92,2,0),0)</f>
        <v>0</v>
      </c>
    </row>
    <row r="565" spans="1:11" ht="56" hidden="1" x14ac:dyDescent="0.2">
      <c r="A565" s="390">
        <v>178</v>
      </c>
      <c r="B565" s="390" t="s">
        <v>253</v>
      </c>
      <c r="C565" s="390">
        <f>VLOOKUP(B565,numbering!$N$18:$O$30,2,0)</f>
        <v>4</v>
      </c>
      <c r="D565" s="390" t="s">
        <v>297</v>
      </c>
      <c r="E565" s="403">
        <f t="shared" si="18"/>
        <v>20</v>
      </c>
      <c r="F565" s="433" t="str">
        <f>F564</f>
        <v>Is there documented evidence that the objective of estimated environmental consequences of failure being based on the results of modelled dam break scenarios and objective data regarding the impacted areas was achieved?</v>
      </c>
      <c r="G565" s="388" t="s">
        <v>1194</v>
      </c>
      <c r="H565" s="390">
        <v>3</v>
      </c>
      <c r="I565" s="390">
        <v>3</v>
      </c>
      <c r="J565" s="390"/>
      <c r="K565" s="398">
        <f>_xlfn.IFNA(VLOOKUP(A565,numbering!$K$3:$L$92,2,0),0)</f>
        <v>0</v>
      </c>
    </row>
    <row r="566" spans="1:11" ht="56" hidden="1" x14ac:dyDescent="0.2">
      <c r="A566" s="390">
        <v>178</v>
      </c>
      <c r="B566" s="390" t="s">
        <v>253</v>
      </c>
      <c r="C566" s="390">
        <f>VLOOKUP(B566,numbering!$N$18:$O$30,2,0)</f>
        <v>4</v>
      </c>
      <c r="D566" s="390" t="s">
        <v>297</v>
      </c>
      <c r="E566" s="403">
        <f t="shared" si="18"/>
        <v>20</v>
      </c>
      <c r="F566" s="433" t="str">
        <f>F565</f>
        <v>Is there documented evidence that the objective of estimated environmental consequences of failure being based on the results of modelled dam break scenarios and objective data regarding the impacted areas was achieved?</v>
      </c>
      <c r="G566" s="388" t="s">
        <v>1195</v>
      </c>
      <c r="H566" s="390">
        <v>4</v>
      </c>
      <c r="I566" s="390">
        <v>4</v>
      </c>
      <c r="J566" s="390"/>
      <c r="K566" s="398">
        <f>_xlfn.IFNA(VLOOKUP(A566,numbering!$K$3:$L$92,2,0),0)</f>
        <v>0</v>
      </c>
    </row>
    <row r="567" spans="1:11" ht="42" hidden="1" x14ac:dyDescent="0.2">
      <c r="A567" s="390">
        <v>179</v>
      </c>
      <c r="B567" s="390" t="s">
        <v>253</v>
      </c>
      <c r="C567" s="390">
        <f>VLOOKUP(B567,numbering!$N$18:$O$30,2,0)</f>
        <v>4</v>
      </c>
      <c r="D567" s="390" t="s">
        <v>297</v>
      </c>
      <c r="E567" s="403">
        <f t="shared" si="18"/>
        <v>20</v>
      </c>
      <c r="F567" s="433" t="s">
        <v>302</v>
      </c>
      <c r="G567" s="388" t="s">
        <v>1192</v>
      </c>
      <c r="H567" s="390">
        <v>1</v>
      </c>
      <c r="I567" s="390">
        <v>1</v>
      </c>
      <c r="J567" s="390"/>
      <c r="K567" s="398">
        <f>_xlfn.IFNA(VLOOKUP(A567,numbering!$K$3:$L$92,2,0),0)</f>
        <v>0</v>
      </c>
    </row>
    <row r="568" spans="1:11" ht="42" hidden="1" x14ac:dyDescent="0.2">
      <c r="A568" s="390">
        <v>179</v>
      </c>
      <c r="B568" s="390" t="s">
        <v>253</v>
      </c>
      <c r="C568" s="390">
        <f>VLOOKUP(B568,numbering!$N$18:$O$30,2,0)</f>
        <v>4</v>
      </c>
      <c r="D568" s="390" t="s">
        <v>297</v>
      </c>
      <c r="E568" s="403">
        <f t="shared" si="18"/>
        <v>20</v>
      </c>
      <c r="F568" s="433" t="str">
        <f>F567</f>
        <v>Is there documented evidence that the objective of environmental consequences of failure being estimated for all required dam break scenarios was achieved?</v>
      </c>
      <c r="G568" s="388" t="s">
        <v>1193</v>
      </c>
      <c r="H568" s="390">
        <v>2</v>
      </c>
      <c r="I568" s="390">
        <v>2</v>
      </c>
      <c r="J568" s="390"/>
      <c r="K568" s="398">
        <f>_xlfn.IFNA(VLOOKUP(A568,numbering!$K$3:$L$92,2,0),0)</f>
        <v>0</v>
      </c>
    </row>
    <row r="569" spans="1:11" ht="42" hidden="1" x14ac:dyDescent="0.2">
      <c r="A569" s="390">
        <v>179</v>
      </c>
      <c r="B569" s="390" t="s">
        <v>253</v>
      </c>
      <c r="C569" s="390">
        <f>VLOOKUP(B569,numbering!$N$18:$O$30,2,0)</f>
        <v>4</v>
      </c>
      <c r="D569" s="390" t="s">
        <v>297</v>
      </c>
      <c r="E569" s="403">
        <f t="shared" si="18"/>
        <v>20</v>
      </c>
      <c r="F569" s="433" t="str">
        <f>F568</f>
        <v>Is there documented evidence that the objective of environmental consequences of failure being estimated for all required dam break scenarios was achieved?</v>
      </c>
      <c r="G569" s="388" t="s">
        <v>1194</v>
      </c>
      <c r="H569" s="390">
        <v>3</v>
      </c>
      <c r="I569" s="390">
        <v>3</v>
      </c>
      <c r="J569" s="390"/>
      <c r="K569" s="398">
        <f>_xlfn.IFNA(VLOOKUP(A569,numbering!$K$3:$L$92,2,0),0)</f>
        <v>0</v>
      </c>
    </row>
    <row r="570" spans="1:11" ht="42" hidden="1" x14ac:dyDescent="0.2">
      <c r="A570" s="390">
        <v>179</v>
      </c>
      <c r="B570" s="390" t="s">
        <v>253</v>
      </c>
      <c r="C570" s="390">
        <f>VLOOKUP(B570,numbering!$N$18:$O$30,2,0)</f>
        <v>4</v>
      </c>
      <c r="D570" s="390" t="s">
        <v>297</v>
      </c>
      <c r="E570" s="403">
        <f t="shared" si="18"/>
        <v>20</v>
      </c>
      <c r="F570" s="433" t="str">
        <f>F569</f>
        <v>Is there documented evidence that the objective of environmental consequences of failure being estimated for all required dam break scenarios was achieved?</v>
      </c>
      <c r="G570" s="388" t="s">
        <v>1195</v>
      </c>
      <c r="H570" s="390">
        <v>4</v>
      </c>
      <c r="I570" s="390">
        <v>4</v>
      </c>
      <c r="J570" s="390"/>
      <c r="K570" s="398">
        <f>_xlfn.IFNA(VLOOKUP(A570,numbering!$K$3:$L$92,2,0),0)</f>
        <v>0</v>
      </c>
    </row>
    <row r="571" spans="1:11" ht="70" hidden="1" x14ac:dyDescent="0.2">
      <c r="A571" s="390">
        <v>180</v>
      </c>
      <c r="B571" s="390" t="s">
        <v>253</v>
      </c>
      <c r="C571" s="390">
        <f>VLOOKUP(B571,numbering!$N$18:$O$30,2,0)</f>
        <v>4</v>
      </c>
      <c r="D571" s="390" t="s">
        <v>297</v>
      </c>
      <c r="E571" s="403">
        <f t="shared" si="18"/>
        <v>20</v>
      </c>
      <c r="F571" s="433" t="s">
        <v>303</v>
      </c>
      <c r="G571" s="388" t="s">
        <v>1192</v>
      </c>
      <c r="H571" s="390">
        <v>1</v>
      </c>
      <c r="I571" s="390">
        <v>1</v>
      </c>
      <c r="J571" s="390"/>
      <c r="K571" s="398">
        <f>_xlfn.IFNA(VLOOKUP(A571,numbering!$K$3:$L$92,2,0),0)</f>
        <v>0</v>
      </c>
    </row>
    <row r="572" spans="1:11" ht="70" hidden="1" x14ac:dyDescent="0.2">
      <c r="A572" s="390">
        <v>180</v>
      </c>
      <c r="B572" s="390" t="s">
        <v>253</v>
      </c>
      <c r="C572" s="390">
        <f>VLOOKUP(B572,numbering!$N$18:$O$30,2,0)</f>
        <v>4</v>
      </c>
      <c r="D572" s="390" t="s">
        <v>297</v>
      </c>
      <c r="E572" s="403">
        <f t="shared" si="18"/>
        <v>20</v>
      </c>
      <c r="F572" s="433" t="str">
        <f>F571</f>
        <v>Is there documented evidence that the objective of other estimated consequences of failure (e.g. business consequences, indirect and intangible consequences) being based on the results of modelled dam break scenarios and objective data regarding the impacted areas was achieved?</v>
      </c>
      <c r="G572" s="388" t="s">
        <v>1193</v>
      </c>
      <c r="H572" s="390">
        <v>2</v>
      </c>
      <c r="I572" s="390">
        <v>2</v>
      </c>
      <c r="J572" s="390"/>
      <c r="K572" s="398">
        <f>_xlfn.IFNA(VLOOKUP(A572,numbering!$K$3:$L$92,2,0),0)</f>
        <v>0</v>
      </c>
    </row>
    <row r="573" spans="1:11" ht="70" hidden="1" x14ac:dyDescent="0.2">
      <c r="A573" s="390">
        <v>180</v>
      </c>
      <c r="B573" s="390" t="s">
        <v>253</v>
      </c>
      <c r="C573" s="390">
        <f>VLOOKUP(B573,numbering!$N$18:$O$30,2,0)</f>
        <v>4</v>
      </c>
      <c r="D573" s="390" t="s">
        <v>297</v>
      </c>
      <c r="E573" s="403">
        <f t="shared" si="18"/>
        <v>20</v>
      </c>
      <c r="F573" s="433" t="str">
        <f>F572</f>
        <v>Is there documented evidence that the objective of other estimated consequences of failure (e.g. business consequences, indirect and intangible consequences) being based on the results of modelled dam break scenarios and objective data regarding the impacted areas was achieved?</v>
      </c>
      <c r="G573" s="388" t="s">
        <v>1194</v>
      </c>
      <c r="H573" s="390">
        <v>3</v>
      </c>
      <c r="I573" s="390">
        <v>3</v>
      </c>
      <c r="J573" s="390"/>
      <c r="K573" s="398">
        <f>_xlfn.IFNA(VLOOKUP(A573,numbering!$K$3:$L$92,2,0),0)</f>
        <v>0</v>
      </c>
    </row>
    <row r="574" spans="1:11" ht="70" hidden="1" x14ac:dyDescent="0.2">
      <c r="A574" s="390">
        <v>180</v>
      </c>
      <c r="B574" s="390" t="s">
        <v>253</v>
      </c>
      <c r="C574" s="390">
        <f>VLOOKUP(B574,numbering!$N$18:$O$30,2,0)</f>
        <v>4</v>
      </c>
      <c r="D574" s="390" t="s">
        <v>297</v>
      </c>
      <c r="E574" s="403">
        <f t="shared" si="18"/>
        <v>20</v>
      </c>
      <c r="F574" s="433" t="str">
        <f>F573</f>
        <v>Is there documented evidence that the objective of other estimated consequences of failure (e.g. business consequences, indirect and intangible consequences) being based on the results of modelled dam break scenarios and objective data regarding the impacted areas was achieved?</v>
      </c>
      <c r="G574" s="388" t="s">
        <v>1195</v>
      </c>
      <c r="H574" s="390">
        <v>4</v>
      </c>
      <c r="I574" s="390">
        <v>4</v>
      </c>
      <c r="J574" s="390"/>
      <c r="K574" s="398">
        <f>_xlfn.IFNA(VLOOKUP(A574,numbering!$K$3:$L$92,2,0),0)</f>
        <v>0</v>
      </c>
    </row>
    <row r="575" spans="1:11" ht="70" hidden="1" x14ac:dyDescent="0.2">
      <c r="A575" s="390">
        <v>181</v>
      </c>
      <c r="B575" s="390" t="s">
        <v>253</v>
      </c>
      <c r="C575" s="390">
        <f>VLOOKUP(B575,numbering!$N$18:$O$30,2,0)</f>
        <v>4</v>
      </c>
      <c r="D575" s="390" t="s">
        <v>297</v>
      </c>
      <c r="E575" s="403">
        <f t="shared" si="18"/>
        <v>20</v>
      </c>
      <c r="F575" s="433" t="s">
        <v>304</v>
      </c>
      <c r="G575" s="388" t="s">
        <v>1192</v>
      </c>
      <c r="H575" s="390">
        <v>1</v>
      </c>
      <c r="I575" s="390">
        <v>1</v>
      </c>
      <c r="J575" s="390"/>
      <c r="K575" s="398">
        <f>_xlfn.IFNA(VLOOKUP(A575,numbering!$K$3:$L$92,2,0),0)</f>
        <v>0</v>
      </c>
    </row>
    <row r="576" spans="1:11" ht="70" hidden="1" x14ac:dyDescent="0.2">
      <c r="A576" s="390">
        <v>181</v>
      </c>
      <c r="B576" s="390" t="s">
        <v>253</v>
      </c>
      <c r="C576" s="390">
        <f>VLOOKUP(B576,numbering!$N$18:$O$30,2,0)</f>
        <v>4</v>
      </c>
      <c r="D576" s="390" t="s">
        <v>297</v>
      </c>
      <c r="E576" s="403">
        <f t="shared" si="18"/>
        <v>20</v>
      </c>
      <c r="F576" s="433" t="str">
        <f>F575</f>
        <v>Have the consequences for the preferred future arrangement of the facility have been estimated, with documented evidence that the objective that the estimated consequences were estimated taking into account known uncertainties regarding the facility and downstream developments was achieved?</v>
      </c>
      <c r="G576" s="388" t="s">
        <v>1193</v>
      </c>
      <c r="H576" s="390">
        <v>2</v>
      </c>
      <c r="I576" s="390">
        <v>2</v>
      </c>
      <c r="J576" s="390"/>
      <c r="K576" s="398">
        <f>_xlfn.IFNA(VLOOKUP(A576,numbering!$K$3:$L$92,2,0),0)</f>
        <v>0</v>
      </c>
    </row>
    <row r="577" spans="1:11" ht="70" hidden="1" x14ac:dyDescent="0.2">
      <c r="A577" s="390">
        <v>181</v>
      </c>
      <c r="B577" s="390" t="s">
        <v>253</v>
      </c>
      <c r="C577" s="390">
        <f>VLOOKUP(B577,numbering!$N$18:$O$30,2,0)</f>
        <v>4</v>
      </c>
      <c r="D577" s="390" t="s">
        <v>297</v>
      </c>
      <c r="E577" s="403">
        <f t="shared" si="18"/>
        <v>20</v>
      </c>
      <c r="F577" s="433" t="str">
        <f>F576</f>
        <v>Have the consequences for the preferred future arrangement of the facility have been estimated, with documented evidence that the objective that the estimated consequences were estimated taking into account known uncertainties regarding the facility and downstream developments was achieved?</v>
      </c>
      <c r="G577" s="388" t="s">
        <v>1194</v>
      </c>
      <c r="H577" s="390">
        <v>3</v>
      </c>
      <c r="I577" s="390">
        <v>3</v>
      </c>
      <c r="J577" s="390"/>
      <c r="K577" s="398">
        <f>_xlfn.IFNA(VLOOKUP(A577,numbering!$K$3:$L$92,2,0),0)</f>
        <v>0</v>
      </c>
    </row>
    <row r="578" spans="1:11" ht="70" hidden="1" x14ac:dyDescent="0.2">
      <c r="A578" s="390">
        <v>181</v>
      </c>
      <c r="B578" s="390" t="s">
        <v>253</v>
      </c>
      <c r="C578" s="390">
        <f>VLOOKUP(B578,numbering!$N$18:$O$30,2,0)</f>
        <v>4</v>
      </c>
      <c r="D578" s="390" t="s">
        <v>297</v>
      </c>
      <c r="E578" s="403">
        <f t="shared" si="18"/>
        <v>20</v>
      </c>
      <c r="F578" s="433" t="str">
        <f>F577</f>
        <v>Have the consequences for the preferred future arrangement of the facility have been estimated, with documented evidence that the objective that the estimated consequences were estimated taking into account known uncertainties regarding the facility and downstream developments was achieved?</v>
      </c>
      <c r="G578" s="388" t="s">
        <v>1195</v>
      </c>
      <c r="H578" s="390">
        <v>4</v>
      </c>
      <c r="I578" s="390">
        <v>4</v>
      </c>
      <c r="J578" s="390"/>
      <c r="K578" s="398">
        <f>_xlfn.IFNA(VLOOKUP(A578,numbering!$K$3:$L$92,2,0),0)</f>
        <v>0</v>
      </c>
    </row>
    <row r="579" spans="1:11" ht="42" hidden="1" x14ac:dyDescent="0.2">
      <c r="A579" s="390">
        <v>182</v>
      </c>
      <c r="B579" s="390" t="s">
        <v>253</v>
      </c>
      <c r="C579" s="390">
        <f>VLOOKUP(B579,numbering!$N$18:$O$30,2,0)</f>
        <v>4</v>
      </c>
      <c r="D579" s="390" t="s">
        <v>305</v>
      </c>
      <c r="E579" s="403">
        <f t="shared" si="18"/>
        <v>21</v>
      </c>
      <c r="F579" s="433" t="s">
        <v>306</v>
      </c>
      <c r="G579" s="388" t="s">
        <v>1192</v>
      </c>
      <c r="H579" s="390">
        <v>1</v>
      </c>
      <c r="I579" s="390">
        <v>1</v>
      </c>
      <c r="J579" s="390"/>
      <c r="K579" s="398">
        <f>_xlfn.IFNA(VLOOKUP(A579,numbering!$K$3:$L$92,2,0),0)</f>
        <v>0</v>
      </c>
    </row>
    <row r="580" spans="1:11" ht="42" hidden="1" x14ac:dyDescent="0.2">
      <c r="A580" s="390">
        <v>182</v>
      </c>
      <c r="B580" s="390" t="s">
        <v>253</v>
      </c>
      <c r="C580" s="390">
        <f>VLOOKUP(B580,numbering!$N$18:$O$30,2,0)</f>
        <v>4</v>
      </c>
      <c r="D580" s="390" t="s">
        <v>305</v>
      </c>
      <c r="E580" s="403">
        <f t="shared" si="18"/>
        <v>21</v>
      </c>
      <c r="F580" s="433" t="str">
        <f>F579</f>
        <v>Is there documented evidence that a facility arrangement design has been produced which achieves the objective of linking the arrangement to identified site constraints presented?</v>
      </c>
      <c r="G580" s="388" t="s">
        <v>1193</v>
      </c>
      <c r="H580" s="390">
        <v>2</v>
      </c>
      <c r="I580" s="390">
        <v>2</v>
      </c>
      <c r="J580" s="390"/>
      <c r="K580" s="398">
        <f>_xlfn.IFNA(VLOOKUP(A580,numbering!$K$3:$L$92,2,0),0)</f>
        <v>0</v>
      </c>
    </row>
    <row r="581" spans="1:11" ht="42" hidden="1" x14ac:dyDescent="0.2">
      <c r="A581" s="390">
        <v>182</v>
      </c>
      <c r="B581" s="390" t="s">
        <v>253</v>
      </c>
      <c r="C581" s="390">
        <f>VLOOKUP(B581,numbering!$N$18:$O$30,2,0)</f>
        <v>4</v>
      </c>
      <c r="D581" s="390" t="s">
        <v>305</v>
      </c>
      <c r="E581" s="403">
        <f t="shared" si="18"/>
        <v>21</v>
      </c>
      <c r="F581" s="433" t="str">
        <f>F580</f>
        <v>Is there documented evidence that a facility arrangement design has been produced which achieves the objective of linking the arrangement to identified site constraints presented?</v>
      </c>
      <c r="G581" s="388" t="s">
        <v>1194</v>
      </c>
      <c r="H581" s="390">
        <v>3</v>
      </c>
      <c r="I581" s="390">
        <v>3</v>
      </c>
      <c r="J581" s="390"/>
      <c r="K581" s="398">
        <f>_xlfn.IFNA(VLOOKUP(A581,numbering!$K$3:$L$92,2,0),0)</f>
        <v>0</v>
      </c>
    </row>
    <row r="582" spans="1:11" ht="42" hidden="1" x14ac:dyDescent="0.2">
      <c r="A582" s="390">
        <v>182</v>
      </c>
      <c r="B582" s="390" t="s">
        <v>253</v>
      </c>
      <c r="C582" s="390">
        <f>VLOOKUP(B582,numbering!$N$18:$O$30,2,0)</f>
        <v>4</v>
      </c>
      <c r="D582" s="390" t="s">
        <v>305</v>
      </c>
      <c r="E582" s="403">
        <f t="shared" si="18"/>
        <v>21</v>
      </c>
      <c r="F582" s="433" t="str">
        <f>F581</f>
        <v>Is there documented evidence that a facility arrangement design has been produced which achieves the objective of linking the arrangement to identified site constraints presented?</v>
      </c>
      <c r="G582" s="388" t="s">
        <v>1195</v>
      </c>
      <c r="H582" s="390">
        <v>4</v>
      </c>
      <c r="I582" s="390">
        <v>4</v>
      </c>
      <c r="J582" s="390"/>
      <c r="K582" s="398">
        <f>_xlfn.IFNA(VLOOKUP(A582,numbering!$K$3:$L$92,2,0),0)</f>
        <v>0</v>
      </c>
    </row>
    <row r="583" spans="1:11" ht="28" hidden="1" x14ac:dyDescent="0.2">
      <c r="A583" s="390">
        <v>183</v>
      </c>
      <c r="B583" s="390" t="s">
        <v>253</v>
      </c>
      <c r="C583" s="390">
        <f>VLOOKUP(B583,numbering!$N$18:$O$30,2,0)</f>
        <v>4</v>
      </c>
      <c r="D583" s="390" t="s">
        <v>305</v>
      </c>
      <c r="E583" s="403">
        <f t="shared" si="18"/>
        <v>21</v>
      </c>
      <c r="F583" s="433" t="s">
        <v>307</v>
      </c>
      <c r="G583" s="388" t="s">
        <v>1192</v>
      </c>
      <c r="H583" s="390">
        <v>1</v>
      </c>
      <c r="I583" s="390">
        <v>1</v>
      </c>
      <c r="J583" s="390"/>
      <c r="K583" s="398">
        <f>_xlfn.IFNA(VLOOKUP(A583,numbering!$K$3:$L$92,2,0),0)</f>
        <v>0</v>
      </c>
    </row>
    <row r="584" spans="1:11" ht="32" hidden="1" x14ac:dyDescent="0.2">
      <c r="A584" s="390">
        <v>183</v>
      </c>
      <c r="B584" s="390" t="s">
        <v>253</v>
      </c>
      <c r="C584" s="390">
        <f>VLOOKUP(B584,numbering!$N$18:$O$30,2,0)</f>
        <v>4</v>
      </c>
      <c r="D584" s="390" t="s">
        <v>305</v>
      </c>
      <c r="E584" s="403">
        <f t="shared" si="18"/>
        <v>21</v>
      </c>
      <c r="F584" s="433" t="str">
        <f>F583</f>
        <v>Is there documented evidence that the presented facility arrangement clearly identifies and discusses relevant features of all pertinent details?</v>
      </c>
      <c r="G584" s="388" t="s">
        <v>1193</v>
      </c>
      <c r="H584" s="390">
        <v>2</v>
      </c>
      <c r="I584" s="390">
        <v>2</v>
      </c>
      <c r="J584" s="390"/>
      <c r="K584" s="398">
        <f>_xlfn.IFNA(VLOOKUP(A584,numbering!$K$3:$L$92,2,0),0)</f>
        <v>0</v>
      </c>
    </row>
    <row r="585" spans="1:11" ht="32" hidden="1" x14ac:dyDescent="0.2">
      <c r="A585" s="390">
        <v>183</v>
      </c>
      <c r="B585" s="390" t="s">
        <v>253</v>
      </c>
      <c r="C585" s="390">
        <f>VLOOKUP(B585,numbering!$N$18:$O$30,2,0)</f>
        <v>4</v>
      </c>
      <c r="D585" s="390" t="s">
        <v>305</v>
      </c>
      <c r="E585" s="403">
        <f t="shared" si="18"/>
        <v>21</v>
      </c>
      <c r="F585" s="433" t="str">
        <f>F584</f>
        <v>Is there documented evidence that the presented facility arrangement clearly identifies and discusses relevant features of all pertinent details?</v>
      </c>
      <c r="G585" s="388" t="s">
        <v>1194</v>
      </c>
      <c r="H585" s="390">
        <v>3</v>
      </c>
      <c r="I585" s="390">
        <v>3</v>
      </c>
      <c r="J585" s="390"/>
      <c r="K585" s="398">
        <f>_xlfn.IFNA(VLOOKUP(A585,numbering!$K$3:$L$92,2,0),0)</f>
        <v>0</v>
      </c>
    </row>
    <row r="586" spans="1:11" ht="28" hidden="1" x14ac:dyDescent="0.2">
      <c r="A586" s="390">
        <v>183</v>
      </c>
      <c r="B586" s="390" t="s">
        <v>253</v>
      </c>
      <c r="C586" s="390">
        <f>VLOOKUP(B586,numbering!$N$18:$O$30,2,0)</f>
        <v>4</v>
      </c>
      <c r="D586" s="390" t="s">
        <v>305</v>
      </c>
      <c r="E586" s="403">
        <f t="shared" si="18"/>
        <v>21</v>
      </c>
      <c r="F586" s="433" t="str">
        <f>F585</f>
        <v>Is there documented evidence that the presented facility arrangement clearly identifies and discusses relevant features of all pertinent details?</v>
      </c>
      <c r="G586" s="388" t="s">
        <v>1195</v>
      </c>
      <c r="H586" s="390">
        <v>4</v>
      </c>
      <c r="I586" s="390">
        <v>4</v>
      </c>
      <c r="J586" s="390"/>
      <c r="K586" s="398">
        <f>_xlfn.IFNA(VLOOKUP(A586,numbering!$K$3:$L$92,2,0),0)</f>
        <v>0</v>
      </c>
    </row>
    <row r="587" spans="1:11" ht="56" hidden="1" x14ac:dyDescent="0.2">
      <c r="A587" s="390">
        <v>184</v>
      </c>
      <c r="B587" s="390" t="s">
        <v>253</v>
      </c>
      <c r="C587" s="390">
        <f>VLOOKUP(B587,numbering!$N$18:$O$30,2,0)</f>
        <v>4</v>
      </c>
      <c r="D587" s="390" t="s">
        <v>305</v>
      </c>
      <c r="E587" s="403">
        <f t="shared" si="18"/>
        <v>21</v>
      </c>
      <c r="F587" s="433" t="s">
        <v>308</v>
      </c>
      <c r="G587" s="388" t="s">
        <v>1192</v>
      </c>
      <c r="H587" s="390">
        <v>1</v>
      </c>
      <c r="I587" s="390">
        <v>1</v>
      </c>
      <c r="J587" s="390"/>
      <c r="K587" s="398">
        <f>_xlfn.IFNA(VLOOKUP(A587,numbering!$K$3:$L$92,2,0),0)</f>
        <v>0</v>
      </c>
    </row>
    <row r="588" spans="1:11" ht="56" hidden="1" x14ac:dyDescent="0.2">
      <c r="A588" s="390">
        <v>184</v>
      </c>
      <c r="B588" s="390" t="s">
        <v>253</v>
      </c>
      <c r="C588" s="390">
        <f>VLOOKUP(B588,numbering!$N$18:$O$30,2,0)</f>
        <v>4</v>
      </c>
      <c r="D588" s="390" t="s">
        <v>305</v>
      </c>
      <c r="E588" s="403">
        <f t="shared" si="18"/>
        <v>21</v>
      </c>
      <c r="F588" s="433" t="str">
        <f>F587</f>
        <v>Is there documented evidence that the storage curve has been derived for the facility which achieves the objective of correctly displaying the relationship between elevation and storage volumes within the storage area?</v>
      </c>
      <c r="G588" s="388" t="s">
        <v>1193</v>
      </c>
      <c r="H588" s="390">
        <v>2</v>
      </c>
      <c r="I588" s="390">
        <v>2</v>
      </c>
      <c r="J588" s="390"/>
      <c r="K588" s="398">
        <f>_xlfn.IFNA(VLOOKUP(A588,numbering!$K$3:$L$92,2,0),0)</f>
        <v>0</v>
      </c>
    </row>
    <row r="589" spans="1:11" ht="56" hidden="1" x14ac:dyDescent="0.2">
      <c r="A589" s="390">
        <v>184</v>
      </c>
      <c r="B589" s="390" t="s">
        <v>253</v>
      </c>
      <c r="C589" s="390">
        <f>VLOOKUP(B589,numbering!$N$18:$O$30,2,0)</f>
        <v>4</v>
      </c>
      <c r="D589" s="390" t="s">
        <v>305</v>
      </c>
      <c r="E589" s="403">
        <f t="shared" si="18"/>
        <v>21</v>
      </c>
      <c r="F589" s="433" t="str">
        <f>F588</f>
        <v>Is there documented evidence that the storage curve has been derived for the facility which achieves the objective of correctly displaying the relationship between elevation and storage volumes within the storage area?</v>
      </c>
      <c r="G589" s="388" t="s">
        <v>1194</v>
      </c>
      <c r="H589" s="390">
        <v>3</v>
      </c>
      <c r="I589" s="390">
        <v>3</v>
      </c>
      <c r="J589" s="390"/>
      <c r="K589" s="398">
        <f>_xlfn.IFNA(VLOOKUP(A589,numbering!$K$3:$L$92,2,0),0)</f>
        <v>0</v>
      </c>
    </row>
    <row r="590" spans="1:11" ht="56" hidden="1" x14ac:dyDescent="0.2">
      <c r="A590" s="390">
        <v>184</v>
      </c>
      <c r="B590" s="390" t="s">
        <v>253</v>
      </c>
      <c r="C590" s="390">
        <f>VLOOKUP(B590,numbering!$N$18:$O$30,2,0)</f>
        <v>4</v>
      </c>
      <c r="D590" s="390" t="s">
        <v>305</v>
      </c>
      <c r="E590" s="403">
        <f t="shared" si="18"/>
        <v>21</v>
      </c>
      <c r="F590" s="433" t="str">
        <f>F589</f>
        <v>Is there documented evidence that the storage curve has been derived for the facility which achieves the objective of correctly displaying the relationship between elevation and storage volumes within the storage area?</v>
      </c>
      <c r="G590" s="388" t="s">
        <v>1195</v>
      </c>
      <c r="H590" s="390">
        <v>4</v>
      </c>
      <c r="I590" s="390">
        <v>4</v>
      </c>
      <c r="J590" s="390"/>
      <c r="K590" s="398">
        <f>_xlfn.IFNA(VLOOKUP(A590,numbering!$K$3:$L$92,2,0),0)</f>
        <v>0</v>
      </c>
    </row>
    <row r="591" spans="1:11" ht="60" hidden="1" x14ac:dyDescent="0.2">
      <c r="A591" s="390">
        <v>185</v>
      </c>
      <c r="B591" s="390" t="s">
        <v>253</v>
      </c>
      <c r="C591" s="390">
        <f>VLOOKUP(B591,numbering!$N$18:$O$30,2,0)</f>
        <v>4</v>
      </c>
      <c r="D591" s="390" t="s">
        <v>305</v>
      </c>
      <c r="E591" s="403">
        <f t="shared" si="18"/>
        <v>21</v>
      </c>
      <c r="F591" s="432" t="s">
        <v>309</v>
      </c>
      <c r="G591" s="388" t="s">
        <v>1192</v>
      </c>
      <c r="H591" s="390">
        <v>1</v>
      </c>
      <c r="I591" s="390">
        <v>1</v>
      </c>
      <c r="J591" s="390"/>
      <c r="K591" s="398">
        <f>_xlfn.IFNA(VLOOKUP(A591,numbering!$K$3:$L$92,2,0),0)</f>
        <v>0</v>
      </c>
    </row>
    <row r="592" spans="1:11" ht="60" hidden="1" x14ac:dyDescent="0.2">
      <c r="A592" s="390">
        <v>185</v>
      </c>
      <c r="B592" s="390" t="s">
        <v>253</v>
      </c>
      <c r="C592" s="390">
        <f>VLOOKUP(B592,numbering!$N$18:$O$30,2,0)</f>
        <v>4</v>
      </c>
      <c r="D592" s="390" t="s">
        <v>305</v>
      </c>
      <c r="E592" s="403">
        <f t="shared" si="18"/>
        <v>21</v>
      </c>
      <c r="F592" s="432" t="str">
        <f>F591</f>
        <v>Is there documented evidence that all roads associated with the facility have been designed with all required safety features and consideration to speed restrictions to achieve the objective of reducing vehicle related incidents as much as is reasonably practicable?</v>
      </c>
      <c r="G592" s="388" t="s">
        <v>1193</v>
      </c>
      <c r="H592" s="390">
        <v>2</v>
      </c>
      <c r="I592" s="390">
        <v>2</v>
      </c>
      <c r="J592" s="390"/>
      <c r="K592" s="398">
        <f>_xlfn.IFNA(VLOOKUP(A592,numbering!$K$3:$L$92,2,0),0)</f>
        <v>0</v>
      </c>
    </row>
    <row r="593" spans="1:11" ht="60" hidden="1" x14ac:dyDescent="0.2">
      <c r="A593" s="390">
        <v>185</v>
      </c>
      <c r="B593" s="390" t="s">
        <v>253</v>
      </c>
      <c r="C593" s="390">
        <f>VLOOKUP(B593,numbering!$N$18:$O$30,2,0)</f>
        <v>4</v>
      </c>
      <c r="D593" s="390" t="s">
        <v>305</v>
      </c>
      <c r="E593" s="403">
        <f t="shared" si="18"/>
        <v>21</v>
      </c>
      <c r="F593" s="432" t="str">
        <f>F592</f>
        <v>Is there documented evidence that all roads associated with the facility have been designed with all required safety features and consideration to speed restrictions to achieve the objective of reducing vehicle related incidents as much as is reasonably practicable?</v>
      </c>
      <c r="G593" s="388" t="s">
        <v>1194</v>
      </c>
      <c r="H593" s="390">
        <v>3</v>
      </c>
      <c r="I593" s="390">
        <v>3</v>
      </c>
      <c r="J593" s="390"/>
      <c r="K593" s="398">
        <f>_xlfn.IFNA(VLOOKUP(A593,numbering!$K$3:$L$92,2,0),0)</f>
        <v>0</v>
      </c>
    </row>
    <row r="594" spans="1:11" ht="60" hidden="1" x14ac:dyDescent="0.2">
      <c r="A594" s="390">
        <v>185</v>
      </c>
      <c r="B594" s="390" t="s">
        <v>253</v>
      </c>
      <c r="C594" s="390">
        <f>VLOOKUP(B594,numbering!$N$18:$O$30,2,0)</f>
        <v>4</v>
      </c>
      <c r="D594" s="390" t="s">
        <v>305</v>
      </c>
      <c r="E594" s="403">
        <f t="shared" si="18"/>
        <v>21</v>
      </c>
      <c r="F594" s="432" t="str">
        <f>F593</f>
        <v>Is there documented evidence that all roads associated with the facility have been designed with all required safety features and consideration to speed restrictions to achieve the objective of reducing vehicle related incidents as much as is reasonably practicable?</v>
      </c>
      <c r="G594" s="388" t="s">
        <v>1195</v>
      </c>
      <c r="H594" s="390">
        <v>4</v>
      </c>
      <c r="I594" s="390">
        <v>4</v>
      </c>
      <c r="J594" s="390"/>
      <c r="K594" s="398">
        <f>_xlfn.IFNA(VLOOKUP(A594,numbering!$K$3:$L$92,2,0),0)</f>
        <v>0</v>
      </c>
    </row>
    <row r="595" spans="1:11" ht="60" hidden="1" x14ac:dyDescent="0.2">
      <c r="A595" s="390">
        <v>186</v>
      </c>
      <c r="B595" s="390" t="s">
        <v>253</v>
      </c>
      <c r="C595" s="390">
        <f>VLOOKUP(B595,numbering!$N$18:$O$30,2,0)</f>
        <v>4</v>
      </c>
      <c r="D595" s="390" t="s">
        <v>310</v>
      </c>
      <c r="E595" s="403">
        <f t="shared" si="18"/>
        <v>22</v>
      </c>
      <c r="F595" s="424" t="s">
        <v>311</v>
      </c>
      <c r="G595" s="388" t="s">
        <v>1192</v>
      </c>
      <c r="H595" s="390">
        <v>1</v>
      </c>
      <c r="I595" s="390">
        <v>1</v>
      </c>
      <c r="J595" s="390"/>
      <c r="K595" s="398">
        <f>_xlfn.IFNA(VLOOKUP(A595,numbering!$K$3:$L$92,2,0),0)</f>
        <v>1</v>
      </c>
    </row>
    <row r="596" spans="1:11" ht="60" hidden="1" x14ac:dyDescent="0.2">
      <c r="A596" s="390">
        <v>186</v>
      </c>
      <c r="B596" s="390" t="s">
        <v>253</v>
      </c>
      <c r="C596" s="390">
        <f>VLOOKUP(B596,numbering!$N$18:$O$30,2,0)</f>
        <v>4</v>
      </c>
      <c r="D596" s="390" t="s">
        <v>310</v>
      </c>
      <c r="E596" s="403">
        <f t="shared" si="18"/>
        <v>22</v>
      </c>
      <c r="F596" s="424" t="s">
        <v>311</v>
      </c>
      <c r="G596" s="388" t="s">
        <v>1193</v>
      </c>
      <c r="H596" s="390">
        <v>2</v>
      </c>
      <c r="I596" s="390">
        <v>2</v>
      </c>
      <c r="J596" s="390"/>
      <c r="K596" s="398">
        <f>_xlfn.IFNA(VLOOKUP(A596,numbering!$K$3:$L$92,2,0),0)</f>
        <v>1</v>
      </c>
    </row>
    <row r="597" spans="1:11" ht="60" hidden="1" x14ac:dyDescent="0.2">
      <c r="A597" s="390">
        <v>186</v>
      </c>
      <c r="B597" s="390" t="s">
        <v>253</v>
      </c>
      <c r="C597" s="390">
        <f>VLOOKUP(B597,numbering!$N$18:$O$30,2,0)</f>
        <v>4</v>
      </c>
      <c r="D597" s="390" t="s">
        <v>310</v>
      </c>
      <c r="E597" s="403">
        <f t="shared" si="18"/>
        <v>22</v>
      </c>
      <c r="F597" s="424" t="s">
        <v>311</v>
      </c>
      <c r="G597" s="388" t="s">
        <v>1194</v>
      </c>
      <c r="H597" s="390">
        <v>3</v>
      </c>
      <c r="I597" s="390">
        <v>3</v>
      </c>
      <c r="J597" s="390"/>
      <c r="K597" s="398">
        <f>_xlfn.IFNA(VLOOKUP(A597,numbering!$K$3:$L$92,2,0),0)</f>
        <v>1</v>
      </c>
    </row>
    <row r="598" spans="1:11" ht="60" hidden="1" x14ac:dyDescent="0.2">
      <c r="A598" s="390">
        <v>186</v>
      </c>
      <c r="B598" s="390" t="s">
        <v>253</v>
      </c>
      <c r="C598" s="390">
        <f>VLOOKUP(B598,numbering!$N$18:$O$30,2,0)</f>
        <v>4</v>
      </c>
      <c r="D598" s="390" t="s">
        <v>310</v>
      </c>
      <c r="E598" s="403">
        <f t="shared" si="18"/>
        <v>22</v>
      </c>
      <c r="F598" s="424" t="s">
        <v>311</v>
      </c>
      <c r="G598" s="388" t="s">
        <v>1195</v>
      </c>
      <c r="H598" s="390">
        <v>4</v>
      </c>
      <c r="I598" s="390">
        <v>4</v>
      </c>
      <c r="J598" s="390"/>
      <c r="K598" s="398">
        <f>_xlfn.IFNA(VLOOKUP(A598,numbering!$K$3:$L$92,2,0),0)</f>
        <v>1</v>
      </c>
    </row>
    <row r="599" spans="1:11" ht="60" hidden="1" x14ac:dyDescent="0.2">
      <c r="A599" s="390">
        <v>187</v>
      </c>
      <c r="B599" s="390" t="s">
        <v>253</v>
      </c>
      <c r="C599" s="390">
        <f>VLOOKUP(B599,numbering!$N$18:$O$30,2,0)</f>
        <v>4</v>
      </c>
      <c r="D599" s="390" t="s">
        <v>310</v>
      </c>
      <c r="E599" s="403">
        <f t="shared" si="18"/>
        <v>22</v>
      </c>
      <c r="F599" s="424" t="s">
        <v>312</v>
      </c>
      <c r="G599" s="388" t="s">
        <v>1192</v>
      </c>
      <c r="H599" s="390">
        <v>1</v>
      </c>
      <c r="I599" s="390">
        <v>1</v>
      </c>
      <c r="J599" s="390"/>
      <c r="K599" s="398">
        <f>_xlfn.IFNA(VLOOKUP(A599,numbering!$K$3:$L$92,2,0),0)</f>
        <v>1</v>
      </c>
    </row>
    <row r="600" spans="1:11" ht="60" hidden="1" x14ac:dyDescent="0.2">
      <c r="A600" s="390">
        <v>187</v>
      </c>
      <c r="B600" s="390" t="s">
        <v>253</v>
      </c>
      <c r="C600" s="390">
        <f>VLOOKUP(B600,numbering!$N$18:$O$30,2,0)</f>
        <v>4</v>
      </c>
      <c r="D600" s="390" t="s">
        <v>310</v>
      </c>
      <c r="E600" s="403">
        <f t="shared" si="18"/>
        <v>22</v>
      </c>
      <c r="F600" s="424" t="s">
        <v>312</v>
      </c>
      <c r="G600" s="388" t="s">
        <v>1193</v>
      </c>
      <c r="H600" s="390">
        <v>2</v>
      </c>
      <c r="I600" s="390">
        <v>2</v>
      </c>
      <c r="J600" s="390"/>
      <c r="K600" s="398">
        <f>_xlfn.IFNA(VLOOKUP(A600,numbering!$K$3:$L$92,2,0),0)</f>
        <v>1</v>
      </c>
    </row>
    <row r="601" spans="1:11" ht="60" hidden="1" x14ac:dyDescent="0.2">
      <c r="A601" s="390">
        <v>187</v>
      </c>
      <c r="B601" s="390" t="s">
        <v>253</v>
      </c>
      <c r="C601" s="390">
        <f>VLOOKUP(B601,numbering!$N$18:$O$30,2,0)</f>
        <v>4</v>
      </c>
      <c r="D601" s="390" t="s">
        <v>310</v>
      </c>
      <c r="E601" s="403">
        <f t="shared" si="18"/>
        <v>22</v>
      </c>
      <c r="F601" s="424" t="s">
        <v>312</v>
      </c>
      <c r="G601" s="388" t="s">
        <v>1194</v>
      </c>
      <c r="H601" s="390">
        <v>3</v>
      </c>
      <c r="I601" s="390">
        <v>3</v>
      </c>
      <c r="J601" s="390"/>
      <c r="K601" s="398">
        <f>_xlfn.IFNA(VLOOKUP(A601,numbering!$K$3:$L$92,2,0),0)</f>
        <v>1</v>
      </c>
    </row>
    <row r="602" spans="1:11" ht="60" hidden="1" x14ac:dyDescent="0.2">
      <c r="A602" s="390">
        <v>187</v>
      </c>
      <c r="B602" s="390" t="s">
        <v>253</v>
      </c>
      <c r="C602" s="390">
        <f>VLOOKUP(B602,numbering!$N$18:$O$30,2,0)</f>
        <v>4</v>
      </c>
      <c r="D602" s="390" t="s">
        <v>310</v>
      </c>
      <c r="E602" s="403">
        <f t="shared" si="18"/>
        <v>22</v>
      </c>
      <c r="F602" s="424" t="s">
        <v>312</v>
      </c>
      <c r="G602" s="388" t="s">
        <v>1195</v>
      </c>
      <c r="H602" s="390">
        <v>4</v>
      </c>
      <c r="I602" s="390">
        <v>4</v>
      </c>
      <c r="J602" s="390"/>
      <c r="K602" s="398">
        <f>_xlfn.IFNA(VLOOKUP(A602,numbering!$K$3:$L$92,2,0),0)</f>
        <v>1</v>
      </c>
    </row>
    <row r="603" spans="1:11" ht="60" hidden="1" x14ac:dyDescent="0.2">
      <c r="A603" s="390">
        <v>188</v>
      </c>
      <c r="B603" s="390" t="s">
        <v>253</v>
      </c>
      <c r="C603" s="390">
        <f>VLOOKUP(B603,numbering!$N$18:$O$30,2,0)</f>
        <v>4</v>
      </c>
      <c r="D603" s="390" t="s">
        <v>310</v>
      </c>
      <c r="E603" s="403">
        <f t="shared" si="18"/>
        <v>22</v>
      </c>
      <c r="F603" s="424" t="s">
        <v>313</v>
      </c>
      <c r="G603" s="388" t="s">
        <v>1192</v>
      </c>
      <c r="H603" s="390">
        <v>1</v>
      </c>
      <c r="I603" s="390">
        <v>1</v>
      </c>
      <c r="J603" s="390"/>
      <c r="K603" s="398">
        <f>_xlfn.IFNA(VLOOKUP(A603,numbering!$K$3:$L$92,2,0),0)</f>
        <v>1</v>
      </c>
    </row>
    <row r="604" spans="1:11" ht="60" hidden="1" x14ac:dyDescent="0.2">
      <c r="A604" s="390">
        <v>188</v>
      </c>
      <c r="B604" s="390" t="s">
        <v>253</v>
      </c>
      <c r="C604" s="390">
        <f>VLOOKUP(B604,numbering!$N$18:$O$30,2,0)</f>
        <v>4</v>
      </c>
      <c r="D604" s="390" t="s">
        <v>310</v>
      </c>
      <c r="E604" s="403">
        <f t="shared" si="18"/>
        <v>22</v>
      </c>
      <c r="F604" s="424" t="s">
        <v>313</v>
      </c>
      <c r="G604" s="388" t="s">
        <v>1193</v>
      </c>
      <c r="H604" s="390">
        <v>2</v>
      </c>
      <c r="I604" s="390">
        <v>2</v>
      </c>
      <c r="J604" s="390"/>
      <c r="K604" s="398">
        <f>_xlfn.IFNA(VLOOKUP(A604,numbering!$K$3:$L$92,2,0),0)</f>
        <v>1</v>
      </c>
    </row>
    <row r="605" spans="1:11" ht="60" hidden="1" x14ac:dyDescent="0.2">
      <c r="A605" s="390">
        <v>188</v>
      </c>
      <c r="B605" s="390" t="s">
        <v>253</v>
      </c>
      <c r="C605" s="390">
        <f>VLOOKUP(B605,numbering!$N$18:$O$30,2,0)</f>
        <v>4</v>
      </c>
      <c r="D605" s="390" t="s">
        <v>310</v>
      </c>
      <c r="E605" s="403">
        <f t="shared" si="18"/>
        <v>22</v>
      </c>
      <c r="F605" s="424" t="s">
        <v>313</v>
      </c>
      <c r="G605" s="388" t="s">
        <v>1194</v>
      </c>
      <c r="H605" s="390">
        <v>3</v>
      </c>
      <c r="I605" s="390">
        <v>3</v>
      </c>
      <c r="J605" s="390"/>
      <c r="K605" s="398">
        <f>_xlfn.IFNA(VLOOKUP(A605,numbering!$K$3:$L$92,2,0),0)</f>
        <v>1</v>
      </c>
    </row>
    <row r="606" spans="1:11" ht="60" hidden="1" x14ac:dyDescent="0.2">
      <c r="A606" s="390">
        <v>188</v>
      </c>
      <c r="B606" s="390" t="s">
        <v>253</v>
      </c>
      <c r="C606" s="390">
        <f>VLOOKUP(B606,numbering!$N$18:$O$30,2,0)</f>
        <v>4</v>
      </c>
      <c r="D606" s="390" t="s">
        <v>310</v>
      </c>
      <c r="E606" s="403">
        <f t="shared" si="18"/>
        <v>22</v>
      </c>
      <c r="F606" s="424" t="s">
        <v>313</v>
      </c>
      <c r="G606" s="388" t="s">
        <v>1195</v>
      </c>
      <c r="H606" s="390">
        <v>4</v>
      </c>
      <c r="I606" s="390">
        <v>4</v>
      </c>
      <c r="J606" s="390"/>
      <c r="K606" s="398">
        <f>_xlfn.IFNA(VLOOKUP(A606,numbering!$K$3:$L$92,2,0),0)</f>
        <v>1</v>
      </c>
    </row>
    <row r="607" spans="1:11" ht="90" hidden="1" x14ac:dyDescent="0.2">
      <c r="A607" s="390">
        <v>189</v>
      </c>
      <c r="B607" s="390" t="s">
        <v>253</v>
      </c>
      <c r="C607" s="390">
        <f>VLOOKUP(B607,numbering!$N$18:$O$30,2,0)</f>
        <v>4</v>
      </c>
      <c r="D607" s="390" t="s">
        <v>314</v>
      </c>
      <c r="E607" s="403">
        <f t="shared" si="18"/>
        <v>23</v>
      </c>
      <c r="F607" s="424" t="s">
        <v>315</v>
      </c>
      <c r="G607" s="388" t="s">
        <v>1192</v>
      </c>
      <c r="H607" s="390">
        <v>1</v>
      </c>
      <c r="I607" s="390">
        <v>1</v>
      </c>
      <c r="J607" s="390"/>
      <c r="K607" s="398">
        <f>_xlfn.IFNA(VLOOKUP(A607,numbering!$K$3:$L$92,2,0),0)</f>
        <v>1</v>
      </c>
    </row>
    <row r="608" spans="1:11" ht="90" hidden="1" x14ac:dyDescent="0.2">
      <c r="A608" s="390">
        <v>189</v>
      </c>
      <c r="B608" s="390" t="s">
        <v>253</v>
      </c>
      <c r="C608" s="390">
        <f>VLOOKUP(B608,numbering!$N$18:$O$30,2,0)</f>
        <v>4</v>
      </c>
      <c r="D608" s="390" t="s">
        <v>314</v>
      </c>
      <c r="E608" s="403">
        <f t="shared" si="18"/>
        <v>23</v>
      </c>
      <c r="F608" s="424" t="s">
        <v>315</v>
      </c>
      <c r="G608" s="388" t="s">
        <v>1193</v>
      </c>
      <c r="H608" s="390">
        <v>2</v>
      </c>
      <c r="I608" s="390">
        <v>2</v>
      </c>
      <c r="J608" s="390"/>
      <c r="K608" s="398">
        <f>_xlfn.IFNA(VLOOKUP(A608,numbering!$K$3:$L$92,2,0),0)</f>
        <v>1</v>
      </c>
    </row>
    <row r="609" spans="1:11" ht="90" hidden="1" x14ac:dyDescent="0.2">
      <c r="A609" s="390">
        <v>189</v>
      </c>
      <c r="B609" s="390" t="s">
        <v>253</v>
      </c>
      <c r="C609" s="390">
        <f>VLOOKUP(B609,numbering!$N$18:$O$30,2,0)</f>
        <v>4</v>
      </c>
      <c r="D609" s="390" t="s">
        <v>314</v>
      </c>
      <c r="E609" s="403">
        <f t="shared" si="18"/>
        <v>23</v>
      </c>
      <c r="F609" s="424" t="s">
        <v>315</v>
      </c>
      <c r="G609" s="388" t="s">
        <v>1194</v>
      </c>
      <c r="H609" s="390">
        <v>3</v>
      </c>
      <c r="I609" s="390">
        <v>3</v>
      </c>
      <c r="J609" s="390"/>
      <c r="K609" s="398">
        <f>_xlfn.IFNA(VLOOKUP(A609,numbering!$K$3:$L$92,2,0),0)</f>
        <v>1</v>
      </c>
    </row>
    <row r="610" spans="1:11" ht="90" hidden="1" x14ac:dyDescent="0.2">
      <c r="A610" s="390">
        <v>189</v>
      </c>
      <c r="B610" s="390" t="s">
        <v>253</v>
      </c>
      <c r="C610" s="390">
        <f>VLOOKUP(B610,numbering!$N$18:$O$30,2,0)</f>
        <v>4</v>
      </c>
      <c r="D610" s="390" t="s">
        <v>314</v>
      </c>
      <c r="E610" s="403">
        <f t="shared" si="18"/>
        <v>23</v>
      </c>
      <c r="F610" s="424" t="s">
        <v>315</v>
      </c>
      <c r="G610" s="388" t="s">
        <v>1195</v>
      </c>
      <c r="H610" s="390">
        <v>4</v>
      </c>
      <c r="I610" s="390">
        <v>4</v>
      </c>
      <c r="J610" s="390"/>
      <c r="K610" s="398">
        <f>_xlfn.IFNA(VLOOKUP(A610,numbering!$K$3:$L$92,2,0),0)</f>
        <v>1</v>
      </c>
    </row>
    <row r="611" spans="1:11" ht="60" hidden="1" x14ac:dyDescent="0.2">
      <c r="A611" s="390">
        <v>190</v>
      </c>
      <c r="B611" s="390" t="s">
        <v>253</v>
      </c>
      <c r="C611" s="390">
        <f>VLOOKUP(B611,numbering!$N$18:$O$30,2,0)</f>
        <v>4</v>
      </c>
      <c r="D611" s="390" t="s">
        <v>316</v>
      </c>
      <c r="E611" s="403">
        <f t="shared" si="18"/>
        <v>24</v>
      </c>
      <c r="F611" s="424" t="s">
        <v>1350</v>
      </c>
      <c r="G611" s="388" t="s">
        <v>1192</v>
      </c>
      <c r="H611" s="390">
        <v>1</v>
      </c>
      <c r="I611" s="390">
        <v>1</v>
      </c>
      <c r="J611" s="390"/>
      <c r="K611" s="398">
        <f>_xlfn.IFNA(VLOOKUP(A611,numbering!$K$3:$L$92,2,0),0)</f>
        <v>1</v>
      </c>
    </row>
    <row r="612" spans="1:11" ht="60" hidden="1" x14ac:dyDescent="0.2">
      <c r="A612" s="390">
        <v>190</v>
      </c>
      <c r="B612" s="390" t="s">
        <v>253</v>
      </c>
      <c r="C612" s="390">
        <f>VLOOKUP(B612,numbering!$N$18:$O$30,2,0)</f>
        <v>4</v>
      </c>
      <c r="D612" s="390" t="s">
        <v>316</v>
      </c>
      <c r="E612" s="403">
        <f t="shared" si="18"/>
        <v>24</v>
      </c>
      <c r="F612" s="424" t="s">
        <v>1350</v>
      </c>
      <c r="G612" s="388" t="s">
        <v>1193</v>
      </c>
      <c r="H612" s="390">
        <v>2</v>
      </c>
      <c r="I612" s="390">
        <v>2</v>
      </c>
      <c r="J612" s="390"/>
      <c r="K612" s="398">
        <f>_xlfn.IFNA(VLOOKUP(A612,numbering!$K$3:$L$92,2,0),0)</f>
        <v>1</v>
      </c>
    </row>
    <row r="613" spans="1:11" ht="60" hidden="1" x14ac:dyDescent="0.2">
      <c r="A613" s="390">
        <v>190</v>
      </c>
      <c r="B613" s="390" t="s">
        <v>253</v>
      </c>
      <c r="C613" s="390">
        <f>VLOOKUP(B613,numbering!$N$18:$O$30,2,0)</f>
        <v>4</v>
      </c>
      <c r="D613" s="390" t="s">
        <v>316</v>
      </c>
      <c r="E613" s="403">
        <f t="shared" si="18"/>
        <v>24</v>
      </c>
      <c r="F613" s="424" t="s">
        <v>1350</v>
      </c>
      <c r="G613" s="388" t="s">
        <v>1194</v>
      </c>
      <c r="H613" s="390">
        <v>3</v>
      </c>
      <c r="I613" s="390">
        <v>3</v>
      </c>
      <c r="J613" s="390"/>
      <c r="K613" s="398">
        <f>_xlfn.IFNA(VLOOKUP(A613,numbering!$K$3:$L$92,2,0),0)</f>
        <v>1</v>
      </c>
    </row>
    <row r="614" spans="1:11" ht="60" hidden="1" x14ac:dyDescent="0.2">
      <c r="A614" s="390">
        <v>190</v>
      </c>
      <c r="B614" s="390" t="s">
        <v>253</v>
      </c>
      <c r="C614" s="390">
        <f>VLOOKUP(B614,numbering!$N$18:$O$30,2,0)</f>
        <v>4</v>
      </c>
      <c r="D614" s="390" t="s">
        <v>316</v>
      </c>
      <c r="E614" s="403">
        <f t="shared" si="18"/>
        <v>24</v>
      </c>
      <c r="F614" s="424" t="s">
        <v>1350</v>
      </c>
      <c r="G614" s="388" t="s">
        <v>1195</v>
      </c>
      <c r="H614" s="390">
        <v>4</v>
      </c>
      <c r="I614" s="390">
        <v>4</v>
      </c>
      <c r="J614" s="390"/>
      <c r="K614" s="398">
        <f>_xlfn.IFNA(VLOOKUP(A614,numbering!$K$3:$L$92,2,0),0)</f>
        <v>1</v>
      </c>
    </row>
    <row r="615" spans="1:11" ht="75" hidden="1" x14ac:dyDescent="0.2">
      <c r="A615" s="390">
        <v>191</v>
      </c>
      <c r="B615" s="390" t="s">
        <v>253</v>
      </c>
      <c r="C615" s="390">
        <f>VLOOKUP(B615,numbering!$N$18:$O$30,2,0)</f>
        <v>4</v>
      </c>
      <c r="D615" s="390" t="s">
        <v>317</v>
      </c>
      <c r="E615" s="403">
        <f t="shared" ref="E615:E678" si="19">IF(C615&lt;&gt;C614,1,IF(D615&lt;&gt;D614,E614+1,E614))</f>
        <v>25</v>
      </c>
      <c r="F615" s="424" t="s">
        <v>318</v>
      </c>
      <c r="G615" s="388" t="s">
        <v>1192</v>
      </c>
      <c r="H615" s="390">
        <v>1</v>
      </c>
      <c r="I615" s="390">
        <v>1</v>
      </c>
      <c r="J615" s="390"/>
      <c r="K615" s="398">
        <f>_xlfn.IFNA(VLOOKUP(A615,numbering!$K$3:$L$92,2,0),0)</f>
        <v>1</v>
      </c>
    </row>
    <row r="616" spans="1:11" ht="75" hidden="1" x14ac:dyDescent="0.2">
      <c r="A616" s="390">
        <v>191</v>
      </c>
      <c r="B616" s="390" t="s">
        <v>253</v>
      </c>
      <c r="C616" s="390">
        <f>VLOOKUP(B616,numbering!$N$18:$O$30,2,0)</f>
        <v>4</v>
      </c>
      <c r="D616" s="390" t="s">
        <v>317</v>
      </c>
      <c r="E616" s="403">
        <f t="shared" si="19"/>
        <v>25</v>
      </c>
      <c r="F616" s="424" t="s">
        <v>318</v>
      </c>
      <c r="G616" s="388" t="s">
        <v>1193</v>
      </c>
      <c r="H616" s="390">
        <v>2</v>
      </c>
      <c r="I616" s="390">
        <v>2</v>
      </c>
      <c r="J616" s="390"/>
      <c r="K616" s="398">
        <f>_xlfn.IFNA(VLOOKUP(A616,numbering!$K$3:$L$92,2,0),0)</f>
        <v>1</v>
      </c>
    </row>
    <row r="617" spans="1:11" ht="75" hidden="1" x14ac:dyDescent="0.2">
      <c r="A617" s="390">
        <v>191</v>
      </c>
      <c r="B617" s="390" t="s">
        <v>253</v>
      </c>
      <c r="C617" s="390">
        <f>VLOOKUP(B617,numbering!$N$18:$O$30,2,0)</f>
        <v>4</v>
      </c>
      <c r="D617" s="390" t="s">
        <v>317</v>
      </c>
      <c r="E617" s="403">
        <f t="shared" si="19"/>
        <v>25</v>
      </c>
      <c r="F617" s="424" t="s">
        <v>318</v>
      </c>
      <c r="G617" s="388" t="s">
        <v>1194</v>
      </c>
      <c r="H617" s="390">
        <v>3</v>
      </c>
      <c r="I617" s="390">
        <v>3</v>
      </c>
      <c r="J617" s="390"/>
      <c r="K617" s="398">
        <f>_xlfn.IFNA(VLOOKUP(A617,numbering!$K$3:$L$92,2,0),0)</f>
        <v>1</v>
      </c>
    </row>
    <row r="618" spans="1:11" ht="75" hidden="1" x14ac:dyDescent="0.2">
      <c r="A618" s="390">
        <v>191</v>
      </c>
      <c r="B618" s="390" t="s">
        <v>253</v>
      </c>
      <c r="C618" s="390">
        <f>VLOOKUP(B618,numbering!$N$18:$O$30,2,0)</f>
        <v>4</v>
      </c>
      <c r="D618" s="390" t="s">
        <v>317</v>
      </c>
      <c r="E618" s="403">
        <f t="shared" si="19"/>
        <v>25</v>
      </c>
      <c r="F618" s="424" t="s">
        <v>318</v>
      </c>
      <c r="G618" s="388" t="s">
        <v>1195</v>
      </c>
      <c r="H618" s="390">
        <v>4</v>
      </c>
      <c r="I618" s="390">
        <v>4</v>
      </c>
      <c r="J618" s="390"/>
      <c r="K618" s="398">
        <f>_xlfn.IFNA(VLOOKUP(A618,numbering!$K$3:$L$92,2,0),0)</f>
        <v>1</v>
      </c>
    </row>
    <row r="619" spans="1:11" ht="45" hidden="1" x14ac:dyDescent="0.2">
      <c r="A619" s="390">
        <v>192</v>
      </c>
      <c r="B619" s="390" t="s">
        <v>253</v>
      </c>
      <c r="C619" s="390">
        <f>VLOOKUP(B619,numbering!$N$18:$O$30,2,0)</f>
        <v>4</v>
      </c>
      <c r="D619" s="390" t="s">
        <v>319</v>
      </c>
      <c r="E619" s="403">
        <f t="shared" si="19"/>
        <v>26</v>
      </c>
      <c r="F619" s="424" t="s">
        <v>1360</v>
      </c>
      <c r="G619" s="388" t="s">
        <v>1192</v>
      </c>
      <c r="H619" s="390">
        <v>1</v>
      </c>
      <c r="I619" s="390">
        <v>1</v>
      </c>
      <c r="J619" s="390"/>
      <c r="K619" s="398">
        <f>_xlfn.IFNA(VLOOKUP(A619,numbering!$K$3:$L$92,2,0),0)</f>
        <v>1</v>
      </c>
    </row>
    <row r="620" spans="1:11" ht="45" hidden="1" x14ac:dyDescent="0.2">
      <c r="A620" s="390">
        <v>192</v>
      </c>
      <c r="B620" s="390" t="s">
        <v>253</v>
      </c>
      <c r="C620" s="390">
        <f>VLOOKUP(B620,numbering!$N$18:$O$30,2,0)</f>
        <v>4</v>
      </c>
      <c r="D620" s="390" t="s">
        <v>319</v>
      </c>
      <c r="E620" s="403">
        <f t="shared" si="19"/>
        <v>26</v>
      </c>
      <c r="F620" s="424" t="s">
        <v>1360</v>
      </c>
      <c r="G620" s="388" t="s">
        <v>1193</v>
      </c>
      <c r="H620" s="390">
        <v>2</v>
      </c>
      <c r="I620" s="390">
        <v>2</v>
      </c>
      <c r="J620" s="390"/>
      <c r="K620" s="398">
        <f>_xlfn.IFNA(VLOOKUP(A620,numbering!$K$3:$L$92,2,0),0)</f>
        <v>1</v>
      </c>
    </row>
    <row r="621" spans="1:11" ht="45" hidden="1" x14ac:dyDescent="0.2">
      <c r="A621" s="390">
        <v>192</v>
      </c>
      <c r="B621" s="390" t="s">
        <v>253</v>
      </c>
      <c r="C621" s="390">
        <f>VLOOKUP(B621,numbering!$N$18:$O$30,2,0)</f>
        <v>4</v>
      </c>
      <c r="D621" s="390" t="s">
        <v>319</v>
      </c>
      <c r="E621" s="403">
        <f t="shared" si="19"/>
        <v>26</v>
      </c>
      <c r="F621" s="424" t="s">
        <v>1360</v>
      </c>
      <c r="G621" s="388" t="s">
        <v>1194</v>
      </c>
      <c r="H621" s="390">
        <v>3</v>
      </c>
      <c r="I621" s="390">
        <v>3</v>
      </c>
      <c r="J621" s="390"/>
      <c r="K621" s="398">
        <f>_xlfn.IFNA(VLOOKUP(A621,numbering!$K$3:$L$92,2,0),0)</f>
        <v>1</v>
      </c>
    </row>
    <row r="622" spans="1:11" ht="45" hidden="1" x14ac:dyDescent="0.2">
      <c r="A622" s="390">
        <v>192</v>
      </c>
      <c r="B622" s="390" t="s">
        <v>253</v>
      </c>
      <c r="C622" s="390">
        <f>VLOOKUP(B622,numbering!$N$18:$O$30,2,0)</f>
        <v>4</v>
      </c>
      <c r="D622" s="390" t="s">
        <v>319</v>
      </c>
      <c r="E622" s="403">
        <f t="shared" si="19"/>
        <v>26</v>
      </c>
      <c r="F622" s="424" t="s">
        <v>1360</v>
      </c>
      <c r="G622" s="388" t="s">
        <v>1195</v>
      </c>
      <c r="H622" s="390">
        <v>4</v>
      </c>
      <c r="I622" s="390">
        <v>4</v>
      </c>
      <c r="J622" s="390"/>
      <c r="K622" s="398">
        <f>_xlfn.IFNA(VLOOKUP(A622,numbering!$K$3:$L$92,2,0),0)</f>
        <v>1</v>
      </c>
    </row>
    <row r="623" spans="1:11" ht="70" hidden="1" x14ac:dyDescent="0.2">
      <c r="A623" s="390">
        <v>193</v>
      </c>
      <c r="B623" s="390" t="s">
        <v>253</v>
      </c>
      <c r="C623" s="390">
        <f>VLOOKUP(B623,numbering!$N$18:$O$30,2,0)</f>
        <v>4</v>
      </c>
      <c r="D623" s="390" t="s">
        <v>319</v>
      </c>
      <c r="E623" s="403">
        <f t="shared" si="19"/>
        <v>26</v>
      </c>
      <c r="F623" s="433" t="s">
        <v>320</v>
      </c>
      <c r="G623" s="388" t="s">
        <v>1192</v>
      </c>
      <c r="H623" s="390">
        <v>1</v>
      </c>
      <c r="I623" s="390">
        <v>1</v>
      </c>
      <c r="J623" s="390"/>
      <c r="K623" s="398">
        <f>_xlfn.IFNA(VLOOKUP(A623,numbering!$K$3:$L$92,2,0),0)</f>
        <v>0</v>
      </c>
    </row>
    <row r="624" spans="1:11" ht="70" hidden="1" x14ac:dyDescent="0.2">
      <c r="A624" s="390">
        <v>193</v>
      </c>
      <c r="B624" s="390" t="s">
        <v>253</v>
      </c>
      <c r="C624" s="390">
        <f>VLOOKUP(B624,numbering!$N$18:$O$30,2,0)</f>
        <v>4</v>
      </c>
      <c r="D624" s="390" t="s">
        <v>319</v>
      </c>
      <c r="E624" s="403">
        <f t="shared" si="19"/>
        <v>26</v>
      </c>
      <c r="F624" s="433" t="str">
        <f>F623</f>
        <v>Is there documented evidence that the stability analyses results for the drained scenarios meet the minimum required stability requirements, to achieve the objective of demonstrating that the stability of the facility under drained conditions meets the minimum requirements of relevant standards and guidelines?</v>
      </c>
      <c r="G624" s="388" t="s">
        <v>1193</v>
      </c>
      <c r="H624" s="390">
        <v>2</v>
      </c>
      <c r="I624" s="390">
        <v>2</v>
      </c>
      <c r="J624" s="390"/>
      <c r="K624" s="398">
        <f>_xlfn.IFNA(VLOOKUP(A624,numbering!$K$3:$L$92,2,0),0)</f>
        <v>0</v>
      </c>
    </row>
    <row r="625" spans="1:11" ht="70" hidden="1" x14ac:dyDescent="0.2">
      <c r="A625" s="390">
        <v>193</v>
      </c>
      <c r="B625" s="390" t="s">
        <v>253</v>
      </c>
      <c r="C625" s="390">
        <f>VLOOKUP(B625,numbering!$N$18:$O$30,2,0)</f>
        <v>4</v>
      </c>
      <c r="D625" s="390" t="s">
        <v>319</v>
      </c>
      <c r="E625" s="403">
        <f t="shared" si="19"/>
        <v>26</v>
      </c>
      <c r="F625" s="433" t="str">
        <f>F624</f>
        <v>Is there documented evidence that the stability analyses results for the drained scenarios meet the minimum required stability requirements, to achieve the objective of demonstrating that the stability of the facility under drained conditions meets the minimum requirements of relevant standards and guidelines?</v>
      </c>
      <c r="G625" s="388" t="s">
        <v>1194</v>
      </c>
      <c r="H625" s="390">
        <v>3</v>
      </c>
      <c r="I625" s="390">
        <v>3</v>
      </c>
      <c r="J625" s="390"/>
      <c r="K625" s="398">
        <f>_xlfn.IFNA(VLOOKUP(A625,numbering!$K$3:$L$92,2,0),0)</f>
        <v>0</v>
      </c>
    </row>
    <row r="626" spans="1:11" ht="70" hidden="1" x14ac:dyDescent="0.2">
      <c r="A626" s="390">
        <v>193</v>
      </c>
      <c r="B626" s="390" t="s">
        <v>253</v>
      </c>
      <c r="C626" s="390">
        <f>VLOOKUP(B626,numbering!$N$18:$O$30,2,0)</f>
        <v>4</v>
      </c>
      <c r="D626" s="390" t="s">
        <v>319</v>
      </c>
      <c r="E626" s="403">
        <f t="shared" si="19"/>
        <v>26</v>
      </c>
      <c r="F626" s="433" t="str">
        <f>F625</f>
        <v>Is there documented evidence that the stability analyses results for the drained scenarios meet the minimum required stability requirements, to achieve the objective of demonstrating that the stability of the facility under drained conditions meets the minimum requirements of relevant standards and guidelines?</v>
      </c>
      <c r="G626" s="388" t="s">
        <v>1195</v>
      </c>
      <c r="H626" s="390">
        <v>4</v>
      </c>
      <c r="I626" s="390">
        <v>4</v>
      </c>
      <c r="J626" s="390"/>
      <c r="K626" s="398">
        <f>_xlfn.IFNA(VLOOKUP(A626,numbering!$K$3:$L$92,2,0),0)</f>
        <v>0</v>
      </c>
    </row>
    <row r="627" spans="1:11" ht="70" hidden="1" x14ac:dyDescent="0.2">
      <c r="A627" s="390">
        <v>194</v>
      </c>
      <c r="B627" s="390" t="s">
        <v>253</v>
      </c>
      <c r="C627" s="390">
        <f>VLOOKUP(B627,numbering!$N$18:$O$30,2,0)</f>
        <v>4</v>
      </c>
      <c r="D627" s="390" t="s">
        <v>319</v>
      </c>
      <c r="E627" s="403">
        <f t="shared" si="19"/>
        <v>26</v>
      </c>
      <c r="F627" s="433" t="s">
        <v>321</v>
      </c>
      <c r="G627" s="388" t="s">
        <v>1192</v>
      </c>
      <c r="H627" s="390">
        <v>1</v>
      </c>
      <c r="I627" s="390">
        <v>1</v>
      </c>
      <c r="J627" s="390"/>
      <c r="K627" s="398">
        <f>_xlfn.IFNA(VLOOKUP(A627,numbering!$K$3:$L$92,2,0),0)</f>
        <v>0</v>
      </c>
    </row>
    <row r="628" spans="1:11" ht="70" hidden="1" x14ac:dyDescent="0.2">
      <c r="A628" s="390">
        <v>194</v>
      </c>
      <c r="B628" s="390" t="s">
        <v>253</v>
      </c>
      <c r="C628" s="390">
        <f>VLOOKUP(B628,numbering!$N$18:$O$30,2,0)</f>
        <v>4</v>
      </c>
      <c r="D628" s="390" t="s">
        <v>319</v>
      </c>
      <c r="E628" s="403">
        <f t="shared" si="19"/>
        <v>26</v>
      </c>
      <c r="F628" s="433" t="str">
        <f>F627</f>
        <v>Is there documented evidence that the stability analyses results for the undrained scenarios meet the minimum required stability requirements, to achieve the objective of demonstrating that the stability of the facility under undrained conditions meets the minimum requirements of relevant standards and guidelines?</v>
      </c>
      <c r="G628" s="388" t="s">
        <v>1193</v>
      </c>
      <c r="H628" s="390">
        <v>2</v>
      </c>
      <c r="I628" s="390">
        <v>2</v>
      </c>
      <c r="J628" s="390"/>
      <c r="K628" s="398">
        <f>_xlfn.IFNA(VLOOKUP(A628,numbering!$K$3:$L$92,2,0),0)</f>
        <v>0</v>
      </c>
    </row>
    <row r="629" spans="1:11" ht="70" hidden="1" x14ac:dyDescent="0.2">
      <c r="A629" s="390">
        <v>194</v>
      </c>
      <c r="B629" s="390" t="s">
        <v>253</v>
      </c>
      <c r="C629" s="390">
        <f>VLOOKUP(B629,numbering!$N$18:$O$30,2,0)</f>
        <v>4</v>
      </c>
      <c r="D629" s="390" t="s">
        <v>319</v>
      </c>
      <c r="E629" s="403">
        <f t="shared" si="19"/>
        <v>26</v>
      </c>
      <c r="F629" s="433" t="str">
        <f>F628</f>
        <v>Is there documented evidence that the stability analyses results for the undrained scenarios meet the minimum required stability requirements, to achieve the objective of demonstrating that the stability of the facility under undrained conditions meets the minimum requirements of relevant standards and guidelines?</v>
      </c>
      <c r="G629" s="388" t="s">
        <v>1194</v>
      </c>
      <c r="H629" s="390">
        <v>3</v>
      </c>
      <c r="I629" s="390">
        <v>3</v>
      </c>
      <c r="J629" s="390"/>
      <c r="K629" s="398">
        <f>_xlfn.IFNA(VLOOKUP(A629,numbering!$K$3:$L$92,2,0),0)</f>
        <v>0</v>
      </c>
    </row>
    <row r="630" spans="1:11" ht="70" hidden="1" x14ac:dyDescent="0.2">
      <c r="A630" s="390">
        <v>194</v>
      </c>
      <c r="B630" s="390" t="s">
        <v>253</v>
      </c>
      <c r="C630" s="390">
        <f>VLOOKUP(B630,numbering!$N$18:$O$30,2,0)</f>
        <v>4</v>
      </c>
      <c r="D630" s="390" t="s">
        <v>319</v>
      </c>
      <c r="E630" s="403">
        <f t="shared" si="19"/>
        <v>26</v>
      </c>
      <c r="F630" s="433" t="str">
        <f>F629</f>
        <v>Is there documented evidence that the stability analyses results for the undrained scenarios meet the minimum required stability requirements, to achieve the objective of demonstrating that the stability of the facility under undrained conditions meets the minimum requirements of relevant standards and guidelines?</v>
      </c>
      <c r="G630" s="388" t="s">
        <v>1195</v>
      </c>
      <c r="H630" s="390">
        <v>4</v>
      </c>
      <c r="I630" s="390">
        <v>4</v>
      </c>
      <c r="J630" s="390"/>
      <c r="K630" s="398">
        <f>_xlfn.IFNA(VLOOKUP(A630,numbering!$K$3:$L$92,2,0),0)</f>
        <v>0</v>
      </c>
    </row>
    <row r="631" spans="1:11" ht="70" hidden="1" x14ac:dyDescent="0.2">
      <c r="A631" s="390">
        <v>195</v>
      </c>
      <c r="B631" s="390" t="s">
        <v>253</v>
      </c>
      <c r="C631" s="390">
        <f>VLOOKUP(B631,numbering!$N$18:$O$30,2,0)</f>
        <v>4</v>
      </c>
      <c r="D631" s="390" t="s">
        <v>319</v>
      </c>
      <c r="E631" s="403">
        <f t="shared" si="19"/>
        <v>26</v>
      </c>
      <c r="F631" s="433" t="s">
        <v>322</v>
      </c>
      <c r="G631" s="388" t="s">
        <v>1192</v>
      </c>
      <c r="H631" s="390">
        <v>1</v>
      </c>
      <c r="I631" s="390">
        <v>1</v>
      </c>
      <c r="J631" s="390"/>
      <c r="K631" s="398">
        <f>_xlfn.IFNA(VLOOKUP(A631,numbering!$K$3:$L$92,2,0),0)</f>
        <v>0</v>
      </c>
    </row>
    <row r="632" spans="1:11" ht="70" hidden="1" x14ac:dyDescent="0.2">
      <c r="A632" s="390">
        <v>195</v>
      </c>
      <c r="B632" s="390" t="s">
        <v>253</v>
      </c>
      <c r="C632" s="390">
        <f>VLOOKUP(B632,numbering!$N$18:$O$30,2,0)</f>
        <v>4</v>
      </c>
      <c r="D632" s="390" t="s">
        <v>319</v>
      </c>
      <c r="E632" s="403">
        <f t="shared" si="19"/>
        <v>26</v>
      </c>
      <c r="F632" s="433" t="str">
        <f>F631</f>
        <v>Is there documented evidence that the stability analyses results for the post-seismic scenarios meet the minimum required stability requirements, to achieve the objective of demonstrating that the stability of the facility under post-seismic conditions meets the minimum requirements of relevant standards and guidelines?</v>
      </c>
      <c r="G632" s="388" t="s">
        <v>1193</v>
      </c>
      <c r="H632" s="390">
        <v>2</v>
      </c>
      <c r="I632" s="390">
        <v>2</v>
      </c>
      <c r="J632" s="390"/>
      <c r="K632" s="398">
        <f>_xlfn.IFNA(VLOOKUP(A632,numbering!$K$3:$L$92,2,0),0)</f>
        <v>0</v>
      </c>
    </row>
    <row r="633" spans="1:11" ht="70" hidden="1" x14ac:dyDescent="0.2">
      <c r="A633" s="390">
        <v>195</v>
      </c>
      <c r="B633" s="390" t="s">
        <v>253</v>
      </c>
      <c r="C633" s="390">
        <f>VLOOKUP(B633,numbering!$N$18:$O$30,2,0)</f>
        <v>4</v>
      </c>
      <c r="D633" s="390" t="s">
        <v>319</v>
      </c>
      <c r="E633" s="403">
        <f t="shared" si="19"/>
        <v>26</v>
      </c>
      <c r="F633" s="433" t="str">
        <f>F632</f>
        <v>Is there documented evidence that the stability analyses results for the post-seismic scenarios meet the minimum required stability requirements, to achieve the objective of demonstrating that the stability of the facility under post-seismic conditions meets the minimum requirements of relevant standards and guidelines?</v>
      </c>
      <c r="G633" s="388" t="s">
        <v>1194</v>
      </c>
      <c r="H633" s="390">
        <v>3</v>
      </c>
      <c r="I633" s="390">
        <v>3</v>
      </c>
      <c r="J633" s="390"/>
      <c r="K633" s="398">
        <f>_xlfn.IFNA(VLOOKUP(A633,numbering!$K$3:$L$92,2,0),0)</f>
        <v>0</v>
      </c>
    </row>
    <row r="634" spans="1:11" ht="70" hidden="1" x14ac:dyDescent="0.2">
      <c r="A634" s="390">
        <v>195</v>
      </c>
      <c r="B634" s="390" t="s">
        <v>253</v>
      </c>
      <c r="C634" s="390">
        <f>VLOOKUP(B634,numbering!$N$18:$O$30,2,0)</f>
        <v>4</v>
      </c>
      <c r="D634" s="390" t="s">
        <v>319</v>
      </c>
      <c r="E634" s="403">
        <f t="shared" si="19"/>
        <v>26</v>
      </c>
      <c r="F634" s="433" t="str">
        <f>F633</f>
        <v>Is there documented evidence that the stability analyses results for the post-seismic scenarios meet the minimum required stability requirements, to achieve the objective of demonstrating that the stability of the facility under post-seismic conditions meets the minimum requirements of relevant standards and guidelines?</v>
      </c>
      <c r="G634" s="388" t="s">
        <v>1195</v>
      </c>
      <c r="H634" s="390">
        <v>4</v>
      </c>
      <c r="I634" s="390">
        <v>4</v>
      </c>
      <c r="J634" s="390"/>
      <c r="K634" s="398">
        <f>_xlfn.IFNA(VLOOKUP(A634,numbering!$K$3:$L$92,2,0),0)</f>
        <v>0</v>
      </c>
    </row>
    <row r="635" spans="1:11" ht="56" hidden="1" x14ac:dyDescent="0.2">
      <c r="A635" s="390">
        <v>196</v>
      </c>
      <c r="B635" s="390" t="s">
        <v>253</v>
      </c>
      <c r="C635" s="390">
        <f>VLOOKUP(B635,numbering!$N$18:$O$30,2,0)</f>
        <v>4</v>
      </c>
      <c r="D635" s="390" t="s">
        <v>323</v>
      </c>
      <c r="E635" s="403">
        <f t="shared" si="19"/>
        <v>27</v>
      </c>
      <c r="F635" s="433" t="s">
        <v>324</v>
      </c>
      <c r="G635" s="388" t="s">
        <v>1192</v>
      </c>
      <c r="H635" s="390">
        <v>1</v>
      </c>
      <c r="I635" s="390">
        <v>1</v>
      </c>
      <c r="J635" s="390"/>
      <c r="K635" s="398">
        <f>_xlfn.IFNA(VLOOKUP(A635,numbering!$K$3:$L$92,2,0),0)</f>
        <v>0</v>
      </c>
    </row>
    <row r="636" spans="1:11" ht="56" hidden="1" x14ac:dyDescent="0.2">
      <c r="A636" s="390">
        <v>196</v>
      </c>
      <c r="B636" s="390" t="s">
        <v>253</v>
      </c>
      <c r="C636" s="390">
        <f>VLOOKUP(B636,numbering!$N$18:$O$30,2,0)</f>
        <v>4</v>
      </c>
      <c r="D636" s="390" t="s">
        <v>323</v>
      </c>
      <c r="E636" s="403">
        <f t="shared" si="19"/>
        <v>27</v>
      </c>
      <c r="F636" s="433" t="str">
        <f>F635</f>
        <v>Is there documented evidence that deformation assessments were undertaken for facility in line with current engineering practice, to achieve the objective of estimating deformations of the facility under relevant loading conditions?</v>
      </c>
      <c r="G636" s="388" t="s">
        <v>1193</v>
      </c>
      <c r="H636" s="390">
        <v>2</v>
      </c>
      <c r="I636" s="390">
        <v>2</v>
      </c>
      <c r="J636" s="390"/>
      <c r="K636" s="398">
        <f>_xlfn.IFNA(VLOOKUP(A636,numbering!$K$3:$L$92,2,0),0)</f>
        <v>0</v>
      </c>
    </row>
    <row r="637" spans="1:11" ht="56" hidden="1" x14ac:dyDescent="0.2">
      <c r="A637" s="390">
        <v>196</v>
      </c>
      <c r="B637" s="390" t="s">
        <v>253</v>
      </c>
      <c r="C637" s="390">
        <f>VLOOKUP(B637,numbering!$N$18:$O$30,2,0)</f>
        <v>4</v>
      </c>
      <c r="D637" s="390" t="s">
        <v>323</v>
      </c>
      <c r="E637" s="403">
        <f t="shared" si="19"/>
        <v>27</v>
      </c>
      <c r="F637" s="433" t="str">
        <f>F636</f>
        <v>Is there documented evidence that deformation assessments were undertaken for facility in line with current engineering practice, to achieve the objective of estimating deformations of the facility under relevant loading conditions?</v>
      </c>
      <c r="G637" s="388" t="s">
        <v>1194</v>
      </c>
      <c r="H637" s="390">
        <v>3</v>
      </c>
      <c r="I637" s="390">
        <v>3</v>
      </c>
      <c r="J637" s="390"/>
      <c r="K637" s="398">
        <f>_xlfn.IFNA(VLOOKUP(A637,numbering!$K$3:$L$92,2,0),0)</f>
        <v>0</v>
      </c>
    </row>
    <row r="638" spans="1:11" ht="56" hidden="1" x14ac:dyDescent="0.2">
      <c r="A638" s="390">
        <v>196</v>
      </c>
      <c r="B638" s="390" t="s">
        <v>253</v>
      </c>
      <c r="C638" s="390">
        <f>VLOOKUP(B638,numbering!$N$18:$O$30,2,0)</f>
        <v>4</v>
      </c>
      <c r="D638" s="390" t="s">
        <v>323</v>
      </c>
      <c r="E638" s="403">
        <f t="shared" si="19"/>
        <v>27</v>
      </c>
      <c r="F638" s="433" t="str">
        <f>F637</f>
        <v>Is there documented evidence that deformation assessments were undertaken for facility in line with current engineering practice, to achieve the objective of estimating deformations of the facility under relevant loading conditions?</v>
      </c>
      <c r="G638" s="388" t="s">
        <v>1195</v>
      </c>
      <c r="H638" s="390">
        <v>4</v>
      </c>
      <c r="I638" s="390">
        <v>4</v>
      </c>
      <c r="J638" s="390"/>
      <c r="K638" s="398">
        <f>_xlfn.IFNA(VLOOKUP(A638,numbering!$K$3:$L$92,2,0),0)</f>
        <v>0</v>
      </c>
    </row>
    <row r="639" spans="1:11" ht="70" hidden="1" x14ac:dyDescent="0.2">
      <c r="A639" s="390">
        <v>197</v>
      </c>
      <c r="B639" s="390" t="s">
        <v>253</v>
      </c>
      <c r="C639" s="390">
        <f>VLOOKUP(B639,numbering!$N$18:$O$30,2,0)</f>
        <v>4</v>
      </c>
      <c r="D639" s="390" t="s">
        <v>323</v>
      </c>
      <c r="E639" s="403">
        <f t="shared" si="19"/>
        <v>27</v>
      </c>
      <c r="F639" s="433" t="s">
        <v>325</v>
      </c>
      <c r="G639" s="388" t="s">
        <v>1192</v>
      </c>
      <c r="H639" s="390">
        <v>1</v>
      </c>
      <c r="I639" s="390">
        <v>1</v>
      </c>
      <c r="J639" s="390"/>
      <c r="K639" s="398">
        <f>_xlfn.IFNA(VLOOKUP(A639,numbering!$K$3:$L$92,2,0),0)</f>
        <v>0</v>
      </c>
    </row>
    <row r="640" spans="1:11" ht="70" hidden="1" x14ac:dyDescent="0.2">
      <c r="A640" s="390">
        <v>197</v>
      </c>
      <c r="B640" s="390" t="s">
        <v>253</v>
      </c>
      <c r="C640" s="390">
        <f>VLOOKUP(B640,numbering!$N$18:$O$30,2,0)</f>
        <v>4</v>
      </c>
      <c r="D640" s="390" t="s">
        <v>323</v>
      </c>
      <c r="E640" s="403">
        <f t="shared" si="19"/>
        <v>27</v>
      </c>
      <c r="F640" s="433" t="str">
        <f>F639</f>
        <v>Is there documented evidence of the material parameters used in the deformation modelling, to achieve the objective of verifying that adopted parameters were based on those shown in the geotechnical design models and based on objectively measured data and derived using defensible methods?</v>
      </c>
      <c r="G640" s="388" t="s">
        <v>1193</v>
      </c>
      <c r="H640" s="390">
        <v>2</v>
      </c>
      <c r="I640" s="390">
        <v>2</v>
      </c>
      <c r="J640" s="390"/>
      <c r="K640" s="398">
        <f>_xlfn.IFNA(VLOOKUP(A640,numbering!$K$3:$L$92,2,0),0)</f>
        <v>0</v>
      </c>
    </row>
    <row r="641" spans="1:11" ht="70" hidden="1" x14ac:dyDescent="0.2">
      <c r="A641" s="390">
        <v>197</v>
      </c>
      <c r="B641" s="390" t="s">
        <v>253</v>
      </c>
      <c r="C641" s="390">
        <f>VLOOKUP(B641,numbering!$N$18:$O$30,2,0)</f>
        <v>4</v>
      </c>
      <c r="D641" s="390" t="s">
        <v>323</v>
      </c>
      <c r="E641" s="403">
        <f t="shared" si="19"/>
        <v>27</v>
      </c>
      <c r="F641" s="433" t="str">
        <f>F640</f>
        <v>Is there documented evidence of the material parameters used in the deformation modelling, to achieve the objective of verifying that adopted parameters were based on those shown in the geotechnical design models and based on objectively measured data and derived using defensible methods?</v>
      </c>
      <c r="G641" s="388" t="s">
        <v>1194</v>
      </c>
      <c r="H641" s="390">
        <v>3</v>
      </c>
      <c r="I641" s="390">
        <v>3</v>
      </c>
      <c r="J641" s="390"/>
      <c r="K641" s="398">
        <f>_xlfn.IFNA(VLOOKUP(A641,numbering!$K$3:$L$92,2,0),0)</f>
        <v>0</v>
      </c>
    </row>
    <row r="642" spans="1:11" ht="70" hidden="1" x14ac:dyDescent="0.2">
      <c r="A642" s="390">
        <v>197</v>
      </c>
      <c r="B642" s="390" t="s">
        <v>253</v>
      </c>
      <c r="C642" s="390">
        <f>VLOOKUP(B642,numbering!$N$18:$O$30,2,0)</f>
        <v>4</v>
      </c>
      <c r="D642" s="390" t="s">
        <v>323</v>
      </c>
      <c r="E642" s="403">
        <f t="shared" si="19"/>
        <v>27</v>
      </c>
      <c r="F642" s="433" t="str">
        <f>F641</f>
        <v>Is there documented evidence of the material parameters used in the deformation modelling, to achieve the objective of verifying that adopted parameters were based on those shown in the geotechnical design models and based on objectively measured data and derived using defensible methods?</v>
      </c>
      <c r="G642" s="388" t="s">
        <v>1195</v>
      </c>
      <c r="H642" s="390">
        <v>4</v>
      </c>
      <c r="I642" s="390">
        <v>4</v>
      </c>
      <c r="J642" s="390"/>
      <c r="K642" s="398">
        <f>_xlfn.IFNA(VLOOKUP(A642,numbering!$K$3:$L$92,2,0),0)</f>
        <v>0</v>
      </c>
    </row>
    <row r="643" spans="1:11" ht="42" hidden="1" x14ac:dyDescent="0.2">
      <c r="A643" s="390">
        <v>198</v>
      </c>
      <c r="B643" s="390" t="s">
        <v>253</v>
      </c>
      <c r="C643" s="390">
        <f>VLOOKUP(B643,numbering!$N$18:$O$30,2,0)</f>
        <v>4</v>
      </c>
      <c r="D643" s="390" t="s">
        <v>323</v>
      </c>
      <c r="E643" s="403">
        <f t="shared" si="19"/>
        <v>27</v>
      </c>
      <c r="F643" s="433" t="s">
        <v>326</v>
      </c>
      <c r="G643" s="388" t="s">
        <v>1192</v>
      </c>
      <c r="H643" s="390">
        <v>1</v>
      </c>
      <c r="I643" s="390">
        <v>1</v>
      </c>
      <c r="J643" s="390"/>
      <c r="K643" s="398">
        <f>_xlfn.IFNA(VLOOKUP(A643,numbering!$K$3:$L$92,2,0),0)</f>
        <v>0</v>
      </c>
    </row>
    <row r="644" spans="1:11" ht="42" hidden="1" x14ac:dyDescent="0.2">
      <c r="A644" s="390">
        <v>198</v>
      </c>
      <c r="B644" s="390" t="s">
        <v>253</v>
      </c>
      <c r="C644" s="390">
        <f>VLOOKUP(B644,numbering!$N$18:$O$30,2,0)</f>
        <v>4</v>
      </c>
      <c r="D644" s="390" t="s">
        <v>323</v>
      </c>
      <c r="E644" s="403">
        <f t="shared" si="19"/>
        <v>27</v>
      </c>
      <c r="F644" s="433" t="str">
        <f>F643</f>
        <v>Are all results for completed deformation assessments presented clearly, to achieve the objective of identifying estimated deformations for relevant loading conditions, as well as identifying instability issues??</v>
      </c>
      <c r="G644" s="388" t="s">
        <v>1193</v>
      </c>
      <c r="H644" s="390">
        <v>2</v>
      </c>
      <c r="I644" s="390">
        <v>2</v>
      </c>
      <c r="J644" s="390"/>
      <c r="K644" s="398">
        <f>_xlfn.IFNA(VLOOKUP(A644,numbering!$K$3:$L$92,2,0),0)</f>
        <v>0</v>
      </c>
    </row>
    <row r="645" spans="1:11" ht="42" hidden="1" x14ac:dyDescent="0.2">
      <c r="A645" s="390">
        <v>198</v>
      </c>
      <c r="B645" s="390" t="s">
        <v>253</v>
      </c>
      <c r="C645" s="390">
        <f>VLOOKUP(B645,numbering!$N$18:$O$30,2,0)</f>
        <v>4</v>
      </c>
      <c r="D645" s="390" t="s">
        <v>323</v>
      </c>
      <c r="E645" s="403">
        <f t="shared" si="19"/>
        <v>27</v>
      </c>
      <c r="F645" s="433" t="str">
        <f>F644</f>
        <v>Are all results for completed deformation assessments presented clearly, to achieve the objective of identifying estimated deformations for relevant loading conditions, as well as identifying instability issues??</v>
      </c>
      <c r="G645" s="388" t="s">
        <v>1194</v>
      </c>
      <c r="H645" s="390">
        <v>3</v>
      </c>
      <c r="I645" s="390">
        <v>3</v>
      </c>
      <c r="J645" s="390"/>
      <c r="K645" s="398">
        <f>_xlfn.IFNA(VLOOKUP(A645,numbering!$K$3:$L$92,2,0),0)</f>
        <v>0</v>
      </c>
    </row>
    <row r="646" spans="1:11" ht="42" hidden="1" x14ac:dyDescent="0.2">
      <c r="A646" s="390">
        <v>198</v>
      </c>
      <c r="B646" s="390" t="s">
        <v>253</v>
      </c>
      <c r="C646" s="390">
        <f>VLOOKUP(B646,numbering!$N$18:$O$30,2,0)</f>
        <v>4</v>
      </c>
      <c r="D646" s="390" t="s">
        <v>323</v>
      </c>
      <c r="E646" s="403">
        <f t="shared" si="19"/>
        <v>27</v>
      </c>
      <c r="F646" s="433" t="str">
        <f>F645</f>
        <v>Are all results for completed deformation assessments presented clearly, to achieve the objective of identifying estimated deformations for relevant loading conditions, as well as identifying instability issues??</v>
      </c>
      <c r="G646" s="388" t="s">
        <v>1195</v>
      </c>
      <c r="H646" s="390">
        <v>4</v>
      </c>
      <c r="I646" s="390">
        <v>4</v>
      </c>
      <c r="J646" s="390"/>
      <c r="K646" s="398">
        <f>_xlfn.IFNA(VLOOKUP(A646,numbering!$K$3:$L$92,2,0),0)</f>
        <v>0</v>
      </c>
    </row>
    <row r="647" spans="1:11" ht="56" hidden="1" x14ac:dyDescent="0.2">
      <c r="A647" s="390">
        <v>199</v>
      </c>
      <c r="B647" s="390" t="s">
        <v>253</v>
      </c>
      <c r="C647" s="390">
        <f>VLOOKUP(B647,numbering!$N$18:$O$30,2,0)</f>
        <v>4</v>
      </c>
      <c r="D647" s="390" t="s">
        <v>323</v>
      </c>
      <c r="E647" s="403">
        <f t="shared" si="19"/>
        <v>27</v>
      </c>
      <c r="F647" s="433" t="s">
        <v>327</v>
      </c>
      <c r="G647" s="388" t="s">
        <v>1192</v>
      </c>
      <c r="H647" s="390">
        <v>1</v>
      </c>
      <c r="I647" s="390">
        <v>1</v>
      </c>
      <c r="J647" s="390"/>
      <c r="K647" s="398">
        <f>_xlfn.IFNA(VLOOKUP(A647,numbering!$K$3:$L$92,2,0),0)</f>
        <v>0</v>
      </c>
    </row>
    <row r="648" spans="1:11" ht="56" hidden="1" x14ac:dyDescent="0.2">
      <c r="A648" s="390">
        <v>199</v>
      </c>
      <c r="B648" s="390" t="s">
        <v>253</v>
      </c>
      <c r="C648" s="390">
        <f>VLOOKUP(B648,numbering!$N$18:$O$30,2,0)</f>
        <v>4</v>
      </c>
      <c r="D648" s="390" t="s">
        <v>323</v>
      </c>
      <c r="E648" s="403">
        <f t="shared" si="19"/>
        <v>27</v>
      </c>
      <c r="F648" s="433" t="str">
        <f>F647</f>
        <v>Is there documented evidence that that estimated deformations were deemed acceptable or intolerable for the facility, to achieve the objective of determining if deformations were required to be accounted for in the design and/or operations of the facility, as required?</v>
      </c>
      <c r="G648" s="388" t="s">
        <v>1193</v>
      </c>
      <c r="H648" s="390">
        <v>2</v>
      </c>
      <c r="I648" s="390">
        <v>2</v>
      </c>
      <c r="J648" s="390"/>
      <c r="K648" s="398">
        <f>_xlfn.IFNA(VLOOKUP(A648,numbering!$K$3:$L$92,2,0),0)</f>
        <v>0</v>
      </c>
    </row>
    <row r="649" spans="1:11" ht="56" hidden="1" x14ac:dyDescent="0.2">
      <c r="A649" s="390">
        <v>199</v>
      </c>
      <c r="B649" s="390" t="s">
        <v>253</v>
      </c>
      <c r="C649" s="390">
        <f>VLOOKUP(B649,numbering!$N$18:$O$30,2,0)</f>
        <v>4</v>
      </c>
      <c r="D649" s="390" t="s">
        <v>323</v>
      </c>
      <c r="E649" s="403">
        <f t="shared" si="19"/>
        <v>27</v>
      </c>
      <c r="F649" s="433" t="str">
        <f>F648</f>
        <v>Is there documented evidence that that estimated deformations were deemed acceptable or intolerable for the facility, to achieve the objective of determining if deformations were required to be accounted for in the design and/or operations of the facility, as required?</v>
      </c>
      <c r="G649" s="388" t="s">
        <v>1194</v>
      </c>
      <c r="H649" s="390">
        <v>3</v>
      </c>
      <c r="I649" s="390">
        <v>3</v>
      </c>
      <c r="J649" s="390"/>
      <c r="K649" s="398">
        <f>_xlfn.IFNA(VLOOKUP(A649,numbering!$K$3:$L$92,2,0),0)</f>
        <v>0</v>
      </c>
    </row>
    <row r="650" spans="1:11" ht="56" hidden="1" x14ac:dyDescent="0.2">
      <c r="A650" s="390">
        <v>199</v>
      </c>
      <c r="B650" s="390" t="s">
        <v>253</v>
      </c>
      <c r="C650" s="390">
        <f>VLOOKUP(B650,numbering!$N$18:$O$30,2,0)</f>
        <v>4</v>
      </c>
      <c r="D650" s="390" t="s">
        <v>323</v>
      </c>
      <c r="E650" s="403">
        <f t="shared" si="19"/>
        <v>27</v>
      </c>
      <c r="F650" s="433" t="str">
        <f>F649</f>
        <v>Is there documented evidence that that estimated deformations were deemed acceptable or intolerable for the facility, to achieve the objective of determining if deformations were required to be accounted for in the design and/or operations of the facility, as required?</v>
      </c>
      <c r="G650" s="388" t="s">
        <v>1195</v>
      </c>
      <c r="H650" s="390">
        <v>4</v>
      </c>
      <c r="I650" s="390">
        <v>4</v>
      </c>
      <c r="J650" s="390"/>
      <c r="K650" s="398">
        <f>_xlfn.IFNA(VLOOKUP(A650,numbering!$K$3:$L$92,2,0),0)</f>
        <v>0</v>
      </c>
    </row>
    <row r="651" spans="1:11" ht="56" hidden="1" x14ac:dyDescent="0.2">
      <c r="A651" s="391">
        <v>200</v>
      </c>
      <c r="B651" s="391" t="s">
        <v>253</v>
      </c>
      <c r="C651" s="390">
        <f>VLOOKUP(B651,numbering!$N$18:$O$30,2,0)</f>
        <v>4</v>
      </c>
      <c r="D651" s="391" t="s">
        <v>328</v>
      </c>
      <c r="E651" s="403">
        <f t="shared" si="19"/>
        <v>28</v>
      </c>
      <c r="F651" s="434" t="s">
        <v>329</v>
      </c>
      <c r="G651" s="396" t="s">
        <v>1192</v>
      </c>
      <c r="H651" s="391">
        <v>1</v>
      </c>
      <c r="I651" s="391">
        <v>1</v>
      </c>
      <c r="J651" s="391"/>
      <c r="K651" s="398">
        <f>_xlfn.IFNA(VLOOKUP(A651,numbering!$K$3:$L$92,2,0),0)</f>
        <v>0</v>
      </c>
    </row>
    <row r="652" spans="1:11" ht="56" hidden="1" x14ac:dyDescent="0.2">
      <c r="A652" s="391">
        <v>200</v>
      </c>
      <c r="B652" s="391" t="s">
        <v>253</v>
      </c>
      <c r="C652" s="390">
        <f>VLOOKUP(B652,numbering!$N$18:$O$30,2,0)</f>
        <v>4</v>
      </c>
      <c r="D652" s="391" t="s">
        <v>328</v>
      </c>
      <c r="E652" s="403">
        <f t="shared" si="19"/>
        <v>28</v>
      </c>
      <c r="F652" s="434" t="str">
        <f>F651</f>
        <v>Is there documented evidence that internal filter zone materials were designed using defensible filter design principles, to achieve the objective of reducing the likelihood of various filter failure modes occurring (e.g. suffusion, segregation, etc.)?</v>
      </c>
      <c r="G652" s="396" t="s">
        <v>1193</v>
      </c>
      <c r="H652" s="391">
        <v>2</v>
      </c>
      <c r="I652" s="391">
        <v>2</v>
      </c>
      <c r="J652" s="391"/>
      <c r="K652" s="398">
        <f>_xlfn.IFNA(VLOOKUP(A652,numbering!$K$3:$L$92,2,0),0)</f>
        <v>0</v>
      </c>
    </row>
    <row r="653" spans="1:11" ht="56" hidden="1" x14ac:dyDescent="0.2">
      <c r="A653" s="391">
        <v>200</v>
      </c>
      <c r="B653" s="391" t="s">
        <v>253</v>
      </c>
      <c r="C653" s="390">
        <f>VLOOKUP(B653,numbering!$N$18:$O$30,2,0)</f>
        <v>4</v>
      </c>
      <c r="D653" s="391" t="s">
        <v>328</v>
      </c>
      <c r="E653" s="403">
        <f t="shared" si="19"/>
        <v>28</v>
      </c>
      <c r="F653" s="434" t="str">
        <f>F652</f>
        <v>Is there documented evidence that internal filter zone materials were designed using defensible filter design principles, to achieve the objective of reducing the likelihood of various filter failure modes occurring (e.g. suffusion, segregation, etc.)?</v>
      </c>
      <c r="G653" s="396" t="s">
        <v>1194</v>
      </c>
      <c r="H653" s="391">
        <v>3</v>
      </c>
      <c r="I653" s="391">
        <v>3</v>
      </c>
      <c r="J653" s="391"/>
      <c r="K653" s="398">
        <f>_xlfn.IFNA(VLOOKUP(A653,numbering!$K$3:$L$92,2,0),0)</f>
        <v>0</v>
      </c>
    </row>
    <row r="654" spans="1:11" ht="56" hidden="1" x14ac:dyDescent="0.2">
      <c r="A654" s="391">
        <v>200</v>
      </c>
      <c r="B654" s="391" t="s">
        <v>253</v>
      </c>
      <c r="C654" s="390">
        <f>VLOOKUP(B654,numbering!$N$18:$O$30,2,0)</f>
        <v>4</v>
      </c>
      <c r="D654" s="391" t="s">
        <v>328</v>
      </c>
      <c r="E654" s="403">
        <f t="shared" si="19"/>
        <v>28</v>
      </c>
      <c r="F654" s="434" t="str">
        <f>F653</f>
        <v>Is there documented evidence that internal filter zone materials were designed using defensible filter design principles, to achieve the objective of reducing the likelihood of various filter failure modes occurring (e.g. suffusion, segregation, etc.)?</v>
      </c>
      <c r="G654" s="396" t="s">
        <v>1195</v>
      </c>
      <c r="H654" s="391">
        <v>4</v>
      </c>
      <c r="I654" s="391">
        <v>4</v>
      </c>
      <c r="J654" s="391"/>
      <c r="K654" s="398">
        <f>_xlfn.IFNA(VLOOKUP(A654,numbering!$K$3:$L$92,2,0),0)</f>
        <v>0</v>
      </c>
    </row>
    <row r="655" spans="1:11" ht="42" hidden="1" x14ac:dyDescent="0.2">
      <c r="A655" s="391">
        <v>201</v>
      </c>
      <c r="B655" s="391" t="s">
        <v>253</v>
      </c>
      <c r="C655" s="390">
        <f>VLOOKUP(B655,numbering!$N$18:$O$30,2,0)</f>
        <v>4</v>
      </c>
      <c r="D655" s="391" t="s">
        <v>328</v>
      </c>
      <c r="E655" s="403">
        <f t="shared" si="19"/>
        <v>28</v>
      </c>
      <c r="F655" s="434" t="s">
        <v>330</v>
      </c>
      <c r="G655" s="396" t="s">
        <v>1192</v>
      </c>
      <c r="H655" s="391">
        <v>1</v>
      </c>
      <c r="I655" s="391">
        <v>1</v>
      </c>
      <c r="J655" s="391"/>
      <c r="K655" s="398">
        <f>_xlfn.IFNA(VLOOKUP(A655,numbering!$K$3:$L$92,2,0),0)</f>
        <v>0</v>
      </c>
    </row>
    <row r="656" spans="1:11" ht="42" hidden="1" x14ac:dyDescent="0.2">
      <c r="A656" s="391">
        <v>201</v>
      </c>
      <c r="B656" s="391" t="s">
        <v>253</v>
      </c>
      <c r="C656" s="390">
        <f>VLOOKUP(B656,numbering!$N$18:$O$30,2,0)</f>
        <v>4</v>
      </c>
      <c r="D656" s="391" t="s">
        <v>328</v>
      </c>
      <c r="E656" s="403">
        <f t="shared" si="19"/>
        <v>28</v>
      </c>
      <c r="F656" s="434" t="str">
        <f>F655</f>
        <v>Is there documented evidence that the internal filters were designed considering the seepage rates through the confining structure, to achieve the objective of the filters having sufficient drainage capacity?</v>
      </c>
      <c r="G656" s="396" t="s">
        <v>1193</v>
      </c>
      <c r="H656" s="391">
        <v>2</v>
      </c>
      <c r="I656" s="391">
        <v>2</v>
      </c>
      <c r="J656" s="391"/>
      <c r="K656" s="398">
        <f>_xlfn.IFNA(VLOOKUP(A656,numbering!$K$3:$L$92,2,0),0)</f>
        <v>0</v>
      </c>
    </row>
    <row r="657" spans="1:11" ht="42" hidden="1" x14ac:dyDescent="0.2">
      <c r="A657" s="391">
        <v>201</v>
      </c>
      <c r="B657" s="391" t="s">
        <v>253</v>
      </c>
      <c r="C657" s="390">
        <f>VLOOKUP(B657,numbering!$N$18:$O$30,2,0)</f>
        <v>4</v>
      </c>
      <c r="D657" s="391" t="s">
        <v>328</v>
      </c>
      <c r="E657" s="403">
        <f t="shared" si="19"/>
        <v>28</v>
      </c>
      <c r="F657" s="434" t="str">
        <f>F656</f>
        <v>Is there documented evidence that the internal filters were designed considering the seepage rates through the confining structure, to achieve the objective of the filters having sufficient drainage capacity?</v>
      </c>
      <c r="G657" s="396" t="s">
        <v>1194</v>
      </c>
      <c r="H657" s="391">
        <v>3</v>
      </c>
      <c r="I657" s="391">
        <v>3</v>
      </c>
      <c r="J657" s="391"/>
      <c r="K657" s="398">
        <f>_xlfn.IFNA(VLOOKUP(A657,numbering!$K$3:$L$92,2,0),0)</f>
        <v>0</v>
      </c>
    </row>
    <row r="658" spans="1:11" ht="42" hidden="1" x14ac:dyDescent="0.2">
      <c r="A658" s="391">
        <v>201</v>
      </c>
      <c r="B658" s="391" t="s">
        <v>253</v>
      </c>
      <c r="C658" s="390">
        <f>VLOOKUP(B658,numbering!$N$18:$O$30,2,0)</f>
        <v>4</v>
      </c>
      <c r="D658" s="391" t="s">
        <v>328</v>
      </c>
      <c r="E658" s="403">
        <f t="shared" si="19"/>
        <v>28</v>
      </c>
      <c r="F658" s="434" t="str">
        <f>F657</f>
        <v>Is there documented evidence that the internal filters were designed considering the seepage rates through the confining structure, to achieve the objective of the filters having sufficient drainage capacity?</v>
      </c>
      <c r="G658" s="396" t="s">
        <v>1195</v>
      </c>
      <c r="H658" s="391">
        <v>4</v>
      </c>
      <c r="I658" s="391">
        <v>4</v>
      </c>
      <c r="J658" s="391"/>
      <c r="K658" s="398">
        <f>_xlfn.IFNA(VLOOKUP(A658,numbering!$K$3:$L$92,2,0),0)</f>
        <v>0</v>
      </c>
    </row>
    <row r="659" spans="1:11" ht="56" hidden="1" x14ac:dyDescent="0.2">
      <c r="A659" s="390">
        <v>202</v>
      </c>
      <c r="B659" s="390" t="s">
        <v>253</v>
      </c>
      <c r="C659" s="390">
        <f>VLOOKUP(B659,numbering!$N$18:$O$30,2,0)</f>
        <v>4</v>
      </c>
      <c r="D659" s="390" t="s">
        <v>331</v>
      </c>
      <c r="E659" s="403">
        <f t="shared" si="19"/>
        <v>29</v>
      </c>
      <c r="F659" s="433" t="s">
        <v>332</v>
      </c>
      <c r="G659" s="388" t="s">
        <v>1192</v>
      </c>
      <c r="H659" s="390">
        <v>1</v>
      </c>
      <c r="I659" s="390">
        <v>1</v>
      </c>
      <c r="J659" s="390"/>
      <c r="K659" s="398">
        <f>_xlfn.IFNA(VLOOKUP(A659,numbering!$K$3:$L$92,2,0),0)</f>
        <v>0</v>
      </c>
    </row>
    <row r="660" spans="1:11" ht="56" hidden="1" x14ac:dyDescent="0.2">
      <c r="A660" s="390">
        <v>202</v>
      </c>
      <c r="B660" s="390" t="s">
        <v>253</v>
      </c>
      <c r="C660" s="390">
        <f>VLOOKUP(B660,numbering!$N$18:$O$30,2,0)</f>
        <v>4</v>
      </c>
      <c r="D660" s="390" t="s">
        <v>331</v>
      </c>
      <c r="E660" s="403">
        <f t="shared" si="19"/>
        <v>29</v>
      </c>
      <c r="F660" s="433" t="str">
        <f>F659</f>
        <v>Is there documented evidence that a balance for the facility is available, which achieves the objective of documenting the mass and water inflow and outflow volumes, as well as estimating future inflow and outflow volumes for planning purposes?</v>
      </c>
      <c r="G660" s="388" t="s">
        <v>1193</v>
      </c>
      <c r="H660" s="390">
        <v>2</v>
      </c>
      <c r="I660" s="390">
        <v>2</v>
      </c>
      <c r="J660" s="390"/>
      <c r="K660" s="398">
        <f>_xlfn.IFNA(VLOOKUP(A660,numbering!$K$3:$L$92,2,0),0)</f>
        <v>0</v>
      </c>
    </row>
    <row r="661" spans="1:11" ht="56" hidden="1" x14ac:dyDescent="0.2">
      <c r="A661" s="390">
        <v>202</v>
      </c>
      <c r="B661" s="390" t="s">
        <v>253</v>
      </c>
      <c r="C661" s="390">
        <f>VLOOKUP(B661,numbering!$N$18:$O$30,2,0)</f>
        <v>4</v>
      </c>
      <c r="D661" s="390" t="s">
        <v>331</v>
      </c>
      <c r="E661" s="403">
        <f t="shared" si="19"/>
        <v>29</v>
      </c>
      <c r="F661" s="433" t="str">
        <f>F660</f>
        <v>Is there documented evidence that a balance for the facility is available, which achieves the objective of documenting the mass and water inflow and outflow volumes, as well as estimating future inflow and outflow volumes for planning purposes?</v>
      </c>
      <c r="G661" s="388" t="s">
        <v>1194</v>
      </c>
      <c r="H661" s="390">
        <v>3</v>
      </c>
      <c r="I661" s="390">
        <v>3</v>
      </c>
      <c r="J661" s="390"/>
      <c r="K661" s="398">
        <f>_xlfn.IFNA(VLOOKUP(A661,numbering!$K$3:$L$92,2,0),0)</f>
        <v>0</v>
      </c>
    </row>
    <row r="662" spans="1:11" ht="56" hidden="1" x14ac:dyDescent="0.2">
      <c r="A662" s="390">
        <v>202</v>
      </c>
      <c r="B662" s="390" t="s">
        <v>253</v>
      </c>
      <c r="C662" s="390">
        <f>VLOOKUP(B662,numbering!$N$18:$O$30,2,0)</f>
        <v>4</v>
      </c>
      <c r="D662" s="390" t="s">
        <v>331</v>
      </c>
      <c r="E662" s="403">
        <f t="shared" si="19"/>
        <v>29</v>
      </c>
      <c r="F662" s="433" t="str">
        <f>F661</f>
        <v>Is there documented evidence that a balance for the facility is available, which achieves the objective of documenting the mass and water inflow and outflow volumes, as well as estimating future inflow and outflow volumes for planning purposes?</v>
      </c>
      <c r="G662" s="388" t="s">
        <v>1195</v>
      </c>
      <c r="H662" s="390">
        <v>4</v>
      </c>
      <c r="I662" s="390">
        <v>4</v>
      </c>
      <c r="J662" s="390"/>
      <c r="K662" s="398">
        <f>_xlfn.IFNA(VLOOKUP(A662,numbering!$K$3:$L$92,2,0),0)</f>
        <v>0</v>
      </c>
    </row>
    <row r="663" spans="1:11" ht="70" hidden="1" x14ac:dyDescent="0.2">
      <c r="A663" s="390">
        <v>203</v>
      </c>
      <c r="B663" s="390" t="s">
        <v>253</v>
      </c>
      <c r="C663" s="390">
        <f>VLOOKUP(B663,numbering!$N$18:$O$30,2,0)</f>
        <v>4</v>
      </c>
      <c r="D663" s="390" t="s">
        <v>331</v>
      </c>
      <c r="E663" s="403">
        <f t="shared" si="19"/>
        <v>29</v>
      </c>
      <c r="F663" s="433" t="s">
        <v>333</v>
      </c>
      <c r="G663" s="388" t="s">
        <v>1192</v>
      </c>
      <c r="H663" s="390">
        <v>1</v>
      </c>
      <c r="I663" s="390">
        <v>1</v>
      </c>
      <c r="J663" s="390"/>
      <c r="K663" s="398">
        <f>_xlfn.IFNA(VLOOKUP(A663,numbering!$K$3:$L$92,2,0),0)</f>
        <v>0</v>
      </c>
    </row>
    <row r="664" spans="1:11" ht="70" hidden="1" x14ac:dyDescent="0.2">
      <c r="A664" s="390">
        <v>203</v>
      </c>
      <c r="B664" s="390" t="s">
        <v>253</v>
      </c>
      <c r="C664" s="390">
        <f>VLOOKUP(B664,numbering!$N$18:$O$30,2,0)</f>
        <v>4</v>
      </c>
      <c r="D664" s="390" t="s">
        <v>331</v>
      </c>
      <c r="E664" s="403">
        <f t="shared" si="19"/>
        <v>29</v>
      </c>
      <c r="F664" s="433" t="str">
        <f>F663</f>
        <v>Is there documented evidence that an appropriate and defensible water balance methodology/assessment tool was utilised, to achieve the objective that the water balance model be appropriately detailed and sophisticated considering the context of the facility and wider-operations (e.g. Excel tool/GoldSim model)?</v>
      </c>
      <c r="G664" s="388" t="s">
        <v>1193</v>
      </c>
      <c r="H664" s="390">
        <v>2</v>
      </c>
      <c r="I664" s="390">
        <v>2</v>
      </c>
      <c r="J664" s="390"/>
      <c r="K664" s="398">
        <f>_xlfn.IFNA(VLOOKUP(A664,numbering!$K$3:$L$92,2,0),0)</f>
        <v>0</v>
      </c>
    </row>
    <row r="665" spans="1:11" ht="70" hidden="1" x14ac:dyDescent="0.2">
      <c r="A665" s="390">
        <v>203</v>
      </c>
      <c r="B665" s="390" t="s">
        <v>253</v>
      </c>
      <c r="C665" s="390">
        <f>VLOOKUP(B665,numbering!$N$18:$O$30,2,0)</f>
        <v>4</v>
      </c>
      <c r="D665" s="390" t="s">
        <v>331</v>
      </c>
      <c r="E665" s="403">
        <f t="shared" si="19"/>
        <v>29</v>
      </c>
      <c r="F665" s="433" t="str">
        <f>F664</f>
        <v>Is there documented evidence that an appropriate and defensible water balance methodology/assessment tool was utilised, to achieve the objective that the water balance model be appropriately detailed and sophisticated considering the context of the facility and wider-operations (e.g. Excel tool/GoldSim model)?</v>
      </c>
      <c r="G665" s="388" t="s">
        <v>1194</v>
      </c>
      <c r="H665" s="390">
        <v>3</v>
      </c>
      <c r="I665" s="390">
        <v>3</v>
      </c>
      <c r="J665" s="390"/>
      <c r="K665" s="398">
        <f>_xlfn.IFNA(VLOOKUP(A665,numbering!$K$3:$L$92,2,0),0)</f>
        <v>0</v>
      </c>
    </row>
    <row r="666" spans="1:11" ht="70" hidden="1" x14ac:dyDescent="0.2">
      <c r="A666" s="390">
        <v>203</v>
      </c>
      <c r="B666" s="390" t="s">
        <v>253</v>
      </c>
      <c r="C666" s="390">
        <f>VLOOKUP(B666,numbering!$N$18:$O$30,2,0)</f>
        <v>4</v>
      </c>
      <c r="D666" s="390" t="s">
        <v>331</v>
      </c>
      <c r="E666" s="403">
        <f t="shared" si="19"/>
        <v>29</v>
      </c>
      <c r="F666" s="433" t="str">
        <f>F665</f>
        <v>Is there documented evidence that an appropriate and defensible water balance methodology/assessment tool was utilised, to achieve the objective that the water balance model be appropriately detailed and sophisticated considering the context of the facility and wider-operations (e.g. Excel tool/GoldSim model)?</v>
      </c>
      <c r="G666" s="388" t="s">
        <v>1195</v>
      </c>
      <c r="H666" s="390">
        <v>4</v>
      </c>
      <c r="I666" s="390">
        <v>4</v>
      </c>
      <c r="J666" s="390"/>
      <c r="K666" s="398">
        <f>_xlfn.IFNA(VLOOKUP(A666,numbering!$K$3:$L$92,2,0),0)</f>
        <v>0</v>
      </c>
    </row>
    <row r="667" spans="1:11" ht="42" hidden="1" x14ac:dyDescent="0.2">
      <c r="A667" s="390">
        <v>204</v>
      </c>
      <c r="B667" s="390" t="s">
        <v>253</v>
      </c>
      <c r="C667" s="390">
        <f>VLOOKUP(B667,numbering!$N$18:$O$30,2,0)</f>
        <v>4</v>
      </c>
      <c r="D667" s="390" t="s">
        <v>331</v>
      </c>
      <c r="E667" s="403">
        <f t="shared" si="19"/>
        <v>29</v>
      </c>
      <c r="F667" s="433" t="s">
        <v>334</v>
      </c>
      <c r="G667" s="388" t="s">
        <v>1192</v>
      </c>
      <c r="H667" s="390">
        <v>1</v>
      </c>
      <c r="I667" s="390">
        <v>1</v>
      </c>
      <c r="J667" s="390"/>
      <c r="K667" s="398">
        <f>_xlfn.IFNA(VLOOKUP(A667,numbering!$K$3:$L$92,2,0),0)</f>
        <v>0</v>
      </c>
    </row>
    <row r="668" spans="1:11" ht="42" hidden="1" x14ac:dyDescent="0.2">
      <c r="A668" s="390">
        <v>204</v>
      </c>
      <c r="B668" s="390" t="s">
        <v>253</v>
      </c>
      <c r="C668" s="390">
        <f>VLOOKUP(B668,numbering!$N$18:$O$30,2,0)</f>
        <v>4</v>
      </c>
      <c r="D668" s="390" t="s">
        <v>331</v>
      </c>
      <c r="E668" s="403">
        <f t="shared" si="19"/>
        <v>29</v>
      </c>
      <c r="F668" s="433" t="str">
        <f>F667</f>
        <v>Is there documented evidence of the inputs used for the  water balance, to demonstrate that the objective that the inputs are based on objectively measured data and/or the most appropriate information is achieved?</v>
      </c>
      <c r="G668" s="388" t="s">
        <v>1193</v>
      </c>
      <c r="H668" s="390">
        <v>2</v>
      </c>
      <c r="I668" s="390">
        <v>2</v>
      </c>
      <c r="J668" s="390"/>
      <c r="K668" s="398">
        <f>_xlfn.IFNA(VLOOKUP(A668,numbering!$K$3:$L$92,2,0),0)</f>
        <v>0</v>
      </c>
    </row>
    <row r="669" spans="1:11" ht="42" hidden="1" x14ac:dyDescent="0.2">
      <c r="A669" s="390">
        <v>204</v>
      </c>
      <c r="B669" s="390" t="s">
        <v>253</v>
      </c>
      <c r="C669" s="390">
        <f>VLOOKUP(B669,numbering!$N$18:$O$30,2,0)</f>
        <v>4</v>
      </c>
      <c r="D669" s="390" t="s">
        <v>331</v>
      </c>
      <c r="E669" s="403">
        <f t="shared" si="19"/>
        <v>29</v>
      </c>
      <c r="F669" s="433" t="str">
        <f>F668</f>
        <v>Is there documented evidence of the inputs used for the  water balance, to demonstrate that the objective that the inputs are based on objectively measured data and/or the most appropriate information is achieved?</v>
      </c>
      <c r="G669" s="388" t="s">
        <v>1194</v>
      </c>
      <c r="H669" s="390">
        <v>3</v>
      </c>
      <c r="I669" s="390">
        <v>3</v>
      </c>
      <c r="J669" s="390"/>
      <c r="K669" s="398">
        <f>_xlfn.IFNA(VLOOKUP(A669,numbering!$K$3:$L$92,2,0),0)</f>
        <v>0</v>
      </c>
    </row>
    <row r="670" spans="1:11" ht="42" hidden="1" x14ac:dyDescent="0.2">
      <c r="A670" s="390">
        <v>204</v>
      </c>
      <c r="B670" s="390" t="s">
        <v>253</v>
      </c>
      <c r="C670" s="390">
        <f>VLOOKUP(B670,numbering!$N$18:$O$30,2,0)</f>
        <v>4</v>
      </c>
      <c r="D670" s="390" t="s">
        <v>331</v>
      </c>
      <c r="E670" s="403">
        <f t="shared" si="19"/>
        <v>29</v>
      </c>
      <c r="F670" s="433" t="str">
        <f>F669</f>
        <v>Is there documented evidence of the inputs used for the  water balance, to demonstrate that the objective that the inputs are based on objectively measured data and/or the most appropriate information is achieved?</v>
      </c>
      <c r="G670" s="388" t="s">
        <v>1195</v>
      </c>
      <c r="H670" s="390">
        <v>4</v>
      </c>
      <c r="I670" s="390">
        <v>4</v>
      </c>
      <c r="J670" s="390"/>
      <c r="K670" s="398">
        <f>_xlfn.IFNA(VLOOKUP(A670,numbering!$K$3:$L$92,2,0),0)</f>
        <v>0</v>
      </c>
    </row>
    <row r="671" spans="1:11" ht="56" hidden="1" x14ac:dyDescent="0.2">
      <c r="A671" s="390">
        <v>205</v>
      </c>
      <c r="B671" s="390" t="s">
        <v>253</v>
      </c>
      <c r="C671" s="390">
        <f>VLOOKUP(B671,numbering!$N$18:$O$30,2,0)</f>
        <v>4</v>
      </c>
      <c r="D671" s="390" t="s">
        <v>331</v>
      </c>
      <c r="E671" s="403">
        <f t="shared" si="19"/>
        <v>29</v>
      </c>
      <c r="F671" s="433" t="s">
        <v>335</v>
      </c>
      <c r="G671" s="388" t="s">
        <v>1192</v>
      </c>
      <c r="H671" s="390">
        <v>1</v>
      </c>
      <c r="I671" s="390">
        <v>1</v>
      </c>
      <c r="J671" s="390"/>
      <c r="K671" s="398">
        <f>_xlfn.IFNA(VLOOKUP(A671,numbering!$K$3:$L$92,2,0),0)</f>
        <v>0</v>
      </c>
    </row>
    <row r="672" spans="1:11" ht="56" hidden="1" x14ac:dyDescent="0.2">
      <c r="A672" s="390">
        <v>205</v>
      </c>
      <c r="B672" s="390" t="s">
        <v>253</v>
      </c>
      <c r="C672" s="390">
        <f>VLOOKUP(B672,numbering!$N$18:$O$30,2,0)</f>
        <v>4</v>
      </c>
      <c r="D672" s="390" t="s">
        <v>331</v>
      </c>
      <c r="E672" s="403">
        <f t="shared" si="19"/>
        <v>29</v>
      </c>
      <c r="F672" s="433" t="str">
        <f>F671</f>
        <v>Is there documented evidence that the assumptions made in the water balance align with site conditions and design assumptions/philosophy to achieve the objective that the water balance reflects actual conditions as much as practicable?</v>
      </c>
      <c r="G672" s="388" t="s">
        <v>1193</v>
      </c>
      <c r="H672" s="390">
        <v>2</v>
      </c>
      <c r="I672" s="390">
        <v>2</v>
      </c>
      <c r="J672" s="390"/>
      <c r="K672" s="398">
        <f>_xlfn.IFNA(VLOOKUP(A672,numbering!$K$3:$L$92,2,0),0)</f>
        <v>0</v>
      </c>
    </row>
    <row r="673" spans="1:11" ht="56" hidden="1" x14ac:dyDescent="0.2">
      <c r="A673" s="390">
        <v>205</v>
      </c>
      <c r="B673" s="390" t="s">
        <v>253</v>
      </c>
      <c r="C673" s="390">
        <f>VLOOKUP(B673,numbering!$N$18:$O$30,2,0)</f>
        <v>4</v>
      </c>
      <c r="D673" s="390" t="s">
        <v>331</v>
      </c>
      <c r="E673" s="403">
        <f t="shared" si="19"/>
        <v>29</v>
      </c>
      <c r="F673" s="433" t="str">
        <f>F672</f>
        <v>Is there documented evidence that the assumptions made in the water balance align with site conditions and design assumptions/philosophy to achieve the objective that the water balance reflects actual conditions as much as practicable?</v>
      </c>
      <c r="G673" s="388" t="s">
        <v>1194</v>
      </c>
      <c r="H673" s="390">
        <v>3</v>
      </c>
      <c r="I673" s="390">
        <v>3</v>
      </c>
      <c r="J673" s="390"/>
      <c r="K673" s="398">
        <f>_xlfn.IFNA(VLOOKUP(A673,numbering!$K$3:$L$92,2,0),0)</f>
        <v>0</v>
      </c>
    </row>
    <row r="674" spans="1:11" ht="56" hidden="1" x14ac:dyDescent="0.2">
      <c r="A674" s="390">
        <v>205</v>
      </c>
      <c r="B674" s="390" t="s">
        <v>253</v>
      </c>
      <c r="C674" s="390">
        <f>VLOOKUP(B674,numbering!$N$18:$O$30,2,0)</f>
        <v>4</v>
      </c>
      <c r="D674" s="390" t="s">
        <v>331</v>
      </c>
      <c r="E674" s="403">
        <f t="shared" si="19"/>
        <v>29</v>
      </c>
      <c r="F674" s="433" t="str">
        <f>F673</f>
        <v>Is there documented evidence that the assumptions made in the water balance align with site conditions and design assumptions/philosophy to achieve the objective that the water balance reflects actual conditions as much as practicable?</v>
      </c>
      <c r="G674" s="388" t="s">
        <v>1195</v>
      </c>
      <c r="H674" s="390">
        <v>4</v>
      </c>
      <c r="I674" s="390">
        <v>4</v>
      </c>
      <c r="J674" s="390"/>
      <c r="K674" s="398">
        <f>_xlfn.IFNA(VLOOKUP(A674,numbering!$K$3:$L$92,2,0),0)</f>
        <v>0</v>
      </c>
    </row>
    <row r="675" spans="1:11" ht="56" hidden="1" x14ac:dyDescent="0.2">
      <c r="A675" s="390">
        <v>206</v>
      </c>
      <c r="B675" s="390" t="s">
        <v>253</v>
      </c>
      <c r="C675" s="390">
        <f>VLOOKUP(B675,numbering!$N$18:$O$30,2,0)</f>
        <v>4</v>
      </c>
      <c r="D675" s="390" t="s">
        <v>331</v>
      </c>
      <c r="E675" s="403">
        <f t="shared" si="19"/>
        <v>29</v>
      </c>
      <c r="F675" s="433" t="s">
        <v>336</v>
      </c>
      <c r="G675" s="388" t="s">
        <v>1192</v>
      </c>
      <c r="H675" s="390">
        <v>1</v>
      </c>
      <c r="I675" s="390">
        <v>1</v>
      </c>
      <c r="J675" s="390"/>
      <c r="K675" s="398">
        <f>_xlfn.IFNA(VLOOKUP(A675,numbering!$K$3:$L$92,2,0),0)</f>
        <v>0</v>
      </c>
    </row>
    <row r="676" spans="1:11" ht="56" hidden="1" x14ac:dyDescent="0.2">
      <c r="A676" s="390">
        <v>206</v>
      </c>
      <c r="B676" s="390" t="s">
        <v>253</v>
      </c>
      <c r="C676" s="390">
        <f>VLOOKUP(B676,numbering!$N$18:$O$30,2,0)</f>
        <v>4</v>
      </c>
      <c r="D676" s="390" t="s">
        <v>331</v>
      </c>
      <c r="E676" s="403">
        <f t="shared" si="19"/>
        <v>29</v>
      </c>
      <c r="F676" s="433" t="str">
        <f>F675</f>
        <v>Is there documented evidence that the tailings and water throughputs utilised in the water balance were based on forecasted production throughputs, to achieve the objective of the water balance forecast being as accurate and reliable as practicable?</v>
      </c>
      <c r="G676" s="388" t="s">
        <v>1193</v>
      </c>
      <c r="H676" s="390">
        <v>2</v>
      </c>
      <c r="I676" s="390">
        <v>2</v>
      </c>
      <c r="J676" s="390"/>
      <c r="K676" s="398">
        <f>_xlfn.IFNA(VLOOKUP(A676,numbering!$K$3:$L$92,2,0),0)</f>
        <v>0</v>
      </c>
    </row>
    <row r="677" spans="1:11" ht="56" hidden="1" x14ac:dyDescent="0.2">
      <c r="A677" s="390">
        <v>206</v>
      </c>
      <c r="B677" s="390" t="s">
        <v>253</v>
      </c>
      <c r="C677" s="390">
        <f>VLOOKUP(B677,numbering!$N$18:$O$30,2,0)</f>
        <v>4</v>
      </c>
      <c r="D677" s="390" t="s">
        <v>331</v>
      </c>
      <c r="E677" s="403">
        <f t="shared" si="19"/>
        <v>29</v>
      </c>
      <c r="F677" s="433" t="str">
        <f>F676</f>
        <v>Is there documented evidence that the tailings and water throughputs utilised in the water balance were based on forecasted production throughputs, to achieve the objective of the water balance forecast being as accurate and reliable as practicable?</v>
      </c>
      <c r="G677" s="388" t="s">
        <v>1194</v>
      </c>
      <c r="H677" s="390">
        <v>3</v>
      </c>
      <c r="I677" s="390">
        <v>3</v>
      </c>
      <c r="J677" s="390"/>
      <c r="K677" s="398">
        <f>_xlfn.IFNA(VLOOKUP(A677,numbering!$K$3:$L$92,2,0),0)</f>
        <v>0</v>
      </c>
    </row>
    <row r="678" spans="1:11" ht="56" hidden="1" x14ac:dyDescent="0.2">
      <c r="A678" s="390">
        <v>206</v>
      </c>
      <c r="B678" s="390" t="s">
        <v>253</v>
      </c>
      <c r="C678" s="390">
        <f>VLOOKUP(B678,numbering!$N$18:$O$30,2,0)</f>
        <v>4</v>
      </c>
      <c r="D678" s="390" t="s">
        <v>331</v>
      </c>
      <c r="E678" s="403">
        <f t="shared" si="19"/>
        <v>29</v>
      </c>
      <c r="F678" s="433" t="str">
        <f>F677</f>
        <v>Is there documented evidence that the tailings and water throughputs utilised in the water balance were based on forecasted production throughputs, to achieve the objective of the water balance forecast being as accurate and reliable as practicable?</v>
      </c>
      <c r="G678" s="388" t="s">
        <v>1195</v>
      </c>
      <c r="H678" s="390">
        <v>4</v>
      </c>
      <c r="I678" s="390">
        <v>4</v>
      </c>
      <c r="J678" s="390"/>
      <c r="K678" s="398">
        <f>_xlfn.IFNA(VLOOKUP(A678,numbering!$K$3:$L$92,2,0),0)</f>
        <v>0</v>
      </c>
    </row>
    <row r="679" spans="1:11" ht="42" hidden="1" x14ac:dyDescent="0.2">
      <c r="A679" s="390">
        <v>207</v>
      </c>
      <c r="B679" s="390" t="s">
        <v>253</v>
      </c>
      <c r="C679" s="390">
        <f>VLOOKUP(B679,numbering!$N$18:$O$30,2,0)</f>
        <v>4</v>
      </c>
      <c r="D679" s="390" t="s">
        <v>331</v>
      </c>
      <c r="E679" s="403">
        <f t="shared" ref="E679:E742" si="20">IF(C679&lt;&gt;C678,1,IF(D679&lt;&gt;D678,E678+1,E678))</f>
        <v>29</v>
      </c>
      <c r="F679" s="433" t="s">
        <v>337</v>
      </c>
      <c r="G679" s="388" t="s">
        <v>1192</v>
      </c>
      <c r="H679" s="390">
        <v>1</v>
      </c>
      <c r="I679" s="390">
        <v>1</v>
      </c>
      <c r="J679" s="390"/>
      <c r="K679" s="398">
        <f>_xlfn.IFNA(VLOOKUP(A679,numbering!$K$3:$L$92,2,0),0)</f>
        <v>0</v>
      </c>
    </row>
    <row r="680" spans="1:11" ht="42" hidden="1" x14ac:dyDescent="0.2">
      <c r="A680" s="390">
        <v>207</v>
      </c>
      <c r="B680" s="390" t="s">
        <v>253</v>
      </c>
      <c r="C680" s="390">
        <f>VLOOKUP(B680,numbering!$N$18:$O$30,2,0)</f>
        <v>4</v>
      </c>
      <c r="D680" s="390" t="s">
        <v>331</v>
      </c>
      <c r="E680" s="403">
        <f t="shared" si="20"/>
        <v>29</v>
      </c>
      <c r="F680" s="433" t="str">
        <f>F679</f>
        <v>Is there documented evidence that all inflows and outflows into the water balance were correctly applied, to achieve the objective of the water balance being as accurate and reliable as practicable?</v>
      </c>
      <c r="G680" s="388" t="s">
        <v>1193</v>
      </c>
      <c r="H680" s="390">
        <v>2</v>
      </c>
      <c r="I680" s="390">
        <v>2</v>
      </c>
      <c r="J680" s="390"/>
      <c r="K680" s="398">
        <f>_xlfn.IFNA(VLOOKUP(A680,numbering!$K$3:$L$92,2,0),0)</f>
        <v>0</v>
      </c>
    </row>
    <row r="681" spans="1:11" ht="42" hidden="1" x14ac:dyDescent="0.2">
      <c r="A681" s="390">
        <v>207</v>
      </c>
      <c r="B681" s="390" t="s">
        <v>253</v>
      </c>
      <c r="C681" s="390">
        <f>VLOOKUP(B681,numbering!$N$18:$O$30,2,0)</f>
        <v>4</v>
      </c>
      <c r="D681" s="390" t="s">
        <v>331</v>
      </c>
      <c r="E681" s="403">
        <f t="shared" si="20"/>
        <v>29</v>
      </c>
      <c r="F681" s="433" t="str">
        <f>F680</f>
        <v>Is there documented evidence that all inflows and outflows into the water balance were correctly applied, to achieve the objective of the water balance being as accurate and reliable as practicable?</v>
      </c>
      <c r="G681" s="388" t="s">
        <v>1194</v>
      </c>
      <c r="H681" s="390">
        <v>3</v>
      </c>
      <c r="I681" s="390">
        <v>3</v>
      </c>
      <c r="J681" s="390"/>
      <c r="K681" s="398">
        <f>_xlfn.IFNA(VLOOKUP(A681,numbering!$K$3:$L$92,2,0),0)</f>
        <v>0</v>
      </c>
    </row>
    <row r="682" spans="1:11" ht="42" hidden="1" x14ac:dyDescent="0.2">
      <c r="A682" s="390">
        <v>207</v>
      </c>
      <c r="B682" s="390" t="s">
        <v>253</v>
      </c>
      <c r="C682" s="390">
        <f>VLOOKUP(B682,numbering!$N$18:$O$30,2,0)</f>
        <v>4</v>
      </c>
      <c r="D682" s="390" t="s">
        <v>331</v>
      </c>
      <c r="E682" s="403">
        <f t="shared" si="20"/>
        <v>29</v>
      </c>
      <c r="F682" s="433" t="str">
        <f>F681</f>
        <v>Is there documented evidence that all inflows and outflows into the water balance were correctly applied, to achieve the objective of the water balance being as accurate and reliable as practicable?</v>
      </c>
      <c r="G682" s="388" t="s">
        <v>1195</v>
      </c>
      <c r="H682" s="390">
        <v>4</v>
      </c>
      <c r="I682" s="390">
        <v>4</v>
      </c>
      <c r="J682" s="390"/>
      <c r="K682" s="398">
        <f>_xlfn.IFNA(VLOOKUP(A682,numbering!$K$3:$L$92,2,0),0)</f>
        <v>0</v>
      </c>
    </row>
    <row r="683" spans="1:11" ht="56" hidden="1" x14ac:dyDescent="0.2">
      <c r="A683" s="390">
        <v>208</v>
      </c>
      <c r="B683" s="390" t="s">
        <v>253</v>
      </c>
      <c r="C683" s="390">
        <f>VLOOKUP(B683,numbering!$N$18:$O$30,2,0)</f>
        <v>4</v>
      </c>
      <c r="D683" s="390" t="s">
        <v>331</v>
      </c>
      <c r="E683" s="403">
        <f t="shared" si="20"/>
        <v>29</v>
      </c>
      <c r="F683" s="433" t="s">
        <v>338</v>
      </c>
      <c r="G683" s="388" t="s">
        <v>1192</v>
      </c>
      <c r="H683" s="390">
        <v>1</v>
      </c>
      <c r="I683" s="390">
        <v>1</v>
      </c>
      <c r="J683" s="390"/>
      <c r="K683" s="398">
        <f>_xlfn.IFNA(VLOOKUP(A683,numbering!$K$3:$L$92,2,0),0)</f>
        <v>0</v>
      </c>
    </row>
    <row r="684" spans="1:11" ht="56" hidden="1" x14ac:dyDescent="0.2">
      <c r="A684" s="390">
        <v>208</v>
      </c>
      <c r="B684" s="390" t="s">
        <v>253</v>
      </c>
      <c r="C684" s="390">
        <f>VLOOKUP(B684,numbering!$N$18:$O$30,2,0)</f>
        <v>4</v>
      </c>
      <c r="D684" s="390" t="s">
        <v>331</v>
      </c>
      <c r="E684" s="403">
        <f t="shared" si="20"/>
        <v>29</v>
      </c>
      <c r="F684" s="433" t="str">
        <f>F683</f>
        <v>Is there documented evidence that the impacts of rare and extreme rainfall events were correctly and appropriately assessed in the water balance to achieve the objective of reliable forecasting of potential emergency situations?</v>
      </c>
      <c r="G684" s="388" t="s">
        <v>1193</v>
      </c>
      <c r="H684" s="390">
        <v>2</v>
      </c>
      <c r="I684" s="390">
        <v>2</v>
      </c>
      <c r="J684" s="390"/>
      <c r="K684" s="398">
        <f>_xlfn.IFNA(VLOOKUP(A684,numbering!$K$3:$L$92,2,0),0)</f>
        <v>0</v>
      </c>
    </row>
    <row r="685" spans="1:11" ht="56" hidden="1" x14ac:dyDescent="0.2">
      <c r="A685" s="390">
        <v>208</v>
      </c>
      <c r="B685" s="390" t="s">
        <v>253</v>
      </c>
      <c r="C685" s="390">
        <f>VLOOKUP(B685,numbering!$N$18:$O$30,2,0)</f>
        <v>4</v>
      </c>
      <c r="D685" s="390" t="s">
        <v>331</v>
      </c>
      <c r="E685" s="403">
        <f t="shared" si="20"/>
        <v>29</v>
      </c>
      <c r="F685" s="433" t="str">
        <f>F684</f>
        <v>Is there documented evidence that the impacts of rare and extreme rainfall events were correctly and appropriately assessed in the water balance to achieve the objective of reliable forecasting of potential emergency situations?</v>
      </c>
      <c r="G685" s="388" t="s">
        <v>1194</v>
      </c>
      <c r="H685" s="390">
        <v>3</v>
      </c>
      <c r="I685" s="390">
        <v>3</v>
      </c>
      <c r="J685" s="390"/>
      <c r="K685" s="398">
        <f>_xlfn.IFNA(VLOOKUP(A685,numbering!$K$3:$L$92,2,0),0)</f>
        <v>0</v>
      </c>
    </row>
    <row r="686" spans="1:11" ht="56" hidden="1" x14ac:dyDescent="0.2">
      <c r="A686" s="390">
        <v>208</v>
      </c>
      <c r="B686" s="390" t="s">
        <v>253</v>
      </c>
      <c r="C686" s="390">
        <f>VLOOKUP(B686,numbering!$N$18:$O$30,2,0)</f>
        <v>4</v>
      </c>
      <c r="D686" s="390" t="s">
        <v>331</v>
      </c>
      <c r="E686" s="403">
        <f t="shared" si="20"/>
        <v>29</v>
      </c>
      <c r="F686" s="433" t="str">
        <f>F685</f>
        <v>Is there documented evidence that the impacts of rare and extreme rainfall events were correctly and appropriately assessed in the water balance to achieve the objective of reliable forecasting of potential emergency situations?</v>
      </c>
      <c r="G686" s="388" t="s">
        <v>1195</v>
      </c>
      <c r="H686" s="390">
        <v>4</v>
      </c>
      <c r="I686" s="390">
        <v>4</v>
      </c>
      <c r="J686" s="390"/>
      <c r="K686" s="398">
        <f>_xlfn.IFNA(VLOOKUP(A686,numbering!$K$3:$L$92,2,0),0)</f>
        <v>0</v>
      </c>
    </row>
    <row r="687" spans="1:11" ht="56" hidden="1" x14ac:dyDescent="0.2">
      <c r="A687" s="390">
        <v>209</v>
      </c>
      <c r="B687" s="390" t="s">
        <v>253</v>
      </c>
      <c r="C687" s="390">
        <f>VLOOKUP(B687,numbering!$N$18:$O$30,2,0)</f>
        <v>4</v>
      </c>
      <c r="D687" s="390" t="s">
        <v>331</v>
      </c>
      <c r="E687" s="403">
        <f t="shared" si="20"/>
        <v>29</v>
      </c>
      <c r="F687" s="433" t="s">
        <v>339</v>
      </c>
      <c r="G687" s="388" t="s">
        <v>1192</v>
      </c>
      <c r="H687" s="390">
        <v>1</v>
      </c>
      <c r="I687" s="390">
        <v>1</v>
      </c>
      <c r="J687" s="390"/>
      <c r="K687" s="398">
        <f>_xlfn.IFNA(VLOOKUP(A687,numbering!$K$3:$L$92,2,0),0)</f>
        <v>0</v>
      </c>
    </row>
    <row r="688" spans="1:11" ht="56" hidden="1" x14ac:dyDescent="0.2">
      <c r="A688" s="390">
        <v>209</v>
      </c>
      <c r="B688" s="390" t="s">
        <v>253</v>
      </c>
      <c r="C688" s="390">
        <f>VLOOKUP(B688,numbering!$N$18:$O$30,2,0)</f>
        <v>4</v>
      </c>
      <c r="D688" s="390" t="s">
        <v>331</v>
      </c>
      <c r="E688" s="403">
        <f t="shared" si="20"/>
        <v>29</v>
      </c>
      <c r="F688" s="433" t="str">
        <f>F687</f>
        <v>Is there documented evidence that a sensitivity assessment of the inputs and assumptions on the results of the water balance were correctly and appropriately carried out to achieve the objective of understanding the operating limits that the facility may operate under?</v>
      </c>
      <c r="G688" s="388" t="s">
        <v>1193</v>
      </c>
      <c r="H688" s="390">
        <v>2</v>
      </c>
      <c r="I688" s="390">
        <v>2</v>
      </c>
      <c r="J688" s="390"/>
      <c r="K688" s="398">
        <f>_xlfn.IFNA(VLOOKUP(A688,numbering!$K$3:$L$92,2,0),0)</f>
        <v>0</v>
      </c>
    </row>
    <row r="689" spans="1:11" ht="56" hidden="1" x14ac:dyDescent="0.2">
      <c r="A689" s="390">
        <v>209</v>
      </c>
      <c r="B689" s="390" t="s">
        <v>253</v>
      </c>
      <c r="C689" s="390">
        <f>VLOOKUP(B689,numbering!$N$18:$O$30,2,0)</f>
        <v>4</v>
      </c>
      <c r="D689" s="390" t="s">
        <v>331</v>
      </c>
      <c r="E689" s="403">
        <f t="shared" si="20"/>
        <v>29</v>
      </c>
      <c r="F689" s="433" t="str">
        <f>F688</f>
        <v>Is there documented evidence that a sensitivity assessment of the inputs and assumptions on the results of the water balance were correctly and appropriately carried out to achieve the objective of understanding the operating limits that the facility may operate under?</v>
      </c>
      <c r="G689" s="388" t="s">
        <v>1194</v>
      </c>
      <c r="H689" s="390">
        <v>3</v>
      </c>
      <c r="I689" s="390">
        <v>3</v>
      </c>
      <c r="J689" s="390"/>
      <c r="K689" s="398">
        <f>_xlfn.IFNA(VLOOKUP(A689,numbering!$K$3:$L$92,2,0),0)</f>
        <v>0</v>
      </c>
    </row>
    <row r="690" spans="1:11" ht="56" hidden="1" x14ac:dyDescent="0.2">
      <c r="A690" s="390">
        <v>209</v>
      </c>
      <c r="B690" s="390" t="s">
        <v>253</v>
      </c>
      <c r="C690" s="390">
        <f>VLOOKUP(B690,numbering!$N$18:$O$30,2,0)</f>
        <v>4</v>
      </c>
      <c r="D690" s="390" t="s">
        <v>331</v>
      </c>
      <c r="E690" s="403">
        <f t="shared" si="20"/>
        <v>29</v>
      </c>
      <c r="F690" s="433" t="str">
        <f>F689</f>
        <v>Is there documented evidence that a sensitivity assessment of the inputs and assumptions on the results of the water balance were correctly and appropriately carried out to achieve the objective of understanding the operating limits that the facility may operate under?</v>
      </c>
      <c r="G690" s="388" t="s">
        <v>1195</v>
      </c>
      <c r="H690" s="390">
        <v>4</v>
      </c>
      <c r="I690" s="390">
        <v>4</v>
      </c>
      <c r="J690" s="390"/>
      <c r="K690" s="398">
        <f>_xlfn.IFNA(VLOOKUP(A690,numbering!$K$3:$L$92,2,0),0)</f>
        <v>0</v>
      </c>
    </row>
    <row r="691" spans="1:11" ht="70" hidden="1" x14ac:dyDescent="0.2">
      <c r="A691" s="390">
        <v>210</v>
      </c>
      <c r="B691" s="390" t="s">
        <v>253</v>
      </c>
      <c r="C691" s="390">
        <f>VLOOKUP(B691,numbering!$N$18:$O$30,2,0)</f>
        <v>4</v>
      </c>
      <c r="D691" s="390" t="s">
        <v>331</v>
      </c>
      <c r="E691" s="403">
        <f t="shared" si="20"/>
        <v>29</v>
      </c>
      <c r="F691" s="433" t="s">
        <v>340</v>
      </c>
      <c r="G691" s="388" t="s">
        <v>1192</v>
      </c>
      <c r="H691" s="390">
        <v>1</v>
      </c>
      <c r="I691" s="390">
        <v>1</v>
      </c>
      <c r="J691" s="390"/>
      <c r="K691" s="398">
        <f>_xlfn.IFNA(VLOOKUP(A691,numbering!$K$3:$L$92,2,0),0)</f>
        <v>0</v>
      </c>
    </row>
    <row r="692" spans="1:11" ht="70" hidden="1" x14ac:dyDescent="0.2">
      <c r="A692" s="390">
        <v>210</v>
      </c>
      <c r="B692" s="390" t="s">
        <v>253</v>
      </c>
      <c r="C692" s="390">
        <f>VLOOKUP(B692,numbering!$N$18:$O$30,2,0)</f>
        <v>4</v>
      </c>
      <c r="D692" s="390" t="s">
        <v>331</v>
      </c>
      <c r="E692" s="403">
        <f t="shared" si="20"/>
        <v>29</v>
      </c>
      <c r="F692" s="433" t="str">
        <f>F691</f>
        <v>Is there documented evidence that the results of the water balance were correctly considered to assign tailings and supernatant pond freeboards to achieve the objective of providing sufficient non-operational inflow capacity for rare and extreme rainfall events, as required by relevant regulations, standards and guidelines?</v>
      </c>
      <c r="G692" s="388" t="s">
        <v>1193</v>
      </c>
      <c r="H692" s="390">
        <v>2</v>
      </c>
      <c r="I692" s="390">
        <v>2</v>
      </c>
      <c r="J692" s="390"/>
      <c r="K692" s="398">
        <f>_xlfn.IFNA(VLOOKUP(A692,numbering!$K$3:$L$92,2,0),0)</f>
        <v>0</v>
      </c>
    </row>
    <row r="693" spans="1:11" ht="70" hidden="1" x14ac:dyDescent="0.2">
      <c r="A693" s="390">
        <v>210</v>
      </c>
      <c r="B693" s="390" t="s">
        <v>253</v>
      </c>
      <c r="C693" s="390">
        <f>VLOOKUP(B693,numbering!$N$18:$O$30,2,0)</f>
        <v>4</v>
      </c>
      <c r="D693" s="390" t="s">
        <v>331</v>
      </c>
      <c r="E693" s="403">
        <f t="shared" si="20"/>
        <v>29</v>
      </c>
      <c r="F693" s="433" t="str">
        <f>F692</f>
        <v>Is there documented evidence that the results of the water balance were correctly considered to assign tailings and supernatant pond freeboards to achieve the objective of providing sufficient non-operational inflow capacity for rare and extreme rainfall events, as required by relevant regulations, standards and guidelines?</v>
      </c>
      <c r="G693" s="388" t="s">
        <v>1194</v>
      </c>
      <c r="H693" s="390">
        <v>3</v>
      </c>
      <c r="I693" s="390">
        <v>3</v>
      </c>
      <c r="J693" s="390"/>
      <c r="K693" s="398">
        <f>_xlfn.IFNA(VLOOKUP(A693,numbering!$K$3:$L$92,2,0),0)</f>
        <v>0</v>
      </c>
    </row>
    <row r="694" spans="1:11" ht="70" hidden="1" x14ac:dyDescent="0.2">
      <c r="A694" s="390">
        <v>210</v>
      </c>
      <c r="B694" s="390" t="s">
        <v>253</v>
      </c>
      <c r="C694" s="390">
        <f>VLOOKUP(B694,numbering!$N$18:$O$30,2,0)</f>
        <v>4</v>
      </c>
      <c r="D694" s="390" t="s">
        <v>331</v>
      </c>
      <c r="E694" s="403">
        <f t="shared" si="20"/>
        <v>29</v>
      </c>
      <c r="F694" s="433" t="str">
        <f>F693</f>
        <v>Is there documented evidence that the results of the water balance were correctly considered to assign tailings and supernatant pond freeboards to achieve the objective of providing sufficient non-operational inflow capacity for rare and extreme rainfall events, as required by relevant regulations, standards and guidelines?</v>
      </c>
      <c r="G694" s="388" t="s">
        <v>1195</v>
      </c>
      <c r="H694" s="390">
        <v>4</v>
      </c>
      <c r="I694" s="390">
        <v>4</v>
      </c>
      <c r="J694" s="390"/>
      <c r="K694" s="398">
        <f>_xlfn.IFNA(VLOOKUP(A694,numbering!$K$3:$L$92,2,0),0)</f>
        <v>0</v>
      </c>
    </row>
    <row r="695" spans="1:11" ht="56" hidden="1" x14ac:dyDescent="0.2">
      <c r="A695" s="390">
        <v>211</v>
      </c>
      <c r="B695" s="390" t="s">
        <v>253</v>
      </c>
      <c r="C695" s="390">
        <f>VLOOKUP(B695,numbering!$N$18:$O$30,2,0)</f>
        <v>4</v>
      </c>
      <c r="D695" s="390" t="s">
        <v>331</v>
      </c>
      <c r="E695" s="403">
        <f t="shared" si="20"/>
        <v>29</v>
      </c>
      <c r="F695" s="433" t="s">
        <v>341</v>
      </c>
      <c r="G695" s="388" t="s">
        <v>1192</v>
      </c>
      <c r="H695" s="390">
        <v>1</v>
      </c>
      <c r="I695" s="390">
        <v>1</v>
      </c>
      <c r="J695" s="390"/>
      <c r="K695" s="398">
        <f>_xlfn.IFNA(VLOOKUP(A695,numbering!$K$3:$L$92,2,0),0)</f>
        <v>0</v>
      </c>
    </row>
    <row r="696" spans="1:11" ht="56" hidden="1" x14ac:dyDescent="0.2">
      <c r="A696" s="390">
        <v>211</v>
      </c>
      <c r="B696" s="390" t="s">
        <v>253</v>
      </c>
      <c r="C696" s="390">
        <f>VLOOKUP(B696,numbering!$N$18:$O$30,2,0)</f>
        <v>4</v>
      </c>
      <c r="D696" s="390" t="s">
        <v>331</v>
      </c>
      <c r="E696" s="403">
        <f t="shared" si="20"/>
        <v>29</v>
      </c>
      <c r="F696" s="433" t="str">
        <f>F695</f>
        <v>Is there documented evidence that the water balance was linked to, or considered the impact of wider site operations to achieve the objective of the water balance correctly reflecting the facility within the site-wide context? (e.g. minimum or maximum water return rates for operations)</v>
      </c>
      <c r="G696" s="388" t="s">
        <v>1193</v>
      </c>
      <c r="H696" s="390">
        <v>2</v>
      </c>
      <c r="I696" s="390">
        <v>2</v>
      </c>
      <c r="J696" s="390"/>
      <c r="K696" s="398">
        <f>_xlfn.IFNA(VLOOKUP(A696,numbering!$K$3:$L$92,2,0),0)</f>
        <v>0</v>
      </c>
    </row>
    <row r="697" spans="1:11" ht="56" hidden="1" x14ac:dyDescent="0.2">
      <c r="A697" s="390">
        <v>211</v>
      </c>
      <c r="B697" s="390" t="s">
        <v>253</v>
      </c>
      <c r="C697" s="390">
        <f>VLOOKUP(B697,numbering!$N$18:$O$30,2,0)</f>
        <v>4</v>
      </c>
      <c r="D697" s="390" t="s">
        <v>331</v>
      </c>
      <c r="E697" s="403">
        <f t="shared" si="20"/>
        <v>29</v>
      </c>
      <c r="F697" s="433" t="str">
        <f>F696</f>
        <v>Is there documented evidence that the water balance was linked to, or considered the impact of wider site operations to achieve the objective of the water balance correctly reflecting the facility within the site-wide context? (e.g. minimum or maximum water return rates for operations)</v>
      </c>
      <c r="G697" s="388" t="s">
        <v>1194</v>
      </c>
      <c r="H697" s="390">
        <v>3</v>
      </c>
      <c r="I697" s="390">
        <v>3</v>
      </c>
      <c r="J697" s="390"/>
      <c r="K697" s="398">
        <f>_xlfn.IFNA(VLOOKUP(A697,numbering!$K$3:$L$92,2,0),0)</f>
        <v>0</v>
      </c>
    </row>
    <row r="698" spans="1:11" ht="56" hidden="1" x14ac:dyDescent="0.2">
      <c r="A698" s="390">
        <v>211</v>
      </c>
      <c r="B698" s="390" t="s">
        <v>253</v>
      </c>
      <c r="C698" s="390">
        <f>VLOOKUP(B698,numbering!$N$18:$O$30,2,0)</f>
        <v>4</v>
      </c>
      <c r="D698" s="390" t="s">
        <v>331</v>
      </c>
      <c r="E698" s="403">
        <f t="shared" si="20"/>
        <v>29</v>
      </c>
      <c r="F698" s="433" t="str">
        <f>F697</f>
        <v>Is there documented evidence that the water balance was linked to, or considered the impact of wider site operations to achieve the objective of the water balance correctly reflecting the facility within the site-wide context? (e.g. minimum or maximum water return rates for operations)</v>
      </c>
      <c r="G698" s="388" t="s">
        <v>1195</v>
      </c>
      <c r="H698" s="390">
        <v>4</v>
      </c>
      <c r="I698" s="390">
        <v>4</v>
      </c>
      <c r="J698" s="390"/>
      <c r="K698" s="398">
        <f>_xlfn.IFNA(VLOOKUP(A698,numbering!$K$3:$L$92,2,0),0)</f>
        <v>0</v>
      </c>
    </row>
    <row r="699" spans="1:11" ht="16" hidden="1" x14ac:dyDescent="0.2">
      <c r="A699" s="398">
        <v>212</v>
      </c>
      <c r="B699" s="390" t="s">
        <v>253</v>
      </c>
      <c r="C699" s="390">
        <f>VLOOKUP(B699,numbering!$N$18:$O$30,2,0)</f>
        <v>4</v>
      </c>
      <c r="D699" s="398" t="s">
        <v>342</v>
      </c>
      <c r="E699" s="403">
        <f t="shared" si="20"/>
        <v>30</v>
      </c>
      <c r="F699" s="433" t="s">
        <v>343</v>
      </c>
      <c r="G699" s="388" t="s">
        <v>7</v>
      </c>
      <c r="H699" s="390">
        <v>1</v>
      </c>
      <c r="I699" s="390">
        <v>1</v>
      </c>
      <c r="J699" s="390"/>
      <c r="K699" s="398">
        <f>_xlfn.IFNA(VLOOKUP(A699,numbering!$K$3:$L$92,2,0),0)</f>
        <v>0</v>
      </c>
    </row>
    <row r="700" spans="1:11" ht="16" hidden="1" x14ac:dyDescent="0.2">
      <c r="A700" s="398">
        <v>212</v>
      </c>
      <c r="B700" s="390" t="s">
        <v>253</v>
      </c>
      <c r="C700" s="390">
        <f>VLOOKUP(B700,numbering!$N$18:$O$30,2,0)</f>
        <v>4</v>
      </c>
      <c r="D700" s="398" t="s">
        <v>342</v>
      </c>
      <c r="E700" s="403">
        <f t="shared" si="20"/>
        <v>30</v>
      </c>
      <c r="F700" s="433" t="str">
        <f>F699</f>
        <v>Has a storage model been produced for the facility?</v>
      </c>
      <c r="G700" s="388" t="s">
        <v>8</v>
      </c>
      <c r="H700" s="390">
        <v>4</v>
      </c>
      <c r="I700" s="390">
        <v>4</v>
      </c>
      <c r="J700" s="390"/>
      <c r="K700" s="398">
        <f>_xlfn.IFNA(VLOOKUP(A700,numbering!$K$3:$L$92,2,0),0)</f>
        <v>0</v>
      </c>
    </row>
    <row r="701" spans="1:11" ht="56" hidden="1" x14ac:dyDescent="0.2">
      <c r="A701" s="390">
        <v>213</v>
      </c>
      <c r="B701" s="390" t="s">
        <v>253</v>
      </c>
      <c r="C701" s="390">
        <f>VLOOKUP(B701,numbering!$N$18:$O$30,2,0)</f>
        <v>4</v>
      </c>
      <c r="D701" s="390" t="s">
        <v>342</v>
      </c>
      <c r="E701" s="403">
        <f t="shared" si="20"/>
        <v>30</v>
      </c>
      <c r="F701" s="433" t="s">
        <v>344</v>
      </c>
      <c r="G701" s="388" t="s">
        <v>1192</v>
      </c>
      <c r="H701" s="390">
        <v>1</v>
      </c>
      <c r="I701" s="390">
        <v>1</v>
      </c>
      <c r="J701" s="390"/>
      <c r="K701" s="398">
        <f>_xlfn.IFNA(VLOOKUP(A701,numbering!$K$3:$L$92,2,0),0)</f>
        <v>0</v>
      </c>
    </row>
    <row r="702" spans="1:11" ht="56" hidden="1" x14ac:dyDescent="0.2">
      <c r="A702" s="390">
        <v>213</v>
      </c>
      <c r="B702" s="390" t="s">
        <v>253</v>
      </c>
      <c r="C702" s="390">
        <f>VLOOKUP(B702,numbering!$N$18:$O$30,2,0)</f>
        <v>4</v>
      </c>
      <c r="D702" s="390" t="s">
        <v>342</v>
      </c>
      <c r="E702" s="403">
        <f t="shared" si="20"/>
        <v>30</v>
      </c>
      <c r="F702" s="433" t="str">
        <f>F701</f>
        <v>Is there documented evidence that an appropriate and defensible deposition modelling methodology/assessment tool was utilised, to achieve the objective of the deposition model being appropriately detailed and sophisticated for the context of the facility?</v>
      </c>
      <c r="G702" s="388" t="s">
        <v>1193</v>
      </c>
      <c r="H702" s="390">
        <v>2</v>
      </c>
      <c r="I702" s="390">
        <v>2</v>
      </c>
      <c r="J702" s="390"/>
      <c r="K702" s="398">
        <f>_xlfn.IFNA(VLOOKUP(A702,numbering!$K$3:$L$92,2,0),0)</f>
        <v>0</v>
      </c>
    </row>
    <row r="703" spans="1:11" ht="56" hidden="1" x14ac:dyDescent="0.2">
      <c r="A703" s="390">
        <v>213</v>
      </c>
      <c r="B703" s="390" t="s">
        <v>253</v>
      </c>
      <c r="C703" s="390">
        <f>VLOOKUP(B703,numbering!$N$18:$O$30,2,0)</f>
        <v>4</v>
      </c>
      <c r="D703" s="390" t="s">
        <v>342</v>
      </c>
      <c r="E703" s="403">
        <f t="shared" si="20"/>
        <v>30</v>
      </c>
      <c r="F703" s="433" t="str">
        <f>F702</f>
        <v>Is there documented evidence that an appropriate and defensible deposition modelling methodology/assessment tool was utilised, to achieve the objective of the deposition model being appropriately detailed and sophisticated for the context of the facility?</v>
      </c>
      <c r="G703" s="388" t="s">
        <v>1194</v>
      </c>
      <c r="H703" s="390">
        <v>3</v>
      </c>
      <c r="I703" s="390">
        <v>3</v>
      </c>
      <c r="J703" s="390"/>
      <c r="K703" s="398">
        <f>_xlfn.IFNA(VLOOKUP(A703,numbering!$K$3:$L$92,2,0),0)</f>
        <v>0</v>
      </c>
    </row>
    <row r="704" spans="1:11" ht="56" hidden="1" x14ac:dyDescent="0.2">
      <c r="A704" s="390">
        <v>213</v>
      </c>
      <c r="B704" s="390" t="s">
        <v>253</v>
      </c>
      <c r="C704" s="390">
        <f>VLOOKUP(B704,numbering!$N$18:$O$30,2,0)</f>
        <v>4</v>
      </c>
      <c r="D704" s="390" t="s">
        <v>342</v>
      </c>
      <c r="E704" s="403">
        <f t="shared" si="20"/>
        <v>30</v>
      </c>
      <c r="F704" s="433" t="str">
        <f>F703</f>
        <v>Is there documented evidence that an appropriate and defensible deposition modelling methodology/assessment tool was utilised, to achieve the objective of the deposition model being appropriately detailed and sophisticated for the context of the facility?</v>
      </c>
      <c r="G704" s="388" t="s">
        <v>1195</v>
      </c>
      <c r="H704" s="390">
        <v>4</v>
      </c>
      <c r="I704" s="390">
        <v>4</v>
      </c>
      <c r="J704" s="390"/>
      <c r="K704" s="398">
        <f>_xlfn.IFNA(VLOOKUP(A704,numbering!$K$3:$L$92,2,0),0)</f>
        <v>0</v>
      </c>
    </row>
    <row r="705" spans="1:11" ht="42" hidden="1" x14ac:dyDescent="0.2">
      <c r="A705" s="390">
        <v>214</v>
      </c>
      <c r="B705" s="390" t="s">
        <v>253</v>
      </c>
      <c r="C705" s="390">
        <f>VLOOKUP(B705,numbering!$N$18:$O$30,2,0)</f>
        <v>4</v>
      </c>
      <c r="D705" s="390" t="s">
        <v>342</v>
      </c>
      <c r="E705" s="403">
        <f t="shared" si="20"/>
        <v>30</v>
      </c>
      <c r="F705" s="433" t="s">
        <v>345</v>
      </c>
      <c r="G705" s="388" t="s">
        <v>1192</v>
      </c>
      <c r="H705" s="390">
        <v>1</v>
      </c>
      <c r="I705" s="390">
        <v>1</v>
      </c>
      <c r="J705" s="390"/>
      <c r="K705" s="398">
        <f>_xlfn.IFNA(VLOOKUP(A705,numbering!$K$3:$L$92,2,0),0)</f>
        <v>0</v>
      </c>
    </row>
    <row r="706" spans="1:11" ht="42" hidden="1" x14ac:dyDescent="0.2">
      <c r="A706" s="390">
        <v>214</v>
      </c>
      <c r="B706" s="390" t="s">
        <v>253</v>
      </c>
      <c r="C706" s="390">
        <f>VLOOKUP(B706,numbering!$N$18:$O$30,2,0)</f>
        <v>4</v>
      </c>
      <c r="D706" s="390" t="s">
        <v>342</v>
      </c>
      <c r="E706" s="403">
        <f t="shared" si="20"/>
        <v>30</v>
      </c>
      <c r="F706" s="433" t="str">
        <f>F705</f>
        <v>Is there documented evidence that appropriate survey data used in the deposition model to achieve the objective of the model being based on as-accurate as practicable conditions?</v>
      </c>
      <c r="G706" s="388" t="s">
        <v>1193</v>
      </c>
      <c r="H706" s="390">
        <v>2</v>
      </c>
      <c r="I706" s="390">
        <v>2</v>
      </c>
      <c r="J706" s="390"/>
      <c r="K706" s="398">
        <f>_xlfn.IFNA(VLOOKUP(A706,numbering!$K$3:$L$92,2,0),0)</f>
        <v>0</v>
      </c>
    </row>
    <row r="707" spans="1:11" ht="42" hidden="1" x14ac:dyDescent="0.2">
      <c r="A707" s="390">
        <v>214</v>
      </c>
      <c r="B707" s="390" t="s">
        <v>253</v>
      </c>
      <c r="C707" s="390">
        <f>VLOOKUP(B707,numbering!$N$18:$O$30,2,0)</f>
        <v>4</v>
      </c>
      <c r="D707" s="390" t="s">
        <v>342</v>
      </c>
      <c r="E707" s="403">
        <f t="shared" si="20"/>
        <v>30</v>
      </c>
      <c r="F707" s="433" t="str">
        <f>F706</f>
        <v>Is there documented evidence that appropriate survey data used in the deposition model to achieve the objective of the model being based on as-accurate as practicable conditions?</v>
      </c>
      <c r="G707" s="388" t="s">
        <v>1194</v>
      </c>
      <c r="H707" s="390">
        <v>3</v>
      </c>
      <c r="I707" s="390">
        <v>3</v>
      </c>
      <c r="J707" s="390"/>
      <c r="K707" s="398">
        <f>_xlfn.IFNA(VLOOKUP(A707,numbering!$K$3:$L$92,2,0),0)</f>
        <v>0</v>
      </c>
    </row>
    <row r="708" spans="1:11" ht="42" hidden="1" x14ac:dyDescent="0.2">
      <c r="A708" s="390">
        <v>214</v>
      </c>
      <c r="B708" s="390" t="s">
        <v>253</v>
      </c>
      <c r="C708" s="390">
        <f>VLOOKUP(B708,numbering!$N$18:$O$30,2,0)</f>
        <v>4</v>
      </c>
      <c r="D708" s="390" t="s">
        <v>342</v>
      </c>
      <c r="E708" s="403">
        <f t="shared" si="20"/>
        <v>30</v>
      </c>
      <c r="F708" s="433" t="str">
        <f>F707</f>
        <v>Is there documented evidence that appropriate survey data used in the deposition model to achieve the objective of the model being based on as-accurate as practicable conditions?</v>
      </c>
      <c r="G708" s="388" t="s">
        <v>1195</v>
      </c>
      <c r="H708" s="390">
        <v>4</v>
      </c>
      <c r="I708" s="390">
        <v>4</v>
      </c>
      <c r="J708" s="390"/>
      <c r="K708" s="398">
        <f>_xlfn.IFNA(VLOOKUP(A708,numbering!$K$3:$L$92,2,0),0)</f>
        <v>0</v>
      </c>
    </row>
    <row r="709" spans="1:11" ht="42" hidden="1" x14ac:dyDescent="0.2">
      <c r="A709" s="390">
        <v>215</v>
      </c>
      <c r="B709" s="390" t="s">
        <v>253</v>
      </c>
      <c r="C709" s="390">
        <f>VLOOKUP(B709,numbering!$N$18:$O$30,2,0)</f>
        <v>4</v>
      </c>
      <c r="D709" s="390" t="s">
        <v>342</v>
      </c>
      <c r="E709" s="403">
        <f t="shared" si="20"/>
        <v>30</v>
      </c>
      <c r="F709" s="433" t="s">
        <v>346</v>
      </c>
      <c r="G709" s="388" t="s">
        <v>1192</v>
      </c>
      <c r="H709" s="390">
        <v>1</v>
      </c>
      <c r="I709" s="390">
        <v>1</v>
      </c>
      <c r="J709" s="390"/>
      <c r="K709" s="398">
        <f>_xlfn.IFNA(VLOOKUP(A709,numbering!$K$3:$L$92,2,0),0)</f>
        <v>0</v>
      </c>
    </row>
    <row r="710" spans="1:11" ht="42" hidden="1" x14ac:dyDescent="0.2">
      <c r="A710" s="390">
        <v>215</v>
      </c>
      <c r="B710" s="390" t="s">
        <v>253</v>
      </c>
      <c r="C710" s="390">
        <f>VLOOKUP(B710,numbering!$N$18:$O$30,2,0)</f>
        <v>4</v>
      </c>
      <c r="D710" s="390" t="s">
        <v>342</v>
      </c>
      <c r="E710" s="403">
        <f t="shared" si="20"/>
        <v>30</v>
      </c>
      <c r="F710" s="433" t="str">
        <f>F709</f>
        <v>Is there documented evidence that an appropriate digital terrain model was developed for the model to achieve the objective of the model capturing onsite conditions as accurately as practicable?</v>
      </c>
      <c r="G710" s="388" t="s">
        <v>1193</v>
      </c>
      <c r="H710" s="390">
        <v>2</v>
      </c>
      <c r="I710" s="390">
        <v>2</v>
      </c>
      <c r="J710" s="390"/>
      <c r="K710" s="398">
        <f>_xlfn.IFNA(VLOOKUP(A710,numbering!$K$3:$L$92,2,0),0)</f>
        <v>0</v>
      </c>
    </row>
    <row r="711" spans="1:11" ht="42" hidden="1" x14ac:dyDescent="0.2">
      <c r="A711" s="390">
        <v>215</v>
      </c>
      <c r="B711" s="390" t="s">
        <v>253</v>
      </c>
      <c r="C711" s="390">
        <f>VLOOKUP(B711,numbering!$N$18:$O$30,2,0)</f>
        <v>4</v>
      </c>
      <c r="D711" s="390" t="s">
        <v>342</v>
      </c>
      <c r="E711" s="403">
        <f t="shared" si="20"/>
        <v>30</v>
      </c>
      <c r="F711" s="433" t="str">
        <f>F710</f>
        <v>Is there documented evidence that an appropriate digital terrain model was developed for the model to achieve the objective of the model capturing onsite conditions as accurately as practicable?</v>
      </c>
      <c r="G711" s="388" t="s">
        <v>1194</v>
      </c>
      <c r="H711" s="390">
        <v>3</v>
      </c>
      <c r="I711" s="390">
        <v>3</v>
      </c>
      <c r="J711" s="390"/>
      <c r="K711" s="398">
        <f>_xlfn.IFNA(VLOOKUP(A711,numbering!$K$3:$L$92,2,0),0)</f>
        <v>0</v>
      </c>
    </row>
    <row r="712" spans="1:11" ht="42" hidden="1" x14ac:dyDescent="0.2">
      <c r="A712" s="390">
        <v>215</v>
      </c>
      <c r="B712" s="390" t="s">
        <v>253</v>
      </c>
      <c r="C712" s="390">
        <f>VLOOKUP(B712,numbering!$N$18:$O$30,2,0)</f>
        <v>4</v>
      </c>
      <c r="D712" s="390" t="s">
        <v>342</v>
      </c>
      <c r="E712" s="403">
        <f t="shared" si="20"/>
        <v>30</v>
      </c>
      <c r="F712" s="433" t="str">
        <f>F711</f>
        <v>Is there documented evidence that an appropriate digital terrain model was developed for the model to achieve the objective of the model capturing onsite conditions as accurately as practicable?</v>
      </c>
      <c r="G712" s="388" t="s">
        <v>1195</v>
      </c>
      <c r="H712" s="390">
        <v>4</v>
      </c>
      <c r="I712" s="390">
        <v>4</v>
      </c>
      <c r="J712" s="390"/>
      <c r="K712" s="398">
        <f>_xlfn.IFNA(VLOOKUP(A712,numbering!$K$3:$L$92,2,0),0)</f>
        <v>0</v>
      </c>
    </row>
    <row r="713" spans="1:11" ht="42" hidden="1" x14ac:dyDescent="0.2">
      <c r="A713" s="390">
        <v>216</v>
      </c>
      <c r="B713" s="390" t="s">
        <v>253</v>
      </c>
      <c r="C713" s="390">
        <f>VLOOKUP(B713,numbering!$N$18:$O$30,2,0)</f>
        <v>4</v>
      </c>
      <c r="D713" s="390" t="s">
        <v>342</v>
      </c>
      <c r="E713" s="403">
        <f t="shared" si="20"/>
        <v>30</v>
      </c>
      <c r="F713" s="433" t="s">
        <v>347</v>
      </c>
      <c r="G713" s="388" t="s">
        <v>1192</v>
      </c>
      <c r="H713" s="390">
        <v>1</v>
      </c>
      <c r="I713" s="390">
        <v>1</v>
      </c>
      <c r="J713" s="390"/>
      <c r="K713" s="398">
        <f>_xlfn.IFNA(VLOOKUP(A713,numbering!$K$3:$L$92,2,0),0)</f>
        <v>0</v>
      </c>
    </row>
    <row r="714" spans="1:11" ht="42" hidden="1" x14ac:dyDescent="0.2">
      <c r="A714" s="390">
        <v>216</v>
      </c>
      <c r="B714" s="390" t="s">
        <v>253</v>
      </c>
      <c r="C714" s="390">
        <f>VLOOKUP(B714,numbering!$N$18:$O$30,2,0)</f>
        <v>4</v>
      </c>
      <c r="D714" s="390" t="s">
        <v>342</v>
      </c>
      <c r="E714" s="403">
        <f t="shared" si="20"/>
        <v>30</v>
      </c>
      <c r="F714" s="433" t="str">
        <f>F713</f>
        <v>Is there documented evidence that structures and deposition points were correctly to achieve the objective of the deposition model correctly incorporating actual/designed/planned features of the facility?</v>
      </c>
      <c r="G714" s="388" t="s">
        <v>1193</v>
      </c>
      <c r="H714" s="390">
        <v>2</v>
      </c>
      <c r="I714" s="390">
        <v>2</v>
      </c>
      <c r="J714" s="390"/>
      <c r="K714" s="398">
        <f>_xlfn.IFNA(VLOOKUP(A714,numbering!$K$3:$L$92,2,0),0)</f>
        <v>0</v>
      </c>
    </row>
    <row r="715" spans="1:11" ht="42" hidden="1" x14ac:dyDescent="0.2">
      <c r="A715" s="390">
        <v>216</v>
      </c>
      <c r="B715" s="390" t="s">
        <v>253</v>
      </c>
      <c r="C715" s="390">
        <f>VLOOKUP(B715,numbering!$N$18:$O$30,2,0)</f>
        <v>4</v>
      </c>
      <c r="D715" s="390" t="s">
        <v>342</v>
      </c>
      <c r="E715" s="403">
        <f t="shared" si="20"/>
        <v>30</v>
      </c>
      <c r="F715" s="433" t="str">
        <f>F714</f>
        <v>Is there documented evidence that structures and deposition points were correctly to achieve the objective of the deposition model correctly incorporating actual/designed/planned features of the facility?</v>
      </c>
      <c r="G715" s="388" t="s">
        <v>1194</v>
      </c>
      <c r="H715" s="390">
        <v>3</v>
      </c>
      <c r="I715" s="390">
        <v>3</v>
      </c>
      <c r="J715" s="390"/>
      <c r="K715" s="398">
        <f>_xlfn.IFNA(VLOOKUP(A715,numbering!$K$3:$L$92,2,0),0)</f>
        <v>0</v>
      </c>
    </row>
    <row r="716" spans="1:11" ht="42" hidden="1" x14ac:dyDescent="0.2">
      <c r="A716" s="390">
        <v>216</v>
      </c>
      <c r="B716" s="390" t="s">
        <v>253</v>
      </c>
      <c r="C716" s="390">
        <f>VLOOKUP(B716,numbering!$N$18:$O$30,2,0)</f>
        <v>4</v>
      </c>
      <c r="D716" s="390" t="s">
        <v>342</v>
      </c>
      <c r="E716" s="403">
        <f t="shared" si="20"/>
        <v>30</v>
      </c>
      <c r="F716" s="433" t="str">
        <f>F715</f>
        <v>Is there documented evidence that structures and deposition points were correctly to achieve the objective of the deposition model correctly incorporating actual/designed/planned features of the facility?</v>
      </c>
      <c r="G716" s="388" t="s">
        <v>1195</v>
      </c>
      <c r="H716" s="390">
        <v>4</v>
      </c>
      <c r="I716" s="390">
        <v>4</v>
      </c>
      <c r="J716" s="390"/>
      <c r="K716" s="398">
        <f>_xlfn.IFNA(VLOOKUP(A716,numbering!$K$3:$L$92,2,0),0)</f>
        <v>0</v>
      </c>
    </row>
    <row r="717" spans="1:11" ht="56" hidden="1" x14ac:dyDescent="0.2">
      <c r="A717" s="390">
        <v>217</v>
      </c>
      <c r="B717" s="390" t="s">
        <v>253</v>
      </c>
      <c r="C717" s="390">
        <f>VLOOKUP(B717,numbering!$N$18:$O$30,2,0)</f>
        <v>4</v>
      </c>
      <c r="D717" s="390" t="s">
        <v>342</v>
      </c>
      <c r="E717" s="403">
        <f t="shared" si="20"/>
        <v>30</v>
      </c>
      <c r="F717" s="433" t="s">
        <v>348</v>
      </c>
      <c r="G717" s="388" t="s">
        <v>1192</v>
      </c>
      <c r="H717" s="390">
        <v>1</v>
      </c>
      <c r="I717" s="390">
        <v>1</v>
      </c>
      <c r="J717" s="390"/>
      <c r="K717" s="398">
        <f>_xlfn.IFNA(VLOOKUP(A717,numbering!$K$3:$L$92,2,0),0)</f>
        <v>0</v>
      </c>
    </row>
    <row r="718" spans="1:11" ht="56" hidden="1" x14ac:dyDescent="0.2">
      <c r="A718" s="390">
        <v>217</v>
      </c>
      <c r="B718" s="390" t="s">
        <v>253</v>
      </c>
      <c r="C718" s="390">
        <f>VLOOKUP(B718,numbering!$N$18:$O$30,2,0)</f>
        <v>4</v>
      </c>
      <c r="D718" s="390" t="s">
        <v>342</v>
      </c>
      <c r="E718" s="403">
        <f t="shared" si="20"/>
        <v>30</v>
      </c>
      <c r="F718" s="433" t="str">
        <f>F717</f>
        <v>Is there documented evidence that the tailings and water throughputs utilised in the deposition model were based on forecasted production throughputs, to achieve the objective of the model being as accurate and reliable as practicable?</v>
      </c>
      <c r="G718" s="388" t="s">
        <v>1193</v>
      </c>
      <c r="H718" s="390">
        <v>2</v>
      </c>
      <c r="I718" s="390">
        <v>2</v>
      </c>
      <c r="J718" s="390"/>
      <c r="K718" s="398">
        <f>_xlfn.IFNA(VLOOKUP(A718,numbering!$K$3:$L$92,2,0),0)</f>
        <v>0</v>
      </c>
    </row>
    <row r="719" spans="1:11" ht="56" hidden="1" x14ac:dyDescent="0.2">
      <c r="A719" s="390">
        <v>217</v>
      </c>
      <c r="B719" s="390" t="s">
        <v>253</v>
      </c>
      <c r="C719" s="390">
        <f>VLOOKUP(B719,numbering!$N$18:$O$30,2,0)</f>
        <v>4</v>
      </c>
      <c r="D719" s="390" t="s">
        <v>342</v>
      </c>
      <c r="E719" s="403">
        <f t="shared" si="20"/>
        <v>30</v>
      </c>
      <c r="F719" s="433" t="str">
        <f>F718</f>
        <v>Is there documented evidence that the tailings and water throughputs utilised in the deposition model were based on forecasted production throughputs, to achieve the objective of the model being as accurate and reliable as practicable?</v>
      </c>
      <c r="G719" s="388" t="s">
        <v>1194</v>
      </c>
      <c r="H719" s="390">
        <v>3</v>
      </c>
      <c r="I719" s="390">
        <v>3</v>
      </c>
      <c r="J719" s="390"/>
      <c r="K719" s="398">
        <f>_xlfn.IFNA(VLOOKUP(A719,numbering!$K$3:$L$92,2,0),0)</f>
        <v>0</v>
      </c>
    </row>
    <row r="720" spans="1:11" ht="56" hidden="1" x14ac:dyDescent="0.2">
      <c r="A720" s="390">
        <v>217</v>
      </c>
      <c r="B720" s="390" t="s">
        <v>253</v>
      </c>
      <c r="C720" s="390">
        <f>VLOOKUP(B720,numbering!$N$18:$O$30,2,0)</f>
        <v>4</v>
      </c>
      <c r="D720" s="390" t="s">
        <v>342</v>
      </c>
      <c r="E720" s="403">
        <f t="shared" si="20"/>
        <v>30</v>
      </c>
      <c r="F720" s="433" t="str">
        <f>F719</f>
        <v>Is there documented evidence that the tailings and water throughputs utilised in the deposition model were based on forecasted production throughputs, to achieve the objective of the model being as accurate and reliable as practicable?</v>
      </c>
      <c r="G720" s="388" t="s">
        <v>1195</v>
      </c>
      <c r="H720" s="390">
        <v>4</v>
      </c>
      <c r="I720" s="390">
        <v>4</v>
      </c>
      <c r="J720" s="390"/>
      <c r="K720" s="398">
        <f>_xlfn.IFNA(VLOOKUP(A720,numbering!$K$3:$L$92,2,0),0)</f>
        <v>0</v>
      </c>
    </row>
    <row r="721" spans="1:11" ht="56" hidden="1" x14ac:dyDescent="0.2">
      <c r="A721" s="390">
        <v>218</v>
      </c>
      <c r="B721" s="390" t="s">
        <v>253</v>
      </c>
      <c r="C721" s="390">
        <f>VLOOKUP(B721,numbering!$N$18:$O$30,2,0)</f>
        <v>4</v>
      </c>
      <c r="D721" s="390" t="s">
        <v>342</v>
      </c>
      <c r="E721" s="403">
        <f t="shared" si="20"/>
        <v>30</v>
      </c>
      <c r="F721" s="433" t="s">
        <v>349</v>
      </c>
      <c r="G721" s="388" t="s">
        <v>1192</v>
      </c>
      <c r="H721" s="390">
        <v>1</v>
      </c>
      <c r="I721" s="390">
        <v>1</v>
      </c>
      <c r="J721" s="390"/>
      <c r="K721" s="398">
        <f>_xlfn.IFNA(VLOOKUP(A721,numbering!$K$3:$L$92,2,0),0)</f>
        <v>0</v>
      </c>
    </row>
    <row r="722" spans="1:11" ht="56" hidden="1" x14ac:dyDescent="0.2">
      <c r="A722" s="390">
        <v>218</v>
      </c>
      <c r="B722" s="390" t="s">
        <v>253</v>
      </c>
      <c r="C722" s="390">
        <f>VLOOKUP(B722,numbering!$N$18:$O$30,2,0)</f>
        <v>4</v>
      </c>
      <c r="D722" s="390" t="s">
        <v>342</v>
      </c>
      <c r="E722" s="403">
        <f t="shared" si="20"/>
        <v>30</v>
      </c>
      <c r="F722" s="433" t="str">
        <f>F721</f>
        <v>Is there documented evidence that the tailings density/densities utilised were based on objectively measured data and/or reasonings provided for adopted values to achieve the objective of the model being as accurate and reliable as practicable?</v>
      </c>
      <c r="G722" s="388" t="s">
        <v>1193</v>
      </c>
      <c r="H722" s="390">
        <v>2</v>
      </c>
      <c r="I722" s="390">
        <v>2</v>
      </c>
      <c r="J722" s="390"/>
      <c r="K722" s="398">
        <f>_xlfn.IFNA(VLOOKUP(A722,numbering!$K$3:$L$92,2,0),0)</f>
        <v>0</v>
      </c>
    </row>
    <row r="723" spans="1:11" ht="56" hidden="1" x14ac:dyDescent="0.2">
      <c r="A723" s="390">
        <v>218</v>
      </c>
      <c r="B723" s="390" t="s">
        <v>253</v>
      </c>
      <c r="C723" s="390">
        <f>VLOOKUP(B723,numbering!$N$18:$O$30,2,0)</f>
        <v>4</v>
      </c>
      <c r="D723" s="390" t="s">
        <v>342</v>
      </c>
      <c r="E723" s="403">
        <f t="shared" si="20"/>
        <v>30</v>
      </c>
      <c r="F723" s="433" t="str">
        <f>F722</f>
        <v>Is there documented evidence that the tailings density/densities utilised were based on objectively measured data and/or reasonings provided for adopted values to achieve the objective of the model being as accurate and reliable as practicable?</v>
      </c>
      <c r="G723" s="388" t="s">
        <v>1194</v>
      </c>
      <c r="H723" s="390">
        <v>3</v>
      </c>
      <c r="I723" s="390">
        <v>3</v>
      </c>
      <c r="J723" s="390"/>
      <c r="K723" s="398">
        <f>_xlfn.IFNA(VLOOKUP(A723,numbering!$K$3:$L$92,2,0),0)</f>
        <v>0</v>
      </c>
    </row>
    <row r="724" spans="1:11" ht="56" hidden="1" x14ac:dyDescent="0.2">
      <c r="A724" s="390">
        <v>218</v>
      </c>
      <c r="B724" s="390" t="s">
        <v>253</v>
      </c>
      <c r="C724" s="390">
        <f>VLOOKUP(B724,numbering!$N$18:$O$30,2,0)</f>
        <v>4</v>
      </c>
      <c r="D724" s="390" t="s">
        <v>342</v>
      </c>
      <c r="E724" s="403">
        <f t="shared" si="20"/>
        <v>30</v>
      </c>
      <c r="F724" s="433" t="str">
        <f>F723</f>
        <v>Is there documented evidence that the tailings density/densities utilised were based on objectively measured data and/or reasonings provided for adopted values to achieve the objective of the model being as accurate and reliable as practicable?</v>
      </c>
      <c r="G724" s="388" t="s">
        <v>1195</v>
      </c>
      <c r="H724" s="390">
        <v>4</v>
      </c>
      <c r="I724" s="390">
        <v>4</v>
      </c>
      <c r="J724" s="390"/>
      <c r="K724" s="398">
        <f>_xlfn.IFNA(VLOOKUP(A724,numbering!$K$3:$L$92,2,0),0)</f>
        <v>0</v>
      </c>
    </row>
    <row r="725" spans="1:11" ht="56" hidden="1" x14ac:dyDescent="0.2">
      <c r="A725" s="390">
        <v>219</v>
      </c>
      <c r="B725" s="390" t="s">
        <v>253</v>
      </c>
      <c r="C725" s="390">
        <f>VLOOKUP(B725,numbering!$N$18:$O$30,2,0)</f>
        <v>4</v>
      </c>
      <c r="D725" s="390" t="s">
        <v>342</v>
      </c>
      <c r="E725" s="403">
        <f t="shared" si="20"/>
        <v>30</v>
      </c>
      <c r="F725" s="433" t="s">
        <v>350</v>
      </c>
      <c r="G725" s="388" t="s">
        <v>1192</v>
      </c>
      <c r="H725" s="390">
        <v>1</v>
      </c>
      <c r="I725" s="390">
        <v>1</v>
      </c>
      <c r="J725" s="390"/>
      <c r="K725" s="398">
        <f>_xlfn.IFNA(VLOOKUP(A725,numbering!$K$3:$L$92,2,0),0)</f>
        <v>0</v>
      </c>
    </row>
    <row r="726" spans="1:11" ht="56" hidden="1" x14ac:dyDescent="0.2">
      <c r="A726" s="390">
        <v>219</v>
      </c>
      <c r="B726" s="390" t="s">
        <v>253</v>
      </c>
      <c r="C726" s="390">
        <f>VLOOKUP(B726,numbering!$N$18:$O$30,2,0)</f>
        <v>4</v>
      </c>
      <c r="D726" s="390" t="s">
        <v>342</v>
      </c>
      <c r="E726" s="403">
        <f t="shared" si="20"/>
        <v>30</v>
      </c>
      <c r="F726" s="433" t="str">
        <f>F725</f>
        <v>Is there documented evidence that appropriate deposition staging (e.g. deposition from specific spigots over time) was adopted in the model to achieve the objective that the model reflects how the facility will actually be operated?</v>
      </c>
      <c r="G726" s="388" t="s">
        <v>1193</v>
      </c>
      <c r="H726" s="390">
        <v>2</v>
      </c>
      <c r="I726" s="390">
        <v>2</v>
      </c>
      <c r="J726" s="390"/>
      <c r="K726" s="398">
        <f>_xlfn.IFNA(VLOOKUP(A726,numbering!$K$3:$L$92,2,0),0)</f>
        <v>0</v>
      </c>
    </row>
    <row r="727" spans="1:11" ht="56" hidden="1" x14ac:dyDescent="0.2">
      <c r="A727" s="390">
        <v>219</v>
      </c>
      <c r="B727" s="390" t="s">
        <v>253</v>
      </c>
      <c r="C727" s="390">
        <f>VLOOKUP(B727,numbering!$N$18:$O$30,2,0)</f>
        <v>4</v>
      </c>
      <c r="D727" s="390" t="s">
        <v>342</v>
      </c>
      <c r="E727" s="403">
        <f t="shared" si="20"/>
        <v>30</v>
      </c>
      <c r="F727" s="433" t="str">
        <f>F726</f>
        <v>Is there documented evidence that appropriate deposition staging (e.g. deposition from specific spigots over time) was adopted in the model to achieve the objective that the model reflects how the facility will actually be operated?</v>
      </c>
      <c r="G727" s="388" t="s">
        <v>1194</v>
      </c>
      <c r="H727" s="390">
        <v>3</v>
      </c>
      <c r="I727" s="390">
        <v>3</v>
      </c>
      <c r="J727" s="390"/>
      <c r="K727" s="398">
        <f>_xlfn.IFNA(VLOOKUP(A727,numbering!$K$3:$L$92,2,0),0)</f>
        <v>0</v>
      </c>
    </row>
    <row r="728" spans="1:11" ht="56" hidden="1" x14ac:dyDescent="0.2">
      <c r="A728" s="390">
        <v>219</v>
      </c>
      <c r="B728" s="390" t="s">
        <v>253</v>
      </c>
      <c r="C728" s="390">
        <f>VLOOKUP(B728,numbering!$N$18:$O$30,2,0)</f>
        <v>4</v>
      </c>
      <c r="D728" s="390" t="s">
        <v>342</v>
      </c>
      <c r="E728" s="403">
        <f t="shared" si="20"/>
        <v>30</v>
      </c>
      <c r="F728" s="433" t="str">
        <f>F727</f>
        <v>Is there documented evidence that appropriate deposition staging (e.g. deposition from specific spigots over time) was adopted in the model to achieve the objective that the model reflects how the facility will actually be operated?</v>
      </c>
      <c r="G728" s="388" t="s">
        <v>1195</v>
      </c>
      <c r="H728" s="390">
        <v>4</v>
      </c>
      <c r="I728" s="390">
        <v>4</v>
      </c>
      <c r="J728" s="390"/>
      <c r="K728" s="398">
        <f>_xlfn.IFNA(VLOOKUP(A728,numbering!$K$3:$L$92,2,0),0)</f>
        <v>0</v>
      </c>
    </row>
    <row r="729" spans="1:11" ht="42" hidden="1" x14ac:dyDescent="0.2">
      <c r="A729" s="390">
        <v>220</v>
      </c>
      <c r="B729" s="390" t="s">
        <v>253</v>
      </c>
      <c r="C729" s="390">
        <f>VLOOKUP(B729,numbering!$N$18:$O$30,2,0)</f>
        <v>4</v>
      </c>
      <c r="D729" s="390" t="s">
        <v>342</v>
      </c>
      <c r="E729" s="403">
        <f t="shared" si="20"/>
        <v>30</v>
      </c>
      <c r="F729" s="433" t="s">
        <v>351</v>
      </c>
      <c r="G729" s="388" t="s">
        <v>1192</v>
      </c>
      <c r="H729" s="390">
        <v>1</v>
      </c>
      <c r="I729" s="390">
        <v>1</v>
      </c>
      <c r="J729" s="390"/>
      <c r="K729" s="398">
        <f>_xlfn.IFNA(VLOOKUP(A729,numbering!$K$3:$L$92,2,0),0)</f>
        <v>0</v>
      </c>
    </row>
    <row r="730" spans="1:11" ht="42" hidden="1" x14ac:dyDescent="0.2">
      <c r="A730" s="390">
        <v>220</v>
      </c>
      <c r="B730" s="390" t="s">
        <v>253</v>
      </c>
      <c r="C730" s="390">
        <f>VLOOKUP(B730,numbering!$N$18:$O$30,2,0)</f>
        <v>4</v>
      </c>
      <c r="D730" s="390" t="s">
        <v>342</v>
      </c>
      <c r="E730" s="403">
        <f t="shared" si="20"/>
        <v>30</v>
      </c>
      <c r="F730" s="433" t="str">
        <f>F729</f>
        <v>Is there documented evidence that the time-steps/staging used in the model was appropriate to achieve the objective of the model being sufficiently granular to provide meaningful results?</v>
      </c>
      <c r="G730" s="388" t="s">
        <v>1193</v>
      </c>
      <c r="H730" s="390">
        <v>2</v>
      </c>
      <c r="I730" s="390">
        <v>2</v>
      </c>
      <c r="J730" s="390"/>
      <c r="K730" s="398">
        <f>_xlfn.IFNA(VLOOKUP(A730,numbering!$K$3:$L$92,2,0),0)</f>
        <v>0</v>
      </c>
    </row>
    <row r="731" spans="1:11" ht="42" hidden="1" x14ac:dyDescent="0.2">
      <c r="A731" s="390">
        <v>220</v>
      </c>
      <c r="B731" s="390" t="s">
        <v>253</v>
      </c>
      <c r="C731" s="390">
        <f>VLOOKUP(B731,numbering!$N$18:$O$30,2,0)</f>
        <v>4</v>
      </c>
      <c r="D731" s="390" t="s">
        <v>342</v>
      </c>
      <c r="E731" s="403">
        <f t="shared" si="20"/>
        <v>30</v>
      </c>
      <c r="F731" s="433" t="str">
        <f>F730</f>
        <v>Is there documented evidence that the time-steps/staging used in the model was appropriate to achieve the objective of the model being sufficiently granular to provide meaningful results?</v>
      </c>
      <c r="G731" s="388" t="s">
        <v>1194</v>
      </c>
      <c r="H731" s="390">
        <v>3</v>
      </c>
      <c r="I731" s="390">
        <v>3</v>
      </c>
      <c r="J731" s="390"/>
      <c r="K731" s="398">
        <f>_xlfn.IFNA(VLOOKUP(A731,numbering!$K$3:$L$92,2,0),0)</f>
        <v>0</v>
      </c>
    </row>
    <row r="732" spans="1:11" ht="42" hidden="1" x14ac:dyDescent="0.2">
      <c r="A732" s="390">
        <v>220</v>
      </c>
      <c r="B732" s="390" t="s">
        <v>253</v>
      </c>
      <c r="C732" s="390">
        <f>VLOOKUP(B732,numbering!$N$18:$O$30,2,0)</f>
        <v>4</v>
      </c>
      <c r="D732" s="390" t="s">
        <v>342</v>
      </c>
      <c r="E732" s="403">
        <f t="shared" si="20"/>
        <v>30</v>
      </c>
      <c r="F732" s="433" t="str">
        <f>F731</f>
        <v>Is there documented evidence that the time-steps/staging used in the model was appropriate to achieve the objective of the model being sufficiently granular to provide meaningful results?</v>
      </c>
      <c r="G732" s="388" t="s">
        <v>1195</v>
      </c>
      <c r="H732" s="390">
        <v>4</v>
      </c>
      <c r="I732" s="390">
        <v>4</v>
      </c>
      <c r="J732" s="390"/>
      <c r="K732" s="398">
        <f>_xlfn.IFNA(VLOOKUP(A732,numbering!$K$3:$L$92,2,0),0)</f>
        <v>0</v>
      </c>
    </row>
    <row r="733" spans="1:11" ht="28" hidden="1" x14ac:dyDescent="0.2">
      <c r="A733" s="390">
        <v>221</v>
      </c>
      <c r="B733" s="390" t="s">
        <v>253</v>
      </c>
      <c r="C733" s="390">
        <f>VLOOKUP(B733,numbering!$N$18:$O$30,2,0)</f>
        <v>4</v>
      </c>
      <c r="D733" s="390" t="s">
        <v>342</v>
      </c>
      <c r="E733" s="403">
        <f t="shared" si="20"/>
        <v>30</v>
      </c>
      <c r="F733" s="433" t="s">
        <v>352</v>
      </c>
      <c r="G733" s="388" t="s">
        <v>1192</v>
      </c>
      <c r="H733" s="390">
        <v>1</v>
      </c>
      <c r="I733" s="390">
        <v>1</v>
      </c>
      <c r="J733" s="390"/>
      <c r="K733" s="398">
        <f>_xlfn.IFNA(VLOOKUP(A733,numbering!$K$3:$L$92,2,0),0)</f>
        <v>0</v>
      </c>
    </row>
    <row r="734" spans="1:11" ht="32" hidden="1" x14ac:dyDescent="0.2">
      <c r="A734" s="390">
        <v>221</v>
      </c>
      <c r="B734" s="390" t="s">
        <v>253</v>
      </c>
      <c r="C734" s="390">
        <f>VLOOKUP(B734,numbering!$N$18:$O$30,2,0)</f>
        <v>4</v>
      </c>
      <c r="D734" s="390" t="s">
        <v>342</v>
      </c>
      <c r="E734" s="403">
        <f t="shared" si="20"/>
        <v>30</v>
      </c>
      <c r="F734" s="433" t="str">
        <f>F733</f>
        <v>Is there documented evidence that the results of the deposition model were used to inform the water return/water management for the facility?</v>
      </c>
      <c r="G734" s="388" t="s">
        <v>1193</v>
      </c>
      <c r="H734" s="390">
        <v>2</v>
      </c>
      <c r="I734" s="390">
        <v>2</v>
      </c>
      <c r="J734" s="390"/>
      <c r="K734" s="398">
        <f>_xlfn.IFNA(VLOOKUP(A734,numbering!$K$3:$L$92,2,0),0)</f>
        <v>0</v>
      </c>
    </row>
    <row r="735" spans="1:11" ht="32" hidden="1" x14ac:dyDescent="0.2">
      <c r="A735" s="390">
        <v>221</v>
      </c>
      <c r="B735" s="390" t="s">
        <v>253</v>
      </c>
      <c r="C735" s="390">
        <f>VLOOKUP(B735,numbering!$N$18:$O$30,2,0)</f>
        <v>4</v>
      </c>
      <c r="D735" s="390" t="s">
        <v>342</v>
      </c>
      <c r="E735" s="403">
        <f t="shared" si="20"/>
        <v>30</v>
      </c>
      <c r="F735" s="433" t="str">
        <f>F734</f>
        <v>Is there documented evidence that the results of the deposition model were used to inform the water return/water management for the facility?</v>
      </c>
      <c r="G735" s="388" t="s">
        <v>1194</v>
      </c>
      <c r="H735" s="390">
        <v>3</v>
      </c>
      <c r="I735" s="390">
        <v>3</v>
      </c>
      <c r="J735" s="390"/>
      <c r="K735" s="398">
        <f>_xlfn.IFNA(VLOOKUP(A735,numbering!$K$3:$L$92,2,0),0)</f>
        <v>0</v>
      </c>
    </row>
    <row r="736" spans="1:11" ht="28" hidden="1" x14ac:dyDescent="0.2">
      <c r="A736" s="390">
        <v>221</v>
      </c>
      <c r="B736" s="390" t="s">
        <v>253</v>
      </c>
      <c r="C736" s="390">
        <f>VLOOKUP(B736,numbering!$N$18:$O$30,2,0)</f>
        <v>4</v>
      </c>
      <c r="D736" s="390" t="s">
        <v>342</v>
      </c>
      <c r="E736" s="403">
        <f t="shared" si="20"/>
        <v>30</v>
      </c>
      <c r="F736" s="433" t="str">
        <f>F735</f>
        <v>Is there documented evidence that the results of the deposition model were used to inform the water return/water management for the facility?</v>
      </c>
      <c r="G736" s="388" t="s">
        <v>1195</v>
      </c>
      <c r="H736" s="390">
        <v>4</v>
      </c>
      <c r="I736" s="390">
        <v>4</v>
      </c>
      <c r="J736" s="390"/>
      <c r="K736" s="398">
        <f>_xlfn.IFNA(VLOOKUP(A736,numbering!$K$3:$L$92,2,0),0)</f>
        <v>0</v>
      </c>
    </row>
    <row r="737" spans="1:11" ht="42" hidden="1" x14ac:dyDescent="0.2">
      <c r="A737" s="390">
        <v>222</v>
      </c>
      <c r="B737" s="390" t="s">
        <v>253</v>
      </c>
      <c r="C737" s="390">
        <f>VLOOKUP(B737,numbering!$N$18:$O$30,2,0)</f>
        <v>4</v>
      </c>
      <c r="D737" s="390" t="s">
        <v>342</v>
      </c>
      <c r="E737" s="403">
        <f t="shared" si="20"/>
        <v>30</v>
      </c>
      <c r="F737" s="433" t="s">
        <v>353</v>
      </c>
      <c r="G737" s="388" t="s">
        <v>1192</v>
      </c>
      <c r="H737" s="390">
        <v>1</v>
      </c>
      <c r="I737" s="390">
        <v>1</v>
      </c>
      <c r="J737" s="390"/>
      <c r="K737" s="398">
        <f>_xlfn.IFNA(VLOOKUP(A737,numbering!$K$3:$L$92,2,0),0)</f>
        <v>0</v>
      </c>
    </row>
    <row r="738" spans="1:11" ht="42" hidden="1" x14ac:dyDescent="0.2">
      <c r="A738" s="390">
        <v>222</v>
      </c>
      <c r="B738" s="390" t="s">
        <v>253</v>
      </c>
      <c r="C738" s="390">
        <f>VLOOKUP(B738,numbering!$N$18:$O$30,2,0)</f>
        <v>4</v>
      </c>
      <c r="D738" s="390" t="s">
        <v>342</v>
      </c>
      <c r="E738" s="403">
        <f t="shared" si="20"/>
        <v>30</v>
      </c>
      <c r="F738" s="433" t="str">
        <f>F737</f>
        <v>Is there documented evidence that the results of the deposition model were used to inform the management of inflows from rare and extreme rainfall  events?</v>
      </c>
      <c r="G738" s="388" t="s">
        <v>1193</v>
      </c>
      <c r="H738" s="390">
        <v>2</v>
      </c>
      <c r="I738" s="390">
        <v>2</v>
      </c>
      <c r="J738" s="390"/>
      <c r="K738" s="398">
        <f>_xlfn.IFNA(VLOOKUP(A738,numbering!$K$3:$L$92,2,0),0)</f>
        <v>0</v>
      </c>
    </row>
    <row r="739" spans="1:11" ht="42" hidden="1" x14ac:dyDescent="0.2">
      <c r="A739" s="390">
        <v>222</v>
      </c>
      <c r="B739" s="390" t="s">
        <v>253</v>
      </c>
      <c r="C739" s="390">
        <f>VLOOKUP(B739,numbering!$N$18:$O$30,2,0)</f>
        <v>4</v>
      </c>
      <c r="D739" s="390" t="s">
        <v>342</v>
      </c>
      <c r="E739" s="403">
        <f t="shared" si="20"/>
        <v>30</v>
      </c>
      <c r="F739" s="433" t="str">
        <f>F738</f>
        <v>Is there documented evidence that the results of the deposition model were used to inform the management of inflows from rare and extreme rainfall  events?</v>
      </c>
      <c r="G739" s="388" t="s">
        <v>1194</v>
      </c>
      <c r="H739" s="390">
        <v>3</v>
      </c>
      <c r="I739" s="390">
        <v>3</v>
      </c>
      <c r="J739" s="390"/>
      <c r="K739" s="398">
        <f>_xlfn.IFNA(VLOOKUP(A739,numbering!$K$3:$L$92,2,0),0)</f>
        <v>0</v>
      </c>
    </row>
    <row r="740" spans="1:11" ht="42" hidden="1" x14ac:dyDescent="0.2">
      <c r="A740" s="390">
        <v>222</v>
      </c>
      <c r="B740" s="390" t="s">
        <v>253</v>
      </c>
      <c r="C740" s="390">
        <f>VLOOKUP(B740,numbering!$N$18:$O$30,2,0)</f>
        <v>4</v>
      </c>
      <c r="D740" s="390" t="s">
        <v>342</v>
      </c>
      <c r="E740" s="403">
        <f t="shared" si="20"/>
        <v>30</v>
      </c>
      <c r="F740" s="433" t="str">
        <f>F739</f>
        <v>Is there documented evidence that the results of the deposition model were used to inform the management of inflows from rare and extreme rainfall  events?</v>
      </c>
      <c r="G740" s="388" t="s">
        <v>1195</v>
      </c>
      <c r="H740" s="390">
        <v>4</v>
      </c>
      <c r="I740" s="390">
        <v>4</v>
      </c>
      <c r="J740" s="390"/>
      <c r="K740" s="398">
        <f>_xlfn.IFNA(VLOOKUP(A740,numbering!$K$3:$L$92,2,0),0)</f>
        <v>0</v>
      </c>
    </row>
    <row r="741" spans="1:11" ht="56" hidden="1" x14ac:dyDescent="0.2">
      <c r="A741" s="390">
        <v>223</v>
      </c>
      <c r="B741" s="390" t="s">
        <v>253</v>
      </c>
      <c r="C741" s="390">
        <f>VLOOKUP(B741,numbering!$N$18:$O$30,2,0)</f>
        <v>4</v>
      </c>
      <c r="D741" s="390" t="s">
        <v>342</v>
      </c>
      <c r="E741" s="403">
        <f t="shared" si="20"/>
        <v>30</v>
      </c>
      <c r="F741" s="433" t="s">
        <v>354</v>
      </c>
      <c r="G741" s="388" t="s">
        <v>1192</v>
      </c>
      <c r="H741" s="390">
        <v>1</v>
      </c>
      <c r="I741" s="390">
        <v>1</v>
      </c>
      <c r="J741" s="390"/>
      <c r="K741" s="398">
        <f>_xlfn.IFNA(VLOOKUP(A741,numbering!$K$3:$L$92,2,0),0)</f>
        <v>0</v>
      </c>
    </row>
    <row r="742" spans="1:11" ht="56" hidden="1" x14ac:dyDescent="0.2">
      <c r="A742" s="390">
        <v>223</v>
      </c>
      <c r="B742" s="390" t="s">
        <v>253</v>
      </c>
      <c r="C742" s="390">
        <f>VLOOKUP(B742,numbering!$N$18:$O$30,2,0)</f>
        <v>4</v>
      </c>
      <c r="D742" s="390" t="s">
        <v>342</v>
      </c>
      <c r="E742" s="403">
        <f t="shared" si="20"/>
        <v>30</v>
      </c>
      <c r="F742" s="433" t="str">
        <f>F741</f>
        <v>Is there documented evidence that the deposition model results were used to provide a statement on the storage volume/time that the facility can provide to achieve the objective that the storage provided by the facility is understood?</v>
      </c>
      <c r="G742" s="388" t="s">
        <v>1193</v>
      </c>
      <c r="H742" s="390">
        <v>2</v>
      </c>
      <c r="I742" s="390">
        <v>2</v>
      </c>
      <c r="J742" s="390"/>
      <c r="K742" s="398">
        <f>_xlfn.IFNA(VLOOKUP(A742,numbering!$K$3:$L$92,2,0),0)</f>
        <v>0</v>
      </c>
    </row>
    <row r="743" spans="1:11" ht="56" hidden="1" x14ac:dyDescent="0.2">
      <c r="A743" s="390">
        <v>223</v>
      </c>
      <c r="B743" s="390" t="s">
        <v>253</v>
      </c>
      <c r="C743" s="390">
        <f>VLOOKUP(B743,numbering!$N$18:$O$30,2,0)</f>
        <v>4</v>
      </c>
      <c r="D743" s="390" t="s">
        <v>342</v>
      </c>
      <c r="E743" s="403">
        <f t="shared" ref="E743:E806" si="21">IF(C743&lt;&gt;C742,1,IF(D743&lt;&gt;D742,E742+1,E742))</f>
        <v>30</v>
      </c>
      <c r="F743" s="433" t="str">
        <f>F742</f>
        <v>Is there documented evidence that the deposition model results were used to provide a statement on the storage volume/time that the facility can provide to achieve the objective that the storage provided by the facility is understood?</v>
      </c>
      <c r="G743" s="388" t="s">
        <v>1194</v>
      </c>
      <c r="H743" s="390">
        <v>3</v>
      </c>
      <c r="I743" s="390">
        <v>3</v>
      </c>
      <c r="J743" s="390"/>
      <c r="K743" s="398">
        <f>_xlfn.IFNA(VLOOKUP(A743,numbering!$K$3:$L$92,2,0),0)</f>
        <v>0</v>
      </c>
    </row>
    <row r="744" spans="1:11" ht="56" hidden="1" x14ac:dyDescent="0.2">
      <c r="A744" s="390">
        <v>223</v>
      </c>
      <c r="B744" s="390" t="s">
        <v>253</v>
      </c>
      <c r="C744" s="390">
        <f>VLOOKUP(B744,numbering!$N$18:$O$30,2,0)</f>
        <v>4</v>
      </c>
      <c r="D744" s="390" t="s">
        <v>342</v>
      </c>
      <c r="E744" s="403">
        <f t="shared" si="21"/>
        <v>30</v>
      </c>
      <c r="F744" s="433" t="str">
        <f>F743</f>
        <v>Is there documented evidence that the deposition model results were used to provide a statement on the storage volume/time that the facility can provide to achieve the objective that the storage provided by the facility is understood?</v>
      </c>
      <c r="G744" s="388" t="s">
        <v>1195</v>
      </c>
      <c r="H744" s="390">
        <v>4</v>
      </c>
      <c r="I744" s="390">
        <v>4</v>
      </c>
      <c r="J744" s="390"/>
      <c r="K744" s="398">
        <f>_xlfn.IFNA(VLOOKUP(A744,numbering!$K$3:$L$92,2,0),0)</f>
        <v>0</v>
      </c>
    </row>
    <row r="745" spans="1:11" ht="42" hidden="1" x14ac:dyDescent="0.2">
      <c r="A745" s="390">
        <v>224</v>
      </c>
      <c r="B745" s="390" t="s">
        <v>253</v>
      </c>
      <c r="C745" s="390">
        <f>VLOOKUP(B745,numbering!$N$18:$O$30,2,0)</f>
        <v>4</v>
      </c>
      <c r="D745" s="390" t="s">
        <v>355</v>
      </c>
      <c r="E745" s="403">
        <f t="shared" si="21"/>
        <v>31</v>
      </c>
      <c r="F745" s="433" t="s">
        <v>356</v>
      </c>
      <c r="G745" s="388" t="s">
        <v>1192</v>
      </c>
      <c r="H745" s="390">
        <v>1</v>
      </c>
      <c r="I745" s="390">
        <v>1</v>
      </c>
      <c r="J745" s="390"/>
      <c r="K745" s="398">
        <f>_xlfn.IFNA(VLOOKUP(A745,numbering!$K$3:$L$92,2,0),0)</f>
        <v>0</v>
      </c>
    </row>
    <row r="746" spans="1:11" ht="42" hidden="1" x14ac:dyDescent="0.2">
      <c r="A746" s="390">
        <v>224</v>
      </c>
      <c r="B746" s="390" t="s">
        <v>253</v>
      </c>
      <c r="C746" s="390">
        <f>VLOOKUP(B746,numbering!$N$18:$O$30,2,0)</f>
        <v>4</v>
      </c>
      <c r="D746" s="390" t="s">
        <v>355</v>
      </c>
      <c r="E746" s="403">
        <f t="shared" si="21"/>
        <v>31</v>
      </c>
      <c r="F746" s="433" t="str">
        <f>F745</f>
        <v>Is there documented evidence that that design loading conditions used the spillway design achieves the objective of aligning with the required flood handling capacity of the facility based on its consequence category?</v>
      </c>
      <c r="G746" s="388" t="s">
        <v>1193</v>
      </c>
      <c r="H746" s="390">
        <v>2</v>
      </c>
      <c r="I746" s="390">
        <v>2</v>
      </c>
      <c r="J746" s="390"/>
      <c r="K746" s="398">
        <f>_xlfn.IFNA(VLOOKUP(A746,numbering!$K$3:$L$92,2,0),0)</f>
        <v>0</v>
      </c>
    </row>
    <row r="747" spans="1:11" ht="42" hidden="1" x14ac:dyDescent="0.2">
      <c r="A747" s="390">
        <v>224</v>
      </c>
      <c r="B747" s="390" t="s">
        <v>253</v>
      </c>
      <c r="C747" s="390">
        <f>VLOOKUP(B747,numbering!$N$18:$O$30,2,0)</f>
        <v>4</v>
      </c>
      <c r="D747" s="390" t="s">
        <v>355</v>
      </c>
      <c r="E747" s="403">
        <f t="shared" si="21"/>
        <v>31</v>
      </c>
      <c r="F747" s="433" t="str">
        <f>F746</f>
        <v>Is there documented evidence that that design loading conditions used the spillway design achieves the objective of aligning with the required flood handling capacity of the facility based on its consequence category?</v>
      </c>
      <c r="G747" s="388" t="s">
        <v>1194</v>
      </c>
      <c r="H747" s="390">
        <v>3</v>
      </c>
      <c r="I747" s="390">
        <v>3</v>
      </c>
      <c r="J747" s="390"/>
      <c r="K747" s="398">
        <f>_xlfn.IFNA(VLOOKUP(A747,numbering!$K$3:$L$92,2,0),0)</f>
        <v>0</v>
      </c>
    </row>
    <row r="748" spans="1:11" ht="42" hidden="1" x14ac:dyDescent="0.2">
      <c r="A748" s="390">
        <v>224</v>
      </c>
      <c r="B748" s="390" t="s">
        <v>253</v>
      </c>
      <c r="C748" s="390">
        <f>VLOOKUP(B748,numbering!$N$18:$O$30,2,0)</f>
        <v>4</v>
      </c>
      <c r="D748" s="390" t="s">
        <v>355</v>
      </c>
      <c r="E748" s="403">
        <f t="shared" si="21"/>
        <v>31</v>
      </c>
      <c r="F748" s="433" t="str">
        <f>F747</f>
        <v>Is there documented evidence that that design loading conditions used the spillway design achieves the objective of aligning with the required flood handling capacity of the facility based on its consequence category?</v>
      </c>
      <c r="G748" s="388" t="s">
        <v>1195</v>
      </c>
      <c r="H748" s="390">
        <v>4</v>
      </c>
      <c r="I748" s="390">
        <v>4</v>
      </c>
      <c r="J748" s="390"/>
      <c r="K748" s="398">
        <f>_xlfn.IFNA(VLOOKUP(A748,numbering!$K$3:$L$92,2,0),0)</f>
        <v>0</v>
      </c>
    </row>
    <row r="749" spans="1:11" ht="56" hidden="1" x14ac:dyDescent="0.2">
      <c r="A749" s="390">
        <v>225</v>
      </c>
      <c r="B749" s="390" t="s">
        <v>253</v>
      </c>
      <c r="C749" s="390">
        <f>VLOOKUP(B749,numbering!$N$18:$O$30,2,0)</f>
        <v>4</v>
      </c>
      <c r="D749" s="390" t="s">
        <v>355</v>
      </c>
      <c r="E749" s="403">
        <f t="shared" si="21"/>
        <v>31</v>
      </c>
      <c r="F749" s="433" t="s">
        <v>357</v>
      </c>
      <c r="G749" s="388" t="s">
        <v>1192</v>
      </c>
      <c r="H749" s="390">
        <v>1</v>
      </c>
      <c r="I749" s="390">
        <v>1</v>
      </c>
      <c r="J749" s="390"/>
      <c r="K749" s="398">
        <f>_xlfn.IFNA(VLOOKUP(A749,numbering!$K$3:$L$92,2,0),0)</f>
        <v>0</v>
      </c>
    </row>
    <row r="750" spans="1:11" ht="56" hidden="1" x14ac:dyDescent="0.2">
      <c r="A750" s="390">
        <v>225</v>
      </c>
      <c r="B750" s="390" t="s">
        <v>253</v>
      </c>
      <c r="C750" s="390">
        <f>VLOOKUP(B750,numbering!$N$18:$O$30,2,0)</f>
        <v>4</v>
      </c>
      <c r="D750" s="390" t="s">
        <v>355</v>
      </c>
      <c r="E750" s="403">
        <f t="shared" si="21"/>
        <v>31</v>
      </c>
      <c r="F750" s="433" t="str">
        <f>F749</f>
        <v>Is there documented evidence that the flood inflow hydrographs used in the spillway calculations were based on a site-specific hydrology study and properly executed flood routing through the storage, to achieve the objective of properly estimating the inflow rates into the spillway structure?</v>
      </c>
      <c r="G750" s="388" t="s">
        <v>1193</v>
      </c>
      <c r="H750" s="390">
        <v>2</v>
      </c>
      <c r="I750" s="390">
        <v>2</v>
      </c>
      <c r="J750" s="390"/>
      <c r="K750" s="398">
        <f>_xlfn.IFNA(VLOOKUP(A750,numbering!$K$3:$L$92,2,0),0)</f>
        <v>0</v>
      </c>
    </row>
    <row r="751" spans="1:11" ht="56" hidden="1" x14ac:dyDescent="0.2">
      <c r="A751" s="390">
        <v>225</v>
      </c>
      <c r="B751" s="390" t="s">
        <v>253</v>
      </c>
      <c r="C751" s="390">
        <f>VLOOKUP(B751,numbering!$N$18:$O$30,2,0)</f>
        <v>4</v>
      </c>
      <c r="D751" s="390" t="s">
        <v>355</v>
      </c>
      <c r="E751" s="403">
        <f t="shared" si="21"/>
        <v>31</v>
      </c>
      <c r="F751" s="433" t="str">
        <f>F750</f>
        <v>Is there documented evidence that the flood inflow hydrographs used in the spillway calculations were based on a site-specific hydrology study and properly executed flood routing through the storage, to achieve the objective of properly estimating the inflow rates into the spillway structure?</v>
      </c>
      <c r="G751" s="388" t="s">
        <v>1194</v>
      </c>
      <c r="H751" s="390">
        <v>3</v>
      </c>
      <c r="I751" s="390">
        <v>3</v>
      </c>
      <c r="J751" s="390"/>
      <c r="K751" s="398">
        <f>_xlfn.IFNA(VLOOKUP(A751,numbering!$K$3:$L$92,2,0),0)</f>
        <v>0</v>
      </c>
    </row>
    <row r="752" spans="1:11" ht="56" hidden="1" x14ac:dyDescent="0.2">
      <c r="A752" s="390">
        <v>225</v>
      </c>
      <c r="B752" s="390" t="s">
        <v>253</v>
      </c>
      <c r="C752" s="390">
        <f>VLOOKUP(B752,numbering!$N$18:$O$30,2,0)</f>
        <v>4</v>
      </c>
      <c r="D752" s="390" t="s">
        <v>355</v>
      </c>
      <c r="E752" s="403">
        <f t="shared" si="21"/>
        <v>31</v>
      </c>
      <c r="F752" s="433" t="str">
        <f>F751</f>
        <v>Is there documented evidence that the flood inflow hydrographs used in the spillway calculations were based on a site-specific hydrology study and properly executed flood routing through the storage, to achieve the objective of properly estimating the inflow rates into the spillway structure?</v>
      </c>
      <c r="G752" s="388" t="s">
        <v>1195</v>
      </c>
      <c r="H752" s="390">
        <v>4</v>
      </c>
      <c r="I752" s="390">
        <v>4</v>
      </c>
      <c r="J752" s="390"/>
      <c r="K752" s="398">
        <f>_xlfn.IFNA(VLOOKUP(A752,numbering!$K$3:$L$92,2,0),0)</f>
        <v>0</v>
      </c>
    </row>
    <row r="753" spans="1:11" ht="56" hidden="1" x14ac:dyDescent="0.2">
      <c r="A753" s="390">
        <v>226</v>
      </c>
      <c r="B753" s="390" t="s">
        <v>253</v>
      </c>
      <c r="C753" s="390">
        <f>VLOOKUP(B753,numbering!$N$18:$O$30,2,0)</f>
        <v>4</v>
      </c>
      <c r="D753" s="390" t="s">
        <v>355</v>
      </c>
      <c r="E753" s="403">
        <f t="shared" si="21"/>
        <v>31</v>
      </c>
      <c r="F753" s="433" t="s">
        <v>358</v>
      </c>
      <c r="G753" s="388" t="s">
        <v>1192</v>
      </c>
      <c r="H753" s="390">
        <v>1</v>
      </c>
      <c r="I753" s="390">
        <v>1</v>
      </c>
      <c r="J753" s="390"/>
      <c r="K753" s="398">
        <f>_xlfn.IFNA(VLOOKUP(A753,numbering!$K$3:$L$92,2,0),0)</f>
        <v>0</v>
      </c>
    </row>
    <row r="754" spans="1:11" ht="56" hidden="1" x14ac:dyDescent="0.2">
      <c r="A754" s="390">
        <v>226</v>
      </c>
      <c r="B754" s="390" t="s">
        <v>253</v>
      </c>
      <c r="C754" s="390">
        <f>VLOOKUP(B754,numbering!$N$18:$O$30,2,0)</f>
        <v>4</v>
      </c>
      <c r="D754" s="390" t="s">
        <v>355</v>
      </c>
      <c r="E754" s="403">
        <f t="shared" si="21"/>
        <v>31</v>
      </c>
      <c r="F754" s="433" t="str">
        <f>F753</f>
        <v>Is there documented evidence that the spillway crest was designed using defensible hydraulic calculations and correctly defined flood conditions as inputs, to achieve the objective of sizing the spillway crest to have sufficient capacity to manage the required flow rates?</v>
      </c>
      <c r="G754" s="388" t="s">
        <v>1193</v>
      </c>
      <c r="H754" s="390">
        <v>2</v>
      </c>
      <c r="I754" s="390">
        <v>2</v>
      </c>
      <c r="J754" s="390"/>
      <c r="K754" s="398">
        <f>_xlfn.IFNA(VLOOKUP(A754,numbering!$K$3:$L$92,2,0),0)</f>
        <v>0</v>
      </c>
    </row>
    <row r="755" spans="1:11" ht="56" hidden="1" x14ac:dyDescent="0.2">
      <c r="A755" s="390">
        <v>226</v>
      </c>
      <c r="B755" s="390" t="s">
        <v>253</v>
      </c>
      <c r="C755" s="390">
        <f>VLOOKUP(B755,numbering!$N$18:$O$30,2,0)</f>
        <v>4</v>
      </c>
      <c r="D755" s="390" t="s">
        <v>355</v>
      </c>
      <c r="E755" s="403">
        <f t="shared" si="21"/>
        <v>31</v>
      </c>
      <c r="F755" s="433" t="str">
        <f>F754</f>
        <v>Is there documented evidence that the spillway crest was designed using defensible hydraulic calculations and correctly defined flood conditions as inputs, to achieve the objective of sizing the spillway crest to have sufficient capacity to manage the required flow rates?</v>
      </c>
      <c r="G755" s="388" t="s">
        <v>1194</v>
      </c>
      <c r="H755" s="390">
        <v>3</v>
      </c>
      <c r="I755" s="390">
        <v>3</v>
      </c>
      <c r="J755" s="390"/>
      <c r="K755" s="398">
        <f>_xlfn.IFNA(VLOOKUP(A755,numbering!$K$3:$L$92,2,0),0)</f>
        <v>0</v>
      </c>
    </row>
    <row r="756" spans="1:11" ht="56" hidden="1" x14ac:dyDescent="0.2">
      <c r="A756" s="390">
        <v>226</v>
      </c>
      <c r="B756" s="390" t="s">
        <v>253</v>
      </c>
      <c r="C756" s="390">
        <f>VLOOKUP(B756,numbering!$N$18:$O$30,2,0)</f>
        <v>4</v>
      </c>
      <c r="D756" s="390" t="s">
        <v>355</v>
      </c>
      <c r="E756" s="403">
        <f t="shared" si="21"/>
        <v>31</v>
      </c>
      <c r="F756" s="433" t="str">
        <f>F755</f>
        <v>Is there documented evidence that the spillway crest was designed using defensible hydraulic calculations and correctly defined flood conditions as inputs, to achieve the objective of sizing the spillway crest to have sufficient capacity to manage the required flow rates?</v>
      </c>
      <c r="G756" s="388" t="s">
        <v>1195</v>
      </c>
      <c r="H756" s="390">
        <v>4</v>
      </c>
      <c r="I756" s="390">
        <v>4</v>
      </c>
      <c r="J756" s="390"/>
      <c r="K756" s="398">
        <f>_xlfn.IFNA(VLOOKUP(A756,numbering!$K$3:$L$92,2,0),0)</f>
        <v>0</v>
      </c>
    </row>
    <row r="757" spans="1:11" ht="70" hidden="1" x14ac:dyDescent="0.2">
      <c r="A757" s="390">
        <v>227</v>
      </c>
      <c r="B757" s="390" t="s">
        <v>253</v>
      </c>
      <c r="C757" s="390">
        <f>VLOOKUP(B757,numbering!$N$18:$O$30,2,0)</f>
        <v>4</v>
      </c>
      <c r="D757" s="390" t="s">
        <v>355</v>
      </c>
      <c r="E757" s="403">
        <f t="shared" si="21"/>
        <v>31</v>
      </c>
      <c r="F757" s="433" t="s">
        <v>359</v>
      </c>
      <c r="G757" s="388" t="s">
        <v>1192</v>
      </c>
      <c r="H757" s="390">
        <v>1</v>
      </c>
      <c r="I757" s="390">
        <v>1</v>
      </c>
      <c r="J757" s="390"/>
      <c r="K757" s="398">
        <f>_xlfn.IFNA(VLOOKUP(A757,numbering!$K$3:$L$92,2,0),0)</f>
        <v>0</v>
      </c>
    </row>
    <row r="758" spans="1:11" ht="70" hidden="1" x14ac:dyDescent="0.2">
      <c r="A758" s="390">
        <v>227</v>
      </c>
      <c r="B758" s="390" t="s">
        <v>253</v>
      </c>
      <c r="C758" s="390">
        <f>VLOOKUP(B758,numbering!$N$18:$O$30,2,0)</f>
        <v>4</v>
      </c>
      <c r="D758" s="390" t="s">
        <v>355</v>
      </c>
      <c r="E758" s="403">
        <f t="shared" si="21"/>
        <v>31</v>
      </c>
      <c r="F758" s="433" t="str">
        <f>F757</f>
        <v>Is there documented evidence that the spillway channel was sized using defensible hydraulic calculations that correctly considered inflows from the crest as inputs into the calculations, to achieve the objective of sizing the spillway chute to have sufficient capacity to manage the required flow rates?</v>
      </c>
      <c r="G758" s="388" t="s">
        <v>1193</v>
      </c>
      <c r="H758" s="390">
        <v>2</v>
      </c>
      <c r="I758" s="390">
        <v>2</v>
      </c>
      <c r="J758" s="390"/>
      <c r="K758" s="398">
        <f>_xlfn.IFNA(VLOOKUP(A758,numbering!$K$3:$L$92,2,0),0)</f>
        <v>0</v>
      </c>
    </row>
    <row r="759" spans="1:11" ht="70" hidden="1" x14ac:dyDescent="0.2">
      <c r="A759" s="390">
        <v>227</v>
      </c>
      <c r="B759" s="390" t="s">
        <v>253</v>
      </c>
      <c r="C759" s="390">
        <f>VLOOKUP(B759,numbering!$N$18:$O$30,2,0)</f>
        <v>4</v>
      </c>
      <c r="D759" s="390" t="s">
        <v>355</v>
      </c>
      <c r="E759" s="403">
        <f t="shared" si="21"/>
        <v>31</v>
      </c>
      <c r="F759" s="433" t="str">
        <f>F758</f>
        <v>Is there documented evidence that the spillway channel was sized using defensible hydraulic calculations that correctly considered inflows from the crest as inputs into the calculations, to achieve the objective of sizing the spillway chute to have sufficient capacity to manage the required flow rates?</v>
      </c>
      <c r="G759" s="388" t="s">
        <v>1194</v>
      </c>
      <c r="H759" s="390">
        <v>3</v>
      </c>
      <c r="I759" s="390">
        <v>3</v>
      </c>
      <c r="J759" s="390"/>
      <c r="K759" s="398">
        <f>_xlfn.IFNA(VLOOKUP(A759,numbering!$K$3:$L$92,2,0),0)</f>
        <v>0</v>
      </c>
    </row>
    <row r="760" spans="1:11" ht="70" hidden="1" x14ac:dyDescent="0.2">
      <c r="A760" s="390">
        <v>227</v>
      </c>
      <c r="B760" s="390" t="s">
        <v>253</v>
      </c>
      <c r="C760" s="390">
        <f>VLOOKUP(B760,numbering!$N$18:$O$30,2,0)</f>
        <v>4</v>
      </c>
      <c r="D760" s="390" t="s">
        <v>355</v>
      </c>
      <c r="E760" s="403">
        <f t="shared" si="21"/>
        <v>31</v>
      </c>
      <c r="F760" s="433" t="str">
        <f>F759</f>
        <v>Is there documented evidence that the spillway channel was sized using defensible hydraulic calculations that correctly considered inflows from the crest as inputs into the calculations, to achieve the objective of sizing the spillway chute to have sufficient capacity to manage the required flow rates?</v>
      </c>
      <c r="G760" s="388" t="s">
        <v>1195</v>
      </c>
      <c r="H760" s="390">
        <v>4</v>
      </c>
      <c r="I760" s="390">
        <v>4</v>
      </c>
      <c r="J760" s="390"/>
      <c r="K760" s="398">
        <f>_xlfn.IFNA(VLOOKUP(A760,numbering!$K$3:$L$92,2,0),0)</f>
        <v>0</v>
      </c>
    </row>
    <row r="761" spans="1:11" ht="70" hidden="1" x14ac:dyDescent="0.2">
      <c r="A761" s="390">
        <v>228</v>
      </c>
      <c r="B761" s="390" t="s">
        <v>253</v>
      </c>
      <c r="C761" s="390">
        <f>VLOOKUP(B761,numbering!$N$18:$O$30,2,0)</f>
        <v>4</v>
      </c>
      <c r="D761" s="390" t="s">
        <v>355</v>
      </c>
      <c r="E761" s="403">
        <f t="shared" si="21"/>
        <v>31</v>
      </c>
      <c r="F761" s="433" t="s">
        <v>360</v>
      </c>
      <c r="G761" s="388" t="s">
        <v>1192</v>
      </c>
      <c r="H761" s="390">
        <v>1</v>
      </c>
      <c r="I761" s="390">
        <v>1</v>
      </c>
      <c r="J761" s="390"/>
      <c r="K761" s="398">
        <f>_xlfn.IFNA(VLOOKUP(A761,numbering!$K$3:$L$92,2,0),0)</f>
        <v>0</v>
      </c>
    </row>
    <row r="762" spans="1:11" ht="70" hidden="1" x14ac:dyDescent="0.2">
      <c r="A762" s="390">
        <v>228</v>
      </c>
      <c r="B762" s="390" t="s">
        <v>253</v>
      </c>
      <c r="C762" s="390">
        <f>VLOOKUP(B762,numbering!$N$18:$O$30,2,0)</f>
        <v>4</v>
      </c>
      <c r="D762" s="390" t="s">
        <v>355</v>
      </c>
      <c r="E762" s="403">
        <f t="shared" si="21"/>
        <v>31</v>
      </c>
      <c r="F762" s="433" t="str">
        <f>F761</f>
        <v>Is there documented evidence that the energy dissipator structure was sized using defensible hydraulic calculations that correctly defined inflows from the chute as inputs into the calculations, to achieve the objective of sizing the structure to have sufficient capacity and energy dissipating properties for the required flow rates?</v>
      </c>
      <c r="G762" s="388" t="s">
        <v>1193</v>
      </c>
      <c r="H762" s="390">
        <v>2</v>
      </c>
      <c r="I762" s="390">
        <v>2</v>
      </c>
      <c r="J762" s="390"/>
      <c r="K762" s="398">
        <f>_xlfn.IFNA(VLOOKUP(A762,numbering!$K$3:$L$92,2,0),0)</f>
        <v>0</v>
      </c>
    </row>
    <row r="763" spans="1:11" ht="70" hidden="1" x14ac:dyDescent="0.2">
      <c r="A763" s="390">
        <v>228</v>
      </c>
      <c r="B763" s="390" t="s">
        <v>253</v>
      </c>
      <c r="C763" s="390">
        <f>VLOOKUP(B763,numbering!$N$18:$O$30,2,0)</f>
        <v>4</v>
      </c>
      <c r="D763" s="390" t="s">
        <v>355</v>
      </c>
      <c r="E763" s="403">
        <f t="shared" si="21"/>
        <v>31</v>
      </c>
      <c r="F763" s="433" t="str">
        <f>F762</f>
        <v>Is there documented evidence that the energy dissipator structure was sized using defensible hydraulic calculations that correctly defined inflows from the chute as inputs into the calculations, to achieve the objective of sizing the structure to have sufficient capacity and energy dissipating properties for the required flow rates?</v>
      </c>
      <c r="G763" s="388" t="s">
        <v>1194</v>
      </c>
      <c r="H763" s="390">
        <v>3</v>
      </c>
      <c r="I763" s="390">
        <v>3</v>
      </c>
      <c r="J763" s="390"/>
      <c r="K763" s="398">
        <f>_xlfn.IFNA(VLOOKUP(A763,numbering!$K$3:$L$92,2,0),0)</f>
        <v>0</v>
      </c>
    </row>
    <row r="764" spans="1:11" ht="70" hidden="1" x14ac:dyDescent="0.2">
      <c r="A764" s="390">
        <v>228</v>
      </c>
      <c r="B764" s="390" t="s">
        <v>253</v>
      </c>
      <c r="C764" s="390">
        <f>VLOOKUP(B764,numbering!$N$18:$O$30,2,0)</f>
        <v>4</v>
      </c>
      <c r="D764" s="390" t="s">
        <v>355</v>
      </c>
      <c r="E764" s="403">
        <f t="shared" si="21"/>
        <v>31</v>
      </c>
      <c r="F764" s="433" t="str">
        <f>F763</f>
        <v>Is there documented evidence that the energy dissipator structure was sized using defensible hydraulic calculations that correctly defined inflows from the chute as inputs into the calculations, to achieve the objective of sizing the structure to have sufficient capacity and energy dissipating properties for the required flow rates?</v>
      </c>
      <c r="G764" s="388" t="s">
        <v>1195</v>
      </c>
      <c r="H764" s="390">
        <v>4</v>
      </c>
      <c r="I764" s="390">
        <v>4</v>
      </c>
      <c r="J764" s="390"/>
      <c r="K764" s="398">
        <f>_xlfn.IFNA(VLOOKUP(A764,numbering!$K$3:$L$92,2,0),0)</f>
        <v>0</v>
      </c>
    </row>
    <row r="765" spans="1:11" ht="56" hidden="1" x14ac:dyDescent="0.2">
      <c r="A765" s="390">
        <v>229</v>
      </c>
      <c r="B765" s="390" t="s">
        <v>253</v>
      </c>
      <c r="C765" s="390">
        <f>VLOOKUP(B765,numbering!$N$18:$O$30,2,0)</f>
        <v>4</v>
      </c>
      <c r="D765" s="390" t="s">
        <v>355</v>
      </c>
      <c r="E765" s="403">
        <f t="shared" si="21"/>
        <v>31</v>
      </c>
      <c r="F765" s="433" t="s">
        <v>361</v>
      </c>
      <c r="G765" s="388" t="s">
        <v>1192</v>
      </c>
      <c r="H765" s="390">
        <v>1</v>
      </c>
      <c r="I765" s="390">
        <v>1</v>
      </c>
      <c r="J765" s="390"/>
      <c r="K765" s="398">
        <f>_xlfn.IFNA(VLOOKUP(A765,numbering!$K$3:$L$92,2,0),0)</f>
        <v>0</v>
      </c>
    </row>
    <row r="766" spans="1:11" ht="56" hidden="1" x14ac:dyDescent="0.2">
      <c r="A766" s="390">
        <v>229</v>
      </c>
      <c r="B766" s="390" t="s">
        <v>253</v>
      </c>
      <c r="C766" s="390">
        <f>VLOOKUP(B766,numbering!$N$18:$O$30,2,0)</f>
        <v>4</v>
      </c>
      <c r="D766" s="390" t="s">
        <v>355</v>
      </c>
      <c r="E766" s="403">
        <f t="shared" si="21"/>
        <v>31</v>
      </c>
      <c r="F766" s="433" t="s">
        <v>361</v>
      </c>
      <c r="G766" s="388" t="s">
        <v>1193</v>
      </c>
      <c r="H766" s="390">
        <v>2</v>
      </c>
      <c r="I766" s="390">
        <v>2</v>
      </c>
      <c r="J766" s="390"/>
      <c r="K766" s="398">
        <f>_xlfn.IFNA(VLOOKUP(A766,numbering!$K$3:$L$92,2,0),0)</f>
        <v>0</v>
      </c>
    </row>
    <row r="767" spans="1:11" ht="56" hidden="1" x14ac:dyDescent="0.2">
      <c r="A767" s="390">
        <v>229</v>
      </c>
      <c r="B767" s="390" t="s">
        <v>253</v>
      </c>
      <c r="C767" s="390">
        <f>VLOOKUP(B767,numbering!$N$18:$O$30,2,0)</f>
        <v>4</v>
      </c>
      <c r="D767" s="390" t="s">
        <v>355</v>
      </c>
      <c r="E767" s="403">
        <f t="shared" si="21"/>
        <v>31</v>
      </c>
      <c r="F767" s="433" t="s">
        <v>361</v>
      </c>
      <c r="G767" s="388" t="s">
        <v>1194</v>
      </c>
      <c r="H767" s="390">
        <v>3</v>
      </c>
      <c r="I767" s="390">
        <v>3</v>
      </c>
      <c r="J767" s="390"/>
      <c r="K767" s="398">
        <f>_xlfn.IFNA(VLOOKUP(A767,numbering!$K$3:$L$92,2,0),0)</f>
        <v>0</v>
      </c>
    </row>
    <row r="768" spans="1:11" ht="56" hidden="1" x14ac:dyDescent="0.2">
      <c r="A768" s="390">
        <v>229</v>
      </c>
      <c r="B768" s="390" t="s">
        <v>253</v>
      </c>
      <c r="C768" s="390">
        <f>VLOOKUP(B768,numbering!$N$18:$O$30,2,0)</f>
        <v>4</v>
      </c>
      <c r="D768" s="390" t="s">
        <v>355</v>
      </c>
      <c r="E768" s="403">
        <f t="shared" si="21"/>
        <v>31</v>
      </c>
      <c r="F768" s="433" t="s">
        <v>361</v>
      </c>
      <c r="G768" s="388" t="s">
        <v>1195</v>
      </c>
      <c r="H768" s="390">
        <v>4</v>
      </c>
      <c r="I768" s="390">
        <v>4</v>
      </c>
      <c r="J768" s="390"/>
      <c r="K768" s="398">
        <f>_xlfn.IFNA(VLOOKUP(A768,numbering!$K$3:$L$92,2,0),0)</f>
        <v>0</v>
      </c>
    </row>
    <row r="769" spans="1:11" ht="56" hidden="1" x14ac:dyDescent="0.2">
      <c r="A769" s="390">
        <v>230</v>
      </c>
      <c r="B769" s="390" t="s">
        <v>253</v>
      </c>
      <c r="C769" s="390">
        <f>VLOOKUP(B769,numbering!$N$18:$O$30,2,0)</f>
        <v>4</v>
      </c>
      <c r="D769" s="390" t="s">
        <v>355</v>
      </c>
      <c r="E769" s="403">
        <f t="shared" si="21"/>
        <v>31</v>
      </c>
      <c r="F769" s="433" t="s">
        <v>1164</v>
      </c>
      <c r="G769" s="388" t="s">
        <v>1192</v>
      </c>
      <c r="H769" s="390">
        <v>1</v>
      </c>
      <c r="I769" s="390">
        <v>1</v>
      </c>
      <c r="J769" s="390"/>
      <c r="K769" s="398">
        <f>_xlfn.IFNA(VLOOKUP(A769,numbering!$K$3:$L$92,2,0),0)</f>
        <v>0</v>
      </c>
    </row>
    <row r="770" spans="1:11" ht="56" hidden="1" x14ac:dyDescent="0.2">
      <c r="A770" s="390">
        <v>230</v>
      </c>
      <c r="B770" s="390" t="s">
        <v>253</v>
      </c>
      <c r="C770" s="390">
        <f>VLOOKUP(B770,numbering!$N$18:$O$30,2,0)</f>
        <v>4</v>
      </c>
      <c r="D770" s="390" t="s">
        <v>355</v>
      </c>
      <c r="E770" s="403">
        <f t="shared" si="21"/>
        <v>31</v>
      </c>
      <c r="F770" s="433" t="str">
        <f>F769</f>
        <v xml:space="preserve">Is there documented evidence that the spillway was appropriately designed for structural stability and correctly assessed the various loading conditions that the spillway may experience, to achieve the objective of limiting the likelihood that the structural elements of the spillway will fail? </v>
      </c>
      <c r="G770" s="388" t="s">
        <v>1193</v>
      </c>
      <c r="H770" s="390">
        <v>2</v>
      </c>
      <c r="I770" s="390">
        <v>2</v>
      </c>
      <c r="J770" s="390"/>
      <c r="K770" s="398">
        <f>_xlfn.IFNA(VLOOKUP(A770,numbering!$K$3:$L$92,2,0),0)</f>
        <v>0</v>
      </c>
    </row>
    <row r="771" spans="1:11" ht="56" hidden="1" x14ac:dyDescent="0.2">
      <c r="A771" s="390">
        <v>230</v>
      </c>
      <c r="B771" s="390" t="s">
        <v>253</v>
      </c>
      <c r="C771" s="390">
        <f>VLOOKUP(B771,numbering!$N$18:$O$30,2,0)</f>
        <v>4</v>
      </c>
      <c r="D771" s="390" t="s">
        <v>355</v>
      </c>
      <c r="E771" s="403">
        <f t="shared" si="21"/>
        <v>31</v>
      </c>
      <c r="F771" s="433" t="str">
        <f>F770</f>
        <v xml:space="preserve">Is there documented evidence that the spillway was appropriately designed for structural stability and correctly assessed the various loading conditions that the spillway may experience, to achieve the objective of limiting the likelihood that the structural elements of the spillway will fail? </v>
      </c>
      <c r="G771" s="388" t="s">
        <v>1194</v>
      </c>
      <c r="H771" s="390">
        <v>3</v>
      </c>
      <c r="I771" s="390">
        <v>3</v>
      </c>
      <c r="J771" s="390"/>
      <c r="K771" s="398">
        <f>_xlfn.IFNA(VLOOKUP(A771,numbering!$K$3:$L$92,2,0),0)</f>
        <v>0</v>
      </c>
    </row>
    <row r="772" spans="1:11" ht="56" hidden="1" x14ac:dyDescent="0.2">
      <c r="A772" s="390">
        <v>230</v>
      </c>
      <c r="B772" s="390" t="s">
        <v>253</v>
      </c>
      <c r="C772" s="390">
        <f>VLOOKUP(B772,numbering!$N$18:$O$30,2,0)</f>
        <v>4</v>
      </c>
      <c r="D772" s="390" t="s">
        <v>355</v>
      </c>
      <c r="E772" s="403">
        <f t="shared" si="21"/>
        <v>31</v>
      </c>
      <c r="F772" s="433" t="str">
        <f>F771</f>
        <v xml:space="preserve">Is there documented evidence that the spillway was appropriately designed for structural stability and correctly assessed the various loading conditions that the spillway may experience, to achieve the objective of limiting the likelihood that the structural elements of the spillway will fail? </v>
      </c>
      <c r="G772" s="388" t="s">
        <v>1195</v>
      </c>
      <c r="H772" s="390">
        <v>4</v>
      </c>
      <c r="I772" s="390">
        <v>4</v>
      </c>
      <c r="J772" s="390"/>
      <c r="K772" s="398">
        <f>_xlfn.IFNA(VLOOKUP(A772,numbering!$K$3:$L$92,2,0),0)</f>
        <v>0</v>
      </c>
    </row>
    <row r="773" spans="1:11" ht="42" hidden="1" x14ac:dyDescent="0.2">
      <c r="A773" s="390">
        <v>231</v>
      </c>
      <c r="B773" s="390" t="s">
        <v>253</v>
      </c>
      <c r="C773" s="390">
        <f>VLOOKUP(B773,numbering!$N$18:$O$30,2,0)</f>
        <v>4</v>
      </c>
      <c r="D773" s="390" t="s">
        <v>355</v>
      </c>
      <c r="E773" s="403">
        <f t="shared" si="21"/>
        <v>31</v>
      </c>
      <c r="F773" s="433" t="s">
        <v>362</v>
      </c>
      <c r="G773" s="388" t="s">
        <v>1192</v>
      </c>
      <c r="H773" s="390">
        <v>1</v>
      </c>
      <c r="I773" s="390">
        <v>1</v>
      </c>
      <c r="J773" s="390"/>
      <c r="K773" s="398">
        <f>_xlfn.IFNA(VLOOKUP(A773,numbering!$K$3:$L$92,2,0),0)</f>
        <v>0</v>
      </c>
    </row>
    <row r="774" spans="1:11" ht="42" hidden="1" x14ac:dyDescent="0.2">
      <c r="A774" s="390">
        <v>231</v>
      </c>
      <c r="B774" s="390" t="s">
        <v>253</v>
      </c>
      <c r="C774" s="390">
        <f>VLOOKUP(B774,numbering!$N$18:$O$30,2,0)</f>
        <v>4</v>
      </c>
      <c r="D774" s="390" t="s">
        <v>355</v>
      </c>
      <c r="E774" s="403">
        <f t="shared" si="21"/>
        <v>31</v>
      </c>
      <c r="F774" s="433" t="str">
        <f>F773</f>
        <v>Is there documented evidence that rating curve for the spillway was appropriately calculated to achieve the objective of relating the water level over the spillway crest with the flow rate through the spillway?</v>
      </c>
      <c r="G774" s="388" t="s">
        <v>1193</v>
      </c>
      <c r="H774" s="390">
        <v>2</v>
      </c>
      <c r="I774" s="390">
        <v>2</v>
      </c>
      <c r="J774" s="390"/>
      <c r="K774" s="398">
        <f>_xlfn.IFNA(VLOOKUP(A774,numbering!$K$3:$L$92,2,0),0)</f>
        <v>0</v>
      </c>
    </row>
    <row r="775" spans="1:11" ht="42" hidden="1" x14ac:dyDescent="0.2">
      <c r="A775" s="390">
        <v>231</v>
      </c>
      <c r="B775" s="390" t="s">
        <v>253</v>
      </c>
      <c r="C775" s="390">
        <f>VLOOKUP(B775,numbering!$N$18:$O$30,2,0)</f>
        <v>4</v>
      </c>
      <c r="D775" s="390" t="s">
        <v>355</v>
      </c>
      <c r="E775" s="403">
        <f t="shared" si="21"/>
        <v>31</v>
      </c>
      <c r="F775" s="433" t="str">
        <f>F774</f>
        <v>Is there documented evidence that rating curve for the spillway was appropriately calculated to achieve the objective of relating the water level over the spillway crest with the flow rate through the spillway?</v>
      </c>
      <c r="G775" s="388" t="s">
        <v>1194</v>
      </c>
      <c r="H775" s="390">
        <v>3</v>
      </c>
      <c r="I775" s="390">
        <v>3</v>
      </c>
      <c r="J775" s="390"/>
      <c r="K775" s="398">
        <f>_xlfn.IFNA(VLOOKUP(A775,numbering!$K$3:$L$92,2,0),0)</f>
        <v>0</v>
      </c>
    </row>
    <row r="776" spans="1:11" ht="42" hidden="1" x14ac:dyDescent="0.2">
      <c r="A776" s="390">
        <v>231</v>
      </c>
      <c r="B776" s="390" t="s">
        <v>253</v>
      </c>
      <c r="C776" s="390">
        <f>VLOOKUP(B776,numbering!$N$18:$O$30,2,0)</f>
        <v>4</v>
      </c>
      <c r="D776" s="390" t="s">
        <v>355</v>
      </c>
      <c r="E776" s="403">
        <f t="shared" si="21"/>
        <v>31</v>
      </c>
      <c r="F776" s="433" t="str">
        <f>F775</f>
        <v>Is there documented evidence that rating curve for the spillway was appropriately calculated to achieve the objective of relating the water level over the spillway crest with the flow rate through the spillway?</v>
      </c>
      <c r="G776" s="388" t="s">
        <v>1195</v>
      </c>
      <c r="H776" s="390">
        <v>4</v>
      </c>
      <c r="I776" s="390">
        <v>4</v>
      </c>
      <c r="J776" s="390"/>
      <c r="K776" s="398">
        <f>_xlfn.IFNA(VLOOKUP(A776,numbering!$K$3:$L$92,2,0),0)</f>
        <v>0</v>
      </c>
    </row>
    <row r="777" spans="1:11" ht="42" hidden="1" x14ac:dyDescent="0.2">
      <c r="A777" s="390">
        <v>232</v>
      </c>
      <c r="B777" s="390" t="s">
        <v>253</v>
      </c>
      <c r="C777" s="390">
        <f>VLOOKUP(B777,numbering!$N$18:$O$30,2,0)</f>
        <v>4</v>
      </c>
      <c r="D777" s="390" t="s">
        <v>363</v>
      </c>
      <c r="E777" s="403">
        <f t="shared" si="21"/>
        <v>32</v>
      </c>
      <c r="F777" s="433" t="s">
        <v>364</v>
      </c>
      <c r="G777" s="388" t="s">
        <v>1192</v>
      </c>
      <c r="H777" s="390">
        <v>1</v>
      </c>
      <c r="I777" s="390">
        <v>1</v>
      </c>
      <c r="J777" s="390"/>
      <c r="K777" s="398">
        <f>_xlfn.IFNA(VLOOKUP(A777,numbering!$K$3:$L$92,2,0),0)</f>
        <v>0</v>
      </c>
    </row>
    <row r="778" spans="1:11" ht="42" hidden="1" x14ac:dyDescent="0.2">
      <c r="A778" s="390">
        <v>232</v>
      </c>
      <c r="B778" s="390" t="s">
        <v>253</v>
      </c>
      <c r="C778" s="390">
        <f>VLOOKUP(B778,numbering!$N$18:$O$30,2,0)</f>
        <v>4</v>
      </c>
      <c r="D778" s="390" t="s">
        <v>363</v>
      </c>
      <c r="E778" s="403">
        <f t="shared" si="21"/>
        <v>32</v>
      </c>
      <c r="F778" s="433" t="str">
        <f>F777</f>
        <v>For any flood management structures for the facility is there documented evidence of the design events that these structures were designed for, to achieve the objective of documenting the capacity of the  structures?</v>
      </c>
      <c r="G778" s="388" t="s">
        <v>1193</v>
      </c>
      <c r="H778" s="390">
        <v>2</v>
      </c>
      <c r="I778" s="390">
        <v>2</v>
      </c>
      <c r="J778" s="390"/>
      <c r="K778" s="398">
        <f>_xlfn.IFNA(VLOOKUP(A778,numbering!$K$3:$L$92,2,0),0)</f>
        <v>0</v>
      </c>
    </row>
    <row r="779" spans="1:11" ht="42" hidden="1" x14ac:dyDescent="0.2">
      <c r="A779" s="390">
        <v>232</v>
      </c>
      <c r="B779" s="390" t="s">
        <v>253</v>
      </c>
      <c r="C779" s="390">
        <f>VLOOKUP(B779,numbering!$N$18:$O$30,2,0)</f>
        <v>4</v>
      </c>
      <c r="D779" s="390" t="s">
        <v>363</v>
      </c>
      <c r="E779" s="403">
        <f t="shared" si="21"/>
        <v>32</v>
      </c>
      <c r="F779" s="433" t="str">
        <f>F778</f>
        <v>For any flood management structures for the facility is there documented evidence of the design events that these structures were designed for, to achieve the objective of documenting the capacity of the  structures?</v>
      </c>
      <c r="G779" s="388" t="s">
        <v>1194</v>
      </c>
      <c r="H779" s="390">
        <v>3</v>
      </c>
      <c r="I779" s="390">
        <v>3</v>
      </c>
      <c r="J779" s="390"/>
      <c r="K779" s="398">
        <f>_xlfn.IFNA(VLOOKUP(A779,numbering!$K$3:$L$92,2,0),0)</f>
        <v>0</v>
      </c>
    </row>
    <row r="780" spans="1:11" ht="42" hidden="1" x14ac:dyDescent="0.2">
      <c r="A780" s="390">
        <v>232</v>
      </c>
      <c r="B780" s="390" t="s">
        <v>253</v>
      </c>
      <c r="C780" s="390">
        <f>VLOOKUP(B780,numbering!$N$18:$O$30,2,0)</f>
        <v>4</v>
      </c>
      <c r="D780" s="390" t="s">
        <v>363</v>
      </c>
      <c r="E780" s="403">
        <f t="shared" si="21"/>
        <v>32</v>
      </c>
      <c r="F780" s="433" t="str">
        <f>F779</f>
        <v>For any flood management structures for the facility is there documented evidence of the design events that these structures were designed for, to achieve the objective of documenting the capacity of the  structures?</v>
      </c>
      <c r="G780" s="388" t="s">
        <v>1195</v>
      </c>
      <c r="H780" s="390">
        <v>4</v>
      </c>
      <c r="I780" s="390">
        <v>4</v>
      </c>
      <c r="J780" s="390"/>
      <c r="K780" s="398">
        <f>_xlfn.IFNA(VLOOKUP(A780,numbering!$K$3:$L$92,2,0),0)</f>
        <v>0</v>
      </c>
    </row>
    <row r="781" spans="1:11" ht="56" hidden="1" x14ac:dyDescent="0.2">
      <c r="A781" s="390">
        <v>233</v>
      </c>
      <c r="B781" s="390" t="s">
        <v>253</v>
      </c>
      <c r="C781" s="390">
        <f>VLOOKUP(B781,numbering!$N$18:$O$30,2,0)</f>
        <v>4</v>
      </c>
      <c r="D781" s="390" t="s">
        <v>363</v>
      </c>
      <c r="E781" s="403">
        <f t="shared" si="21"/>
        <v>32</v>
      </c>
      <c r="F781" s="433" t="s">
        <v>365</v>
      </c>
      <c r="G781" s="388" t="s">
        <v>1192</v>
      </c>
      <c r="H781" s="390">
        <v>1</v>
      </c>
      <c r="I781" s="390">
        <v>1</v>
      </c>
      <c r="J781" s="390"/>
      <c r="K781" s="398">
        <f>_xlfn.IFNA(VLOOKUP(A781,numbering!$K$3:$L$92,2,0),0)</f>
        <v>0</v>
      </c>
    </row>
    <row r="782" spans="1:11" ht="56" hidden="1" x14ac:dyDescent="0.2">
      <c r="A782" s="390">
        <v>233</v>
      </c>
      <c r="B782" s="390" t="s">
        <v>253</v>
      </c>
      <c r="C782" s="390">
        <f>VLOOKUP(B782,numbering!$N$18:$O$30,2,0)</f>
        <v>4</v>
      </c>
      <c r="D782" s="390" t="s">
        <v>363</v>
      </c>
      <c r="E782" s="403">
        <f t="shared" si="21"/>
        <v>32</v>
      </c>
      <c r="F782" s="433" t="str">
        <f>F781</f>
        <v>Is there documented evidence of the design methodology for the flood management structures, to achieve the objective of demonstrating that the structures were appropriately sized and designed using defensible hydraulic calculations?</v>
      </c>
      <c r="G782" s="388" t="s">
        <v>1193</v>
      </c>
      <c r="H782" s="390">
        <v>2</v>
      </c>
      <c r="I782" s="390">
        <v>2</v>
      </c>
      <c r="J782" s="390"/>
      <c r="K782" s="398">
        <f>_xlfn.IFNA(VLOOKUP(A782,numbering!$K$3:$L$92,2,0),0)</f>
        <v>0</v>
      </c>
    </row>
    <row r="783" spans="1:11" ht="56" hidden="1" x14ac:dyDescent="0.2">
      <c r="A783" s="390">
        <v>233</v>
      </c>
      <c r="B783" s="390" t="s">
        <v>253</v>
      </c>
      <c r="C783" s="390">
        <f>VLOOKUP(B783,numbering!$N$18:$O$30,2,0)</f>
        <v>4</v>
      </c>
      <c r="D783" s="390" t="s">
        <v>363</v>
      </c>
      <c r="E783" s="403">
        <f t="shared" si="21"/>
        <v>32</v>
      </c>
      <c r="F783" s="433" t="str">
        <f>F782</f>
        <v>Is there documented evidence of the design methodology for the flood management structures, to achieve the objective of demonstrating that the structures were appropriately sized and designed using defensible hydraulic calculations?</v>
      </c>
      <c r="G783" s="388" t="s">
        <v>1194</v>
      </c>
      <c r="H783" s="390">
        <v>3</v>
      </c>
      <c r="I783" s="390">
        <v>3</v>
      </c>
      <c r="J783" s="390"/>
      <c r="K783" s="398">
        <f>_xlfn.IFNA(VLOOKUP(A783,numbering!$K$3:$L$92,2,0),0)</f>
        <v>0</v>
      </c>
    </row>
    <row r="784" spans="1:11" ht="56" hidden="1" x14ac:dyDescent="0.2">
      <c r="A784" s="390">
        <v>233</v>
      </c>
      <c r="B784" s="390" t="s">
        <v>253</v>
      </c>
      <c r="C784" s="390">
        <f>VLOOKUP(B784,numbering!$N$18:$O$30,2,0)</f>
        <v>4</v>
      </c>
      <c r="D784" s="390" t="s">
        <v>363</v>
      </c>
      <c r="E784" s="403">
        <f t="shared" si="21"/>
        <v>32</v>
      </c>
      <c r="F784" s="433" t="str">
        <f>F783</f>
        <v>Is there documented evidence of the design methodology for the flood management structures, to achieve the objective of demonstrating that the structures were appropriately sized and designed using defensible hydraulic calculations?</v>
      </c>
      <c r="G784" s="388" t="s">
        <v>1195</v>
      </c>
      <c r="H784" s="390">
        <v>4</v>
      </c>
      <c r="I784" s="390">
        <v>4</v>
      </c>
      <c r="J784" s="390"/>
      <c r="K784" s="398">
        <f>_xlfn.IFNA(VLOOKUP(A784,numbering!$K$3:$L$92,2,0),0)</f>
        <v>0</v>
      </c>
    </row>
    <row r="785" spans="1:11" ht="56" hidden="1" x14ac:dyDescent="0.2">
      <c r="A785" s="390">
        <v>234</v>
      </c>
      <c r="B785" s="390" t="s">
        <v>253</v>
      </c>
      <c r="C785" s="390">
        <f>VLOOKUP(B785,numbering!$N$18:$O$30,2,0)</f>
        <v>4</v>
      </c>
      <c r="D785" s="390" t="s">
        <v>366</v>
      </c>
      <c r="E785" s="403">
        <f t="shared" si="21"/>
        <v>33</v>
      </c>
      <c r="F785" s="433" t="s">
        <v>1165</v>
      </c>
      <c r="G785" s="388" t="s">
        <v>1192</v>
      </c>
      <c r="H785" s="390">
        <v>1</v>
      </c>
      <c r="I785" s="390">
        <v>1</v>
      </c>
      <c r="J785" s="390"/>
      <c r="K785" s="398">
        <f>_xlfn.IFNA(VLOOKUP(A785,numbering!$K$3:$L$92,2,0),0)</f>
        <v>0</v>
      </c>
    </row>
    <row r="786" spans="1:11" ht="56" hidden="1" x14ac:dyDescent="0.2">
      <c r="A786" s="390">
        <v>234</v>
      </c>
      <c r="B786" s="390" t="s">
        <v>253</v>
      </c>
      <c r="C786" s="390">
        <f>VLOOKUP(B786,numbering!$N$18:$O$30,2,0)</f>
        <v>4</v>
      </c>
      <c r="D786" s="390" t="s">
        <v>366</v>
      </c>
      <c r="E786" s="403">
        <f t="shared" si="21"/>
        <v>33</v>
      </c>
      <c r="F786" s="433" t="str">
        <f>F785</f>
        <v xml:space="preserve">Is there documented evidence that the capacity of the underdrainage system was based on an assessment of the seepage from the facility or from the required seepage removal/water return rate, to achieve the objective of demonstrating that the system was sized using defensible methods? </v>
      </c>
      <c r="G786" s="388" t="s">
        <v>1193</v>
      </c>
      <c r="H786" s="390">
        <v>2</v>
      </c>
      <c r="I786" s="390">
        <v>2</v>
      </c>
      <c r="J786" s="390"/>
      <c r="K786" s="398">
        <f>_xlfn.IFNA(VLOOKUP(A786,numbering!$K$3:$L$92,2,0),0)</f>
        <v>0</v>
      </c>
    </row>
    <row r="787" spans="1:11" ht="56" hidden="1" x14ac:dyDescent="0.2">
      <c r="A787" s="390">
        <v>234</v>
      </c>
      <c r="B787" s="390" t="s">
        <v>253</v>
      </c>
      <c r="C787" s="390">
        <f>VLOOKUP(B787,numbering!$N$18:$O$30,2,0)</f>
        <v>4</v>
      </c>
      <c r="D787" s="390" t="s">
        <v>366</v>
      </c>
      <c r="E787" s="403">
        <f t="shared" si="21"/>
        <v>33</v>
      </c>
      <c r="F787" s="433" t="str">
        <f>F786</f>
        <v xml:space="preserve">Is there documented evidence that the capacity of the underdrainage system was based on an assessment of the seepage from the facility or from the required seepage removal/water return rate, to achieve the objective of demonstrating that the system was sized using defensible methods? </v>
      </c>
      <c r="G787" s="388" t="s">
        <v>1194</v>
      </c>
      <c r="H787" s="390">
        <v>3</v>
      </c>
      <c r="I787" s="390">
        <v>3</v>
      </c>
      <c r="J787" s="390"/>
      <c r="K787" s="398">
        <f>_xlfn.IFNA(VLOOKUP(A787,numbering!$K$3:$L$92,2,0),0)</f>
        <v>0</v>
      </c>
    </row>
    <row r="788" spans="1:11" ht="56" hidden="1" x14ac:dyDescent="0.2">
      <c r="A788" s="390">
        <v>234</v>
      </c>
      <c r="B788" s="390" t="s">
        <v>253</v>
      </c>
      <c r="C788" s="390">
        <f>VLOOKUP(B788,numbering!$N$18:$O$30,2,0)</f>
        <v>4</v>
      </c>
      <c r="D788" s="390" t="s">
        <v>366</v>
      </c>
      <c r="E788" s="403">
        <f t="shared" si="21"/>
        <v>33</v>
      </c>
      <c r="F788" s="433" t="str">
        <f>F787</f>
        <v xml:space="preserve">Is there documented evidence that the capacity of the underdrainage system was based on an assessment of the seepage from the facility or from the required seepage removal/water return rate, to achieve the objective of demonstrating that the system was sized using defensible methods? </v>
      </c>
      <c r="G788" s="388" t="s">
        <v>1195</v>
      </c>
      <c r="H788" s="390">
        <v>4</v>
      </c>
      <c r="I788" s="390">
        <v>4</v>
      </c>
      <c r="J788" s="390"/>
      <c r="K788" s="398">
        <f>_xlfn.IFNA(VLOOKUP(A788,numbering!$K$3:$L$92,2,0),0)</f>
        <v>0</v>
      </c>
    </row>
    <row r="789" spans="1:11" ht="56" hidden="1" x14ac:dyDescent="0.2">
      <c r="A789" s="390">
        <v>235</v>
      </c>
      <c r="B789" s="390" t="s">
        <v>253</v>
      </c>
      <c r="C789" s="390">
        <f>VLOOKUP(B789,numbering!$N$18:$O$30,2,0)</f>
        <v>4</v>
      </c>
      <c r="D789" s="390" t="s">
        <v>366</v>
      </c>
      <c r="E789" s="403">
        <f t="shared" si="21"/>
        <v>33</v>
      </c>
      <c r="F789" s="435" t="s">
        <v>367</v>
      </c>
      <c r="G789" s="388" t="s">
        <v>1192</v>
      </c>
      <c r="H789" s="390">
        <v>1</v>
      </c>
      <c r="I789" s="390">
        <v>1</v>
      </c>
      <c r="J789" s="390"/>
      <c r="K789" s="398">
        <f>_xlfn.IFNA(VLOOKUP(A789,numbering!$K$3:$L$92,2,0),0)</f>
        <v>0</v>
      </c>
    </row>
    <row r="790" spans="1:11" ht="56" hidden="1" x14ac:dyDescent="0.2">
      <c r="A790" s="390">
        <v>235</v>
      </c>
      <c r="B790" s="390" t="s">
        <v>253</v>
      </c>
      <c r="C790" s="390">
        <f>VLOOKUP(B790,numbering!$N$18:$O$30,2,0)</f>
        <v>4</v>
      </c>
      <c r="D790" s="390" t="s">
        <v>366</v>
      </c>
      <c r="E790" s="403">
        <f t="shared" si="21"/>
        <v>33</v>
      </c>
      <c r="F790" s="435" t="str">
        <f>F789</f>
        <v>Is there documented evidence that the underdrainage was sized considering the hydraulic properties of the underdrainage materials, time-varying conditions and potential for blockages to demonstrate the  objective using defensible methods&gt;</v>
      </c>
      <c r="G790" s="388" t="s">
        <v>1193</v>
      </c>
      <c r="H790" s="390">
        <v>2</v>
      </c>
      <c r="I790" s="390">
        <v>2</v>
      </c>
      <c r="J790" s="390"/>
      <c r="K790" s="398">
        <f>_xlfn.IFNA(VLOOKUP(A790,numbering!$K$3:$L$92,2,0),0)</f>
        <v>0</v>
      </c>
    </row>
    <row r="791" spans="1:11" ht="56" hidden="1" x14ac:dyDescent="0.2">
      <c r="A791" s="390">
        <v>235</v>
      </c>
      <c r="B791" s="390" t="s">
        <v>253</v>
      </c>
      <c r="C791" s="390">
        <f>VLOOKUP(B791,numbering!$N$18:$O$30,2,0)</f>
        <v>4</v>
      </c>
      <c r="D791" s="390" t="s">
        <v>366</v>
      </c>
      <c r="E791" s="403">
        <f t="shared" si="21"/>
        <v>33</v>
      </c>
      <c r="F791" s="435" t="str">
        <f>F790</f>
        <v>Is there documented evidence that the underdrainage was sized considering the hydraulic properties of the underdrainage materials, time-varying conditions and potential for blockages to demonstrate the  objective using defensible methods&gt;</v>
      </c>
      <c r="G791" s="388" t="s">
        <v>1194</v>
      </c>
      <c r="H791" s="390">
        <v>3</v>
      </c>
      <c r="I791" s="390">
        <v>3</v>
      </c>
      <c r="J791" s="390"/>
      <c r="K791" s="398">
        <f>_xlfn.IFNA(VLOOKUP(A791,numbering!$K$3:$L$92,2,0),0)</f>
        <v>0</v>
      </c>
    </row>
    <row r="792" spans="1:11" ht="56" hidden="1" x14ac:dyDescent="0.2">
      <c r="A792" s="390">
        <v>235</v>
      </c>
      <c r="B792" s="390" t="s">
        <v>253</v>
      </c>
      <c r="C792" s="390">
        <f>VLOOKUP(B792,numbering!$N$18:$O$30,2,0)</f>
        <v>4</v>
      </c>
      <c r="D792" s="390" t="s">
        <v>366</v>
      </c>
      <c r="E792" s="403">
        <f t="shared" si="21"/>
        <v>33</v>
      </c>
      <c r="F792" s="435" t="str">
        <f>F791</f>
        <v>Is there documented evidence that the underdrainage was sized considering the hydraulic properties of the underdrainage materials, time-varying conditions and potential for blockages to demonstrate the  objective using defensible methods&gt;</v>
      </c>
      <c r="G792" s="388" t="s">
        <v>1195</v>
      </c>
      <c r="H792" s="390">
        <v>4</v>
      </c>
      <c r="I792" s="390">
        <v>4</v>
      </c>
      <c r="J792" s="390"/>
      <c r="K792" s="398">
        <f>_xlfn.IFNA(VLOOKUP(A792,numbering!$K$3:$L$92,2,0),0)</f>
        <v>0</v>
      </c>
    </row>
    <row r="793" spans="1:11" ht="70" hidden="1" x14ac:dyDescent="0.2">
      <c r="A793" s="390">
        <v>236</v>
      </c>
      <c r="B793" s="390" t="s">
        <v>253</v>
      </c>
      <c r="C793" s="390">
        <f>VLOOKUP(B793,numbering!$N$18:$O$30,2,0)</f>
        <v>4</v>
      </c>
      <c r="D793" s="390" t="s">
        <v>366</v>
      </c>
      <c r="E793" s="403">
        <f t="shared" si="21"/>
        <v>33</v>
      </c>
      <c r="F793" s="435" t="s">
        <v>1166</v>
      </c>
      <c r="G793" s="388" t="s">
        <v>1192</v>
      </c>
      <c r="H793" s="390">
        <v>1</v>
      </c>
      <c r="I793" s="390">
        <v>1</v>
      </c>
      <c r="J793" s="390"/>
      <c r="K793" s="398">
        <f>_xlfn.IFNA(VLOOKUP(A793,numbering!$K$3:$L$92,2,0),0)</f>
        <v>0</v>
      </c>
    </row>
    <row r="794" spans="1:11" ht="70" hidden="1" x14ac:dyDescent="0.2">
      <c r="A794" s="390">
        <v>236</v>
      </c>
      <c r="B794" s="390" t="s">
        <v>253</v>
      </c>
      <c r="C794" s="390">
        <f>VLOOKUP(B794,numbering!$N$18:$O$30,2,0)</f>
        <v>4</v>
      </c>
      <c r="D794" s="390" t="s">
        <v>366</v>
      </c>
      <c r="E794" s="403">
        <f t="shared" si="21"/>
        <v>33</v>
      </c>
      <c r="F794" s="435" t="str">
        <f>F793</f>
        <v xml:space="preserve">Is there documented evidence that the structural integrity of the underdrainage system was assessed using defensible methods, expected loading conditions and required factors of safety, to achieve the objective of limiting the likelihood that the structural elements of the underdrainage system will fail? </v>
      </c>
      <c r="G794" s="388" t="s">
        <v>1193</v>
      </c>
      <c r="H794" s="390">
        <v>2</v>
      </c>
      <c r="I794" s="390">
        <v>2</v>
      </c>
      <c r="J794" s="390"/>
      <c r="K794" s="398">
        <f>_xlfn.IFNA(VLOOKUP(A794,numbering!$K$3:$L$92,2,0),0)</f>
        <v>0</v>
      </c>
    </row>
    <row r="795" spans="1:11" ht="70" hidden="1" x14ac:dyDescent="0.2">
      <c r="A795" s="390">
        <v>236</v>
      </c>
      <c r="B795" s="390" t="s">
        <v>253</v>
      </c>
      <c r="C795" s="390">
        <f>VLOOKUP(B795,numbering!$N$18:$O$30,2,0)</f>
        <v>4</v>
      </c>
      <c r="D795" s="390" t="s">
        <v>366</v>
      </c>
      <c r="E795" s="403">
        <f t="shared" si="21"/>
        <v>33</v>
      </c>
      <c r="F795" s="435" t="str">
        <f>F794</f>
        <v xml:space="preserve">Is there documented evidence that the structural integrity of the underdrainage system was assessed using defensible methods, expected loading conditions and required factors of safety, to achieve the objective of limiting the likelihood that the structural elements of the underdrainage system will fail? </v>
      </c>
      <c r="G795" s="388" t="s">
        <v>1194</v>
      </c>
      <c r="H795" s="390">
        <v>3</v>
      </c>
      <c r="I795" s="390">
        <v>3</v>
      </c>
      <c r="J795" s="390"/>
      <c r="K795" s="398">
        <f>_xlfn.IFNA(VLOOKUP(A795,numbering!$K$3:$L$92,2,0),0)</f>
        <v>0</v>
      </c>
    </row>
    <row r="796" spans="1:11" ht="70" hidden="1" x14ac:dyDescent="0.2">
      <c r="A796" s="390">
        <v>236</v>
      </c>
      <c r="B796" s="390" t="s">
        <v>253</v>
      </c>
      <c r="C796" s="390">
        <f>VLOOKUP(B796,numbering!$N$18:$O$30,2,0)</f>
        <v>4</v>
      </c>
      <c r="D796" s="390" t="s">
        <v>366</v>
      </c>
      <c r="E796" s="403">
        <f t="shared" si="21"/>
        <v>33</v>
      </c>
      <c r="F796" s="435" t="str">
        <f>F795</f>
        <v xml:space="preserve">Is there documented evidence that the structural integrity of the underdrainage system was assessed using defensible methods, expected loading conditions and required factors of safety, to achieve the objective of limiting the likelihood that the structural elements of the underdrainage system will fail? </v>
      </c>
      <c r="G796" s="388" t="s">
        <v>1195</v>
      </c>
      <c r="H796" s="390">
        <v>4</v>
      </c>
      <c r="I796" s="390">
        <v>4</v>
      </c>
      <c r="J796" s="390"/>
      <c r="K796" s="398">
        <f>_xlfn.IFNA(VLOOKUP(A796,numbering!$K$3:$L$92,2,0),0)</f>
        <v>0</v>
      </c>
    </row>
    <row r="797" spans="1:11" ht="60" hidden="1" x14ac:dyDescent="0.2">
      <c r="A797" s="390">
        <v>237</v>
      </c>
      <c r="B797" s="390" t="s">
        <v>253</v>
      </c>
      <c r="C797" s="390">
        <f>VLOOKUP(B797,numbering!$N$18:$O$30,2,0)</f>
        <v>4</v>
      </c>
      <c r="D797" s="390" t="s">
        <v>368</v>
      </c>
      <c r="E797" s="403">
        <f t="shared" si="21"/>
        <v>34</v>
      </c>
      <c r="F797" s="432" t="s">
        <v>369</v>
      </c>
      <c r="G797" s="388" t="s">
        <v>1192</v>
      </c>
      <c r="H797" s="390">
        <v>1</v>
      </c>
      <c r="I797" s="390">
        <v>1</v>
      </c>
      <c r="J797" s="390"/>
      <c r="K797" s="398">
        <f>_xlfn.IFNA(VLOOKUP(A797,numbering!$K$3:$L$92,2,0),0)</f>
        <v>0</v>
      </c>
    </row>
    <row r="798" spans="1:11" ht="60" hidden="1" x14ac:dyDescent="0.2">
      <c r="A798" s="390">
        <v>237</v>
      </c>
      <c r="B798" s="390" t="s">
        <v>253</v>
      </c>
      <c r="C798" s="390">
        <f>VLOOKUP(B798,numbering!$N$18:$O$30,2,0)</f>
        <v>4</v>
      </c>
      <c r="D798" s="390" t="s">
        <v>368</v>
      </c>
      <c r="E798" s="403">
        <f t="shared" si="21"/>
        <v>34</v>
      </c>
      <c r="F798" s="432" t="str">
        <f>F797</f>
        <v>Is there documented evidence that the design of the conduit through the embankment has been designed using defensible methods, including the provision and design of appropriate filters, to achieve the objective of limiting the likelihood of structural failure and internal erosion due to the conduit?</v>
      </c>
      <c r="G798" s="388" t="s">
        <v>1193</v>
      </c>
      <c r="H798" s="390">
        <v>2</v>
      </c>
      <c r="I798" s="390">
        <v>2</v>
      </c>
      <c r="J798" s="390"/>
      <c r="K798" s="398">
        <f>_xlfn.IFNA(VLOOKUP(A798,numbering!$K$3:$L$92,2,0),0)</f>
        <v>0</v>
      </c>
    </row>
    <row r="799" spans="1:11" ht="60" hidden="1" x14ac:dyDescent="0.2">
      <c r="A799" s="390">
        <v>237</v>
      </c>
      <c r="B799" s="390" t="s">
        <v>253</v>
      </c>
      <c r="C799" s="390">
        <f>VLOOKUP(B799,numbering!$N$18:$O$30,2,0)</f>
        <v>4</v>
      </c>
      <c r="D799" s="390" t="s">
        <v>368</v>
      </c>
      <c r="E799" s="403">
        <f t="shared" si="21"/>
        <v>34</v>
      </c>
      <c r="F799" s="432" t="str">
        <f>F798</f>
        <v>Is there documented evidence that the design of the conduit through the embankment has been designed using defensible methods, including the provision and design of appropriate filters, to achieve the objective of limiting the likelihood of structural failure and internal erosion due to the conduit?</v>
      </c>
      <c r="G799" s="388" t="s">
        <v>1194</v>
      </c>
      <c r="H799" s="390">
        <v>3</v>
      </c>
      <c r="I799" s="390">
        <v>3</v>
      </c>
      <c r="J799" s="390"/>
      <c r="K799" s="398">
        <f>_xlfn.IFNA(VLOOKUP(A799,numbering!$K$3:$L$92,2,0),0)</f>
        <v>0</v>
      </c>
    </row>
    <row r="800" spans="1:11" ht="60" hidden="1" x14ac:dyDescent="0.2">
      <c r="A800" s="390">
        <v>237</v>
      </c>
      <c r="B800" s="390" t="s">
        <v>253</v>
      </c>
      <c r="C800" s="390">
        <f>VLOOKUP(B800,numbering!$N$18:$O$30,2,0)</f>
        <v>4</v>
      </c>
      <c r="D800" s="390" t="s">
        <v>368</v>
      </c>
      <c r="E800" s="403">
        <f t="shared" si="21"/>
        <v>34</v>
      </c>
      <c r="F800" s="432" t="str">
        <f>F799</f>
        <v>Is there documented evidence that the design of the conduit through the embankment has been designed using defensible methods, including the provision and design of appropriate filters, to achieve the objective of limiting the likelihood of structural failure and internal erosion due to the conduit?</v>
      </c>
      <c r="G800" s="388" t="s">
        <v>1195</v>
      </c>
      <c r="H800" s="390">
        <v>4</v>
      </c>
      <c r="I800" s="390">
        <v>4</v>
      </c>
      <c r="J800" s="390"/>
      <c r="K800" s="398">
        <f>_xlfn.IFNA(VLOOKUP(A800,numbering!$K$3:$L$92,2,0),0)</f>
        <v>0</v>
      </c>
    </row>
    <row r="801" spans="1:11" ht="56" hidden="1" x14ac:dyDescent="0.2">
      <c r="A801" s="390">
        <v>238</v>
      </c>
      <c r="B801" s="390" t="s">
        <v>253</v>
      </c>
      <c r="C801" s="390">
        <f>VLOOKUP(B801,numbering!$N$18:$O$30,2,0)</f>
        <v>4</v>
      </c>
      <c r="D801" s="390" t="s">
        <v>370</v>
      </c>
      <c r="E801" s="403">
        <f t="shared" si="21"/>
        <v>35</v>
      </c>
      <c r="F801" s="433" t="s">
        <v>371</v>
      </c>
      <c r="G801" s="388" t="s">
        <v>1192</v>
      </c>
      <c r="H801" s="390">
        <v>1</v>
      </c>
      <c r="I801" s="390">
        <v>1</v>
      </c>
      <c r="J801" s="390"/>
      <c r="K801" s="398">
        <f>_xlfn.IFNA(VLOOKUP(A801,numbering!$K$3:$L$92,2,0),0)</f>
        <v>0</v>
      </c>
    </row>
    <row r="802" spans="1:11" ht="56" hidden="1" x14ac:dyDescent="0.2">
      <c r="A802" s="390">
        <v>238</v>
      </c>
      <c r="B802" s="390" t="s">
        <v>253</v>
      </c>
      <c r="C802" s="390">
        <f>VLOOKUP(B802,numbering!$N$18:$O$30,2,0)</f>
        <v>4</v>
      </c>
      <c r="D802" s="390" t="s">
        <v>370</v>
      </c>
      <c r="E802" s="403">
        <f t="shared" si="21"/>
        <v>35</v>
      </c>
      <c r="F802" s="433" t="str">
        <f>F801</f>
        <v>Is there documented evidence that the liner properties were specified based on an assessment which considered the required/maximum seepage rates for the facility, to achieve the objective of specifying a fit-for-purpose liner?</v>
      </c>
      <c r="G802" s="388" t="s">
        <v>1193</v>
      </c>
      <c r="H802" s="390">
        <v>2</v>
      </c>
      <c r="I802" s="390">
        <v>2</v>
      </c>
      <c r="J802" s="390"/>
      <c r="K802" s="398">
        <f>_xlfn.IFNA(VLOOKUP(A802,numbering!$K$3:$L$92,2,0),0)</f>
        <v>0</v>
      </c>
    </row>
    <row r="803" spans="1:11" ht="56" hidden="1" x14ac:dyDescent="0.2">
      <c r="A803" s="390">
        <v>238</v>
      </c>
      <c r="B803" s="390" t="s">
        <v>253</v>
      </c>
      <c r="C803" s="390">
        <f>VLOOKUP(B803,numbering!$N$18:$O$30,2,0)</f>
        <v>4</v>
      </c>
      <c r="D803" s="390" t="s">
        <v>370</v>
      </c>
      <c r="E803" s="403">
        <f t="shared" si="21"/>
        <v>35</v>
      </c>
      <c r="F803" s="433" t="str">
        <f>F802</f>
        <v>Is there documented evidence that the liner properties were specified based on an assessment which considered the required/maximum seepage rates for the facility, to achieve the objective of specifying a fit-for-purpose liner?</v>
      </c>
      <c r="G803" s="388" t="s">
        <v>1194</v>
      </c>
      <c r="H803" s="390">
        <v>3</v>
      </c>
      <c r="I803" s="390">
        <v>3</v>
      </c>
      <c r="J803" s="390"/>
      <c r="K803" s="398">
        <f>_xlfn.IFNA(VLOOKUP(A803,numbering!$K$3:$L$92,2,0),0)</f>
        <v>0</v>
      </c>
    </row>
    <row r="804" spans="1:11" ht="56" hidden="1" x14ac:dyDescent="0.2">
      <c r="A804" s="390">
        <v>238</v>
      </c>
      <c r="B804" s="390" t="s">
        <v>253</v>
      </c>
      <c r="C804" s="390">
        <f>VLOOKUP(B804,numbering!$N$18:$O$30,2,0)</f>
        <v>4</v>
      </c>
      <c r="D804" s="390" t="s">
        <v>370</v>
      </c>
      <c r="E804" s="403">
        <f t="shared" si="21"/>
        <v>35</v>
      </c>
      <c r="F804" s="433" t="str">
        <f>F803</f>
        <v>Is there documented evidence that the liner properties were specified based on an assessment which considered the required/maximum seepage rates for the facility, to achieve the objective of specifying a fit-for-purpose liner?</v>
      </c>
      <c r="G804" s="388" t="s">
        <v>1195</v>
      </c>
      <c r="H804" s="390">
        <v>4</v>
      </c>
      <c r="I804" s="390">
        <v>4</v>
      </c>
      <c r="J804" s="390"/>
      <c r="K804" s="398">
        <f>_xlfn.IFNA(VLOOKUP(A804,numbering!$K$3:$L$92,2,0),0)</f>
        <v>0</v>
      </c>
    </row>
    <row r="805" spans="1:11" ht="56" hidden="1" x14ac:dyDescent="0.2">
      <c r="A805" s="390">
        <v>239</v>
      </c>
      <c r="B805" s="390" t="s">
        <v>253</v>
      </c>
      <c r="C805" s="390">
        <f>VLOOKUP(B805,numbering!$N$18:$O$30,2,0)</f>
        <v>4</v>
      </c>
      <c r="D805" s="390" t="s">
        <v>370</v>
      </c>
      <c r="E805" s="403">
        <f t="shared" si="21"/>
        <v>35</v>
      </c>
      <c r="F805" s="435" t="s">
        <v>372</v>
      </c>
      <c r="G805" s="388" t="s">
        <v>1192</v>
      </c>
      <c r="H805" s="390">
        <v>1</v>
      </c>
      <c r="I805" s="390">
        <v>1</v>
      </c>
      <c r="J805" s="390"/>
      <c r="K805" s="398">
        <f>_xlfn.IFNA(VLOOKUP(A805,numbering!$K$3:$L$92,2,0),0)</f>
        <v>0</v>
      </c>
    </row>
    <row r="806" spans="1:11" ht="56" hidden="1" x14ac:dyDescent="0.2">
      <c r="A806" s="390">
        <v>239</v>
      </c>
      <c r="B806" s="390" t="s">
        <v>253</v>
      </c>
      <c r="C806" s="390">
        <f>VLOOKUP(B806,numbering!$N$18:$O$30,2,0)</f>
        <v>4</v>
      </c>
      <c r="D806" s="390" t="s">
        <v>370</v>
      </c>
      <c r="E806" s="403">
        <f t="shared" si="21"/>
        <v>35</v>
      </c>
      <c r="F806" s="435" t="str">
        <f>F805</f>
        <v>Is there documented evidence that a structural assessment of the liner was undertaken using defensible methods and consideration to likely loading conditions and required factors of safety, to achieve the objective of limiting the likelihood of structural failure?</v>
      </c>
      <c r="G806" s="388" t="s">
        <v>1193</v>
      </c>
      <c r="H806" s="390">
        <v>2</v>
      </c>
      <c r="I806" s="390">
        <v>2</v>
      </c>
      <c r="J806" s="390"/>
      <c r="K806" s="398">
        <f>_xlfn.IFNA(VLOOKUP(A806,numbering!$K$3:$L$92,2,0),0)</f>
        <v>0</v>
      </c>
    </row>
    <row r="807" spans="1:11" ht="56" hidden="1" x14ac:dyDescent="0.2">
      <c r="A807" s="390">
        <v>239</v>
      </c>
      <c r="B807" s="390" t="s">
        <v>253</v>
      </c>
      <c r="C807" s="390">
        <f>VLOOKUP(B807,numbering!$N$18:$O$30,2,0)</f>
        <v>4</v>
      </c>
      <c r="D807" s="390" t="s">
        <v>370</v>
      </c>
      <c r="E807" s="403">
        <f t="shared" ref="E807:E874" si="22">IF(C807&lt;&gt;C806,1,IF(D807&lt;&gt;D806,E806+1,E806))</f>
        <v>35</v>
      </c>
      <c r="F807" s="435" t="str">
        <f>F806</f>
        <v>Is there documented evidence that a structural assessment of the liner was undertaken using defensible methods and consideration to likely loading conditions and required factors of safety, to achieve the objective of limiting the likelihood of structural failure?</v>
      </c>
      <c r="G807" s="388" t="s">
        <v>1194</v>
      </c>
      <c r="H807" s="390">
        <v>3</v>
      </c>
      <c r="I807" s="390">
        <v>3</v>
      </c>
      <c r="J807" s="390"/>
      <c r="K807" s="398">
        <f>_xlfn.IFNA(VLOOKUP(A807,numbering!$K$3:$L$92,2,0),0)</f>
        <v>0</v>
      </c>
    </row>
    <row r="808" spans="1:11" ht="56" hidden="1" x14ac:dyDescent="0.2">
      <c r="A808" s="390">
        <v>239</v>
      </c>
      <c r="B808" s="390" t="s">
        <v>253</v>
      </c>
      <c r="C808" s="390">
        <f>VLOOKUP(B808,numbering!$N$18:$O$30,2,0)</f>
        <v>4</v>
      </c>
      <c r="D808" s="390" t="s">
        <v>370</v>
      </c>
      <c r="E808" s="403">
        <f t="shared" si="22"/>
        <v>35</v>
      </c>
      <c r="F808" s="435" t="str">
        <f>F807</f>
        <v>Is there documented evidence that a structural assessment of the liner was undertaken using defensible methods and consideration to likely loading conditions and required factors of safety, to achieve the objective of limiting the likelihood of structural failure?</v>
      </c>
      <c r="G808" s="388" t="s">
        <v>1195</v>
      </c>
      <c r="H808" s="390">
        <v>4</v>
      </c>
      <c r="I808" s="390">
        <v>4</v>
      </c>
      <c r="J808" s="390"/>
      <c r="K808" s="398">
        <f>_xlfn.IFNA(VLOOKUP(A808,numbering!$K$3:$L$92,2,0),0)</f>
        <v>0</v>
      </c>
    </row>
    <row r="809" spans="1:11" ht="70" hidden="1" x14ac:dyDescent="0.2">
      <c r="A809" s="390">
        <v>240</v>
      </c>
      <c r="B809" s="390" t="s">
        <v>253</v>
      </c>
      <c r="C809" s="390">
        <f>VLOOKUP(B809,numbering!$N$18:$O$30,2,0)</f>
        <v>4</v>
      </c>
      <c r="D809" s="390" t="s">
        <v>373</v>
      </c>
      <c r="E809" s="403">
        <f t="shared" si="22"/>
        <v>36</v>
      </c>
      <c r="F809" s="433" t="s">
        <v>374</v>
      </c>
      <c r="G809" s="388" t="s">
        <v>1192</v>
      </c>
      <c r="H809" s="390">
        <v>1</v>
      </c>
      <c r="I809" s="390">
        <v>1</v>
      </c>
      <c r="J809" s="390"/>
      <c r="K809" s="398">
        <f>_xlfn.IFNA(VLOOKUP(A809,numbering!$K$3:$L$92,2,0),0)</f>
        <v>0</v>
      </c>
    </row>
    <row r="810" spans="1:11" ht="70" hidden="1" x14ac:dyDescent="0.2">
      <c r="A810" s="390">
        <v>240</v>
      </c>
      <c r="B810" s="390" t="s">
        <v>253</v>
      </c>
      <c r="C810" s="390">
        <f>VLOOKUP(B810,numbering!$N$18:$O$30,2,0)</f>
        <v>4</v>
      </c>
      <c r="D810" s="390" t="s">
        <v>373</v>
      </c>
      <c r="E810" s="403">
        <f t="shared" si="22"/>
        <v>36</v>
      </c>
      <c r="F810" s="433" t="str">
        <f>F809</f>
        <v>Is there documented evidence of the design of all mechanical elements (pipework and valves) for the delivery of water and tailings which demonstrates that the objective of the design being carried out using inputs representative of the operating conditions and defensible design methods was achieved?</v>
      </c>
      <c r="G810" s="388" t="s">
        <v>1193</v>
      </c>
      <c r="H810" s="390">
        <v>2</v>
      </c>
      <c r="I810" s="390">
        <v>2</v>
      </c>
      <c r="J810" s="390"/>
      <c r="K810" s="398">
        <f>_xlfn.IFNA(VLOOKUP(A810,numbering!$K$3:$L$92,2,0),0)</f>
        <v>0</v>
      </c>
    </row>
    <row r="811" spans="1:11" ht="70" hidden="1" x14ac:dyDescent="0.2">
      <c r="A811" s="390">
        <v>240</v>
      </c>
      <c r="B811" s="390" t="s">
        <v>253</v>
      </c>
      <c r="C811" s="390">
        <f>VLOOKUP(B811,numbering!$N$18:$O$30,2,0)</f>
        <v>4</v>
      </c>
      <c r="D811" s="390" t="s">
        <v>373</v>
      </c>
      <c r="E811" s="403">
        <f t="shared" si="22"/>
        <v>36</v>
      </c>
      <c r="F811" s="433" t="str">
        <f>F810</f>
        <v>Is there documented evidence of the design of all mechanical elements (pipework and valves) for the delivery of water and tailings which demonstrates that the objective of the design being carried out using inputs representative of the operating conditions and defensible design methods was achieved?</v>
      </c>
      <c r="G811" s="388" t="s">
        <v>1194</v>
      </c>
      <c r="H811" s="390">
        <v>3</v>
      </c>
      <c r="I811" s="390">
        <v>3</v>
      </c>
      <c r="J811" s="390"/>
      <c r="K811" s="398">
        <f>_xlfn.IFNA(VLOOKUP(A811,numbering!$K$3:$L$92,2,0),0)</f>
        <v>0</v>
      </c>
    </row>
    <row r="812" spans="1:11" ht="70" hidden="1" x14ac:dyDescent="0.2">
      <c r="A812" s="390">
        <v>240</v>
      </c>
      <c r="B812" s="390" t="s">
        <v>253</v>
      </c>
      <c r="C812" s="390">
        <f>VLOOKUP(B812,numbering!$N$18:$O$30,2,0)</f>
        <v>4</v>
      </c>
      <c r="D812" s="390" t="s">
        <v>373</v>
      </c>
      <c r="E812" s="403">
        <f t="shared" si="22"/>
        <v>36</v>
      </c>
      <c r="F812" s="433" t="str">
        <f>F811</f>
        <v>Is there documented evidence of the design of all mechanical elements (pipework and valves) for the delivery of water and tailings which demonstrates that the objective of the design being carried out using inputs representative of the operating conditions and defensible design methods was achieved?</v>
      </c>
      <c r="G812" s="388" t="s">
        <v>1195</v>
      </c>
      <c r="H812" s="390">
        <v>4</v>
      </c>
      <c r="I812" s="390">
        <v>4</v>
      </c>
      <c r="J812" s="390"/>
      <c r="K812" s="398">
        <f>_xlfn.IFNA(VLOOKUP(A812,numbering!$K$3:$L$92,2,0),0)</f>
        <v>0</v>
      </c>
    </row>
    <row r="813" spans="1:11" ht="70" hidden="1" x14ac:dyDescent="0.2">
      <c r="A813" s="390">
        <v>241</v>
      </c>
      <c r="B813" s="390" t="s">
        <v>253</v>
      </c>
      <c r="C813" s="390">
        <f>VLOOKUP(B813,numbering!$N$18:$O$30,2,0)</f>
        <v>4</v>
      </c>
      <c r="D813" s="390" t="s">
        <v>375</v>
      </c>
      <c r="E813" s="403">
        <f t="shared" si="22"/>
        <v>37</v>
      </c>
      <c r="F813" s="433" t="s">
        <v>376</v>
      </c>
      <c r="G813" s="388" t="s">
        <v>1192</v>
      </c>
      <c r="H813" s="390">
        <v>1</v>
      </c>
      <c r="I813" s="390">
        <v>1</v>
      </c>
      <c r="J813" s="390"/>
      <c r="K813" s="398">
        <f>_xlfn.IFNA(VLOOKUP(A813,numbering!$K$3:$L$92,2,0),0)</f>
        <v>0</v>
      </c>
    </row>
    <row r="814" spans="1:11" ht="70" hidden="1" x14ac:dyDescent="0.2">
      <c r="A814" s="390">
        <v>241</v>
      </c>
      <c r="B814" s="390" t="s">
        <v>253</v>
      </c>
      <c r="C814" s="390">
        <f>VLOOKUP(B814,numbering!$N$18:$O$30,2,0)</f>
        <v>4</v>
      </c>
      <c r="D814" s="390" t="s">
        <v>375</v>
      </c>
      <c r="E814" s="403">
        <f t="shared" si="22"/>
        <v>37</v>
      </c>
      <c r="F814" s="433" t="str">
        <f>F813</f>
        <v>Is there documented evidence of the design of all mechanical elements (pipework and valves) for the removal and return of water which demonstrates that the objective of the design being carried out using inputs representative of the operating conditions and defensible design methods was achieved?</v>
      </c>
      <c r="G814" s="388" t="s">
        <v>1193</v>
      </c>
      <c r="H814" s="390">
        <v>2</v>
      </c>
      <c r="I814" s="390">
        <v>2</v>
      </c>
      <c r="J814" s="390"/>
      <c r="K814" s="398">
        <f>_xlfn.IFNA(VLOOKUP(A814,numbering!$K$3:$L$92,2,0),0)</f>
        <v>0</v>
      </c>
    </row>
    <row r="815" spans="1:11" ht="70" hidden="1" x14ac:dyDescent="0.2">
      <c r="A815" s="390">
        <v>241</v>
      </c>
      <c r="B815" s="390" t="s">
        <v>253</v>
      </c>
      <c r="C815" s="390">
        <f>VLOOKUP(B815,numbering!$N$18:$O$30,2,0)</f>
        <v>4</v>
      </c>
      <c r="D815" s="390" t="s">
        <v>375</v>
      </c>
      <c r="E815" s="403">
        <f t="shared" si="22"/>
        <v>37</v>
      </c>
      <c r="F815" s="433" t="str">
        <f>F814</f>
        <v>Is there documented evidence of the design of all mechanical elements (pipework and valves) for the removal and return of water which demonstrates that the objective of the design being carried out using inputs representative of the operating conditions and defensible design methods was achieved?</v>
      </c>
      <c r="G815" s="388" t="s">
        <v>1194</v>
      </c>
      <c r="H815" s="390">
        <v>3</v>
      </c>
      <c r="I815" s="390">
        <v>3</v>
      </c>
      <c r="J815" s="390"/>
      <c r="K815" s="398">
        <f>_xlfn.IFNA(VLOOKUP(A815,numbering!$K$3:$L$92,2,0),0)</f>
        <v>0</v>
      </c>
    </row>
    <row r="816" spans="1:11" ht="70" hidden="1" x14ac:dyDescent="0.2">
      <c r="A816" s="390">
        <v>241</v>
      </c>
      <c r="B816" s="390" t="s">
        <v>253</v>
      </c>
      <c r="C816" s="390">
        <f>VLOOKUP(B816,numbering!$N$18:$O$30,2,0)</f>
        <v>4</v>
      </c>
      <c r="D816" s="390" t="s">
        <v>375</v>
      </c>
      <c r="E816" s="403">
        <f t="shared" si="22"/>
        <v>37</v>
      </c>
      <c r="F816" s="433" t="str">
        <f>F815</f>
        <v>Is there documented evidence of the design of all mechanical elements (pipework and valves) for the removal and return of water which demonstrates that the objective of the design being carried out using inputs representative of the operating conditions and defensible design methods was achieved?</v>
      </c>
      <c r="G816" s="388" t="s">
        <v>1195</v>
      </c>
      <c r="H816" s="390">
        <v>4</v>
      </c>
      <c r="I816" s="390">
        <v>4</v>
      </c>
      <c r="J816" s="390"/>
      <c r="K816" s="398">
        <f>_xlfn.IFNA(VLOOKUP(A816,numbering!$K$3:$L$92,2,0),0)</f>
        <v>0</v>
      </c>
    </row>
    <row r="817" spans="1:11" ht="70" hidden="1" x14ac:dyDescent="0.2">
      <c r="A817" s="390">
        <v>242</v>
      </c>
      <c r="B817" s="390" t="s">
        <v>253</v>
      </c>
      <c r="C817" s="390">
        <f>VLOOKUP(B817,numbering!$N$18:$O$30,2,0)</f>
        <v>4</v>
      </c>
      <c r="D817" s="390" t="s">
        <v>377</v>
      </c>
      <c r="E817" s="403">
        <f t="shared" si="22"/>
        <v>38</v>
      </c>
      <c r="F817" s="433" t="s">
        <v>378</v>
      </c>
      <c r="G817" s="388" t="s">
        <v>1192</v>
      </c>
      <c r="H817" s="390">
        <v>1</v>
      </c>
      <c r="I817" s="390">
        <v>1</v>
      </c>
      <c r="J817" s="390"/>
      <c r="K817" s="398">
        <f>_xlfn.IFNA(VLOOKUP(A817,numbering!$K$3:$L$92,2,0),0)</f>
        <v>0</v>
      </c>
    </row>
    <row r="818" spans="1:11" ht="70" hidden="1" x14ac:dyDescent="0.2">
      <c r="A818" s="390">
        <v>242</v>
      </c>
      <c r="B818" s="390" t="s">
        <v>253</v>
      </c>
      <c r="C818" s="390">
        <f>VLOOKUP(B818,numbering!$N$18:$O$30,2,0)</f>
        <v>4</v>
      </c>
      <c r="D818" s="390" t="s">
        <v>377</v>
      </c>
      <c r="E818" s="403">
        <f t="shared" si="22"/>
        <v>38</v>
      </c>
      <c r="F818" s="433" t="str">
        <f>F817</f>
        <v>Is there documented evidence of the design of all apparent structures (e.g. decant towers, outlet conduits) which demonstrates that the objective of the designs being carried out using inputs representative of the operating and extreme conditions and defensible design methods was achieved?</v>
      </c>
      <c r="G818" s="388" t="s">
        <v>1193</v>
      </c>
      <c r="H818" s="390">
        <v>2</v>
      </c>
      <c r="I818" s="390">
        <v>2</v>
      </c>
      <c r="J818" s="390"/>
      <c r="K818" s="398">
        <f>_xlfn.IFNA(VLOOKUP(A818,numbering!$K$3:$L$92,2,0),0)</f>
        <v>0</v>
      </c>
    </row>
    <row r="819" spans="1:11" ht="70" hidden="1" x14ac:dyDescent="0.2">
      <c r="A819" s="390">
        <v>242</v>
      </c>
      <c r="B819" s="390" t="s">
        <v>253</v>
      </c>
      <c r="C819" s="390">
        <f>VLOOKUP(B819,numbering!$N$18:$O$30,2,0)</f>
        <v>4</v>
      </c>
      <c r="D819" s="390" t="s">
        <v>377</v>
      </c>
      <c r="E819" s="403">
        <f t="shared" si="22"/>
        <v>38</v>
      </c>
      <c r="F819" s="433" t="str">
        <f>F818</f>
        <v>Is there documented evidence of the design of all apparent structures (e.g. decant towers, outlet conduits) which demonstrates that the objective of the designs being carried out using inputs representative of the operating and extreme conditions and defensible design methods was achieved?</v>
      </c>
      <c r="G819" s="388" t="s">
        <v>1194</v>
      </c>
      <c r="H819" s="390">
        <v>3</v>
      </c>
      <c r="I819" s="390">
        <v>3</v>
      </c>
      <c r="J819" s="390"/>
      <c r="K819" s="398">
        <f>_xlfn.IFNA(VLOOKUP(A819,numbering!$K$3:$L$92,2,0),0)</f>
        <v>0</v>
      </c>
    </row>
    <row r="820" spans="1:11" ht="70" hidden="1" x14ac:dyDescent="0.2">
      <c r="A820" s="390">
        <v>242</v>
      </c>
      <c r="B820" s="390" t="s">
        <v>253</v>
      </c>
      <c r="C820" s="390">
        <f>VLOOKUP(B820,numbering!$N$18:$O$30,2,0)</f>
        <v>4</v>
      </c>
      <c r="D820" s="390" t="s">
        <v>377</v>
      </c>
      <c r="E820" s="403">
        <f t="shared" si="22"/>
        <v>38</v>
      </c>
      <c r="F820" s="433" t="str">
        <f>F819</f>
        <v>Is there documented evidence of the design of all apparent structures (e.g. decant towers, outlet conduits) which demonstrates that the objective of the designs being carried out using inputs representative of the operating and extreme conditions and defensible design methods was achieved?</v>
      </c>
      <c r="G820" s="388" t="s">
        <v>1195</v>
      </c>
      <c r="H820" s="390">
        <v>4</v>
      </c>
      <c r="I820" s="390">
        <v>4</v>
      </c>
      <c r="J820" s="390"/>
      <c r="K820" s="398">
        <f>_xlfn.IFNA(VLOOKUP(A820,numbering!$K$3:$L$92,2,0),0)</f>
        <v>0</v>
      </c>
    </row>
    <row r="821" spans="1:11" ht="30" hidden="1" x14ac:dyDescent="0.2">
      <c r="A821" s="390">
        <v>243</v>
      </c>
      <c r="B821" s="390" t="s">
        <v>253</v>
      </c>
      <c r="C821" s="390">
        <f>VLOOKUP(B821,numbering!$N$18:$O$30,2,0)</f>
        <v>4</v>
      </c>
      <c r="D821" s="390" t="s">
        <v>379</v>
      </c>
      <c r="E821" s="403">
        <f t="shared" si="22"/>
        <v>39</v>
      </c>
      <c r="F821" s="432" t="s">
        <v>380</v>
      </c>
      <c r="G821" s="388" t="s">
        <v>1192</v>
      </c>
      <c r="H821" s="390">
        <v>1</v>
      </c>
      <c r="I821" s="390">
        <v>1</v>
      </c>
      <c r="J821" s="390"/>
      <c r="K821" s="398">
        <f>_xlfn.IFNA(VLOOKUP(A821,numbering!$K$3:$L$92,2,0),0)</f>
        <v>0</v>
      </c>
    </row>
    <row r="822" spans="1:11" ht="32" hidden="1" x14ac:dyDescent="0.2">
      <c r="A822" s="390">
        <v>243</v>
      </c>
      <c r="B822" s="390" t="s">
        <v>253</v>
      </c>
      <c r="C822" s="390">
        <f>VLOOKUP(B822,numbering!$N$18:$O$30,2,0)</f>
        <v>4</v>
      </c>
      <c r="D822" s="390" t="s">
        <v>379</v>
      </c>
      <c r="E822" s="403">
        <f t="shared" si="22"/>
        <v>39</v>
      </c>
      <c r="F822" s="432" t="str">
        <f>F821</f>
        <v>Are there design reports available for all design studies for the facility, to achieve the objective of documenting and providing evidence of all design activities?</v>
      </c>
      <c r="G822" s="388" t="s">
        <v>1193</v>
      </c>
      <c r="H822" s="390">
        <v>2</v>
      </c>
      <c r="I822" s="390">
        <v>2</v>
      </c>
      <c r="J822" s="390"/>
      <c r="K822" s="398">
        <f>_xlfn.IFNA(VLOOKUP(A822,numbering!$K$3:$L$92,2,0),0)</f>
        <v>0</v>
      </c>
    </row>
    <row r="823" spans="1:11" ht="32" hidden="1" x14ac:dyDescent="0.2">
      <c r="A823" s="390">
        <v>243</v>
      </c>
      <c r="B823" s="390" t="s">
        <v>253</v>
      </c>
      <c r="C823" s="390">
        <f>VLOOKUP(B823,numbering!$N$18:$O$30,2,0)</f>
        <v>4</v>
      </c>
      <c r="D823" s="390" t="s">
        <v>379</v>
      </c>
      <c r="E823" s="403">
        <f t="shared" si="22"/>
        <v>39</v>
      </c>
      <c r="F823" s="432" t="str">
        <f>F822</f>
        <v>Are there design reports available for all design studies for the facility, to achieve the objective of documenting and providing evidence of all design activities?</v>
      </c>
      <c r="G823" s="388" t="s">
        <v>1194</v>
      </c>
      <c r="H823" s="390">
        <v>3</v>
      </c>
      <c r="I823" s="390">
        <v>3</v>
      </c>
      <c r="J823" s="390"/>
      <c r="K823" s="398">
        <f>_xlfn.IFNA(VLOOKUP(A823,numbering!$K$3:$L$92,2,0),0)</f>
        <v>0</v>
      </c>
    </row>
    <row r="824" spans="1:11" ht="30" hidden="1" x14ac:dyDescent="0.2">
      <c r="A824" s="390">
        <v>243</v>
      </c>
      <c r="B824" s="390" t="s">
        <v>253</v>
      </c>
      <c r="C824" s="390">
        <f>VLOOKUP(B824,numbering!$N$18:$O$30,2,0)</f>
        <v>4</v>
      </c>
      <c r="D824" s="390" t="s">
        <v>379</v>
      </c>
      <c r="E824" s="403">
        <f t="shared" si="22"/>
        <v>39</v>
      </c>
      <c r="F824" s="432" t="str">
        <f>F823</f>
        <v>Are there design reports available for all design studies for the facility, to achieve the objective of documenting and providing evidence of all design activities?</v>
      </c>
      <c r="G824" s="388" t="s">
        <v>1195</v>
      </c>
      <c r="H824" s="390">
        <v>4</v>
      </c>
      <c r="I824" s="390">
        <v>4</v>
      </c>
      <c r="J824" s="390"/>
      <c r="K824" s="398">
        <f>_xlfn.IFNA(VLOOKUP(A824,numbering!$K$3:$L$92,2,0),0)</f>
        <v>0</v>
      </c>
    </row>
    <row r="825" spans="1:11" ht="60" hidden="1" x14ac:dyDescent="0.2">
      <c r="A825" s="390">
        <v>244</v>
      </c>
      <c r="B825" s="390" t="s">
        <v>253</v>
      </c>
      <c r="C825" s="390">
        <f>VLOOKUP(B825,numbering!$N$18:$O$30,2,0)</f>
        <v>4</v>
      </c>
      <c r="D825" s="390" t="s">
        <v>381</v>
      </c>
      <c r="E825" s="403">
        <f t="shared" si="22"/>
        <v>40</v>
      </c>
      <c r="F825" s="422" t="s">
        <v>1361</v>
      </c>
      <c r="G825" s="388" t="s">
        <v>1192</v>
      </c>
      <c r="H825" s="390">
        <v>1</v>
      </c>
      <c r="I825" s="390">
        <v>1</v>
      </c>
      <c r="J825" s="390"/>
      <c r="K825" s="398">
        <f>_xlfn.IFNA(VLOOKUP(A825,numbering!$K$3:$L$92,2,0),0)</f>
        <v>1</v>
      </c>
    </row>
    <row r="826" spans="1:11" ht="60" hidden="1" x14ac:dyDescent="0.2">
      <c r="A826" s="390">
        <v>244</v>
      </c>
      <c r="B826" s="390" t="s">
        <v>253</v>
      </c>
      <c r="C826" s="390">
        <f>VLOOKUP(B826,numbering!$N$18:$O$30,2,0)</f>
        <v>4</v>
      </c>
      <c r="D826" s="390" t="s">
        <v>381</v>
      </c>
      <c r="E826" s="403">
        <f t="shared" si="22"/>
        <v>40</v>
      </c>
      <c r="F826" s="422" t="s">
        <v>1361</v>
      </c>
      <c r="G826" s="388" t="s">
        <v>1193</v>
      </c>
      <c r="H826" s="390">
        <v>2</v>
      </c>
      <c r="I826" s="390">
        <v>2</v>
      </c>
      <c r="J826" s="390"/>
      <c r="K826" s="398">
        <f>_xlfn.IFNA(VLOOKUP(A826,numbering!$K$3:$L$92,2,0),0)</f>
        <v>1</v>
      </c>
    </row>
    <row r="827" spans="1:11" ht="60" hidden="1" x14ac:dyDescent="0.2">
      <c r="A827" s="390">
        <v>244</v>
      </c>
      <c r="B827" s="390" t="s">
        <v>253</v>
      </c>
      <c r="C827" s="390">
        <f>VLOOKUP(B827,numbering!$N$18:$O$30,2,0)</f>
        <v>4</v>
      </c>
      <c r="D827" s="390" t="s">
        <v>381</v>
      </c>
      <c r="E827" s="403">
        <f t="shared" si="22"/>
        <v>40</v>
      </c>
      <c r="F827" s="422" t="s">
        <v>1361</v>
      </c>
      <c r="G827" s="388" t="s">
        <v>1194</v>
      </c>
      <c r="H827" s="390">
        <v>3</v>
      </c>
      <c r="I827" s="390">
        <v>3</v>
      </c>
      <c r="J827" s="390"/>
      <c r="K827" s="398">
        <f>_xlfn.IFNA(VLOOKUP(A827,numbering!$K$3:$L$92,2,0),0)</f>
        <v>1</v>
      </c>
    </row>
    <row r="828" spans="1:11" ht="60" hidden="1" x14ac:dyDescent="0.2">
      <c r="A828" s="390">
        <v>244</v>
      </c>
      <c r="B828" s="390" t="s">
        <v>253</v>
      </c>
      <c r="C828" s="390">
        <f>VLOOKUP(B828,numbering!$N$18:$O$30,2,0)</f>
        <v>4</v>
      </c>
      <c r="D828" s="390" t="s">
        <v>381</v>
      </c>
      <c r="E828" s="403">
        <f t="shared" si="22"/>
        <v>40</v>
      </c>
      <c r="F828" s="422" t="s">
        <v>1361</v>
      </c>
      <c r="G828" s="388" t="s">
        <v>1195</v>
      </c>
      <c r="H828" s="390">
        <v>4</v>
      </c>
      <c r="I828" s="390">
        <v>4</v>
      </c>
      <c r="J828" s="390"/>
      <c r="K828" s="398">
        <f>_xlfn.IFNA(VLOOKUP(A828,numbering!$K$3:$L$92,2,0),0)</f>
        <v>1</v>
      </c>
    </row>
    <row r="829" spans="1:11" ht="60" hidden="1" x14ac:dyDescent="0.2">
      <c r="A829" s="390">
        <v>364</v>
      </c>
      <c r="B829" s="390" t="s">
        <v>253</v>
      </c>
      <c r="C829" s="390">
        <f>VLOOKUP(B829,numbering!$N$18:$O$30,2,0)</f>
        <v>4</v>
      </c>
      <c r="D829" s="390" t="s">
        <v>381</v>
      </c>
      <c r="E829" s="403">
        <f t="shared" ref="E829" si="23">IF(C829&lt;&gt;C828,1,IF(D829&lt;&gt;D828,E828+1,E828))</f>
        <v>40</v>
      </c>
      <c r="F829" s="422" t="s">
        <v>1362</v>
      </c>
      <c r="G829" s="388" t="s">
        <v>1192</v>
      </c>
      <c r="H829" s="390">
        <v>1</v>
      </c>
      <c r="I829" s="390">
        <v>1</v>
      </c>
      <c r="J829" s="390"/>
      <c r="K829" s="398">
        <v>1</v>
      </c>
    </row>
    <row r="830" spans="1:11" ht="60" hidden="1" x14ac:dyDescent="0.2">
      <c r="A830" s="390">
        <v>364</v>
      </c>
      <c r="B830" s="390" t="s">
        <v>253</v>
      </c>
      <c r="C830" s="390">
        <f>VLOOKUP(B830,numbering!$N$18:$O$30,2,0)</f>
        <v>4</v>
      </c>
      <c r="D830" s="390" t="s">
        <v>381</v>
      </c>
      <c r="E830" s="403">
        <f>IF(C830&lt;&gt;C831,1,IF(D830&lt;&gt;D831,E831+1,E831))</f>
        <v>40</v>
      </c>
      <c r="F830" s="422" t="s">
        <v>1362</v>
      </c>
      <c r="G830" s="388" t="s">
        <v>1193</v>
      </c>
      <c r="H830" s="390">
        <v>2</v>
      </c>
      <c r="I830" s="390">
        <v>2</v>
      </c>
      <c r="J830" s="390"/>
      <c r="K830" s="398">
        <v>1</v>
      </c>
    </row>
    <row r="831" spans="1:11" ht="60" hidden="1" x14ac:dyDescent="0.2">
      <c r="A831" s="390">
        <v>364</v>
      </c>
      <c r="B831" s="390" t="s">
        <v>253</v>
      </c>
      <c r="C831" s="390">
        <f>VLOOKUP(B831,numbering!$N$18:$O$30,2,0)</f>
        <v>4</v>
      </c>
      <c r="D831" s="390" t="s">
        <v>381</v>
      </c>
      <c r="E831" s="403">
        <f>IF(C831&lt;&gt;C832,1,IF(D831&lt;&gt;D832,E832+1,E832))</f>
        <v>40</v>
      </c>
      <c r="F831" s="422" t="s">
        <v>1362</v>
      </c>
      <c r="G831" s="388" t="s">
        <v>1194</v>
      </c>
      <c r="H831" s="390">
        <v>3</v>
      </c>
      <c r="I831" s="390">
        <v>3</v>
      </c>
      <c r="J831" s="390"/>
      <c r="K831" s="398">
        <v>1</v>
      </c>
    </row>
    <row r="832" spans="1:11" ht="60" hidden="1" x14ac:dyDescent="0.2">
      <c r="A832" s="390">
        <v>364</v>
      </c>
      <c r="B832" s="390" t="s">
        <v>253</v>
      </c>
      <c r="C832" s="390">
        <f>VLOOKUP(B832,numbering!$N$18:$O$30,2,0)</f>
        <v>4</v>
      </c>
      <c r="D832" s="390" t="s">
        <v>381</v>
      </c>
      <c r="E832" s="403">
        <f>IF(C832&lt;&gt;C829,1,IF(D832&lt;&gt;D829,E829+1,E829))</f>
        <v>40</v>
      </c>
      <c r="F832" s="422" t="s">
        <v>1362</v>
      </c>
      <c r="G832" s="388" t="s">
        <v>1195</v>
      </c>
      <c r="H832" s="390">
        <v>4</v>
      </c>
      <c r="I832" s="390">
        <v>4</v>
      </c>
      <c r="J832" s="390"/>
      <c r="K832" s="398">
        <v>1</v>
      </c>
    </row>
    <row r="833" spans="1:11" ht="56" hidden="1" x14ac:dyDescent="0.2">
      <c r="A833" s="390">
        <v>245</v>
      </c>
      <c r="B833" s="390" t="s">
        <v>253</v>
      </c>
      <c r="C833" s="390">
        <f>VLOOKUP(B833,numbering!$N$18:$O$30,2,0)</f>
        <v>4</v>
      </c>
      <c r="D833" s="390" t="s">
        <v>382</v>
      </c>
      <c r="E833" s="403">
        <f>IF(C833&lt;&gt;C828,1,IF(D833&lt;&gt;D828,E828+1,E828))</f>
        <v>41</v>
      </c>
      <c r="F833" s="433" t="s">
        <v>383</v>
      </c>
      <c r="G833" s="388" t="s">
        <v>1192</v>
      </c>
      <c r="H833" s="390">
        <v>1</v>
      </c>
      <c r="I833" s="390">
        <v>1</v>
      </c>
      <c r="J833" s="390"/>
      <c r="K833" s="398">
        <f>_xlfn.IFNA(VLOOKUP(A833,numbering!$K$3:$L$92,2,0),0)</f>
        <v>0</v>
      </c>
    </row>
    <row r="834" spans="1:11" ht="56" hidden="1" x14ac:dyDescent="0.2">
      <c r="A834" s="390">
        <v>245</v>
      </c>
      <c r="B834" s="390" t="s">
        <v>253</v>
      </c>
      <c r="C834" s="390">
        <f>VLOOKUP(B834,numbering!$N$18:$O$30,2,0)</f>
        <v>4</v>
      </c>
      <c r="D834" s="390" t="s">
        <v>382</v>
      </c>
      <c r="E834" s="403">
        <f t="shared" si="22"/>
        <v>41</v>
      </c>
      <c r="F834" s="433" t="str">
        <f>F833</f>
        <v>Is there documented evidence that an appropriately detailed risk assessment was completed for the facility to achieve the objective of identifying and documenting the facilities risks within an appropriate framework?</v>
      </c>
      <c r="G834" s="388" t="s">
        <v>1193</v>
      </c>
      <c r="H834" s="390">
        <v>2</v>
      </c>
      <c r="I834" s="390">
        <v>2</v>
      </c>
      <c r="J834" s="390"/>
      <c r="K834" s="398">
        <f>_xlfn.IFNA(VLOOKUP(A834,numbering!$K$3:$L$92,2,0),0)</f>
        <v>0</v>
      </c>
    </row>
    <row r="835" spans="1:11" ht="56" hidden="1" x14ac:dyDescent="0.2">
      <c r="A835" s="390">
        <v>245</v>
      </c>
      <c r="B835" s="390" t="s">
        <v>253</v>
      </c>
      <c r="C835" s="390">
        <f>VLOOKUP(B835,numbering!$N$18:$O$30,2,0)</f>
        <v>4</v>
      </c>
      <c r="D835" s="390" t="s">
        <v>382</v>
      </c>
      <c r="E835" s="403">
        <f t="shared" si="22"/>
        <v>41</v>
      </c>
      <c r="F835" s="433" t="str">
        <f>F834</f>
        <v>Is there documented evidence that an appropriately detailed risk assessment was completed for the facility to achieve the objective of identifying and documenting the facilities risks within an appropriate framework?</v>
      </c>
      <c r="G835" s="388" t="s">
        <v>1194</v>
      </c>
      <c r="H835" s="390">
        <v>3</v>
      </c>
      <c r="I835" s="390">
        <v>3</v>
      </c>
      <c r="J835" s="390"/>
      <c r="K835" s="398">
        <f>_xlfn.IFNA(VLOOKUP(A835,numbering!$K$3:$L$92,2,0),0)</f>
        <v>0</v>
      </c>
    </row>
    <row r="836" spans="1:11" ht="56" hidden="1" x14ac:dyDescent="0.2">
      <c r="A836" s="390">
        <v>245</v>
      </c>
      <c r="B836" s="390" t="s">
        <v>253</v>
      </c>
      <c r="C836" s="390">
        <f>VLOOKUP(B836,numbering!$N$18:$O$30,2,0)</f>
        <v>4</v>
      </c>
      <c r="D836" s="390" t="s">
        <v>382</v>
      </c>
      <c r="E836" s="403">
        <f t="shared" si="22"/>
        <v>41</v>
      </c>
      <c r="F836" s="433" t="str">
        <f>F835</f>
        <v>Is there documented evidence that an appropriately detailed risk assessment was completed for the facility to achieve the objective of identifying and documenting the facilities risks within an appropriate framework?</v>
      </c>
      <c r="G836" s="388" t="s">
        <v>1195</v>
      </c>
      <c r="H836" s="390">
        <v>4</v>
      </c>
      <c r="I836" s="390">
        <v>4</v>
      </c>
      <c r="J836" s="390"/>
      <c r="K836" s="398">
        <f>_xlfn.IFNA(VLOOKUP(A836,numbering!$K$3:$L$92,2,0),0)</f>
        <v>0</v>
      </c>
    </row>
    <row r="837" spans="1:11" ht="70" hidden="1" x14ac:dyDescent="0.2">
      <c r="A837" s="390">
        <v>246</v>
      </c>
      <c r="B837" s="390" t="s">
        <v>253</v>
      </c>
      <c r="C837" s="390">
        <f>VLOOKUP(B837,numbering!$N$18:$O$30,2,0)</f>
        <v>4</v>
      </c>
      <c r="D837" s="390" t="s">
        <v>382</v>
      </c>
      <c r="E837" s="403">
        <f t="shared" si="22"/>
        <v>41</v>
      </c>
      <c r="F837" s="433" t="s">
        <v>384</v>
      </c>
      <c r="G837" s="388" t="s">
        <v>1192</v>
      </c>
      <c r="H837" s="390">
        <v>1</v>
      </c>
      <c r="I837" s="390">
        <v>1</v>
      </c>
      <c r="J837" s="390"/>
      <c r="K837" s="398">
        <f>_xlfn.IFNA(VLOOKUP(A837,numbering!$K$3:$L$92,2,0),0)</f>
        <v>0</v>
      </c>
    </row>
    <row r="838" spans="1:11" ht="70" hidden="1" x14ac:dyDescent="0.2">
      <c r="A838" s="390">
        <v>246</v>
      </c>
      <c r="B838" s="390" t="s">
        <v>253</v>
      </c>
      <c r="C838" s="390">
        <f>VLOOKUP(B838,numbering!$N$18:$O$30,2,0)</f>
        <v>4</v>
      </c>
      <c r="D838" s="390" t="s">
        <v>382</v>
      </c>
      <c r="E838" s="403">
        <f t="shared" si="22"/>
        <v>41</v>
      </c>
      <c r="F838" s="433" t="str">
        <f>F837</f>
        <v>Is there documented evidence that the facility risk assessment has been reviewed and revised at the required minimum frequency by an appropriately qualified and experienced reviewer/review team to achieve the objective of ensuring that the facility's risk profile reflects current conditions as much as is practicable?</v>
      </c>
      <c r="G838" s="388" t="s">
        <v>1193</v>
      </c>
      <c r="H838" s="390">
        <v>2</v>
      </c>
      <c r="I838" s="390">
        <v>2</v>
      </c>
      <c r="J838" s="390"/>
      <c r="K838" s="398">
        <f>_xlfn.IFNA(VLOOKUP(A838,numbering!$K$3:$L$92,2,0),0)</f>
        <v>0</v>
      </c>
    </row>
    <row r="839" spans="1:11" ht="70" hidden="1" x14ac:dyDescent="0.2">
      <c r="A839" s="390">
        <v>246</v>
      </c>
      <c r="B839" s="390" t="s">
        <v>253</v>
      </c>
      <c r="C839" s="390">
        <f>VLOOKUP(B839,numbering!$N$18:$O$30,2,0)</f>
        <v>4</v>
      </c>
      <c r="D839" s="390" t="s">
        <v>382</v>
      </c>
      <c r="E839" s="403">
        <f t="shared" si="22"/>
        <v>41</v>
      </c>
      <c r="F839" s="433" t="str">
        <f>F838</f>
        <v>Is there documented evidence that the facility risk assessment has been reviewed and revised at the required minimum frequency by an appropriately qualified and experienced reviewer/review team to achieve the objective of ensuring that the facility's risk profile reflects current conditions as much as is practicable?</v>
      </c>
      <c r="G839" s="388" t="s">
        <v>1194</v>
      </c>
      <c r="H839" s="390">
        <v>3</v>
      </c>
      <c r="I839" s="390">
        <v>3</v>
      </c>
      <c r="J839" s="390"/>
      <c r="K839" s="398">
        <f>_xlfn.IFNA(VLOOKUP(A839,numbering!$K$3:$L$92,2,0),0)</f>
        <v>0</v>
      </c>
    </row>
    <row r="840" spans="1:11" ht="70" hidden="1" x14ac:dyDescent="0.2">
      <c r="A840" s="390">
        <v>246</v>
      </c>
      <c r="B840" s="390" t="s">
        <v>253</v>
      </c>
      <c r="C840" s="390">
        <f>VLOOKUP(B840,numbering!$N$18:$O$30,2,0)</f>
        <v>4</v>
      </c>
      <c r="D840" s="390" t="s">
        <v>382</v>
      </c>
      <c r="E840" s="403">
        <f t="shared" si="22"/>
        <v>41</v>
      </c>
      <c r="F840" s="433" t="str">
        <f>F839</f>
        <v>Is there documented evidence that the facility risk assessment has been reviewed and revised at the required minimum frequency by an appropriately qualified and experienced reviewer/review team to achieve the objective of ensuring that the facility's risk profile reflects current conditions as much as is practicable?</v>
      </c>
      <c r="G840" s="388" t="s">
        <v>1195</v>
      </c>
      <c r="H840" s="390">
        <v>4</v>
      </c>
      <c r="I840" s="390">
        <v>4</v>
      </c>
      <c r="J840" s="390"/>
      <c r="K840" s="398">
        <f>_xlfn.IFNA(VLOOKUP(A840,numbering!$K$3:$L$92,2,0),0)</f>
        <v>0</v>
      </c>
    </row>
    <row r="841" spans="1:11" ht="56" hidden="1" x14ac:dyDescent="0.2">
      <c r="A841" s="390">
        <v>247</v>
      </c>
      <c r="B841" s="390" t="s">
        <v>253</v>
      </c>
      <c r="C841" s="390">
        <f>VLOOKUP(B841,numbering!$N$18:$O$30,2,0)</f>
        <v>4</v>
      </c>
      <c r="D841" s="390" t="s">
        <v>382</v>
      </c>
      <c r="E841" s="403">
        <f t="shared" si="22"/>
        <v>41</v>
      </c>
      <c r="F841" s="433" t="s">
        <v>385</v>
      </c>
      <c r="G841" s="388" t="s">
        <v>1192</v>
      </c>
      <c r="H841" s="390">
        <v>1</v>
      </c>
      <c r="I841" s="390">
        <v>1</v>
      </c>
      <c r="J841" s="390"/>
      <c r="K841" s="398">
        <f>_xlfn.IFNA(VLOOKUP(A841,numbering!$K$3:$L$92,2,0),0)</f>
        <v>0</v>
      </c>
    </row>
    <row r="842" spans="1:11" ht="56" hidden="1" x14ac:dyDescent="0.2">
      <c r="A842" s="390">
        <v>247</v>
      </c>
      <c r="B842" s="390" t="s">
        <v>253</v>
      </c>
      <c r="C842" s="390">
        <f>VLOOKUP(B842,numbering!$N$18:$O$30,2,0)</f>
        <v>4</v>
      </c>
      <c r="D842" s="390" t="s">
        <v>382</v>
      </c>
      <c r="E842" s="403">
        <f t="shared" si="22"/>
        <v>41</v>
      </c>
      <c r="F842" s="433" t="str">
        <f>F841</f>
        <v>Is there documented evidence that the risk assessment was informed by a Potential Failure Mode Assessment completed for the facility to achieve the objective of relating the facility's risks to the underlying hazards and potential modes of failure that are unique to the facility?</v>
      </c>
      <c r="G842" s="388" t="s">
        <v>1193</v>
      </c>
      <c r="H842" s="390">
        <v>2</v>
      </c>
      <c r="I842" s="390">
        <v>2</v>
      </c>
      <c r="J842" s="390"/>
      <c r="K842" s="398">
        <f>_xlfn.IFNA(VLOOKUP(A842,numbering!$K$3:$L$92,2,0),0)</f>
        <v>0</v>
      </c>
    </row>
    <row r="843" spans="1:11" ht="56" hidden="1" x14ac:dyDescent="0.2">
      <c r="A843" s="390">
        <v>247</v>
      </c>
      <c r="B843" s="390" t="s">
        <v>253</v>
      </c>
      <c r="C843" s="390">
        <f>VLOOKUP(B843,numbering!$N$18:$O$30,2,0)</f>
        <v>4</v>
      </c>
      <c r="D843" s="390" t="s">
        <v>382</v>
      </c>
      <c r="E843" s="403">
        <f t="shared" si="22"/>
        <v>41</v>
      </c>
      <c r="F843" s="433" t="str">
        <f>F842</f>
        <v>Is there documented evidence that the risk assessment was informed by a Potential Failure Mode Assessment completed for the facility to achieve the objective of relating the facility's risks to the underlying hazards and potential modes of failure that are unique to the facility?</v>
      </c>
      <c r="G843" s="388" t="s">
        <v>1194</v>
      </c>
      <c r="H843" s="390">
        <v>3</v>
      </c>
      <c r="I843" s="390">
        <v>3</v>
      </c>
      <c r="J843" s="390"/>
      <c r="K843" s="398">
        <f>_xlfn.IFNA(VLOOKUP(A843,numbering!$K$3:$L$92,2,0),0)</f>
        <v>0</v>
      </c>
    </row>
    <row r="844" spans="1:11" ht="56" hidden="1" x14ac:dyDescent="0.2">
      <c r="A844" s="390">
        <v>247</v>
      </c>
      <c r="B844" s="390" t="s">
        <v>253</v>
      </c>
      <c r="C844" s="390">
        <f>VLOOKUP(B844,numbering!$N$18:$O$30,2,0)</f>
        <v>4</v>
      </c>
      <c r="D844" s="390" t="s">
        <v>382</v>
      </c>
      <c r="E844" s="403">
        <f t="shared" si="22"/>
        <v>41</v>
      </c>
      <c r="F844" s="433" t="str">
        <f>F843</f>
        <v>Is there documented evidence that the risk assessment was informed by a Potential Failure Mode Assessment completed for the facility to achieve the objective of relating the facility's risks to the underlying hazards and potential modes of failure that are unique to the facility?</v>
      </c>
      <c r="G844" s="388" t="s">
        <v>1195</v>
      </c>
      <c r="H844" s="390">
        <v>4</v>
      </c>
      <c r="I844" s="390">
        <v>4</v>
      </c>
      <c r="J844" s="390"/>
      <c r="K844" s="398">
        <f>_xlfn.IFNA(VLOOKUP(A844,numbering!$K$3:$L$92,2,0),0)</f>
        <v>0</v>
      </c>
    </row>
    <row r="845" spans="1:11" ht="56" hidden="1" x14ac:dyDescent="0.2">
      <c r="A845" s="390">
        <v>248</v>
      </c>
      <c r="B845" s="390" t="s">
        <v>253</v>
      </c>
      <c r="C845" s="390">
        <f>VLOOKUP(B845,numbering!$N$18:$O$30,2,0)</f>
        <v>4</v>
      </c>
      <c r="D845" s="390" t="s">
        <v>382</v>
      </c>
      <c r="E845" s="403">
        <f t="shared" si="22"/>
        <v>41</v>
      </c>
      <c r="F845" s="433" t="s">
        <v>386</v>
      </c>
      <c r="G845" s="388" t="s">
        <v>1192</v>
      </c>
      <c r="H845" s="390">
        <v>1</v>
      </c>
      <c r="I845" s="390">
        <v>1</v>
      </c>
      <c r="J845" s="390"/>
      <c r="K845" s="398">
        <f>_xlfn.IFNA(VLOOKUP(A845,numbering!$K$3:$L$92,2,0),0)</f>
        <v>0</v>
      </c>
    </row>
    <row r="846" spans="1:11" ht="56" hidden="1" x14ac:dyDescent="0.2">
      <c r="A846" s="390">
        <v>248</v>
      </c>
      <c r="B846" s="390" t="s">
        <v>253</v>
      </c>
      <c r="C846" s="390">
        <f>VLOOKUP(B846,numbering!$N$18:$O$30,2,0)</f>
        <v>4</v>
      </c>
      <c r="D846" s="390" t="s">
        <v>382</v>
      </c>
      <c r="E846" s="403">
        <f t="shared" si="22"/>
        <v>41</v>
      </c>
      <c r="F846" s="433" t="str">
        <f>F845</f>
        <v>Is there documented evidence of the methods used to calculate the probabilities of failure for identified failure modes to demonstrate that the probabilities were estimated using  objectively measured data and appropriate and defensible methods?</v>
      </c>
      <c r="G846" s="388" t="s">
        <v>1193</v>
      </c>
      <c r="H846" s="390">
        <v>2</v>
      </c>
      <c r="I846" s="390">
        <v>2</v>
      </c>
      <c r="J846" s="390"/>
      <c r="K846" s="398">
        <f>_xlfn.IFNA(VLOOKUP(A846,numbering!$K$3:$L$92,2,0),0)</f>
        <v>0</v>
      </c>
    </row>
    <row r="847" spans="1:11" ht="56" hidden="1" x14ac:dyDescent="0.2">
      <c r="A847" s="390">
        <v>248</v>
      </c>
      <c r="B847" s="390" t="s">
        <v>253</v>
      </c>
      <c r="C847" s="390">
        <f>VLOOKUP(B847,numbering!$N$18:$O$30,2,0)</f>
        <v>4</v>
      </c>
      <c r="D847" s="390" t="s">
        <v>382</v>
      </c>
      <c r="E847" s="403">
        <f t="shared" si="22"/>
        <v>41</v>
      </c>
      <c r="F847" s="433" t="str">
        <f>F846</f>
        <v>Is there documented evidence of the methods used to calculate the probabilities of failure for identified failure modes to demonstrate that the probabilities were estimated using  objectively measured data and appropriate and defensible methods?</v>
      </c>
      <c r="G847" s="388" t="s">
        <v>1194</v>
      </c>
      <c r="H847" s="390">
        <v>3</v>
      </c>
      <c r="I847" s="390">
        <v>3</v>
      </c>
      <c r="J847" s="390"/>
      <c r="K847" s="398">
        <f>_xlfn.IFNA(VLOOKUP(A847,numbering!$K$3:$L$92,2,0),0)</f>
        <v>0</v>
      </c>
    </row>
    <row r="848" spans="1:11" ht="56" hidden="1" x14ac:dyDescent="0.2">
      <c r="A848" s="390">
        <v>248</v>
      </c>
      <c r="B848" s="390" t="s">
        <v>253</v>
      </c>
      <c r="C848" s="390">
        <f>VLOOKUP(B848,numbering!$N$18:$O$30,2,0)</f>
        <v>4</v>
      </c>
      <c r="D848" s="390" t="s">
        <v>382</v>
      </c>
      <c r="E848" s="403">
        <f t="shared" si="22"/>
        <v>41</v>
      </c>
      <c r="F848" s="433" t="str">
        <f>F847</f>
        <v>Is there documented evidence of the methods used to calculate the probabilities of failure for identified failure modes to demonstrate that the probabilities were estimated using  objectively measured data and appropriate and defensible methods?</v>
      </c>
      <c r="G848" s="388" t="s">
        <v>1195</v>
      </c>
      <c r="H848" s="390">
        <v>4</v>
      </c>
      <c r="I848" s="390">
        <v>4</v>
      </c>
      <c r="J848" s="390"/>
      <c r="K848" s="398">
        <f>_xlfn.IFNA(VLOOKUP(A848,numbering!$K$3:$L$92,2,0),0)</f>
        <v>0</v>
      </c>
    </row>
    <row r="849" spans="1:11" ht="56" hidden="1" x14ac:dyDescent="0.2">
      <c r="A849" s="390">
        <v>249</v>
      </c>
      <c r="B849" s="390" t="s">
        <v>253</v>
      </c>
      <c r="C849" s="390">
        <f>VLOOKUP(B849,numbering!$N$18:$O$30,2,0)</f>
        <v>4</v>
      </c>
      <c r="D849" s="390" t="s">
        <v>382</v>
      </c>
      <c r="E849" s="403">
        <f t="shared" si="22"/>
        <v>41</v>
      </c>
      <c r="F849" s="433" t="s">
        <v>387</v>
      </c>
      <c r="G849" s="388" t="s">
        <v>1192</v>
      </c>
      <c r="H849" s="390">
        <v>1</v>
      </c>
      <c r="I849" s="390">
        <v>1</v>
      </c>
      <c r="J849" s="390"/>
      <c r="K849" s="398">
        <f>_xlfn.IFNA(VLOOKUP(A849,numbering!$K$3:$L$92,2,0),0)</f>
        <v>0</v>
      </c>
    </row>
    <row r="850" spans="1:11" ht="56" hidden="1" x14ac:dyDescent="0.2">
      <c r="A850" s="390">
        <v>249</v>
      </c>
      <c r="B850" s="390" t="s">
        <v>253</v>
      </c>
      <c r="C850" s="390">
        <f>VLOOKUP(B850,numbering!$N$18:$O$30,2,0)</f>
        <v>4</v>
      </c>
      <c r="D850" s="390" t="s">
        <v>382</v>
      </c>
      <c r="E850" s="403">
        <f t="shared" si="22"/>
        <v>41</v>
      </c>
      <c r="F850" s="433" t="str">
        <f>F849</f>
        <v>Is there documented evidence that the stated consequences for the various failure modes were based on dam break studies and consequence assessments to achieve the objective of having the risk profile directly related to estimated consequences of failure?</v>
      </c>
      <c r="G850" s="388" t="s">
        <v>1193</v>
      </c>
      <c r="H850" s="390">
        <v>2</v>
      </c>
      <c r="I850" s="390">
        <v>2</v>
      </c>
      <c r="J850" s="390"/>
      <c r="K850" s="398">
        <f>_xlfn.IFNA(VLOOKUP(A850,numbering!$K$3:$L$92,2,0),0)</f>
        <v>0</v>
      </c>
    </row>
    <row r="851" spans="1:11" ht="56" hidden="1" x14ac:dyDescent="0.2">
      <c r="A851" s="390">
        <v>249</v>
      </c>
      <c r="B851" s="390" t="s">
        <v>253</v>
      </c>
      <c r="C851" s="390">
        <f>VLOOKUP(B851,numbering!$N$18:$O$30,2,0)</f>
        <v>4</v>
      </c>
      <c r="D851" s="390" t="s">
        <v>382</v>
      </c>
      <c r="E851" s="403">
        <f t="shared" si="22"/>
        <v>41</v>
      </c>
      <c r="F851" s="433" t="str">
        <f>F850</f>
        <v>Is there documented evidence that the stated consequences for the various failure modes were based on dam break studies and consequence assessments to achieve the objective of having the risk profile directly related to estimated consequences of failure?</v>
      </c>
      <c r="G851" s="388" t="s">
        <v>1194</v>
      </c>
      <c r="H851" s="390">
        <v>3</v>
      </c>
      <c r="I851" s="390">
        <v>3</v>
      </c>
      <c r="J851" s="390"/>
      <c r="K851" s="398">
        <f>_xlfn.IFNA(VLOOKUP(A851,numbering!$K$3:$L$92,2,0),0)</f>
        <v>0</v>
      </c>
    </row>
    <row r="852" spans="1:11" ht="56" hidden="1" x14ac:dyDescent="0.2">
      <c r="A852" s="390">
        <v>249</v>
      </c>
      <c r="B852" s="390" t="s">
        <v>253</v>
      </c>
      <c r="C852" s="390">
        <f>VLOOKUP(B852,numbering!$N$18:$O$30,2,0)</f>
        <v>4</v>
      </c>
      <c r="D852" s="390" t="s">
        <v>382</v>
      </c>
      <c r="E852" s="403">
        <f t="shared" si="22"/>
        <v>41</v>
      </c>
      <c r="F852" s="433" t="str">
        <f>F851</f>
        <v>Is there documented evidence that the stated consequences for the various failure modes were based on dam break studies and consequence assessments to achieve the objective of having the risk profile directly related to estimated consequences of failure?</v>
      </c>
      <c r="G852" s="388" t="s">
        <v>1195</v>
      </c>
      <c r="H852" s="390">
        <v>4</v>
      </c>
      <c r="I852" s="390">
        <v>4</v>
      </c>
      <c r="J852" s="390"/>
      <c r="K852" s="398">
        <f>_xlfn.IFNA(VLOOKUP(A852,numbering!$K$3:$L$92,2,0),0)</f>
        <v>0</v>
      </c>
    </row>
    <row r="853" spans="1:11" ht="42" hidden="1" x14ac:dyDescent="0.2">
      <c r="A853" s="390">
        <v>250</v>
      </c>
      <c r="B853" s="390" t="s">
        <v>253</v>
      </c>
      <c r="C853" s="390">
        <f>VLOOKUP(B853,numbering!$N$18:$O$30,2,0)</f>
        <v>4</v>
      </c>
      <c r="D853" s="390" t="s">
        <v>382</v>
      </c>
      <c r="E853" s="403">
        <f t="shared" si="22"/>
        <v>41</v>
      </c>
      <c r="F853" s="433" t="s">
        <v>388</v>
      </c>
      <c r="G853" s="388" t="s">
        <v>1192</v>
      </c>
      <c r="H853" s="390">
        <v>1</v>
      </c>
      <c r="I853" s="390">
        <v>1</v>
      </c>
      <c r="J853" s="390"/>
      <c r="K853" s="398">
        <f>_xlfn.IFNA(VLOOKUP(A853,numbering!$K$3:$L$92,2,0),0)</f>
        <v>0</v>
      </c>
    </row>
    <row r="854" spans="1:11" ht="42" hidden="1" x14ac:dyDescent="0.2">
      <c r="A854" s="390">
        <v>250</v>
      </c>
      <c r="B854" s="390" t="s">
        <v>253</v>
      </c>
      <c r="C854" s="390">
        <f>VLOOKUP(B854,numbering!$N$18:$O$30,2,0)</f>
        <v>4</v>
      </c>
      <c r="D854" s="390" t="s">
        <v>382</v>
      </c>
      <c r="E854" s="403">
        <f t="shared" si="22"/>
        <v>41</v>
      </c>
      <c r="F854" s="433" t="str">
        <f>F853</f>
        <v>Is there documented evidence that the risks (both societal and business) presented by the facility have been correctly presented to allow the risk profile of the facility to be clearly understood?</v>
      </c>
      <c r="G854" s="388" t="s">
        <v>1193</v>
      </c>
      <c r="H854" s="390">
        <v>2</v>
      </c>
      <c r="I854" s="390">
        <v>2</v>
      </c>
      <c r="J854" s="390"/>
      <c r="K854" s="398">
        <f>_xlfn.IFNA(VLOOKUP(A854,numbering!$K$3:$L$92,2,0),0)</f>
        <v>0</v>
      </c>
    </row>
    <row r="855" spans="1:11" ht="42" hidden="1" x14ac:dyDescent="0.2">
      <c r="A855" s="390">
        <v>250</v>
      </c>
      <c r="B855" s="390" t="s">
        <v>253</v>
      </c>
      <c r="C855" s="390">
        <f>VLOOKUP(B855,numbering!$N$18:$O$30,2,0)</f>
        <v>4</v>
      </c>
      <c r="D855" s="390" t="s">
        <v>382</v>
      </c>
      <c r="E855" s="403">
        <f t="shared" si="22"/>
        <v>41</v>
      </c>
      <c r="F855" s="433" t="str">
        <f>F854</f>
        <v>Is there documented evidence that the risks (both societal and business) presented by the facility have been correctly presented to allow the risk profile of the facility to be clearly understood?</v>
      </c>
      <c r="G855" s="388" t="s">
        <v>1194</v>
      </c>
      <c r="H855" s="390">
        <v>3</v>
      </c>
      <c r="I855" s="390">
        <v>3</v>
      </c>
      <c r="J855" s="390"/>
      <c r="K855" s="398">
        <f>_xlfn.IFNA(VLOOKUP(A855,numbering!$K$3:$L$92,2,0),0)</f>
        <v>0</v>
      </c>
    </row>
    <row r="856" spans="1:11" ht="42" hidden="1" x14ac:dyDescent="0.2">
      <c r="A856" s="390">
        <v>250</v>
      </c>
      <c r="B856" s="390" t="s">
        <v>253</v>
      </c>
      <c r="C856" s="390">
        <f>VLOOKUP(B856,numbering!$N$18:$O$30,2,0)</f>
        <v>4</v>
      </c>
      <c r="D856" s="390" t="s">
        <v>382</v>
      </c>
      <c r="E856" s="403">
        <f t="shared" si="22"/>
        <v>41</v>
      </c>
      <c r="F856" s="433" t="str">
        <f>F855</f>
        <v>Is there documented evidence that the risks (both societal and business) presented by the facility have been correctly presented to allow the risk profile of the facility to be clearly understood?</v>
      </c>
      <c r="G856" s="388" t="s">
        <v>1195</v>
      </c>
      <c r="H856" s="390">
        <v>4</v>
      </c>
      <c r="I856" s="390">
        <v>4</v>
      </c>
      <c r="J856" s="390"/>
      <c r="K856" s="398">
        <f>_xlfn.IFNA(VLOOKUP(A856,numbering!$K$3:$L$92,2,0),0)</f>
        <v>0</v>
      </c>
    </row>
    <row r="857" spans="1:11" ht="56" hidden="1" x14ac:dyDescent="0.2">
      <c r="A857" s="390">
        <v>251</v>
      </c>
      <c r="B857" s="390" t="s">
        <v>253</v>
      </c>
      <c r="C857" s="390">
        <f>VLOOKUP(B857,numbering!$N$18:$O$30,2,0)</f>
        <v>4</v>
      </c>
      <c r="D857" s="390" t="s">
        <v>382</v>
      </c>
      <c r="E857" s="403">
        <f t="shared" si="22"/>
        <v>41</v>
      </c>
      <c r="F857" s="435" t="s">
        <v>389</v>
      </c>
      <c r="G857" s="388" t="s">
        <v>1192</v>
      </c>
      <c r="H857" s="390">
        <v>1</v>
      </c>
      <c r="I857" s="390">
        <v>1</v>
      </c>
      <c r="J857" s="390"/>
      <c r="K857" s="398">
        <f>_xlfn.IFNA(VLOOKUP(A857,numbering!$K$3:$L$92,2,0),0)</f>
        <v>0</v>
      </c>
    </row>
    <row r="858" spans="1:11" ht="56" hidden="1" x14ac:dyDescent="0.2">
      <c r="A858" s="390">
        <v>251</v>
      </c>
      <c r="B858" s="390" t="s">
        <v>253</v>
      </c>
      <c r="C858" s="390">
        <f>VLOOKUP(B858,numbering!$N$18:$O$30,2,0)</f>
        <v>4</v>
      </c>
      <c r="D858" s="390" t="s">
        <v>382</v>
      </c>
      <c r="E858" s="403">
        <f t="shared" si="22"/>
        <v>41</v>
      </c>
      <c r="F858" s="435" t="str">
        <f>F857</f>
        <v>Is there documented evidence that the risks presented by the facilities were presented within an appropriate risk framework to achieve the objective of allowing the risk profile to be comparatively assessed against other portfolio risks and tolerable risk levels if required?</v>
      </c>
      <c r="G858" s="388" t="s">
        <v>1193</v>
      </c>
      <c r="H858" s="390">
        <v>2</v>
      </c>
      <c r="I858" s="390">
        <v>2</v>
      </c>
      <c r="J858" s="390"/>
      <c r="K858" s="398">
        <f>_xlfn.IFNA(VLOOKUP(A858,numbering!$K$3:$L$92,2,0),0)</f>
        <v>0</v>
      </c>
    </row>
    <row r="859" spans="1:11" ht="56" hidden="1" x14ac:dyDescent="0.2">
      <c r="A859" s="390">
        <v>251</v>
      </c>
      <c r="B859" s="390" t="s">
        <v>253</v>
      </c>
      <c r="C859" s="390">
        <f>VLOOKUP(B859,numbering!$N$18:$O$30,2,0)</f>
        <v>4</v>
      </c>
      <c r="D859" s="390" t="s">
        <v>382</v>
      </c>
      <c r="E859" s="403">
        <f t="shared" si="22"/>
        <v>41</v>
      </c>
      <c r="F859" s="435" t="str">
        <f>F858</f>
        <v>Is there documented evidence that the risks presented by the facilities were presented within an appropriate risk framework to achieve the objective of allowing the risk profile to be comparatively assessed against other portfolio risks and tolerable risk levels if required?</v>
      </c>
      <c r="G859" s="388" t="s">
        <v>1194</v>
      </c>
      <c r="H859" s="390">
        <v>3</v>
      </c>
      <c r="I859" s="390">
        <v>3</v>
      </c>
      <c r="J859" s="390"/>
      <c r="K859" s="398">
        <f>_xlfn.IFNA(VLOOKUP(A859,numbering!$K$3:$L$92,2,0),0)</f>
        <v>0</v>
      </c>
    </row>
    <row r="860" spans="1:11" ht="56" hidden="1" x14ac:dyDescent="0.2">
      <c r="A860" s="390">
        <v>251</v>
      </c>
      <c r="B860" s="390" t="s">
        <v>253</v>
      </c>
      <c r="C860" s="390">
        <f>VLOOKUP(B860,numbering!$N$18:$O$30,2,0)</f>
        <v>4</v>
      </c>
      <c r="D860" s="390" t="s">
        <v>382</v>
      </c>
      <c r="E860" s="403">
        <f t="shared" si="22"/>
        <v>41</v>
      </c>
      <c r="F860" s="435" t="str">
        <f>F859</f>
        <v>Is there documented evidence that the risks presented by the facilities were presented within an appropriate risk framework to achieve the objective of allowing the risk profile to be comparatively assessed against other portfolio risks and tolerable risk levels if required?</v>
      </c>
      <c r="G860" s="388" t="s">
        <v>1195</v>
      </c>
      <c r="H860" s="390">
        <v>4</v>
      </c>
      <c r="I860" s="390">
        <v>4</v>
      </c>
      <c r="J860" s="390"/>
      <c r="K860" s="398">
        <f>_xlfn.IFNA(VLOOKUP(A860,numbering!$K$3:$L$92,2,0),0)</f>
        <v>0</v>
      </c>
    </row>
    <row r="861" spans="1:11" ht="60" hidden="1" x14ac:dyDescent="0.2">
      <c r="A861" s="390">
        <v>252</v>
      </c>
      <c r="B861" s="390" t="s">
        <v>253</v>
      </c>
      <c r="C861" s="390">
        <f>VLOOKUP(B861,numbering!$N$18:$O$30,2,0)</f>
        <v>4</v>
      </c>
      <c r="D861" s="390" t="s">
        <v>382</v>
      </c>
      <c r="E861" s="403">
        <f t="shared" si="22"/>
        <v>41</v>
      </c>
      <c r="F861" s="432" t="s">
        <v>390</v>
      </c>
      <c r="G861" s="388" t="s">
        <v>1192</v>
      </c>
      <c r="H861" s="390">
        <v>1</v>
      </c>
      <c r="I861" s="390">
        <v>1</v>
      </c>
      <c r="J861" s="390"/>
      <c r="K861" s="398">
        <f>_xlfn.IFNA(VLOOKUP(A861,numbering!$K$3:$L$92,2,0),0)</f>
        <v>0</v>
      </c>
    </row>
    <row r="862" spans="1:11" ht="60" hidden="1" x14ac:dyDescent="0.2">
      <c r="A862" s="390">
        <v>252</v>
      </c>
      <c r="B862" s="390" t="s">
        <v>253</v>
      </c>
      <c r="C862" s="390">
        <f>VLOOKUP(B862,numbering!$N$18:$O$30,2,0)</f>
        <v>4</v>
      </c>
      <c r="D862" s="390" t="s">
        <v>382</v>
      </c>
      <c r="E862" s="403">
        <f t="shared" si="22"/>
        <v>41</v>
      </c>
      <c r="F862" s="432" t="str">
        <f>F861</f>
        <v>Is there documented evidence that the outcomes of the risk assessment were appropriately considered in the design of the facility, subsequent expansion and remedial works to achieve the objective of reducing the risk profile as-far-as-is-practicable throughout the life of the facility?</v>
      </c>
      <c r="G862" s="388" t="s">
        <v>1193</v>
      </c>
      <c r="H862" s="390">
        <v>2</v>
      </c>
      <c r="I862" s="390">
        <v>2</v>
      </c>
      <c r="J862" s="390"/>
      <c r="K862" s="398">
        <f>_xlfn.IFNA(VLOOKUP(A862,numbering!$K$3:$L$92,2,0),0)</f>
        <v>0</v>
      </c>
    </row>
    <row r="863" spans="1:11" ht="60" hidden="1" x14ac:dyDescent="0.2">
      <c r="A863" s="390">
        <v>252</v>
      </c>
      <c r="B863" s="390" t="s">
        <v>253</v>
      </c>
      <c r="C863" s="390">
        <f>VLOOKUP(B863,numbering!$N$18:$O$30,2,0)</f>
        <v>4</v>
      </c>
      <c r="D863" s="390" t="s">
        <v>382</v>
      </c>
      <c r="E863" s="403">
        <f t="shared" si="22"/>
        <v>41</v>
      </c>
      <c r="F863" s="432" t="str">
        <f>F862</f>
        <v>Is there documented evidence that the outcomes of the risk assessment were appropriately considered in the design of the facility, subsequent expansion and remedial works to achieve the objective of reducing the risk profile as-far-as-is-practicable throughout the life of the facility?</v>
      </c>
      <c r="G863" s="388" t="s">
        <v>1194</v>
      </c>
      <c r="H863" s="390">
        <v>3</v>
      </c>
      <c r="I863" s="390">
        <v>3</v>
      </c>
      <c r="J863" s="390"/>
      <c r="K863" s="398">
        <f>_xlfn.IFNA(VLOOKUP(A863,numbering!$K$3:$L$92,2,0),0)</f>
        <v>0</v>
      </c>
    </row>
    <row r="864" spans="1:11" ht="60" hidden="1" x14ac:dyDescent="0.2">
      <c r="A864" s="390">
        <v>252</v>
      </c>
      <c r="B864" s="390" t="s">
        <v>253</v>
      </c>
      <c r="C864" s="390">
        <f>VLOOKUP(B864,numbering!$N$18:$O$30,2,0)</f>
        <v>4</v>
      </c>
      <c r="D864" s="390" t="s">
        <v>382</v>
      </c>
      <c r="E864" s="403">
        <f t="shared" si="22"/>
        <v>41</v>
      </c>
      <c r="F864" s="432" t="str">
        <f>F863</f>
        <v>Is there documented evidence that the outcomes of the risk assessment were appropriately considered in the design of the facility, subsequent expansion and remedial works to achieve the objective of reducing the risk profile as-far-as-is-practicable throughout the life of the facility?</v>
      </c>
      <c r="G864" s="388" t="s">
        <v>1195</v>
      </c>
      <c r="H864" s="390">
        <v>4</v>
      </c>
      <c r="I864" s="390">
        <v>4</v>
      </c>
      <c r="J864" s="390"/>
      <c r="K864" s="398">
        <f>_xlfn.IFNA(VLOOKUP(A864,numbering!$K$3:$L$92,2,0),0)</f>
        <v>0</v>
      </c>
    </row>
    <row r="865" spans="1:11" ht="60" hidden="1" x14ac:dyDescent="0.2">
      <c r="A865" s="390">
        <v>253</v>
      </c>
      <c r="B865" s="390" t="s">
        <v>253</v>
      </c>
      <c r="C865" s="390">
        <f>VLOOKUP(B865,numbering!$N$18:$O$30,2,0)</f>
        <v>4</v>
      </c>
      <c r="D865" s="390" t="s">
        <v>391</v>
      </c>
      <c r="E865" s="403">
        <f t="shared" si="22"/>
        <v>42</v>
      </c>
      <c r="F865" s="432" t="s">
        <v>392</v>
      </c>
      <c r="G865" s="388" t="s">
        <v>1192</v>
      </c>
      <c r="H865" s="390">
        <v>1</v>
      </c>
      <c r="I865" s="390">
        <v>1</v>
      </c>
      <c r="J865" s="390"/>
      <c r="K865" s="398">
        <f>_xlfn.IFNA(VLOOKUP(A865,numbering!$K$3:$L$92,2,0),0)</f>
        <v>0</v>
      </c>
    </row>
    <row r="866" spans="1:11" ht="60" hidden="1" x14ac:dyDescent="0.2">
      <c r="A866" s="390">
        <v>253</v>
      </c>
      <c r="B866" s="390" t="s">
        <v>253</v>
      </c>
      <c r="C866" s="390">
        <f>VLOOKUP(B866,numbering!$N$18:$O$30,2,0)</f>
        <v>4</v>
      </c>
      <c r="D866" s="390" t="s">
        <v>391</v>
      </c>
      <c r="E866" s="403">
        <f t="shared" si="22"/>
        <v>42</v>
      </c>
      <c r="F866" s="432" t="str">
        <f>F865</f>
        <v>Is there documented evidence that the facility has been designed to meet the minimum requirements of an Extreme Consequence Category facility to achieve the objective of the objective of providing a design that is able to withstand extreme-level loadings ?  (See GISTM for Consequence Category framework)</v>
      </c>
      <c r="G866" s="388" t="s">
        <v>1193</v>
      </c>
      <c r="H866" s="390">
        <v>2</v>
      </c>
      <c r="I866" s="390">
        <v>2</v>
      </c>
      <c r="J866" s="390"/>
      <c r="K866" s="398">
        <f>_xlfn.IFNA(VLOOKUP(A866,numbering!$K$3:$L$92,2,0),0)</f>
        <v>0</v>
      </c>
    </row>
    <row r="867" spans="1:11" ht="60" hidden="1" x14ac:dyDescent="0.2">
      <c r="A867" s="390">
        <v>253</v>
      </c>
      <c r="B867" s="390" t="s">
        <v>253</v>
      </c>
      <c r="C867" s="390">
        <f>VLOOKUP(B867,numbering!$N$18:$O$30,2,0)</f>
        <v>4</v>
      </c>
      <c r="D867" s="390" t="s">
        <v>391</v>
      </c>
      <c r="E867" s="403">
        <f t="shared" si="22"/>
        <v>42</v>
      </c>
      <c r="F867" s="432" t="str">
        <f>F866</f>
        <v>Is there documented evidence that the facility has been designed to meet the minimum requirements of an Extreme Consequence Category facility to achieve the objective of the objective of providing a design that is able to withstand extreme-level loadings ?  (See GISTM for Consequence Category framework)</v>
      </c>
      <c r="G867" s="388" t="s">
        <v>1194</v>
      </c>
      <c r="H867" s="390">
        <v>3</v>
      </c>
      <c r="I867" s="390">
        <v>3</v>
      </c>
      <c r="J867" s="390"/>
      <c r="K867" s="398">
        <f>_xlfn.IFNA(VLOOKUP(A867,numbering!$K$3:$L$92,2,0),0)</f>
        <v>0</v>
      </c>
    </row>
    <row r="868" spans="1:11" ht="60" hidden="1" x14ac:dyDescent="0.2">
      <c r="A868" s="390">
        <v>253</v>
      </c>
      <c r="B868" s="390" t="s">
        <v>253</v>
      </c>
      <c r="C868" s="390">
        <f>VLOOKUP(B868,numbering!$N$18:$O$30,2,0)</f>
        <v>4</v>
      </c>
      <c r="D868" s="390" t="s">
        <v>391</v>
      </c>
      <c r="E868" s="403">
        <f t="shared" si="22"/>
        <v>42</v>
      </c>
      <c r="F868" s="432" t="str">
        <f>F867</f>
        <v>Is there documented evidence that the facility has been designed to meet the minimum requirements of an Extreme Consequence Category facility to achieve the objective of the objective of providing a design that is able to withstand extreme-level loadings ?  (See GISTM for Consequence Category framework)</v>
      </c>
      <c r="G868" s="388" t="s">
        <v>1195</v>
      </c>
      <c r="H868" s="390">
        <v>4</v>
      </c>
      <c r="I868" s="390">
        <v>4</v>
      </c>
      <c r="J868" s="390"/>
      <c r="K868" s="398">
        <f>_xlfn.IFNA(VLOOKUP(A868,numbering!$K$3:$L$92,2,0),0)</f>
        <v>0</v>
      </c>
    </row>
    <row r="869" spans="1:11" ht="84" hidden="1" x14ac:dyDescent="0.2">
      <c r="A869" s="390">
        <v>254</v>
      </c>
      <c r="B869" s="390" t="s">
        <v>253</v>
      </c>
      <c r="C869" s="390">
        <f>VLOOKUP(B869,numbering!$N$18:$O$30,2,0)</f>
        <v>4</v>
      </c>
      <c r="D869" s="390" t="s">
        <v>391</v>
      </c>
      <c r="E869" s="403">
        <f t="shared" si="22"/>
        <v>42</v>
      </c>
      <c r="F869" s="433" t="s">
        <v>393</v>
      </c>
      <c r="G869" s="388" t="s">
        <v>1192</v>
      </c>
      <c r="H869" s="390">
        <v>1</v>
      </c>
      <c r="I869" s="390">
        <v>1</v>
      </c>
      <c r="J869" s="390"/>
      <c r="K869" s="398">
        <f>_xlfn.IFNA(VLOOKUP(A869,numbering!$K$3:$L$92,2,0),0)</f>
        <v>0</v>
      </c>
    </row>
    <row r="870" spans="1:11" ht="84" hidden="1" x14ac:dyDescent="0.2">
      <c r="A870" s="390">
        <v>254</v>
      </c>
      <c r="B870" s="390" t="s">
        <v>253</v>
      </c>
      <c r="C870" s="390">
        <f>VLOOKUP(B870,numbering!$N$18:$O$30,2,0)</f>
        <v>4</v>
      </c>
      <c r="D870" s="390" t="s">
        <v>391</v>
      </c>
      <c r="E870" s="403">
        <f t="shared" si="22"/>
        <v>42</v>
      </c>
      <c r="F870" s="433" t="str">
        <f>F869</f>
        <v>If the facility has not been designed to the requirements of an Extreme Consequence Category facility, is there documented evidence of a feasible preliminary design to demonstrate that the facility can be upgraded to meet the design requirements for an Extreme Consequence Category facility to achieve the objectives of being able to reduce the risk profile of the facility if required and to adhere to the requirements of the GISTM?</v>
      </c>
      <c r="G870" s="388" t="s">
        <v>1193</v>
      </c>
      <c r="H870" s="390">
        <v>2</v>
      </c>
      <c r="I870" s="390">
        <v>2</v>
      </c>
      <c r="J870" s="390"/>
      <c r="K870" s="398">
        <f>_xlfn.IFNA(VLOOKUP(A870,numbering!$K$3:$L$92,2,0),0)</f>
        <v>0</v>
      </c>
    </row>
    <row r="871" spans="1:11" ht="84" hidden="1" x14ac:dyDescent="0.2">
      <c r="A871" s="390">
        <v>254</v>
      </c>
      <c r="B871" s="390" t="s">
        <v>253</v>
      </c>
      <c r="C871" s="390">
        <f>VLOOKUP(B871,numbering!$N$18:$O$30,2,0)</f>
        <v>4</v>
      </c>
      <c r="D871" s="390" t="s">
        <v>391</v>
      </c>
      <c r="E871" s="403">
        <f t="shared" si="22"/>
        <v>42</v>
      </c>
      <c r="F871" s="433" t="str">
        <f>F870</f>
        <v>If the facility has not been designed to the requirements of an Extreme Consequence Category facility, is there documented evidence of a feasible preliminary design to demonstrate that the facility can be upgraded to meet the design requirements for an Extreme Consequence Category facility to achieve the objectives of being able to reduce the risk profile of the facility if required and to adhere to the requirements of the GISTM?</v>
      </c>
      <c r="G871" s="388" t="s">
        <v>1194</v>
      </c>
      <c r="H871" s="390">
        <v>3</v>
      </c>
      <c r="I871" s="390">
        <v>3</v>
      </c>
      <c r="J871" s="390"/>
      <c r="K871" s="398">
        <f>_xlfn.IFNA(VLOOKUP(A871,numbering!$K$3:$L$92,2,0),0)</f>
        <v>0</v>
      </c>
    </row>
    <row r="872" spans="1:11" ht="84" hidden="1" x14ac:dyDescent="0.2">
      <c r="A872" s="390">
        <v>254</v>
      </c>
      <c r="B872" s="390" t="s">
        <v>253</v>
      </c>
      <c r="C872" s="390">
        <f>VLOOKUP(B872,numbering!$N$18:$O$30,2,0)</f>
        <v>4</v>
      </c>
      <c r="D872" s="390" t="s">
        <v>391</v>
      </c>
      <c r="E872" s="403">
        <f t="shared" si="22"/>
        <v>42</v>
      </c>
      <c r="F872" s="433" t="str">
        <f>F871</f>
        <v>If the facility has not been designed to the requirements of an Extreme Consequence Category facility, is there documented evidence of a feasible preliminary design to demonstrate that the facility can be upgraded to meet the design requirements for an Extreme Consequence Category facility to achieve the objectives of being able to reduce the risk profile of the facility if required and to adhere to the requirements of the GISTM?</v>
      </c>
      <c r="G872" s="388" t="s">
        <v>1195</v>
      </c>
      <c r="H872" s="390">
        <v>4</v>
      </c>
      <c r="I872" s="390">
        <v>4</v>
      </c>
      <c r="J872" s="390"/>
      <c r="K872" s="398">
        <f>_xlfn.IFNA(VLOOKUP(A872,numbering!$K$3:$L$92,2,0),0)</f>
        <v>0</v>
      </c>
    </row>
    <row r="873" spans="1:11" ht="45" hidden="1" x14ac:dyDescent="0.2">
      <c r="A873" s="390">
        <v>255</v>
      </c>
      <c r="B873" s="390" t="s">
        <v>253</v>
      </c>
      <c r="C873" s="390">
        <f>VLOOKUP(B873,numbering!$N$18:$O$30,2,0)</f>
        <v>4</v>
      </c>
      <c r="D873" s="390" t="s">
        <v>394</v>
      </c>
      <c r="E873" s="403">
        <f t="shared" si="22"/>
        <v>43</v>
      </c>
      <c r="F873" s="432" t="s">
        <v>395</v>
      </c>
      <c r="G873" s="388" t="s">
        <v>1192</v>
      </c>
      <c r="H873" s="390">
        <v>1</v>
      </c>
      <c r="I873" s="390">
        <v>1</v>
      </c>
      <c r="J873" s="390"/>
      <c r="K873" s="398">
        <f>_xlfn.IFNA(VLOOKUP(A873,numbering!$K$3:$L$92,2,0),0)</f>
        <v>0</v>
      </c>
    </row>
    <row r="874" spans="1:11" ht="45" hidden="1" x14ac:dyDescent="0.2">
      <c r="A874" s="390">
        <v>255</v>
      </c>
      <c r="B874" s="390" t="s">
        <v>253</v>
      </c>
      <c r="C874" s="390">
        <f>VLOOKUP(B874,numbering!$N$18:$O$30,2,0)</f>
        <v>4</v>
      </c>
      <c r="D874" s="390" t="s">
        <v>394</v>
      </c>
      <c r="E874" s="403">
        <f t="shared" si="22"/>
        <v>43</v>
      </c>
      <c r="F874" s="432" t="str">
        <f>F873</f>
        <v>Was a concept closure plan available which achieves the objective of detailing all required information that is required to effectively and safely achieve the closure requirements of the facility?</v>
      </c>
      <c r="G874" s="388" t="s">
        <v>1193</v>
      </c>
      <c r="H874" s="390">
        <v>2</v>
      </c>
      <c r="I874" s="390">
        <v>2</v>
      </c>
      <c r="J874" s="390"/>
      <c r="K874" s="398">
        <f>_xlfn.IFNA(VLOOKUP(A874,numbering!$K$3:$L$92,2,0),0)</f>
        <v>0</v>
      </c>
    </row>
    <row r="875" spans="1:11" ht="45" hidden="1" x14ac:dyDescent="0.2">
      <c r="A875" s="390">
        <v>255</v>
      </c>
      <c r="B875" s="390" t="s">
        <v>253</v>
      </c>
      <c r="C875" s="390">
        <f>VLOOKUP(B875,numbering!$N$18:$O$30,2,0)</f>
        <v>4</v>
      </c>
      <c r="D875" s="390" t="s">
        <v>394</v>
      </c>
      <c r="E875" s="403">
        <f t="shared" ref="E875:E938" si="24">IF(C875&lt;&gt;C874,1,IF(D875&lt;&gt;D874,E874+1,E874))</f>
        <v>43</v>
      </c>
      <c r="F875" s="432" t="str">
        <f>F874</f>
        <v>Was a concept closure plan available which achieves the objective of detailing all required information that is required to effectively and safely achieve the closure requirements of the facility?</v>
      </c>
      <c r="G875" s="388" t="s">
        <v>1194</v>
      </c>
      <c r="H875" s="390">
        <v>3</v>
      </c>
      <c r="I875" s="390">
        <v>3</v>
      </c>
      <c r="J875" s="390"/>
      <c r="K875" s="398">
        <f>_xlfn.IFNA(VLOOKUP(A875,numbering!$K$3:$L$92,2,0),0)</f>
        <v>0</v>
      </c>
    </row>
    <row r="876" spans="1:11" ht="45" hidden="1" x14ac:dyDescent="0.2">
      <c r="A876" s="390">
        <v>255</v>
      </c>
      <c r="B876" s="390" t="s">
        <v>253</v>
      </c>
      <c r="C876" s="390">
        <f>VLOOKUP(B876,numbering!$N$18:$O$30,2,0)</f>
        <v>4</v>
      </c>
      <c r="D876" s="390" t="s">
        <v>394</v>
      </c>
      <c r="E876" s="403">
        <f t="shared" si="24"/>
        <v>43</v>
      </c>
      <c r="F876" s="432" t="str">
        <f>F875</f>
        <v>Was a concept closure plan available which achieves the objective of detailing all required information that is required to effectively and safely achieve the closure requirements of the facility?</v>
      </c>
      <c r="G876" s="388" t="s">
        <v>1195</v>
      </c>
      <c r="H876" s="390">
        <v>4</v>
      </c>
      <c r="I876" s="390">
        <v>4</v>
      </c>
      <c r="J876" s="390"/>
      <c r="K876" s="398">
        <f>_xlfn.IFNA(VLOOKUP(A876,numbering!$K$3:$L$92,2,0),0)</f>
        <v>0</v>
      </c>
    </row>
    <row r="877" spans="1:11" ht="60" hidden="1" x14ac:dyDescent="0.2">
      <c r="A877" s="390">
        <v>256</v>
      </c>
      <c r="B877" s="390" t="s">
        <v>253</v>
      </c>
      <c r="C877" s="390">
        <f>VLOOKUP(B877,numbering!$N$18:$O$30,2,0)</f>
        <v>4</v>
      </c>
      <c r="D877" s="390" t="s">
        <v>394</v>
      </c>
      <c r="E877" s="403">
        <f t="shared" si="24"/>
        <v>43</v>
      </c>
      <c r="F877" s="432" t="s">
        <v>396</v>
      </c>
      <c r="G877" s="388" t="s">
        <v>1192</v>
      </c>
      <c r="H877" s="390">
        <v>1</v>
      </c>
      <c r="I877" s="390">
        <v>1</v>
      </c>
      <c r="J877" s="390"/>
      <c r="K877" s="398">
        <f>_xlfn.IFNA(VLOOKUP(A877,numbering!$K$3:$L$92,2,0),0)</f>
        <v>0</v>
      </c>
    </row>
    <row r="878" spans="1:11" ht="60" hidden="1" x14ac:dyDescent="0.2">
      <c r="A878" s="390">
        <v>256</v>
      </c>
      <c r="B878" s="390" t="s">
        <v>253</v>
      </c>
      <c r="C878" s="390">
        <f>VLOOKUP(B878,numbering!$N$18:$O$30,2,0)</f>
        <v>4</v>
      </c>
      <c r="D878" s="390" t="s">
        <v>394</v>
      </c>
      <c r="E878" s="403">
        <f t="shared" si="24"/>
        <v>43</v>
      </c>
      <c r="F878" s="432" t="str">
        <f>F877</f>
        <v>Is there documented evidence of a closure plan which includes staging of the facility from the current arrangement to closure which achieves the objective of clearly detailing how the facility should be developed over its life which can serve as a reference to future expansion projects?</v>
      </c>
      <c r="G878" s="388" t="s">
        <v>1193</v>
      </c>
      <c r="H878" s="390">
        <v>2</v>
      </c>
      <c r="I878" s="390">
        <v>2</v>
      </c>
      <c r="J878" s="390"/>
      <c r="K878" s="398">
        <f>_xlfn.IFNA(VLOOKUP(A878,numbering!$K$3:$L$92,2,0),0)</f>
        <v>0</v>
      </c>
    </row>
    <row r="879" spans="1:11" ht="60" hidden="1" x14ac:dyDescent="0.2">
      <c r="A879" s="390">
        <v>256</v>
      </c>
      <c r="B879" s="390" t="s">
        <v>253</v>
      </c>
      <c r="C879" s="390">
        <f>VLOOKUP(B879,numbering!$N$18:$O$30,2,0)</f>
        <v>4</v>
      </c>
      <c r="D879" s="390" t="s">
        <v>394</v>
      </c>
      <c r="E879" s="403">
        <f t="shared" si="24"/>
        <v>43</v>
      </c>
      <c r="F879" s="432" t="str">
        <f>F878</f>
        <v>Is there documented evidence of a closure plan which includes staging of the facility from the current arrangement to closure which achieves the objective of clearly detailing how the facility should be developed over its life which can serve as a reference to future expansion projects?</v>
      </c>
      <c r="G879" s="388" t="s">
        <v>1194</v>
      </c>
      <c r="H879" s="390">
        <v>3</v>
      </c>
      <c r="I879" s="390">
        <v>3</v>
      </c>
      <c r="J879" s="390"/>
      <c r="K879" s="398">
        <f>_xlfn.IFNA(VLOOKUP(A879,numbering!$K$3:$L$92,2,0),0)</f>
        <v>0</v>
      </c>
    </row>
    <row r="880" spans="1:11" ht="60" hidden="1" x14ac:dyDescent="0.2">
      <c r="A880" s="390">
        <v>256</v>
      </c>
      <c r="B880" s="390" t="s">
        <v>253</v>
      </c>
      <c r="C880" s="390">
        <f>VLOOKUP(B880,numbering!$N$18:$O$30,2,0)</f>
        <v>4</v>
      </c>
      <c r="D880" s="390" t="s">
        <v>394</v>
      </c>
      <c r="E880" s="403">
        <f t="shared" si="24"/>
        <v>43</v>
      </c>
      <c r="F880" s="432" t="str">
        <f>F879</f>
        <v>Is there documented evidence of a closure plan which includes staging of the facility from the current arrangement to closure which achieves the objective of clearly detailing how the facility should be developed over its life which can serve as a reference to future expansion projects?</v>
      </c>
      <c r="G880" s="388" t="s">
        <v>1195</v>
      </c>
      <c r="H880" s="390">
        <v>4</v>
      </c>
      <c r="I880" s="390">
        <v>4</v>
      </c>
      <c r="J880" s="390"/>
      <c r="K880" s="398">
        <f>_xlfn.IFNA(VLOOKUP(A880,numbering!$K$3:$L$92,2,0),0)</f>
        <v>0</v>
      </c>
    </row>
    <row r="881" spans="1:11" ht="75" hidden="1" x14ac:dyDescent="0.2">
      <c r="A881" s="390">
        <v>257</v>
      </c>
      <c r="B881" s="390" t="s">
        <v>253</v>
      </c>
      <c r="C881" s="390">
        <f>VLOOKUP(B881,numbering!$N$18:$O$30,2,0)</f>
        <v>4</v>
      </c>
      <c r="D881" s="390" t="s">
        <v>394</v>
      </c>
      <c r="E881" s="403">
        <f t="shared" si="24"/>
        <v>43</v>
      </c>
      <c r="F881" s="432" t="s">
        <v>397</v>
      </c>
      <c r="G881" s="388" t="s">
        <v>1192</v>
      </c>
      <c r="H881" s="390">
        <v>1</v>
      </c>
      <c r="I881" s="390">
        <v>1</v>
      </c>
      <c r="J881" s="390"/>
      <c r="K881" s="398">
        <f>_xlfn.IFNA(VLOOKUP(A881,numbering!$K$3:$L$92,2,0),0)</f>
        <v>0</v>
      </c>
    </row>
    <row r="882" spans="1:11" ht="75" hidden="1" x14ac:dyDescent="0.2">
      <c r="A882" s="390">
        <v>257</v>
      </c>
      <c r="B882" s="390" t="s">
        <v>253</v>
      </c>
      <c r="C882" s="390">
        <f>VLOOKUP(B882,numbering!$N$18:$O$30,2,0)</f>
        <v>4</v>
      </c>
      <c r="D882" s="390" t="s">
        <v>394</v>
      </c>
      <c r="E882" s="403">
        <f t="shared" si="24"/>
        <v>43</v>
      </c>
      <c r="F882" s="432" t="str">
        <f>F881</f>
        <v>Is there documented evidence that the closure plan is commensurate with the planned life-cycle of the facility as required by relevant standards and guidelines, including being supported by options assessments, structural design and required studies, which achieves the objective of facilitating progressive definition of the closure plan?</v>
      </c>
      <c r="G882" s="388" t="s">
        <v>1193</v>
      </c>
      <c r="H882" s="390">
        <v>2</v>
      </c>
      <c r="I882" s="390">
        <v>2</v>
      </c>
      <c r="J882" s="390"/>
      <c r="K882" s="398">
        <f>_xlfn.IFNA(VLOOKUP(A882,numbering!$K$3:$L$92,2,0),0)</f>
        <v>0</v>
      </c>
    </row>
    <row r="883" spans="1:11" ht="75" hidden="1" x14ac:dyDescent="0.2">
      <c r="A883" s="390">
        <v>257</v>
      </c>
      <c r="B883" s="390" t="s">
        <v>253</v>
      </c>
      <c r="C883" s="390">
        <f>VLOOKUP(B883,numbering!$N$18:$O$30,2,0)</f>
        <v>4</v>
      </c>
      <c r="D883" s="390" t="s">
        <v>394</v>
      </c>
      <c r="E883" s="403">
        <f t="shared" si="24"/>
        <v>43</v>
      </c>
      <c r="F883" s="432" t="str">
        <f>F882</f>
        <v>Is there documented evidence that the closure plan is commensurate with the planned life-cycle of the facility as required by relevant standards and guidelines, including being supported by options assessments, structural design and required studies, which achieves the objective of facilitating progressive definition of the closure plan?</v>
      </c>
      <c r="G883" s="388" t="s">
        <v>1194</v>
      </c>
      <c r="H883" s="390">
        <v>3</v>
      </c>
      <c r="I883" s="390">
        <v>3</v>
      </c>
      <c r="J883" s="390"/>
      <c r="K883" s="398">
        <f>_xlfn.IFNA(VLOOKUP(A883,numbering!$K$3:$L$92,2,0),0)</f>
        <v>0</v>
      </c>
    </row>
    <row r="884" spans="1:11" ht="75" hidden="1" x14ac:dyDescent="0.2">
      <c r="A884" s="390">
        <v>257</v>
      </c>
      <c r="B884" s="390" t="s">
        <v>253</v>
      </c>
      <c r="C884" s="390">
        <f>VLOOKUP(B884,numbering!$N$18:$O$30,2,0)</f>
        <v>4</v>
      </c>
      <c r="D884" s="390" t="s">
        <v>394</v>
      </c>
      <c r="E884" s="403">
        <f t="shared" si="24"/>
        <v>43</v>
      </c>
      <c r="F884" s="432" t="str">
        <f>F883</f>
        <v>Is there documented evidence that the closure plan is commensurate with the planned life-cycle of the facility as required by relevant standards and guidelines, including being supported by options assessments, structural design and required studies, which achieves the objective of facilitating progressive definition of the closure plan?</v>
      </c>
      <c r="G884" s="388" t="s">
        <v>1195</v>
      </c>
      <c r="H884" s="390">
        <v>4</v>
      </c>
      <c r="I884" s="390">
        <v>4</v>
      </c>
      <c r="J884" s="390"/>
      <c r="K884" s="398">
        <f>_xlfn.IFNA(VLOOKUP(A884,numbering!$K$3:$L$92,2,0),0)</f>
        <v>0</v>
      </c>
    </row>
    <row r="885" spans="1:11" ht="60" hidden="1" x14ac:dyDescent="0.2">
      <c r="A885" s="390">
        <v>258</v>
      </c>
      <c r="B885" s="390" t="s">
        <v>253</v>
      </c>
      <c r="C885" s="390">
        <f>VLOOKUP(B885,numbering!$N$18:$O$30,2,0)</f>
        <v>4</v>
      </c>
      <c r="D885" s="390" t="s">
        <v>394</v>
      </c>
      <c r="E885" s="403">
        <f t="shared" si="24"/>
        <v>43</v>
      </c>
      <c r="F885" s="432" t="s">
        <v>398</v>
      </c>
      <c r="G885" s="388" t="s">
        <v>1192</v>
      </c>
      <c r="H885" s="390">
        <v>1</v>
      </c>
      <c r="I885" s="390">
        <v>1</v>
      </c>
      <c r="J885" s="390"/>
      <c r="K885" s="398">
        <f>_xlfn.IFNA(VLOOKUP(A885,numbering!$K$3:$L$92,2,0),0)</f>
        <v>0</v>
      </c>
    </row>
    <row r="886" spans="1:11" ht="60" hidden="1" x14ac:dyDescent="0.2">
      <c r="A886" s="390">
        <v>258</v>
      </c>
      <c r="B886" s="390" t="s">
        <v>253</v>
      </c>
      <c r="C886" s="390">
        <f>VLOOKUP(B886,numbering!$N$18:$O$30,2,0)</f>
        <v>4</v>
      </c>
      <c r="D886" s="390" t="s">
        <v>394</v>
      </c>
      <c r="E886" s="403">
        <f t="shared" si="24"/>
        <v>43</v>
      </c>
      <c r="F886" s="432" t="str">
        <f>F885</f>
        <v>Is there documented evidence that the closure plan was reviewed by an independent third-party reviewer to achieve the objectives of producing a defensible closure plan studies and to meet the requirements of relevant standards and guidelines?</v>
      </c>
      <c r="G886" s="388" t="s">
        <v>1193</v>
      </c>
      <c r="H886" s="390">
        <v>2</v>
      </c>
      <c r="I886" s="390">
        <v>2</v>
      </c>
      <c r="J886" s="390"/>
      <c r="K886" s="398">
        <f>_xlfn.IFNA(VLOOKUP(A886,numbering!$K$3:$L$92,2,0),0)</f>
        <v>0</v>
      </c>
    </row>
    <row r="887" spans="1:11" ht="60" hidden="1" x14ac:dyDescent="0.2">
      <c r="A887" s="390">
        <v>258</v>
      </c>
      <c r="B887" s="390" t="s">
        <v>253</v>
      </c>
      <c r="C887" s="390">
        <f>VLOOKUP(B887,numbering!$N$18:$O$30,2,0)</f>
        <v>4</v>
      </c>
      <c r="D887" s="390" t="s">
        <v>394</v>
      </c>
      <c r="E887" s="403">
        <f t="shared" si="24"/>
        <v>43</v>
      </c>
      <c r="F887" s="432" t="str">
        <f>F886</f>
        <v>Is there documented evidence that the closure plan was reviewed by an independent third-party reviewer to achieve the objectives of producing a defensible closure plan studies and to meet the requirements of relevant standards and guidelines?</v>
      </c>
      <c r="G887" s="388" t="s">
        <v>1194</v>
      </c>
      <c r="H887" s="390">
        <v>3</v>
      </c>
      <c r="I887" s="390">
        <v>3</v>
      </c>
      <c r="J887" s="390"/>
      <c r="K887" s="398">
        <f>_xlfn.IFNA(VLOOKUP(A887,numbering!$K$3:$L$92,2,0),0)</f>
        <v>0</v>
      </c>
    </row>
    <row r="888" spans="1:11" ht="30" hidden="1" x14ac:dyDescent="0.2">
      <c r="A888" s="390">
        <v>258</v>
      </c>
      <c r="B888" s="390" t="s">
        <v>253</v>
      </c>
      <c r="C888" s="390">
        <f>VLOOKUP(B888,numbering!$N$18:$O$30,2,0)</f>
        <v>4</v>
      </c>
      <c r="D888" s="390" t="s">
        <v>394</v>
      </c>
      <c r="E888" s="403">
        <f t="shared" si="24"/>
        <v>43</v>
      </c>
      <c r="F888" s="432" t="s">
        <v>399</v>
      </c>
      <c r="G888" s="388" t="s">
        <v>1195</v>
      </c>
      <c r="H888" s="390">
        <v>4</v>
      </c>
      <c r="I888" s="390">
        <v>4</v>
      </c>
      <c r="J888" s="390"/>
      <c r="K888" s="398">
        <f>_xlfn.IFNA(VLOOKUP(A888,numbering!$K$3:$L$92,2,0),0)</f>
        <v>0</v>
      </c>
    </row>
    <row r="889" spans="1:11" ht="60" hidden="1" x14ac:dyDescent="0.2">
      <c r="A889" s="390">
        <v>260</v>
      </c>
      <c r="B889" s="390" t="s">
        <v>253</v>
      </c>
      <c r="C889" s="390">
        <f>VLOOKUP(B889,numbering!$N$18:$O$30,2,0)</f>
        <v>4</v>
      </c>
      <c r="D889" s="390" t="s">
        <v>394</v>
      </c>
      <c r="E889" s="403">
        <f t="shared" si="24"/>
        <v>43</v>
      </c>
      <c r="F889" s="432" t="s">
        <v>400</v>
      </c>
      <c r="G889" s="388" t="s">
        <v>1192</v>
      </c>
      <c r="H889" s="390">
        <v>1</v>
      </c>
      <c r="I889" s="390">
        <v>1</v>
      </c>
      <c r="J889" s="390"/>
      <c r="K889" s="398">
        <f>_xlfn.IFNA(VLOOKUP(A889,numbering!$K$3:$L$92,2,0),0)</f>
        <v>0</v>
      </c>
    </row>
    <row r="890" spans="1:11" ht="60" hidden="1" x14ac:dyDescent="0.2">
      <c r="A890" s="390">
        <v>260</v>
      </c>
      <c r="B890" s="390" t="s">
        <v>253</v>
      </c>
      <c r="C890" s="390">
        <f>VLOOKUP(B890,numbering!$N$18:$O$30,2,0)</f>
        <v>4</v>
      </c>
      <c r="D890" s="390" t="s">
        <v>394</v>
      </c>
      <c r="E890" s="403">
        <f t="shared" si="24"/>
        <v>43</v>
      </c>
      <c r="F890" s="432" t="str">
        <f>F889</f>
        <v>Is there documentation detailing the roles and responsibilities of key personnel or positions who are involved in the closure process to achieve the objective of identifying and assigning accountabilities and responsibilities for all activities required for successful closure?</v>
      </c>
      <c r="G890" s="388" t="s">
        <v>1193</v>
      </c>
      <c r="H890" s="390">
        <v>2</v>
      </c>
      <c r="I890" s="390">
        <v>2</v>
      </c>
      <c r="J890" s="390"/>
      <c r="K890" s="398">
        <f>_xlfn.IFNA(VLOOKUP(A890,numbering!$K$3:$L$92,2,0),0)</f>
        <v>0</v>
      </c>
    </row>
    <row r="891" spans="1:11" ht="60" hidden="1" x14ac:dyDescent="0.2">
      <c r="A891" s="390">
        <v>260</v>
      </c>
      <c r="B891" s="390" t="s">
        <v>253</v>
      </c>
      <c r="C891" s="390">
        <f>VLOOKUP(B891,numbering!$N$18:$O$30,2,0)</f>
        <v>4</v>
      </c>
      <c r="D891" s="390" t="s">
        <v>394</v>
      </c>
      <c r="E891" s="403">
        <f t="shared" si="24"/>
        <v>43</v>
      </c>
      <c r="F891" s="432" t="str">
        <f>F890</f>
        <v>Is there documentation detailing the roles and responsibilities of key personnel or positions who are involved in the closure process to achieve the objective of identifying and assigning accountabilities and responsibilities for all activities required for successful closure?</v>
      </c>
      <c r="G891" s="388" t="s">
        <v>1194</v>
      </c>
      <c r="H891" s="390">
        <v>3</v>
      </c>
      <c r="I891" s="390">
        <v>3</v>
      </c>
      <c r="J891" s="390"/>
      <c r="K891" s="398">
        <f>_xlfn.IFNA(VLOOKUP(A891,numbering!$K$3:$L$92,2,0),0)</f>
        <v>0</v>
      </c>
    </row>
    <row r="892" spans="1:11" ht="60" hidden="1" x14ac:dyDescent="0.2">
      <c r="A892" s="390">
        <v>260</v>
      </c>
      <c r="B892" s="390" t="s">
        <v>253</v>
      </c>
      <c r="C892" s="390">
        <f>VLOOKUP(B892,numbering!$N$18:$O$30,2,0)</f>
        <v>4</v>
      </c>
      <c r="D892" s="390" t="s">
        <v>394</v>
      </c>
      <c r="E892" s="403">
        <f t="shared" si="24"/>
        <v>43</v>
      </c>
      <c r="F892" s="432" t="str">
        <f>F891</f>
        <v>Is there documentation detailing the roles and responsibilities of key personnel or positions who are involved in the closure process to achieve the objective of identifying and assigning accountabilities and responsibilities for all activities required for successful closure?</v>
      </c>
      <c r="G892" s="388" t="s">
        <v>1195</v>
      </c>
      <c r="H892" s="390">
        <v>4</v>
      </c>
      <c r="I892" s="390">
        <v>4</v>
      </c>
      <c r="J892" s="390"/>
      <c r="K892" s="398">
        <f>_xlfn.IFNA(VLOOKUP(A892,numbering!$K$3:$L$92,2,0),0)</f>
        <v>0</v>
      </c>
    </row>
    <row r="893" spans="1:11" ht="45" hidden="1" x14ac:dyDescent="0.2">
      <c r="A893" s="390">
        <v>261</v>
      </c>
      <c r="B893" s="390" t="s">
        <v>253</v>
      </c>
      <c r="C893" s="390">
        <f>VLOOKUP(B893,numbering!$N$18:$O$30,2,0)</f>
        <v>4</v>
      </c>
      <c r="D893" s="390" t="s">
        <v>394</v>
      </c>
      <c r="E893" s="403">
        <f t="shared" si="24"/>
        <v>43</v>
      </c>
      <c r="F893" s="432" t="s">
        <v>401</v>
      </c>
      <c r="G893" s="388" t="s">
        <v>1192</v>
      </c>
      <c r="H893" s="390">
        <v>1</v>
      </c>
      <c r="I893" s="390">
        <v>1</v>
      </c>
      <c r="J893" s="390"/>
      <c r="K893" s="398">
        <f>_xlfn.IFNA(VLOOKUP(A893,numbering!$K$3:$L$92,2,0),0)</f>
        <v>0</v>
      </c>
    </row>
    <row r="894" spans="1:11" ht="32" hidden="1" x14ac:dyDescent="0.2">
      <c r="A894" s="390">
        <v>261</v>
      </c>
      <c r="B894" s="390" t="s">
        <v>253</v>
      </c>
      <c r="C894" s="390">
        <f>VLOOKUP(B894,numbering!$N$18:$O$30,2,0)</f>
        <v>4</v>
      </c>
      <c r="D894" s="390" t="s">
        <v>394</v>
      </c>
      <c r="E894" s="403">
        <f t="shared" si="24"/>
        <v>43</v>
      </c>
      <c r="F894" s="432" t="s">
        <v>402</v>
      </c>
      <c r="G894" s="388" t="s">
        <v>1193</v>
      </c>
      <c r="H894" s="390">
        <v>2</v>
      </c>
      <c r="I894" s="390">
        <v>2</v>
      </c>
      <c r="J894" s="390"/>
      <c r="K894" s="398">
        <f>_xlfn.IFNA(VLOOKUP(A894,numbering!$K$3:$L$92,2,0),0)</f>
        <v>0</v>
      </c>
    </row>
    <row r="895" spans="1:11" ht="32" hidden="1" x14ac:dyDescent="0.2">
      <c r="A895" s="390">
        <v>261</v>
      </c>
      <c r="B895" s="390" t="s">
        <v>253</v>
      </c>
      <c r="C895" s="390">
        <f>VLOOKUP(B895,numbering!$N$18:$O$30,2,0)</f>
        <v>4</v>
      </c>
      <c r="D895" s="390" t="s">
        <v>394</v>
      </c>
      <c r="E895" s="403">
        <f t="shared" si="24"/>
        <v>43</v>
      </c>
      <c r="F895" s="432" t="s">
        <v>402</v>
      </c>
      <c r="G895" s="388" t="s">
        <v>1194</v>
      </c>
      <c r="H895" s="390">
        <v>3</v>
      </c>
      <c r="I895" s="390">
        <v>3</v>
      </c>
      <c r="J895" s="390"/>
      <c r="K895" s="398">
        <f>_xlfn.IFNA(VLOOKUP(A895,numbering!$K$3:$L$92,2,0),0)</f>
        <v>0</v>
      </c>
    </row>
    <row r="896" spans="1:11" ht="30" hidden="1" x14ac:dyDescent="0.2">
      <c r="A896" s="390">
        <v>261</v>
      </c>
      <c r="B896" s="390" t="s">
        <v>253</v>
      </c>
      <c r="C896" s="390">
        <f>VLOOKUP(B896,numbering!$N$18:$O$30,2,0)</f>
        <v>4</v>
      </c>
      <c r="D896" s="390" t="s">
        <v>394</v>
      </c>
      <c r="E896" s="403">
        <f t="shared" si="24"/>
        <v>43</v>
      </c>
      <c r="F896" s="432" t="s">
        <v>402</v>
      </c>
      <c r="G896" s="388" t="s">
        <v>1195</v>
      </c>
      <c r="H896" s="390">
        <v>4</v>
      </c>
      <c r="I896" s="390">
        <v>4</v>
      </c>
      <c r="J896" s="390"/>
      <c r="K896" s="398">
        <f>_xlfn.IFNA(VLOOKUP(A896,numbering!$K$3:$L$92,2,0),0)</f>
        <v>0</v>
      </c>
    </row>
    <row r="897" spans="1:11" ht="60" hidden="1" x14ac:dyDescent="0.2">
      <c r="A897" s="390">
        <v>263</v>
      </c>
      <c r="B897" s="390" t="s">
        <v>253</v>
      </c>
      <c r="C897" s="390">
        <f>VLOOKUP(B897,numbering!$N$18:$O$30,2,0)</f>
        <v>4</v>
      </c>
      <c r="D897" s="390" t="s">
        <v>394</v>
      </c>
      <c r="E897" s="403">
        <f t="shared" si="24"/>
        <v>43</v>
      </c>
      <c r="F897" s="432" t="s">
        <v>403</v>
      </c>
      <c r="G897" s="388" t="s">
        <v>1192</v>
      </c>
      <c r="H897" s="390">
        <v>1</v>
      </c>
      <c r="I897" s="390">
        <v>1</v>
      </c>
      <c r="J897" s="390"/>
      <c r="K897" s="398">
        <f>_xlfn.IFNA(VLOOKUP(A897,numbering!$K$3:$L$92,2,0),0)</f>
        <v>0</v>
      </c>
    </row>
    <row r="898" spans="1:11" ht="60" hidden="1" x14ac:dyDescent="0.2">
      <c r="A898" s="390">
        <v>263</v>
      </c>
      <c r="B898" s="390" t="s">
        <v>253</v>
      </c>
      <c r="C898" s="390">
        <f>VLOOKUP(B898,numbering!$N$18:$O$30,2,0)</f>
        <v>4</v>
      </c>
      <c r="D898" s="390" t="s">
        <v>394</v>
      </c>
      <c r="E898" s="403">
        <f t="shared" si="24"/>
        <v>43</v>
      </c>
      <c r="F898" s="432" t="str">
        <f>F897</f>
        <v>Is there documented evidence that the closure plan has been adequately reviewed and modified with material changes to the operational procedures of the facility or planned final design, to achieve the objective of the closure plan considering actual conditions as accurately as practicable?</v>
      </c>
      <c r="G898" s="388" t="s">
        <v>1193</v>
      </c>
      <c r="H898" s="390">
        <v>2</v>
      </c>
      <c r="I898" s="390">
        <v>2</v>
      </c>
      <c r="J898" s="390"/>
      <c r="K898" s="398">
        <f>_xlfn.IFNA(VLOOKUP(A898,numbering!$K$3:$L$92,2,0),0)</f>
        <v>0</v>
      </c>
    </row>
    <row r="899" spans="1:11" ht="60" hidden="1" x14ac:dyDescent="0.2">
      <c r="A899" s="390">
        <v>263</v>
      </c>
      <c r="B899" s="390" t="s">
        <v>253</v>
      </c>
      <c r="C899" s="390">
        <f>VLOOKUP(B899,numbering!$N$18:$O$30,2,0)</f>
        <v>4</v>
      </c>
      <c r="D899" s="390" t="s">
        <v>394</v>
      </c>
      <c r="E899" s="403">
        <f t="shared" si="24"/>
        <v>43</v>
      </c>
      <c r="F899" s="432" t="str">
        <f>F898</f>
        <v>Is there documented evidence that the closure plan has been adequately reviewed and modified with material changes to the operational procedures of the facility or planned final design, to achieve the objective of the closure plan considering actual conditions as accurately as practicable?</v>
      </c>
      <c r="G899" s="388" t="s">
        <v>1194</v>
      </c>
      <c r="H899" s="390">
        <v>3</v>
      </c>
      <c r="I899" s="390">
        <v>3</v>
      </c>
      <c r="J899" s="390"/>
      <c r="K899" s="398">
        <f>_xlfn.IFNA(VLOOKUP(A899,numbering!$K$3:$L$92,2,0),0)</f>
        <v>0</v>
      </c>
    </row>
    <row r="900" spans="1:11" ht="60" hidden="1" x14ac:dyDescent="0.2">
      <c r="A900" s="390">
        <v>263</v>
      </c>
      <c r="B900" s="390" t="s">
        <v>253</v>
      </c>
      <c r="C900" s="390">
        <f>VLOOKUP(B900,numbering!$N$18:$O$30,2,0)</f>
        <v>4</v>
      </c>
      <c r="D900" s="390" t="s">
        <v>394</v>
      </c>
      <c r="E900" s="403">
        <f t="shared" si="24"/>
        <v>43</v>
      </c>
      <c r="F900" s="432" t="str">
        <f>F899</f>
        <v>Is there documented evidence that the closure plan has been adequately reviewed and modified with material changes to the operational procedures of the facility or planned final design, to achieve the objective of the closure plan considering actual conditions as accurately as practicable?</v>
      </c>
      <c r="G900" s="388" t="s">
        <v>1195</v>
      </c>
      <c r="H900" s="390">
        <v>4</v>
      </c>
      <c r="I900" s="390">
        <v>4</v>
      </c>
      <c r="J900" s="390"/>
      <c r="K900" s="398">
        <f>_xlfn.IFNA(VLOOKUP(A900,numbering!$K$3:$L$92,2,0),0)</f>
        <v>0</v>
      </c>
    </row>
    <row r="901" spans="1:11" ht="60" hidden="1" x14ac:dyDescent="0.2">
      <c r="A901" s="390">
        <v>264</v>
      </c>
      <c r="B901" s="390" t="s">
        <v>253</v>
      </c>
      <c r="C901" s="390">
        <f>VLOOKUP(B901,numbering!$N$18:$O$30,2,0)</f>
        <v>4</v>
      </c>
      <c r="D901" s="390" t="s">
        <v>394</v>
      </c>
      <c r="E901" s="403">
        <f t="shared" si="24"/>
        <v>43</v>
      </c>
      <c r="F901" s="432" t="s">
        <v>404</v>
      </c>
      <c r="G901" s="388" t="s">
        <v>1192</v>
      </c>
      <c r="H901" s="390">
        <v>1</v>
      </c>
      <c r="I901" s="390">
        <v>1</v>
      </c>
      <c r="J901" s="390"/>
      <c r="K901" s="398">
        <f>_xlfn.IFNA(VLOOKUP(A901,numbering!$K$3:$L$92,2,0),0)</f>
        <v>0</v>
      </c>
    </row>
    <row r="902" spans="1:11" ht="60" hidden="1" x14ac:dyDescent="0.2">
      <c r="A902" s="390">
        <v>264</v>
      </c>
      <c r="B902" s="390" t="s">
        <v>253</v>
      </c>
      <c r="C902" s="390">
        <f>VLOOKUP(B902,numbering!$N$18:$O$30,2,0)</f>
        <v>4</v>
      </c>
      <c r="D902" s="390" t="s">
        <v>394</v>
      </c>
      <c r="E902" s="403">
        <f t="shared" si="24"/>
        <v>43</v>
      </c>
      <c r="F902" s="432" t="str">
        <f>F901</f>
        <v>Is there documented evidence that closure was considered in the design of the facility and documented in the Design Report to achieve the objective of each design stage appropriately including closure considerations and constraints at each stage of the facility's life?</v>
      </c>
      <c r="G902" s="388" t="s">
        <v>1193</v>
      </c>
      <c r="H902" s="390">
        <v>2</v>
      </c>
      <c r="I902" s="390">
        <v>2</v>
      </c>
      <c r="J902" s="390"/>
      <c r="K902" s="398">
        <f>_xlfn.IFNA(VLOOKUP(A902,numbering!$K$3:$L$92,2,0),0)</f>
        <v>0</v>
      </c>
    </row>
    <row r="903" spans="1:11" ht="60" hidden="1" x14ac:dyDescent="0.2">
      <c r="A903" s="390">
        <v>264</v>
      </c>
      <c r="B903" s="390" t="s">
        <v>253</v>
      </c>
      <c r="C903" s="390">
        <f>VLOOKUP(B903,numbering!$N$18:$O$30,2,0)</f>
        <v>4</v>
      </c>
      <c r="D903" s="390" t="s">
        <v>394</v>
      </c>
      <c r="E903" s="403">
        <f t="shared" si="24"/>
        <v>43</v>
      </c>
      <c r="F903" s="432" t="str">
        <f>F902</f>
        <v>Is there documented evidence that closure was considered in the design of the facility and documented in the Design Report to achieve the objective of each design stage appropriately including closure considerations and constraints at each stage of the facility's life?</v>
      </c>
      <c r="G903" s="388" t="s">
        <v>1194</v>
      </c>
      <c r="H903" s="390">
        <v>3</v>
      </c>
      <c r="I903" s="390">
        <v>3</v>
      </c>
      <c r="J903" s="390"/>
      <c r="K903" s="398">
        <f>_xlfn.IFNA(VLOOKUP(A903,numbering!$K$3:$L$92,2,0),0)</f>
        <v>0</v>
      </c>
    </row>
    <row r="904" spans="1:11" ht="60" hidden="1" x14ac:dyDescent="0.2">
      <c r="A904" s="390">
        <v>264</v>
      </c>
      <c r="B904" s="390" t="s">
        <v>253</v>
      </c>
      <c r="C904" s="390">
        <f>VLOOKUP(B904,numbering!$N$18:$O$30,2,0)</f>
        <v>4</v>
      </c>
      <c r="D904" s="390" t="s">
        <v>394</v>
      </c>
      <c r="E904" s="403">
        <f t="shared" si="24"/>
        <v>43</v>
      </c>
      <c r="F904" s="432" t="str">
        <f>F903</f>
        <v>Is there documented evidence that closure was considered in the design of the facility and documented in the Design Report to achieve the objective of each design stage appropriately including closure considerations and constraints at each stage of the facility's life?</v>
      </c>
      <c r="G904" s="388" t="s">
        <v>1195</v>
      </c>
      <c r="H904" s="390">
        <v>4</v>
      </c>
      <c r="I904" s="390">
        <v>4</v>
      </c>
      <c r="J904" s="390"/>
      <c r="K904" s="398">
        <f>_xlfn.IFNA(VLOOKUP(A904,numbering!$K$3:$L$92,2,0),0)</f>
        <v>0</v>
      </c>
    </row>
    <row r="905" spans="1:11" ht="60" hidden="1" x14ac:dyDescent="0.2">
      <c r="A905" s="390">
        <v>265</v>
      </c>
      <c r="B905" s="390" t="s">
        <v>421</v>
      </c>
      <c r="C905" s="390">
        <f>VLOOKUP(B905,numbering!$N$18:$O$30,2,0)</f>
        <v>9</v>
      </c>
      <c r="D905" s="390" t="s">
        <v>406</v>
      </c>
      <c r="E905" s="403">
        <f t="shared" si="24"/>
        <v>1</v>
      </c>
      <c r="F905" s="432" t="s">
        <v>407</v>
      </c>
      <c r="G905" s="388" t="s">
        <v>1192</v>
      </c>
      <c r="H905" s="390">
        <v>1</v>
      </c>
      <c r="I905" s="390">
        <v>1</v>
      </c>
      <c r="J905" s="390"/>
      <c r="K905" s="398">
        <f>_xlfn.IFNA(VLOOKUP(A905,numbering!$K$3:$L$92,2,0),0)</f>
        <v>0</v>
      </c>
    </row>
    <row r="906" spans="1:11" ht="60" hidden="1" x14ac:dyDescent="0.2">
      <c r="A906" s="390">
        <v>265</v>
      </c>
      <c r="B906" s="390" t="s">
        <v>421</v>
      </c>
      <c r="C906" s="390">
        <f>VLOOKUP(B906,numbering!$N$18:$O$30,2,0)</f>
        <v>9</v>
      </c>
      <c r="D906" s="390" t="s">
        <v>406</v>
      </c>
      <c r="E906" s="403">
        <f t="shared" si="24"/>
        <v>1</v>
      </c>
      <c r="F906" s="432" t="str">
        <f>F905</f>
        <v>Is there documented evidence that appropriate actions have been identified with plans for implementation to achieve a risk profile that meets the concept of ALARP to achieve the objective of reducing the risk profile of the facility as low as is reasonably practicable?</v>
      </c>
      <c r="G906" s="388" t="s">
        <v>1193</v>
      </c>
      <c r="H906" s="390">
        <v>2</v>
      </c>
      <c r="I906" s="390">
        <v>2</v>
      </c>
      <c r="J906" s="390"/>
      <c r="K906" s="398">
        <f>_xlfn.IFNA(VLOOKUP(A906,numbering!$K$3:$L$92,2,0),0)</f>
        <v>0</v>
      </c>
    </row>
    <row r="907" spans="1:11" ht="60" hidden="1" x14ac:dyDescent="0.2">
      <c r="A907" s="390">
        <v>265</v>
      </c>
      <c r="B907" s="390" t="s">
        <v>421</v>
      </c>
      <c r="C907" s="390">
        <f>VLOOKUP(B907,numbering!$N$18:$O$30,2,0)</f>
        <v>9</v>
      </c>
      <c r="D907" s="390" t="s">
        <v>406</v>
      </c>
      <c r="E907" s="403">
        <f t="shared" si="24"/>
        <v>1</v>
      </c>
      <c r="F907" s="432" t="str">
        <f>F906</f>
        <v>Is there documented evidence that appropriate actions have been identified with plans for implementation to achieve a risk profile that meets the concept of ALARP to achieve the objective of reducing the risk profile of the facility as low as is reasonably practicable?</v>
      </c>
      <c r="G907" s="388" t="s">
        <v>1194</v>
      </c>
      <c r="H907" s="390">
        <v>3</v>
      </c>
      <c r="I907" s="390">
        <v>3</v>
      </c>
      <c r="J907" s="390"/>
      <c r="K907" s="398">
        <f>_xlfn.IFNA(VLOOKUP(A907,numbering!$K$3:$L$92,2,0),0)</f>
        <v>0</v>
      </c>
    </row>
    <row r="908" spans="1:11" ht="60" hidden="1" x14ac:dyDescent="0.2">
      <c r="A908" s="390">
        <v>265</v>
      </c>
      <c r="B908" s="390" t="s">
        <v>421</v>
      </c>
      <c r="C908" s="390">
        <f>VLOOKUP(B908,numbering!$N$18:$O$30,2,0)</f>
        <v>9</v>
      </c>
      <c r="D908" s="390" t="s">
        <v>406</v>
      </c>
      <c r="E908" s="403">
        <f t="shared" si="24"/>
        <v>1</v>
      </c>
      <c r="F908" s="432" t="str">
        <f>F907</f>
        <v>Is there documented evidence that appropriate actions have been identified with plans for implementation to achieve a risk profile that meets the concept of ALARP to achieve the objective of reducing the risk profile of the facility as low as is reasonably practicable?</v>
      </c>
      <c r="G908" s="388" t="s">
        <v>1195</v>
      </c>
      <c r="H908" s="390">
        <v>4</v>
      </c>
      <c r="I908" s="390">
        <v>4</v>
      </c>
      <c r="J908" s="390"/>
      <c r="K908" s="398">
        <f>_xlfn.IFNA(VLOOKUP(A908,numbering!$K$3:$L$92,2,0),0)</f>
        <v>0</v>
      </c>
    </row>
    <row r="909" spans="1:11" ht="75" hidden="1" x14ac:dyDescent="0.2">
      <c r="A909" s="390">
        <v>266</v>
      </c>
      <c r="B909" s="390" t="s">
        <v>421</v>
      </c>
      <c r="C909" s="390">
        <f>VLOOKUP(B909,numbering!$N$18:$O$30,2,0)</f>
        <v>9</v>
      </c>
      <c r="D909" s="390" t="s">
        <v>406</v>
      </c>
      <c r="E909" s="403">
        <f t="shared" si="24"/>
        <v>1</v>
      </c>
      <c r="F909" s="432" t="s">
        <v>408</v>
      </c>
      <c r="G909" s="388" t="s">
        <v>1192</v>
      </c>
      <c r="H909" s="390">
        <v>1</v>
      </c>
      <c r="I909" s="390">
        <v>1</v>
      </c>
      <c r="J909" s="390"/>
      <c r="K909" s="398">
        <f>_xlfn.IFNA(VLOOKUP(A909,numbering!$K$3:$L$92,2,0),0)</f>
        <v>0</v>
      </c>
    </row>
    <row r="910" spans="1:11" ht="75" hidden="1" x14ac:dyDescent="0.2">
      <c r="A910" s="390">
        <v>266</v>
      </c>
      <c r="B910" s="390" t="s">
        <v>421</v>
      </c>
      <c r="C910" s="390">
        <f>VLOOKUP(B910,numbering!$N$18:$O$30,2,0)</f>
        <v>9</v>
      </c>
      <c r="D910" s="390" t="s">
        <v>406</v>
      </c>
      <c r="E910" s="403">
        <f t="shared" si="24"/>
        <v>1</v>
      </c>
      <c r="F910" s="432" t="str">
        <f>F909</f>
        <v>Is there documented evidence that the Accountable Executive has confirmed that the facility's risk profile satisfied the concept of ALARP and that all reasonable steps to reduce potential consequences were identified with plans for implementation, to achieve the objective of the owner accepting accountability for the risks presented by the facility and all plans to lower that risk?</v>
      </c>
      <c r="G910" s="388" t="s">
        <v>1193</v>
      </c>
      <c r="H910" s="390">
        <v>2</v>
      </c>
      <c r="I910" s="390">
        <v>2</v>
      </c>
      <c r="J910" s="390"/>
      <c r="K910" s="398">
        <f>_xlfn.IFNA(VLOOKUP(A910,numbering!$K$3:$L$92,2,0),0)</f>
        <v>0</v>
      </c>
    </row>
    <row r="911" spans="1:11" ht="75" hidden="1" x14ac:dyDescent="0.2">
      <c r="A911" s="390">
        <v>266</v>
      </c>
      <c r="B911" s="390" t="s">
        <v>421</v>
      </c>
      <c r="C911" s="390">
        <f>VLOOKUP(B911,numbering!$N$18:$O$30,2,0)</f>
        <v>9</v>
      </c>
      <c r="D911" s="390" t="s">
        <v>406</v>
      </c>
      <c r="E911" s="403">
        <f t="shared" si="24"/>
        <v>1</v>
      </c>
      <c r="F911" s="432" t="str">
        <f>F910</f>
        <v>Is there documented evidence that the Accountable Executive has confirmed that the facility's risk profile satisfied the concept of ALARP and that all reasonable steps to reduce potential consequences were identified with plans for implementation, to achieve the objective of the owner accepting accountability for the risks presented by the facility and all plans to lower that risk?</v>
      </c>
      <c r="G911" s="388" t="s">
        <v>1194</v>
      </c>
      <c r="H911" s="390">
        <v>3</v>
      </c>
      <c r="I911" s="390">
        <v>3</v>
      </c>
      <c r="J911" s="390"/>
      <c r="K911" s="398">
        <f>_xlfn.IFNA(VLOOKUP(A911,numbering!$K$3:$L$92,2,0),0)</f>
        <v>0</v>
      </c>
    </row>
    <row r="912" spans="1:11" ht="75" hidden="1" x14ac:dyDescent="0.2">
      <c r="A912" s="390">
        <v>266</v>
      </c>
      <c r="B912" s="390" t="s">
        <v>421</v>
      </c>
      <c r="C912" s="390">
        <f>VLOOKUP(B912,numbering!$N$18:$O$30,2,0)</f>
        <v>9</v>
      </c>
      <c r="D912" s="390" t="s">
        <v>406</v>
      </c>
      <c r="E912" s="403">
        <f t="shared" si="24"/>
        <v>1</v>
      </c>
      <c r="F912" s="432" t="str">
        <f>F911</f>
        <v>Is there documented evidence that the Accountable Executive has confirmed that the facility's risk profile satisfied the concept of ALARP and that all reasonable steps to reduce potential consequences were identified with plans for implementation, to achieve the objective of the owner accepting accountability for the risks presented by the facility and all plans to lower that risk?</v>
      </c>
      <c r="G912" s="388" t="s">
        <v>1195</v>
      </c>
      <c r="H912" s="390">
        <v>4</v>
      </c>
      <c r="I912" s="390">
        <v>4</v>
      </c>
      <c r="J912" s="390"/>
      <c r="K912" s="398">
        <f>_xlfn.IFNA(VLOOKUP(A912,numbering!$K$3:$L$92,2,0),0)</f>
        <v>0</v>
      </c>
    </row>
    <row r="913" spans="1:11" ht="75" hidden="1" x14ac:dyDescent="0.2">
      <c r="A913" s="390">
        <v>267</v>
      </c>
      <c r="B913" s="390" t="s">
        <v>421</v>
      </c>
      <c r="C913" s="390">
        <f>VLOOKUP(B913,numbering!$N$18:$O$30,2,0)</f>
        <v>9</v>
      </c>
      <c r="D913" s="390" t="s">
        <v>406</v>
      </c>
      <c r="E913" s="403">
        <f t="shared" si="24"/>
        <v>1</v>
      </c>
      <c r="F913" s="432" t="s">
        <v>409</v>
      </c>
      <c r="G913" s="388" t="s">
        <v>1192</v>
      </c>
      <c r="H913" s="390">
        <v>1</v>
      </c>
      <c r="I913" s="390">
        <v>1</v>
      </c>
      <c r="J913" s="390"/>
      <c r="K913" s="398">
        <f>_xlfn.IFNA(VLOOKUP(A913,numbering!$K$3:$L$92,2,0),0)</f>
        <v>0</v>
      </c>
    </row>
    <row r="914" spans="1:11" ht="75" hidden="1" x14ac:dyDescent="0.2">
      <c r="A914" s="390">
        <v>267</v>
      </c>
      <c r="B914" s="390" t="s">
        <v>421</v>
      </c>
      <c r="C914" s="390">
        <f>VLOOKUP(B914,numbering!$N$18:$O$30,2,0)</f>
        <v>9</v>
      </c>
      <c r="D914" s="390" t="s">
        <v>406</v>
      </c>
      <c r="E914" s="403">
        <f t="shared" si="24"/>
        <v>1</v>
      </c>
      <c r="F914" s="432" t="str">
        <f>F913</f>
        <v>Is there documented evidence that the results of all risk assessments and reviews were communicated to the Independent Technical Review Board or Senior Technical reviewer for review, to achieve the objectives of producing defensible risk assessments and risk mitigation actions and to meet the requirements of relevant standards and guidelines?</v>
      </c>
      <c r="G914" s="388" t="s">
        <v>1193</v>
      </c>
      <c r="H914" s="390">
        <v>2</v>
      </c>
      <c r="I914" s="390">
        <v>2</v>
      </c>
      <c r="J914" s="390"/>
      <c r="K914" s="398">
        <f>_xlfn.IFNA(VLOOKUP(A914,numbering!$K$3:$L$92,2,0),0)</f>
        <v>0</v>
      </c>
    </row>
    <row r="915" spans="1:11" ht="75" hidden="1" x14ac:dyDescent="0.2">
      <c r="A915" s="390">
        <v>267</v>
      </c>
      <c r="B915" s="390" t="s">
        <v>421</v>
      </c>
      <c r="C915" s="390">
        <f>VLOOKUP(B915,numbering!$N$18:$O$30,2,0)</f>
        <v>9</v>
      </c>
      <c r="D915" s="390" t="s">
        <v>406</v>
      </c>
      <c r="E915" s="403">
        <f t="shared" si="24"/>
        <v>1</v>
      </c>
      <c r="F915" s="432" t="str">
        <f>F914</f>
        <v>Is there documented evidence that the results of all risk assessments and reviews were communicated to the Independent Technical Review Board or Senior Technical reviewer for review, to achieve the objectives of producing defensible risk assessments and risk mitigation actions and to meet the requirements of relevant standards and guidelines?</v>
      </c>
      <c r="G915" s="388" t="s">
        <v>1194</v>
      </c>
      <c r="H915" s="390">
        <v>3</v>
      </c>
      <c r="I915" s="390">
        <v>3</v>
      </c>
      <c r="J915" s="390"/>
      <c r="K915" s="398">
        <f>_xlfn.IFNA(VLOOKUP(A915,numbering!$K$3:$L$92,2,0),0)</f>
        <v>0</v>
      </c>
    </row>
    <row r="916" spans="1:11" ht="75" hidden="1" x14ac:dyDescent="0.2">
      <c r="A916" s="390">
        <v>267</v>
      </c>
      <c r="B916" s="390" t="s">
        <v>421</v>
      </c>
      <c r="C916" s="390">
        <f>VLOOKUP(B916,numbering!$N$18:$O$30,2,0)</f>
        <v>9</v>
      </c>
      <c r="D916" s="390" t="s">
        <v>406</v>
      </c>
      <c r="E916" s="403">
        <f t="shared" si="24"/>
        <v>1</v>
      </c>
      <c r="F916" s="432" t="str">
        <f>F915</f>
        <v>Is there documented evidence that the results of all risk assessments and reviews were communicated to the Independent Technical Review Board or Senior Technical reviewer for review, to achieve the objectives of producing defensible risk assessments and risk mitigation actions and to meet the requirements of relevant standards and guidelines?</v>
      </c>
      <c r="G916" s="388" t="s">
        <v>1195</v>
      </c>
      <c r="H916" s="390">
        <v>4</v>
      </c>
      <c r="I916" s="390">
        <v>4</v>
      </c>
      <c r="J916" s="390"/>
      <c r="K916" s="398">
        <f>_xlfn.IFNA(VLOOKUP(A916,numbering!$K$3:$L$92,2,0),0)</f>
        <v>0</v>
      </c>
    </row>
    <row r="917" spans="1:11" ht="75" hidden="1" x14ac:dyDescent="0.2">
      <c r="A917" s="390">
        <v>268</v>
      </c>
      <c r="B917" s="390" t="s">
        <v>421</v>
      </c>
      <c r="C917" s="390">
        <f>VLOOKUP(B917,numbering!$N$18:$O$30,2,0)</f>
        <v>9</v>
      </c>
      <c r="D917" s="390" t="s">
        <v>406</v>
      </c>
      <c r="E917" s="403">
        <f t="shared" si="24"/>
        <v>1</v>
      </c>
      <c r="F917" s="432" t="s">
        <v>410</v>
      </c>
      <c r="G917" s="388" t="s">
        <v>1192</v>
      </c>
      <c r="H917" s="390">
        <v>1</v>
      </c>
      <c r="I917" s="390">
        <v>1</v>
      </c>
      <c r="J917" s="390"/>
      <c r="K917" s="398">
        <f>_xlfn.IFNA(VLOOKUP(A917,numbering!$K$3:$L$92,2,0),0)</f>
        <v>0</v>
      </c>
    </row>
    <row r="918" spans="1:11" ht="75" hidden="1" x14ac:dyDescent="0.2">
      <c r="A918" s="390">
        <v>268</v>
      </c>
      <c r="B918" s="390" t="s">
        <v>421</v>
      </c>
      <c r="C918" s="390">
        <f>VLOOKUP(B918,numbering!$N$18:$O$30,2,0)</f>
        <v>9</v>
      </c>
      <c r="D918" s="390" t="s">
        <v>406</v>
      </c>
      <c r="E918" s="403">
        <f t="shared" si="24"/>
        <v>1</v>
      </c>
      <c r="F918" s="432" t="str">
        <f>F917</f>
        <v>Is there documented evidence of a plan to address all identified unacceptable tailings facility risks with prioritisation of activities based on stated levels of urgency, to achieve the objective of demonstrating that a feasible and realistic risk mitigation plan is being enacted appropriately and within a reasonable timeframe? (Plans should include required scopes, resources and scheduling details)</v>
      </c>
      <c r="G918" s="388" t="s">
        <v>1193</v>
      </c>
      <c r="H918" s="390">
        <v>2</v>
      </c>
      <c r="I918" s="390">
        <v>2</v>
      </c>
      <c r="J918" s="390"/>
      <c r="K918" s="398">
        <f>_xlfn.IFNA(VLOOKUP(A918,numbering!$K$3:$L$92,2,0),0)</f>
        <v>0</v>
      </c>
    </row>
    <row r="919" spans="1:11" ht="75" hidden="1" x14ac:dyDescent="0.2">
      <c r="A919" s="390">
        <v>268</v>
      </c>
      <c r="B919" s="390" t="s">
        <v>421</v>
      </c>
      <c r="C919" s="390">
        <f>VLOOKUP(B919,numbering!$N$18:$O$30,2,0)</f>
        <v>9</v>
      </c>
      <c r="D919" s="390" t="s">
        <v>406</v>
      </c>
      <c r="E919" s="403">
        <f t="shared" si="24"/>
        <v>1</v>
      </c>
      <c r="F919" s="432" t="str">
        <f>F918</f>
        <v>Is there documented evidence of a plan to address all identified unacceptable tailings facility risks with prioritisation of activities based on stated levels of urgency, to achieve the objective of demonstrating that a feasible and realistic risk mitigation plan is being enacted appropriately and within a reasonable timeframe? (Plans should include required scopes, resources and scheduling details)</v>
      </c>
      <c r="G919" s="388" t="s">
        <v>1194</v>
      </c>
      <c r="H919" s="390">
        <v>3</v>
      </c>
      <c r="I919" s="390">
        <v>3</v>
      </c>
      <c r="J919" s="390"/>
      <c r="K919" s="398">
        <f>_xlfn.IFNA(VLOOKUP(A919,numbering!$K$3:$L$92,2,0),0)</f>
        <v>0</v>
      </c>
    </row>
    <row r="920" spans="1:11" ht="75" hidden="1" x14ac:dyDescent="0.2">
      <c r="A920" s="390">
        <v>268</v>
      </c>
      <c r="B920" s="390" t="s">
        <v>421</v>
      </c>
      <c r="C920" s="390">
        <f>VLOOKUP(B920,numbering!$N$18:$O$30,2,0)</f>
        <v>9</v>
      </c>
      <c r="D920" s="390" t="s">
        <v>406</v>
      </c>
      <c r="E920" s="403">
        <f t="shared" si="24"/>
        <v>1</v>
      </c>
      <c r="F920" s="432" t="str">
        <f>F919</f>
        <v>Is there documented evidence of a plan to address all identified unacceptable tailings facility risks with prioritisation of activities based on stated levels of urgency, to achieve the objective of demonstrating that a feasible and realistic risk mitigation plan is being enacted appropriately and within a reasonable timeframe? (Plans should include required scopes, resources and scheduling details)</v>
      </c>
      <c r="G920" s="388" t="s">
        <v>1195</v>
      </c>
      <c r="H920" s="390">
        <v>4</v>
      </c>
      <c r="I920" s="390">
        <v>4</v>
      </c>
      <c r="J920" s="390"/>
      <c r="K920" s="398">
        <f>_xlfn.IFNA(VLOOKUP(A920,numbering!$K$3:$L$92,2,0),0)</f>
        <v>0</v>
      </c>
    </row>
    <row r="921" spans="1:11" ht="75" hidden="1" x14ac:dyDescent="0.2">
      <c r="A921" s="390">
        <v>269</v>
      </c>
      <c r="B921" s="390" t="s">
        <v>421</v>
      </c>
      <c r="C921" s="390">
        <f>VLOOKUP(B921,numbering!$N$18:$O$30,2,0)</f>
        <v>9</v>
      </c>
      <c r="D921" s="390" t="s">
        <v>406</v>
      </c>
      <c r="E921" s="403">
        <f t="shared" si="24"/>
        <v>1</v>
      </c>
      <c r="F921" s="436" t="s">
        <v>411</v>
      </c>
      <c r="G921" s="388" t="s">
        <v>1192</v>
      </c>
      <c r="H921" s="390">
        <v>1</v>
      </c>
      <c r="I921" s="390">
        <v>1</v>
      </c>
      <c r="J921" s="390"/>
      <c r="K921" s="398">
        <f>_xlfn.IFNA(VLOOKUP(A921,numbering!$K$3:$L$92,2,0),0)</f>
        <v>0</v>
      </c>
    </row>
    <row r="922" spans="1:11" ht="75" hidden="1" x14ac:dyDescent="0.2">
      <c r="A922" s="390">
        <v>269</v>
      </c>
      <c r="B922" s="390" t="s">
        <v>421</v>
      </c>
      <c r="C922" s="390">
        <f>VLOOKUP(B922,numbering!$N$18:$O$30,2,0)</f>
        <v>9</v>
      </c>
      <c r="D922" s="390" t="s">
        <v>406</v>
      </c>
      <c r="E922" s="403">
        <f t="shared" si="24"/>
        <v>1</v>
      </c>
      <c r="F922" s="436" t="str">
        <f>F921</f>
        <v>Is there documented evidence that the plans to address all identified unacceptable risks are being actioned appropriately based on the stated urgencies and within the timeframes stipulated and agreed by all relevant stakeholders, to achieve the objective of reducing the risk profile of the facility within the parameters endorsed by the Accountable Executive?</v>
      </c>
      <c r="G922" s="388" t="s">
        <v>1193</v>
      </c>
      <c r="H922" s="390">
        <v>2</v>
      </c>
      <c r="I922" s="390">
        <v>2</v>
      </c>
      <c r="J922" s="390"/>
      <c r="K922" s="398">
        <f>_xlfn.IFNA(VLOOKUP(A922,numbering!$K$3:$L$92,2,0),0)</f>
        <v>0</v>
      </c>
    </row>
    <row r="923" spans="1:11" ht="75" hidden="1" x14ac:dyDescent="0.2">
      <c r="A923" s="390">
        <v>269</v>
      </c>
      <c r="B923" s="390" t="s">
        <v>421</v>
      </c>
      <c r="C923" s="390">
        <f>VLOOKUP(B923,numbering!$N$18:$O$30,2,0)</f>
        <v>9</v>
      </c>
      <c r="D923" s="390" t="s">
        <v>406</v>
      </c>
      <c r="E923" s="403">
        <f t="shared" si="24"/>
        <v>1</v>
      </c>
      <c r="F923" s="436" t="str">
        <f>F922</f>
        <v>Is there documented evidence that the plans to address all identified unacceptable risks are being actioned appropriately based on the stated urgencies and within the timeframes stipulated and agreed by all relevant stakeholders, to achieve the objective of reducing the risk profile of the facility within the parameters endorsed by the Accountable Executive?</v>
      </c>
      <c r="G923" s="388" t="s">
        <v>1194</v>
      </c>
      <c r="H923" s="390">
        <v>3</v>
      </c>
      <c r="I923" s="390">
        <v>3</v>
      </c>
      <c r="J923" s="390"/>
      <c r="K923" s="398">
        <f>_xlfn.IFNA(VLOOKUP(A923,numbering!$K$3:$L$92,2,0),0)</f>
        <v>0</v>
      </c>
    </row>
    <row r="924" spans="1:11" ht="75" hidden="1" x14ac:dyDescent="0.2">
      <c r="A924" s="390">
        <v>269</v>
      </c>
      <c r="B924" s="390" t="s">
        <v>421</v>
      </c>
      <c r="C924" s="390">
        <f>VLOOKUP(B924,numbering!$N$18:$O$30,2,0)</f>
        <v>9</v>
      </c>
      <c r="D924" s="390" t="s">
        <v>406</v>
      </c>
      <c r="E924" s="403">
        <f t="shared" si="24"/>
        <v>1</v>
      </c>
      <c r="F924" s="436" t="str">
        <f>F923</f>
        <v>Is there documented evidence that the plans to address all identified unacceptable risks are being actioned appropriately based on the stated urgencies and within the timeframes stipulated and agreed by all relevant stakeholders, to achieve the objective of reducing the risk profile of the facility within the parameters endorsed by the Accountable Executive?</v>
      </c>
      <c r="G924" s="388" t="s">
        <v>1195</v>
      </c>
      <c r="H924" s="390">
        <v>4</v>
      </c>
      <c r="I924" s="390">
        <v>4</v>
      </c>
      <c r="J924" s="390"/>
      <c r="K924" s="398">
        <f>_xlfn.IFNA(VLOOKUP(A924,numbering!$K$3:$L$92,2,0),0)</f>
        <v>0</v>
      </c>
    </row>
    <row r="925" spans="1:11" ht="75" hidden="1" x14ac:dyDescent="0.2">
      <c r="A925" s="390">
        <v>270</v>
      </c>
      <c r="B925" s="390" t="s">
        <v>412</v>
      </c>
      <c r="C925" s="390">
        <f>VLOOKUP(B925,numbering!$N$18:$O$30,2,0)</f>
        <v>5</v>
      </c>
      <c r="D925" s="390" t="s">
        <v>413</v>
      </c>
      <c r="E925" s="403">
        <f t="shared" si="24"/>
        <v>1</v>
      </c>
      <c r="F925" s="422" t="s">
        <v>1363</v>
      </c>
      <c r="G925" s="388" t="s">
        <v>1192</v>
      </c>
      <c r="H925" s="390">
        <v>1</v>
      </c>
      <c r="I925" s="390">
        <v>1</v>
      </c>
      <c r="J925" s="390"/>
      <c r="K925" s="398">
        <f>_xlfn.IFNA(VLOOKUP(A925,numbering!$K$3:$L$92,2,0),0)</f>
        <v>1</v>
      </c>
    </row>
    <row r="926" spans="1:11" ht="75" hidden="1" x14ac:dyDescent="0.2">
      <c r="A926" s="390">
        <v>270</v>
      </c>
      <c r="B926" s="390" t="s">
        <v>412</v>
      </c>
      <c r="C926" s="390">
        <f>VLOOKUP(B926,numbering!$N$18:$O$30,2,0)</f>
        <v>5</v>
      </c>
      <c r="D926" s="390" t="s">
        <v>413</v>
      </c>
      <c r="E926" s="403">
        <f t="shared" si="24"/>
        <v>1</v>
      </c>
      <c r="F926" s="422" t="s">
        <v>1363</v>
      </c>
      <c r="G926" s="388" t="s">
        <v>1193</v>
      </c>
      <c r="H926" s="390">
        <v>2</v>
      </c>
      <c r="I926" s="390">
        <v>2</v>
      </c>
      <c r="J926" s="390"/>
      <c r="K926" s="398">
        <f>_xlfn.IFNA(VLOOKUP(A926,numbering!$K$3:$L$92,2,0),0)</f>
        <v>1</v>
      </c>
    </row>
    <row r="927" spans="1:11" ht="75" hidden="1" x14ac:dyDescent="0.2">
      <c r="A927" s="390">
        <v>270</v>
      </c>
      <c r="B927" s="390" t="s">
        <v>412</v>
      </c>
      <c r="C927" s="390">
        <f>VLOOKUP(B927,numbering!$N$18:$O$30,2,0)</f>
        <v>5</v>
      </c>
      <c r="D927" s="390" t="s">
        <v>413</v>
      </c>
      <c r="E927" s="403">
        <f t="shared" si="24"/>
        <v>1</v>
      </c>
      <c r="F927" s="422" t="s">
        <v>1363</v>
      </c>
      <c r="G927" s="388" t="s">
        <v>1194</v>
      </c>
      <c r="H927" s="390">
        <v>3</v>
      </c>
      <c r="I927" s="390">
        <v>3</v>
      </c>
      <c r="J927" s="390"/>
      <c r="K927" s="398">
        <f>_xlfn.IFNA(VLOOKUP(A927,numbering!$K$3:$L$92,2,0),0)</f>
        <v>1</v>
      </c>
    </row>
    <row r="928" spans="1:11" ht="75" hidden="1" x14ac:dyDescent="0.2">
      <c r="A928" s="390">
        <v>270</v>
      </c>
      <c r="B928" s="390" t="s">
        <v>412</v>
      </c>
      <c r="C928" s="390">
        <f>VLOOKUP(B928,numbering!$N$18:$O$30,2,0)</f>
        <v>5</v>
      </c>
      <c r="D928" s="390" t="s">
        <v>413</v>
      </c>
      <c r="E928" s="403">
        <f t="shared" si="24"/>
        <v>1</v>
      </c>
      <c r="F928" s="422" t="s">
        <v>1363</v>
      </c>
      <c r="G928" s="388" t="s">
        <v>1195</v>
      </c>
      <c r="H928" s="390">
        <v>4</v>
      </c>
      <c r="I928" s="390">
        <v>4</v>
      </c>
      <c r="J928" s="390"/>
      <c r="K928" s="398">
        <f>_xlfn.IFNA(VLOOKUP(A928,numbering!$K$3:$L$92,2,0),0)</f>
        <v>1</v>
      </c>
    </row>
    <row r="929" spans="1:11" ht="60" hidden="1" x14ac:dyDescent="0.2">
      <c r="A929" s="390">
        <v>271</v>
      </c>
      <c r="B929" s="390" t="s">
        <v>412</v>
      </c>
      <c r="C929" s="390">
        <f>VLOOKUP(B929,numbering!$N$18:$O$30,2,0)</f>
        <v>5</v>
      </c>
      <c r="D929" s="390" t="s">
        <v>414</v>
      </c>
      <c r="E929" s="403">
        <f t="shared" si="24"/>
        <v>2</v>
      </c>
      <c r="F929" s="422" t="s">
        <v>415</v>
      </c>
      <c r="G929" s="388" t="s">
        <v>1192</v>
      </c>
      <c r="H929" s="390">
        <v>1</v>
      </c>
      <c r="I929" s="390">
        <v>1</v>
      </c>
      <c r="J929" s="390"/>
      <c r="K929" s="398">
        <f>_xlfn.IFNA(VLOOKUP(A929,numbering!$K$3:$L$92,2,0),0)</f>
        <v>1</v>
      </c>
    </row>
    <row r="930" spans="1:11" ht="60" hidden="1" x14ac:dyDescent="0.2">
      <c r="A930" s="390">
        <v>271</v>
      </c>
      <c r="B930" s="390" t="s">
        <v>412</v>
      </c>
      <c r="C930" s="390">
        <f>VLOOKUP(B930,numbering!$N$18:$O$30,2,0)</f>
        <v>5</v>
      </c>
      <c r="D930" s="390" t="s">
        <v>414</v>
      </c>
      <c r="E930" s="403">
        <f t="shared" si="24"/>
        <v>2</v>
      </c>
      <c r="F930" s="422" t="s">
        <v>415</v>
      </c>
      <c r="G930" s="388" t="s">
        <v>1193</v>
      </c>
      <c r="H930" s="390">
        <v>2</v>
      </c>
      <c r="I930" s="390">
        <v>2</v>
      </c>
      <c r="J930" s="390"/>
      <c r="K930" s="398">
        <f>_xlfn.IFNA(VLOOKUP(A930,numbering!$K$3:$L$92,2,0),0)</f>
        <v>1</v>
      </c>
    </row>
    <row r="931" spans="1:11" ht="60" hidden="1" x14ac:dyDescent="0.2">
      <c r="A931" s="390">
        <v>271</v>
      </c>
      <c r="B931" s="390" t="s">
        <v>412</v>
      </c>
      <c r="C931" s="390">
        <f>VLOOKUP(B931,numbering!$N$18:$O$30,2,0)</f>
        <v>5</v>
      </c>
      <c r="D931" s="390" t="s">
        <v>414</v>
      </c>
      <c r="E931" s="403">
        <f t="shared" si="24"/>
        <v>2</v>
      </c>
      <c r="F931" s="422" t="s">
        <v>415</v>
      </c>
      <c r="G931" s="388" t="s">
        <v>1194</v>
      </c>
      <c r="H931" s="390">
        <v>3</v>
      </c>
      <c r="I931" s="390">
        <v>3</v>
      </c>
      <c r="J931" s="390"/>
      <c r="K931" s="398">
        <f>_xlfn.IFNA(VLOOKUP(A931,numbering!$K$3:$L$92,2,0),0)</f>
        <v>1</v>
      </c>
    </row>
    <row r="932" spans="1:11" ht="60" hidden="1" x14ac:dyDescent="0.2">
      <c r="A932" s="390">
        <v>271</v>
      </c>
      <c r="B932" s="390" t="s">
        <v>412</v>
      </c>
      <c r="C932" s="390">
        <f>VLOOKUP(B932,numbering!$N$18:$O$30,2,0)</f>
        <v>5</v>
      </c>
      <c r="D932" s="390" t="s">
        <v>414</v>
      </c>
      <c r="E932" s="403">
        <f t="shared" si="24"/>
        <v>2</v>
      </c>
      <c r="F932" s="422" t="s">
        <v>415</v>
      </c>
      <c r="G932" s="388" t="s">
        <v>1195</v>
      </c>
      <c r="H932" s="390">
        <v>4</v>
      </c>
      <c r="I932" s="390">
        <v>4</v>
      </c>
      <c r="J932" s="390"/>
      <c r="K932" s="398">
        <f>_xlfn.IFNA(VLOOKUP(A932,numbering!$K$3:$L$92,2,0),0)</f>
        <v>1</v>
      </c>
    </row>
    <row r="933" spans="1:11" ht="45" hidden="1" x14ac:dyDescent="0.2">
      <c r="A933" s="390">
        <v>272</v>
      </c>
      <c r="B933" s="390" t="s">
        <v>412</v>
      </c>
      <c r="C933" s="390">
        <f>VLOOKUP(B933,numbering!$N$18:$O$30,2,0)</f>
        <v>5</v>
      </c>
      <c r="D933" s="390" t="s">
        <v>416</v>
      </c>
      <c r="E933" s="403">
        <f t="shared" si="24"/>
        <v>3</v>
      </c>
      <c r="F933" s="422" t="s">
        <v>417</v>
      </c>
      <c r="G933" s="388" t="s">
        <v>1192</v>
      </c>
      <c r="H933" s="390">
        <v>1</v>
      </c>
      <c r="I933" s="390">
        <v>1</v>
      </c>
      <c r="J933" s="390"/>
      <c r="K933" s="398">
        <f>_xlfn.IFNA(VLOOKUP(A933,numbering!$K$3:$L$92,2,0),0)</f>
        <v>1</v>
      </c>
    </row>
    <row r="934" spans="1:11" ht="45" hidden="1" x14ac:dyDescent="0.2">
      <c r="A934" s="390">
        <v>272</v>
      </c>
      <c r="B934" s="390" t="s">
        <v>412</v>
      </c>
      <c r="C934" s="390">
        <f>VLOOKUP(B934,numbering!$N$18:$O$30,2,0)</f>
        <v>5</v>
      </c>
      <c r="D934" s="390" t="s">
        <v>416</v>
      </c>
      <c r="E934" s="403">
        <f t="shared" si="24"/>
        <v>3</v>
      </c>
      <c r="F934" s="422" t="s">
        <v>417</v>
      </c>
      <c r="G934" s="388" t="s">
        <v>1193</v>
      </c>
      <c r="H934" s="390">
        <v>2</v>
      </c>
      <c r="I934" s="390">
        <v>2</v>
      </c>
      <c r="J934" s="390"/>
      <c r="K934" s="398">
        <f>_xlfn.IFNA(VLOOKUP(A934,numbering!$K$3:$L$92,2,0),0)</f>
        <v>1</v>
      </c>
    </row>
    <row r="935" spans="1:11" ht="45" hidden="1" x14ac:dyDescent="0.2">
      <c r="A935" s="390">
        <v>272</v>
      </c>
      <c r="B935" s="390" t="s">
        <v>412</v>
      </c>
      <c r="C935" s="390">
        <f>VLOOKUP(B935,numbering!$N$18:$O$30,2,0)</f>
        <v>5</v>
      </c>
      <c r="D935" s="390" t="s">
        <v>416</v>
      </c>
      <c r="E935" s="403">
        <f t="shared" si="24"/>
        <v>3</v>
      </c>
      <c r="F935" s="422" t="s">
        <v>417</v>
      </c>
      <c r="G935" s="388" t="s">
        <v>1194</v>
      </c>
      <c r="H935" s="390">
        <v>3</v>
      </c>
      <c r="I935" s="390">
        <v>3</v>
      </c>
      <c r="J935" s="390"/>
      <c r="K935" s="398">
        <f>_xlfn.IFNA(VLOOKUP(A935,numbering!$K$3:$L$92,2,0),0)</f>
        <v>1</v>
      </c>
    </row>
    <row r="936" spans="1:11" ht="45" hidden="1" x14ac:dyDescent="0.2">
      <c r="A936" s="390">
        <v>272</v>
      </c>
      <c r="B936" s="390" t="s">
        <v>412</v>
      </c>
      <c r="C936" s="390">
        <f>VLOOKUP(B936,numbering!$N$18:$O$30,2,0)</f>
        <v>5</v>
      </c>
      <c r="D936" s="390" t="s">
        <v>416</v>
      </c>
      <c r="E936" s="403">
        <f t="shared" si="24"/>
        <v>3</v>
      </c>
      <c r="F936" s="422" t="s">
        <v>417</v>
      </c>
      <c r="G936" s="388" t="s">
        <v>1195</v>
      </c>
      <c r="H936" s="390">
        <v>4</v>
      </c>
      <c r="I936" s="390">
        <v>4</v>
      </c>
      <c r="J936" s="390"/>
      <c r="K936" s="398">
        <f>_xlfn.IFNA(VLOOKUP(A936,numbering!$K$3:$L$92,2,0),0)</f>
        <v>1</v>
      </c>
    </row>
    <row r="937" spans="1:11" ht="60" hidden="1" x14ac:dyDescent="0.2">
      <c r="A937" s="390">
        <v>273</v>
      </c>
      <c r="B937" s="390" t="s">
        <v>412</v>
      </c>
      <c r="C937" s="390">
        <f>VLOOKUP(B937,numbering!$N$18:$O$30,2,0)</f>
        <v>5</v>
      </c>
      <c r="D937" s="390" t="s">
        <v>416</v>
      </c>
      <c r="E937" s="403">
        <f t="shared" si="24"/>
        <v>3</v>
      </c>
      <c r="F937" s="422" t="s">
        <v>418</v>
      </c>
      <c r="G937" s="388" t="s">
        <v>1192</v>
      </c>
      <c r="H937" s="390">
        <v>1</v>
      </c>
      <c r="I937" s="390">
        <v>1</v>
      </c>
      <c r="J937" s="390"/>
      <c r="K937" s="398">
        <f>_xlfn.IFNA(VLOOKUP(A937,numbering!$K$3:$L$92,2,0),0)</f>
        <v>1</v>
      </c>
    </row>
    <row r="938" spans="1:11" ht="60" hidden="1" x14ac:dyDescent="0.2">
      <c r="A938" s="390">
        <v>273</v>
      </c>
      <c r="B938" s="390" t="s">
        <v>412</v>
      </c>
      <c r="C938" s="390">
        <f>VLOOKUP(B938,numbering!$N$18:$O$30,2,0)</f>
        <v>5</v>
      </c>
      <c r="D938" s="390" t="s">
        <v>416</v>
      </c>
      <c r="E938" s="403">
        <f t="shared" si="24"/>
        <v>3</v>
      </c>
      <c r="F938" s="422" t="s">
        <v>418</v>
      </c>
      <c r="G938" s="388" t="s">
        <v>1193</v>
      </c>
      <c r="H938" s="390">
        <v>2</v>
      </c>
      <c r="I938" s="390">
        <v>2</v>
      </c>
      <c r="J938" s="390"/>
      <c r="K938" s="398">
        <f>_xlfn.IFNA(VLOOKUP(A938,numbering!$K$3:$L$92,2,0),0)</f>
        <v>1</v>
      </c>
    </row>
    <row r="939" spans="1:11" ht="60" hidden="1" x14ac:dyDescent="0.2">
      <c r="A939" s="390">
        <v>273</v>
      </c>
      <c r="B939" s="390" t="s">
        <v>412</v>
      </c>
      <c r="C939" s="390">
        <f>VLOOKUP(B939,numbering!$N$18:$O$30,2,0)</f>
        <v>5</v>
      </c>
      <c r="D939" s="390" t="s">
        <v>416</v>
      </c>
      <c r="E939" s="403">
        <f t="shared" ref="E939:E1002" si="25">IF(C939&lt;&gt;C938,1,IF(D939&lt;&gt;D938,E938+1,E938))</f>
        <v>3</v>
      </c>
      <c r="F939" s="422" t="s">
        <v>418</v>
      </c>
      <c r="G939" s="388" t="s">
        <v>1194</v>
      </c>
      <c r="H939" s="390">
        <v>3</v>
      </c>
      <c r="I939" s="390">
        <v>3</v>
      </c>
      <c r="J939" s="390"/>
      <c r="K939" s="398">
        <f>_xlfn.IFNA(VLOOKUP(A939,numbering!$K$3:$L$92,2,0),0)</f>
        <v>1</v>
      </c>
    </row>
    <row r="940" spans="1:11" ht="60" hidden="1" x14ac:dyDescent="0.2">
      <c r="A940" s="390">
        <v>273</v>
      </c>
      <c r="B940" s="390" t="s">
        <v>412</v>
      </c>
      <c r="C940" s="390">
        <f>VLOOKUP(B940,numbering!$N$18:$O$30,2,0)</f>
        <v>5</v>
      </c>
      <c r="D940" s="390" t="s">
        <v>416</v>
      </c>
      <c r="E940" s="403">
        <f t="shared" si="25"/>
        <v>3</v>
      </c>
      <c r="F940" s="422" t="s">
        <v>418</v>
      </c>
      <c r="G940" s="388" t="s">
        <v>1195</v>
      </c>
      <c r="H940" s="390">
        <v>4</v>
      </c>
      <c r="I940" s="390">
        <v>4</v>
      </c>
      <c r="J940" s="390"/>
      <c r="K940" s="398">
        <f>_xlfn.IFNA(VLOOKUP(A940,numbering!$K$3:$L$92,2,0),0)</f>
        <v>1</v>
      </c>
    </row>
    <row r="941" spans="1:11" ht="45" hidden="1" x14ac:dyDescent="0.2">
      <c r="A941" s="390">
        <v>274</v>
      </c>
      <c r="B941" s="390" t="s">
        <v>412</v>
      </c>
      <c r="C941" s="390">
        <f>VLOOKUP(B941,numbering!$N$18:$O$30,2,0)</f>
        <v>5</v>
      </c>
      <c r="D941" s="390" t="s">
        <v>416</v>
      </c>
      <c r="E941" s="403">
        <f t="shared" si="25"/>
        <v>3</v>
      </c>
      <c r="F941" s="422" t="s">
        <v>419</v>
      </c>
      <c r="G941" s="388" t="s">
        <v>1192</v>
      </c>
      <c r="H941" s="390">
        <v>1</v>
      </c>
      <c r="I941" s="390">
        <v>1</v>
      </c>
      <c r="J941" s="390"/>
      <c r="K941" s="398">
        <f>_xlfn.IFNA(VLOOKUP(A941,numbering!$K$3:$L$92,2,0),0)</f>
        <v>1</v>
      </c>
    </row>
    <row r="942" spans="1:11" ht="45" hidden="1" x14ac:dyDescent="0.2">
      <c r="A942" s="390">
        <v>274</v>
      </c>
      <c r="B942" s="390" t="s">
        <v>412</v>
      </c>
      <c r="C942" s="390">
        <f>VLOOKUP(B942,numbering!$N$18:$O$30,2,0)</f>
        <v>5</v>
      </c>
      <c r="D942" s="390" t="s">
        <v>416</v>
      </c>
      <c r="E942" s="403">
        <f t="shared" si="25"/>
        <v>3</v>
      </c>
      <c r="F942" s="422" t="s">
        <v>419</v>
      </c>
      <c r="G942" s="388" t="s">
        <v>1193</v>
      </c>
      <c r="H942" s="390">
        <v>2</v>
      </c>
      <c r="I942" s="390">
        <v>2</v>
      </c>
      <c r="J942" s="390"/>
      <c r="K942" s="398">
        <f>_xlfn.IFNA(VLOOKUP(A942,numbering!$K$3:$L$92,2,0),0)</f>
        <v>1</v>
      </c>
    </row>
    <row r="943" spans="1:11" ht="45" hidden="1" x14ac:dyDescent="0.2">
      <c r="A943" s="390">
        <v>274</v>
      </c>
      <c r="B943" s="390" t="s">
        <v>412</v>
      </c>
      <c r="C943" s="390">
        <f>VLOOKUP(B943,numbering!$N$18:$O$30,2,0)</f>
        <v>5</v>
      </c>
      <c r="D943" s="390" t="s">
        <v>416</v>
      </c>
      <c r="E943" s="403">
        <f t="shared" si="25"/>
        <v>3</v>
      </c>
      <c r="F943" s="422" t="s">
        <v>419</v>
      </c>
      <c r="G943" s="388" t="s">
        <v>1194</v>
      </c>
      <c r="H943" s="390">
        <v>3</v>
      </c>
      <c r="I943" s="390">
        <v>3</v>
      </c>
      <c r="J943" s="390"/>
      <c r="K943" s="398">
        <f>_xlfn.IFNA(VLOOKUP(A943,numbering!$K$3:$L$92,2,0),0)</f>
        <v>1</v>
      </c>
    </row>
    <row r="944" spans="1:11" ht="45" hidden="1" x14ac:dyDescent="0.2">
      <c r="A944" s="390">
        <v>274</v>
      </c>
      <c r="B944" s="390" t="s">
        <v>412</v>
      </c>
      <c r="C944" s="390">
        <f>VLOOKUP(B944,numbering!$N$18:$O$30,2,0)</f>
        <v>5</v>
      </c>
      <c r="D944" s="390" t="s">
        <v>416</v>
      </c>
      <c r="E944" s="403">
        <f t="shared" si="25"/>
        <v>3</v>
      </c>
      <c r="F944" s="422" t="s">
        <v>419</v>
      </c>
      <c r="G944" s="388" t="s">
        <v>1195</v>
      </c>
      <c r="H944" s="390">
        <v>4</v>
      </c>
      <c r="I944" s="390">
        <v>4</v>
      </c>
      <c r="J944" s="390"/>
      <c r="K944" s="398">
        <f>_xlfn.IFNA(VLOOKUP(A944,numbering!$K$3:$L$92,2,0),0)</f>
        <v>1</v>
      </c>
    </row>
    <row r="945" spans="1:11" ht="45" hidden="1" x14ac:dyDescent="0.2">
      <c r="A945" s="390">
        <v>275</v>
      </c>
      <c r="B945" s="390" t="s">
        <v>412</v>
      </c>
      <c r="C945" s="390">
        <f>VLOOKUP(B945,numbering!$N$18:$O$30,2,0)</f>
        <v>5</v>
      </c>
      <c r="D945" s="390" t="s">
        <v>416</v>
      </c>
      <c r="E945" s="403">
        <f t="shared" si="25"/>
        <v>3</v>
      </c>
      <c r="F945" s="422" t="s">
        <v>420</v>
      </c>
      <c r="G945" s="388" t="s">
        <v>1192</v>
      </c>
      <c r="H945" s="390">
        <v>1</v>
      </c>
      <c r="I945" s="390">
        <v>1</v>
      </c>
      <c r="J945" s="390"/>
      <c r="K945" s="398">
        <f>_xlfn.IFNA(VLOOKUP(A945,numbering!$K$3:$L$92,2,0),0)</f>
        <v>1</v>
      </c>
    </row>
    <row r="946" spans="1:11" ht="45" hidden="1" x14ac:dyDescent="0.2">
      <c r="A946" s="390">
        <v>275</v>
      </c>
      <c r="B946" s="390" t="s">
        <v>412</v>
      </c>
      <c r="C946" s="390">
        <f>VLOOKUP(B946,numbering!$N$18:$O$30,2,0)</f>
        <v>5</v>
      </c>
      <c r="D946" s="390" t="s">
        <v>416</v>
      </c>
      <c r="E946" s="403">
        <f t="shared" si="25"/>
        <v>3</v>
      </c>
      <c r="F946" s="422" t="s">
        <v>420</v>
      </c>
      <c r="G946" s="388" t="s">
        <v>1193</v>
      </c>
      <c r="H946" s="390">
        <v>2</v>
      </c>
      <c r="I946" s="390">
        <v>2</v>
      </c>
      <c r="J946" s="390"/>
      <c r="K946" s="398">
        <f>_xlfn.IFNA(VLOOKUP(A946,numbering!$K$3:$L$92,2,0),0)</f>
        <v>1</v>
      </c>
    </row>
    <row r="947" spans="1:11" ht="45" hidden="1" x14ac:dyDescent="0.2">
      <c r="A947" s="390">
        <v>275</v>
      </c>
      <c r="B947" s="390" t="s">
        <v>412</v>
      </c>
      <c r="C947" s="390">
        <f>VLOOKUP(B947,numbering!$N$18:$O$30,2,0)</f>
        <v>5</v>
      </c>
      <c r="D947" s="390" t="s">
        <v>416</v>
      </c>
      <c r="E947" s="403">
        <f t="shared" si="25"/>
        <v>3</v>
      </c>
      <c r="F947" s="422" t="s">
        <v>420</v>
      </c>
      <c r="G947" s="388" t="s">
        <v>1194</v>
      </c>
      <c r="H947" s="390">
        <v>3</v>
      </c>
      <c r="I947" s="390">
        <v>3</v>
      </c>
      <c r="J947" s="390"/>
      <c r="K947" s="398">
        <f>_xlfn.IFNA(VLOOKUP(A947,numbering!$K$3:$L$92,2,0),0)</f>
        <v>1</v>
      </c>
    </row>
    <row r="948" spans="1:11" ht="45" hidden="1" x14ac:dyDescent="0.2">
      <c r="A948" s="390">
        <v>275</v>
      </c>
      <c r="B948" s="390" t="s">
        <v>412</v>
      </c>
      <c r="C948" s="390">
        <f>VLOOKUP(B948,numbering!$N$18:$O$30,2,0)</f>
        <v>5</v>
      </c>
      <c r="D948" s="390" t="s">
        <v>416</v>
      </c>
      <c r="E948" s="403">
        <f t="shared" si="25"/>
        <v>3</v>
      </c>
      <c r="F948" s="422" t="s">
        <v>420</v>
      </c>
      <c r="G948" s="388" t="s">
        <v>1195</v>
      </c>
      <c r="H948" s="390">
        <v>4</v>
      </c>
      <c r="I948" s="390">
        <v>4</v>
      </c>
      <c r="J948" s="390"/>
      <c r="K948" s="398">
        <f>_xlfn.IFNA(VLOOKUP(A948,numbering!$K$3:$L$92,2,0),0)</f>
        <v>1</v>
      </c>
    </row>
    <row r="949" spans="1:11" ht="60" hidden="1" x14ac:dyDescent="0.2">
      <c r="A949" s="390">
        <v>276</v>
      </c>
      <c r="B949" s="390" t="s">
        <v>421</v>
      </c>
      <c r="C949" s="390">
        <f>VLOOKUP(B949,numbering!$N$18:$O$30,2,0)</f>
        <v>9</v>
      </c>
      <c r="D949" s="390" t="s">
        <v>422</v>
      </c>
      <c r="E949" s="403">
        <f t="shared" si="25"/>
        <v>1</v>
      </c>
      <c r="F949" s="432" t="s">
        <v>423</v>
      </c>
      <c r="G949" s="388" t="s">
        <v>1192</v>
      </c>
      <c r="H949" s="390">
        <v>1</v>
      </c>
      <c r="I949" s="390">
        <v>1</v>
      </c>
      <c r="J949" s="390"/>
      <c r="K949" s="398">
        <f>_xlfn.IFNA(VLOOKUP(A949,numbering!$K$3:$L$92,2,0),0)</f>
        <v>0</v>
      </c>
    </row>
    <row r="950" spans="1:11" ht="60" hidden="1" x14ac:dyDescent="0.2">
      <c r="A950" s="390">
        <v>276</v>
      </c>
      <c r="B950" s="390" t="s">
        <v>421</v>
      </c>
      <c r="C950" s="390">
        <f>VLOOKUP(B950,numbering!$N$18:$O$30,2,0)</f>
        <v>9</v>
      </c>
      <c r="D950" s="390" t="s">
        <v>422</v>
      </c>
      <c r="E950" s="403">
        <f t="shared" si="25"/>
        <v>1</v>
      </c>
      <c r="F950" s="432" t="str">
        <f>F949</f>
        <v>Is there documented evidence of the Board of Directors adopting and publishing a policy which achieves the  objective of stating a commitment to the safe management of storage facilities, emergency preparedness and response and to recovery after failure?</v>
      </c>
      <c r="G950" s="388" t="s">
        <v>1193</v>
      </c>
      <c r="H950" s="390">
        <v>2</v>
      </c>
      <c r="I950" s="390">
        <v>2</v>
      </c>
      <c r="J950" s="390"/>
      <c r="K950" s="398">
        <f>_xlfn.IFNA(VLOOKUP(A950,numbering!$K$3:$L$92,2,0),0)</f>
        <v>0</v>
      </c>
    </row>
    <row r="951" spans="1:11" ht="60" hidden="1" x14ac:dyDescent="0.2">
      <c r="A951" s="390">
        <v>276</v>
      </c>
      <c r="B951" s="390" t="s">
        <v>421</v>
      </c>
      <c r="C951" s="390">
        <f>VLOOKUP(B951,numbering!$N$18:$O$30,2,0)</f>
        <v>9</v>
      </c>
      <c r="D951" s="390" t="s">
        <v>422</v>
      </c>
      <c r="E951" s="403">
        <f t="shared" si="25"/>
        <v>1</v>
      </c>
      <c r="F951" s="432" t="str">
        <f>F950</f>
        <v>Is there documented evidence of the Board of Directors adopting and publishing a policy which achieves the  objective of stating a commitment to the safe management of storage facilities, emergency preparedness and response and to recovery after failure?</v>
      </c>
      <c r="G951" s="388" t="s">
        <v>1194</v>
      </c>
      <c r="H951" s="390">
        <v>3</v>
      </c>
      <c r="I951" s="390">
        <v>3</v>
      </c>
      <c r="J951" s="390"/>
      <c r="K951" s="398">
        <f>_xlfn.IFNA(VLOOKUP(A951,numbering!$K$3:$L$92,2,0),0)</f>
        <v>0</v>
      </c>
    </row>
    <row r="952" spans="1:11" ht="60" hidden="1" x14ac:dyDescent="0.2">
      <c r="A952" s="390">
        <v>276</v>
      </c>
      <c r="B952" s="390" t="s">
        <v>421</v>
      </c>
      <c r="C952" s="390">
        <f>VLOOKUP(B952,numbering!$N$18:$O$30,2,0)</f>
        <v>9</v>
      </c>
      <c r="D952" s="390" t="s">
        <v>422</v>
      </c>
      <c r="E952" s="403">
        <f t="shared" si="25"/>
        <v>1</v>
      </c>
      <c r="F952" s="432" t="str">
        <f>F951</f>
        <v>Is there documented evidence of the Board of Directors adopting and publishing a policy which achieves the  objective of stating a commitment to the safe management of storage facilities, emergency preparedness and response and to recovery after failure?</v>
      </c>
      <c r="G952" s="388" t="s">
        <v>1195</v>
      </c>
      <c r="H952" s="390">
        <v>4</v>
      </c>
      <c r="I952" s="390">
        <v>4</v>
      </c>
      <c r="J952" s="390"/>
      <c r="K952" s="398">
        <f>_xlfn.IFNA(VLOOKUP(A952,numbering!$K$3:$L$92,2,0),0)</f>
        <v>0</v>
      </c>
    </row>
    <row r="953" spans="1:11" ht="45" hidden="1" x14ac:dyDescent="0.2">
      <c r="A953" s="390">
        <v>277</v>
      </c>
      <c r="B953" s="390" t="s">
        <v>421</v>
      </c>
      <c r="C953" s="390">
        <f>VLOOKUP(B953,numbering!$N$18:$O$30,2,0)</f>
        <v>9</v>
      </c>
      <c r="D953" s="390" t="s">
        <v>422</v>
      </c>
      <c r="E953" s="403">
        <f t="shared" si="25"/>
        <v>1</v>
      </c>
      <c r="F953" s="432" t="s">
        <v>424</v>
      </c>
      <c r="G953" s="388" t="s">
        <v>1192</v>
      </c>
      <c r="H953" s="390">
        <v>1</v>
      </c>
      <c r="I953" s="390">
        <v>1</v>
      </c>
      <c r="J953" s="390"/>
      <c r="K953" s="398">
        <f>_xlfn.IFNA(VLOOKUP(A953,numbering!$K$3:$L$92,2,0),0)</f>
        <v>0</v>
      </c>
    </row>
    <row r="954" spans="1:11" ht="45" hidden="1" x14ac:dyDescent="0.2">
      <c r="A954" s="390">
        <v>277</v>
      </c>
      <c r="B954" s="390" t="s">
        <v>421</v>
      </c>
      <c r="C954" s="390">
        <f>VLOOKUP(B954,numbering!$N$18:$O$30,2,0)</f>
        <v>9</v>
      </c>
      <c r="D954" s="390" t="s">
        <v>422</v>
      </c>
      <c r="E954" s="403">
        <f t="shared" si="25"/>
        <v>1</v>
      </c>
      <c r="F954" s="432" t="str">
        <f>F953</f>
        <v>Is there documented evidence of a tailings governance framework being established to achieve the objective of effective management, oversight and accountability of storage facilities?</v>
      </c>
      <c r="G954" s="388" t="s">
        <v>1193</v>
      </c>
      <c r="H954" s="390">
        <v>2</v>
      </c>
      <c r="I954" s="390">
        <v>2</v>
      </c>
      <c r="J954" s="390"/>
      <c r="K954" s="398">
        <f>_xlfn.IFNA(VLOOKUP(A954,numbering!$K$3:$L$92,2,0),0)</f>
        <v>0</v>
      </c>
    </row>
    <row r="955" spans="1:11" ht="45" hidden="1" x14ac:dyDescent="0.2">
      <c r="A955" s="390">
        <v>277</v>
      </c>
      <c r="B955" s="390" t="s">
        <v>421</v>
      </c>
      <c r="C955" s="390">
        <f>VLOOKUP(B955,numbering!$N$18:$O$30,2,0)</f>
        <v>9</v>
      </c>
      <c r="D955" s="390" t="s">
        <v>422</v>
      </c>
      <c r="E955" s="403">
        <f t="shared" si="25"/>
        <v>1</v>
      </c>
      <c r="F955" s="432" t="str">
        <f>F954</f>
        <v>Is there documented evidence of a tailings governance framework being established to achieve the objective of effective management, oversight and accountability of storage facilities?</v>
      </c>
      <c r="G955" s="388" t="s">
        <v>1194</v>
      </c>
      <c r="H955" s="390">
        <v>3</v>
      </c>
      <c r="I955" s="390">
        <v>3</v>
      </c>
      <c r="J955" s="390"/>
      <c r="K955" s="398">
        <f>_xlfn.IFNA(VLOOKUP(A955,numbering!$K$3:$L$92,2,0),0)</f>
        <v>0</v>
      </c>
    </row>
    <row r="956" spans="1:11" ht="45" hidden="1" x14ac:dyDescent="0.2">
      <c r="A956" s="390">
        <v>277</v>
      </c>
      <c r="B956" s="390" t="s">
        <v>421</v>
      </c>
      <c r="C956" s="390">
        <f>VLOOKUP(B956,numbering!$N$18:$O$30,2,0)</f>
        <v>9</v>
      </c>
      <c r="D956" s="390" t="s">
        <v>422</v>
      </c>
      <c r="E956" s="403">
        <f t="shared" si="25"/>
        <v>1</v>
      </c>
      <c r="F956" s="432" t="str">
        <f>F955</f>
        <v>Is there documented evidence of a tailings governance framework being established to achieve the objective of effective management, oversight and accountability of storage facilities?</v>
      </c>
      <c r="G956" s="388" t="s">
        <v>1195</v>
      </c>
      <c r="H956" s="390">
        <v>4</v>
      </c>
      <c r="I956" s="390">
        <v>4</v>
      </c>
      <c r="J956" s="390"/>
      <c r="K956" s="398">
        <f>_xlfn.IFNA(VLOOKUP(A956,numbering!$K$3:$L$92,2,0),0)</f>
        <v>0</v>
      </c>
    </row>
    <row r="957" spans="1:11" ht="60" hidden="1" x14ac:dyDescent="0.2">
      <c r="A957" s="390">
        <v>278</v>
      </c>
      <c r="B957" s="390" t="s">
        <v>421</v>
      </c>
      <c r="C957" s="390">
        <f>VLOOKUP(B957,numbering!$N$18:$O$30,2,0)</f>
        <v>9</v>
      </c>
      <c r="D957" s="390" t="s">
        <v>422</v>
      </c>
      <c r="E957" s="403">
        <f t="shared" si="25"/>
        <v>1</v>
      </c>
      <c r="F957" s="432" t="s">
        <v>425</v>
      </c>
      <c r="G957" s="388" t="s">
        <v>1192</v>
      </c>
      <c r="H957" s="390">
        <v>1</v>
      </c>
      <c r="I957" s="390">
        <v>1</v>
      </c>
      <c r="J957" s="390"/>
      <c r="K957" s="398">
        <f>_xlfn.IFNA(VLOOKUP(A957,numbering!$K$3:$L$92,2,0),0)</f>
        <v>0</v>
      </c>
    </row>
    <row r="958" spans="1:11" ht="60" hidden="1" x14ac:dyDescent="0.2">
      <c r="A958" s="390">
        <v>278</v>
      </c>
      <c r="B958" s="390" t="s">
        <v>421</v>
      </c>
      <c r="C958" s="390">
        <f>VLOOKUP(B958,numbering!$N$18:$O$30,2,0)</f>
        <v>9</v>
      </c>
      <c r="D958" s="390" t="s">
        <v>422</v>
      </c>
      <c r="E958" s="403">
        <f t="shared" si="25"/>
        <v>1</v>
      </c>
      <c r="F958" s="432" t="str">
        <f>F957</f>
        <v>Is there documented evidence that an incentive program has been established for those fulfilling responsible personnel roles which achieves the objective of basing incentive payments or performance reviews (at least in part) on public safety and the integrity of the tailings facility? (refer to GISTM for further details)</v>
      </c>
      <c r="G958" s="388" t="s">
        <v>1193</v>
      </c>
      <c r="H958" s="390">
        <v>2</v>
      </c>
      <c r="I958" s="390">
        <v>2</v>
      </c>
      <c r="J958" s="390"/>
      <c r="K958" s="398">
        <f>_xlfn.IFNA(VLOOKUP(A958,numbering!$K$3:$L$92,2,0),0)</f>
        <v>0</v>
      </c>
    </row>
    <row r="959" spans="1:11" ht="60" hidden="1" x14ac:dyDescent="0.2">
      <c r="A959" s="390">
        <v>278</v>
      </c>
      <c r="B959" s="390" t="s">
        <v>421</v>
      </c>
      <c r="C959" s="390">
        <f>VLOOKUP(B959,numbering!$N$18:$O$30,2,0)</f>
        <v>9</v>
      </c>
      <c r="D959" s="390" t="s">
        <v>422</v>
      </c>
      <c r="E959" s="403">
        <f t="shared" si="25"/>
        <v>1</v>
      </c>
      <c r="F959" s="432" t="str">
        <f>F958</f>
        <v>Is there documented evidence that an incentive program has been established for those fulfilling responsible personnel roles which achieves the objective of basing incentive payments or performance reviews (at least in part) on public safety and the integrity of the tailings facility? (refer to GISTM for further details)</v>
      </c>
      <c r="G959" s="388" t="s">
        <v>1194</v>
      </c>
      <c r="H959" s="390">
        <v>3</v>
      </c>
      <c r="I959" s="390">
        <v>3</v>
      </c>
      <c r="J959" s="390"/>
      <c r="K959" s="398">
        <f>_xlfn.IFNA(VLOOKUP(A959,numbering!$K$3:$L$92,2,0),0)</f>
        <v>0</v>
      </c>
    </row>
    <row r="960" spans="1:11" ht="60" hidden="1" x14ac:dyDescent="0.2">
      <c r="A960" s="390">
        <v>278</v>
      </c>
      <c r="B960" s="390" t="s">
        <v>421</v>
      </c>
      <c r="C960" s="390">
        <f>VLOOKUP(B960,numbering!$N$18:$O$30,2,0)</f>
        <v>9</v>
      </c>
      <c r="D960" s="390" t="s">
        <v>422</v>
      </c>
      <c r="E960" s="403">
        <f t="shared" si="25"/>
        <v>1</v>
      </c>
      <c r="F960" s="432" t="str">
        <f>F959</f>
        <v>Is there documented evidence that an incentive program has been established for those fulfilling responsible personnel roles which achieves the objective of basing incentive payments or performance reviews (at least in part) on public safety and the integrity of the tailings facility? (refer to GISTM for further details)</v>
      </c>
      <c r="G960" s="388" t="s">
        <v>1195</v>
      </c>
      <c r="H960" s="390">
        <v>4</v>
      </c>
      <c r="I960" s="390">
        <v>4</v>
      </c>
      <c r="J960" s="390"/>
      <c r="K960" s="398">
        <f>_xlfn.IFNA(VLOOKUP(A960,numbering!$K$3:$L$92,2,0),0)</f>
        <v>0</v>
      </c>
    </row>
    <row r="961" spans="1:11" ht="45" hidden="1" x14ac:dyDescent="0.2">
      <c r="A961" s="390">
        <v>279</v>
      </c>
      <c r="B961" s="390" t="s">
        <v>421</v>
      </c>
      <c r="C961" s="390">
        <f>VLOOKUP(B961,numbering!$N$18:$O$30,2,0)</f>
        <v>9</v>
      </c>
      <c r="D961" s="390" t="s">
        <v>422</v>
      </c>
      <c r="E961" s="403">
        <f t="shared" si="25"/>
        <v>1</v>
      </c>
      <c r="F961" s="432" t="s">
        <v>426</v>
      </c>
      <c r="G961" s="388" t="s">
        <v>1192</v>
      </c>
      <c r="H961" s="390">
        <v>1</v>
      </c>
      <c r="I961" s="390">
        <v>1</v>
      </c>
      <c r="J961" s="390"/>
      <c r="K961" s="398">
        <f>_xlfn.IFNA(VLOOKUP(A961,numbering!$K$3:$L$92,2,0),0)</f>
        <v>0</v>
      </c>
    </row>
    <row r="962" spans="1:11" ht="45" hidden="1" x14ac:dyDescent="0.2">
      <c r="A962" s="390">
        <v>279</v>
      </c>
      <c r="B962" s="390" t="s">
        <v>421</v>
      </c>
      <c r="C962" s="390">
        <f>VLOOKUP(B962,numbering!$N$18:$O$30,2,0)</f>
        <v>9</v>
      </c>
      <c r="D962" s="390" t="s">
        <v>422</v>
      </c>
      <c r="E962" s="403">
        <f t="shared" si="25"/>
        <v>1</v>
      </c>
      <c r="F962" s="432" t="str">
        <f>F961</f>
        <v>Is there documented evidence that an Accountable Executive has been assigned to achieve the objective of appointing a person to be accountable for all facility management and governance activities and systems?</v>
      </c>
      <c r="G962" s="388" t="s">
        <v>1193</v>
      </c>
      <c r="H962" s="390">
        <v>2</v>
      </c>
      <c r="I962" s="390">
        <v>2</v>
      </c>
      <c r="J962" s="390"/>
      <c r="K962" s="398">
        <f>_xlfn.IFNA(VLOOKUP(A962,numbering!$K$3:$L$92,2,0),0)</f>
        <v>0</v>
      </c>
    </row>
    <row r="963" spans="1:11" ht="45" hidden="1" x14ac:dyDescent="0.2">
      <c r="A963" s="390">
        <v>279</v>
      </c>
      <c r="B963" s="390" t="s">
        <v>421</v>
      </c>
      <c r="C963" s="390">
        <f>VLOOKUP(B963,numbering!$N$18:$O$30,2,0)</f>
        <v>9</v>
      </c>
      <c r="D963" s="390" t="s">
        <v>422</v>
      </c>
      <c r="E963" s="403">
        <f t="shared" si="25"/>
        <v>1</v>
      </c>
      <c r="F963" s="432" t="str">
        <f>F962</f>
        <v>Is there documented evidence that an Accountable Executive has been assigned to achieve the objective of appointing a person to be accountable for all facility management and governance activities and systems?</v>
      </c>
      <c r="G963" s="388" t="s">
        <v>1194</v>
      </c>
      <c r="H963" s="390">
        <v>3</v>
      </c>
      <c r="I963" s="390">
        <v>3</v>
      </c>
      <c r="J963" s="390"/>
      <c r="K963" s="398">
        <f>_xlfn.IFNA(VLOOKUP(A963,numbering!$K$3:$L$92,2,0),0)</f>
        <v>0</v>
      </c>
    </row>
    <row r="964" spans="1:11" ht="45" hidden="1" x14ac:dyDescent="0.2">
      <c r="A964" s="390">
        <v>279</v>
      </c>
      <c r="B964" s="390" t="s">
        <v>421</v>
      </c>
      <c r="C964" s="390">
        <f>VLOOKUP(B964,numbering!$N$18:$O$30,2,0)</f>
        <v>9</v>
      </c>
      <c r="D964" s="390" t="s">
        <v>422</v>
      </c>
      <c r="E964" s="403">
        <f t="shared" si="25"/>
        <v>1</v>
      </c>
      <c r="F964" s="432" t="str">
        <f>F963</f>
        <v>Is there documented evidence that an Accountable Executive has been assigned to achieve the objective of appointing a person to be accountable for all facility management and governance activities and systems?</v>
      </c>
      <c r="G964" s="388" t="s">
        <v>1195</v>
      </c>
      <c r="H964" s="390">
        <v>4</v>
      </c>
      <c r="I964" s="390">
        <v>4</v>
      </c>
      <c r="J964" s="390"/>
      <c r="K964" s="398">
        <f>_xlfn.IFNA(VLOOKUP(A964,numbering!$K$3:$L$92,2,0),0)</f>
        <v>0</v>
      </c>
    </row>
    <row r="965" spans="1:11" ht="60" hidden="1" x14ac:dyDescent="0.2">
      <c r="A965" s="390">
        <v>280</v>
      </c>
      <c r="B965" s="390" t="s">
        <v>421</v>
      </c>
      <c r="C965" s="390">
        <f>VLOOKUP(B965,numbering!$N$18:$O$30,2,0)</f>
        <v>9</v>
      </c>
      <c r="D965" s="390" t="s">
        <v>422</v>
      </c>
      <c r="E965" s="403">
        <f t="shared" si="25"/>
        <v>1</v>
      </c>
      <c r="F965" s="432" t="s">
        <v>427</v>
      </c>
      <c r="G965" s="388" t="s">
        <v>1192</v>
      </c>
      <c r="H965" s="390">
        <v>1</v>
      </c>
      <c r="I965" s="390">
        <v>1</v>
      </c>
      <c r="J965" s="390"/>
      <c r="K965" s="398">
        <f>_xlfn.IFNA(VLOOKUP(A965,numbering!$K$3:$L$92,2,0),0)</f>
        <v>0</v>
      </c>
    </row>
    <row r="966" spans="1:11" ht="60" hidden="1" x14ac:dyDescent="0.2">
      <c r="A966" s="390">
        <v>280</v>
      </c>
      <c r="B966" s="390" t="s">
        <v>421</v>
      </c>
      <c r="C966" s="390">
        <f>VLOOKUP(B966,numbering!$N$18:$O$30,2,0)</f>
        <v>9</v>
      </c>
      <c r="D966" s="390" t="s">
        <v>422</v>
      </c>
      <c r="E966" s="403">
        <f t="shared" si="25"/>
        <v>1</v>
      </c>
      <c r="F966" s="432" t="str">
        <f>F965</f>
        <v>Is there documented evidence that the official appointment of the Accountable Executive included a description of the role and accountabilities to ensure that Accountable Executive is aware of their roles and responsibilities and to provide evidence that these  align with those in relevant standards and guidelines?</v>
      </c>
      <c r="G966" s="388" t="s">
        <v>1193</v>
      </c>
      <c r="H966" s="390">
        <v>2</v>
      </c>
      <c r="I966" s="390">
        <v>2</v>
      </c>
      <c r="J966" s="390"/>
      <c r="K966" s="398">
        <f>_xlfn.IFNA(VLOOKUP(A966,numbering!$K$3:$L$92,2,0),0)</f>
        <v>0</v>
      </c>
    </row>
    <row r="967" spans="1:11" ht="60" hidden="1" x14ac:dyDescent="0.2">
      <c r="A967" s="390">
        <v>280</v>
      </c>
      <c r="B967" s="390" t="s">
        <v>421</v>
      </c>
      <c r="C967" s="390">
        <f>VLOOKUP(B967,numbering!$N$18:$O$30,2,0)</f>
        <v>9</v>
      </c>
      <c r="D967" s="390" t="s">
        <v>422</v>
      </c>
      <c r="E967" s="403">
        <f t="shared" si="25"/>
        <v>1</v>
      </c>
      <c r="F967" s="432" t="str">
        <f>F966</f>
        <v>Is there documented evidence that the official appointment of the Accountable Executive included a description of the role and accountabilities to ensure that Accountable Executive is aware of their roles and responsibilities and to provide evidence that these  align with those in relevant standards and guidelines?</v>
      </c>
      <c r="G967" s="388" t="s">
        <v>1194</v>
      </c>
      <c r="H967" s="390">
        <v>3</v>
      </c>
      <c r="I967" s="390">
        <v>3</v>
      </c>
      <c r="J967" s="390"/>
      <c r="K967" s="398">
        <f>_xlfn.IFNA(VLOOKUP(A967,numbering!$K$3:$L$92,2,0),0)</f>
        <v>0</v>
      </c>
    </row>
    <row r="968" spans="1:11" ht="60" hidden="1" x14ac:dyDescent="0.2">
      <c r="A968" s="390">
        <v>280</v>
      </c>
      <c r="B968" s="390" t="s">
        <v>421</v>
      </c>
      <c r="C968" s="390">
        <f>VLOOKUP(B968,numbering!$N$18:$O$30,2,0)</f>
        <v>9</v>
      </c>
      <c r="D968" s="390" t="s">
        <v>422</v>
      </c>
      <c r="E968" s="403">
        <f t="shared" si="25"/>
        <v>1</v>
      </c>
      <c r="F968" s="432" t="str">
        <f>F967</f>
        <v>Is there documented evidence that the official appointment of the Accountable Executive included a description of the role and accountabilities to ensure that Accountable Executive is aware of their roles and responsibilities and to provide evidence that these  align with those in relevant standards and guidelines?</v>
      </c>
      <c r="G968" s="388" t="s">
        <v>1195</v>
      </c>
      <c r="H968" s="390">
        <v>4</v>
      </c>
      <c r="I968" s="390">
        <v>4</v>
      </c>
      <c r="J968" s="390"/>
      <c r="K968" s="398">
        <f>_xlfn.IFNA(VLOOKUP(A968,numbering!$K$3:$L$92,2,0),0)</f>
        <v>0</v>
      </c>
    </row>
    <row r="969" spans="1:11" ht="60" hidden="1" x14ac:dyDescent="0.2">
      <c r="A969" s="390">
        <v>281</v>
      </c>
      <c r="B969" s="390" t="s">
        <v>421</v>
      </c>
      <c r="C969" s="390">
        <f>VLOOKUP(B969,numbering!$N$18:$O$30,2,0)</f>
        <v>9</v>
      </c>
      <c r="D969" s="390" t="s">
        <v>422</v>
      </c>
      <c r="E969" s="403">
        <f t="shared" si="25"/>
        <v>1</v>
      </c>
      <c r="F969" s="432" t="s">
        <v>428</v>
      </c>
      <c r="G969" s="388" t="s">
        <v>1192</v>
      </c>
      <c r="H969" s="390">
        <v>1</v>
      </c>
      <c r="I969" s="390">
        <v>1</v>
      </c>
      <c r="J969" s="390"/>
      <c r="K969" s="398">
        <f>_xlfn.IFNA(VLOOKUP(A969,numbering!$K$3:$L$92,2,0),0)</f>
        <v>0</v>
      </c>
    </row>
    <row r="970" spans="1:11" ht="60" hidden="1" x14ac:dyDescent="0.2">
      <c r="A970" s="390">
        <v>281</v>
      </c>
      <c r="B970" s="390" t="s">
        <v>421</v>
      </c>
      <c r="C970" s="390">
        <f>VLOOKUP(B970,numbering!$N$18:$O$30,2,0)</f>
        <v>9</v>
      </c>
      <c r="D970" s="390" t="s">
        <v>422</v>
      </c>
      <c r="E970" s="403">
        <f t="shared" si="25"/>
        <v>1</v>
      </c>
      <c r="F970" s="432" t="str">
        <f>F969</f>
        <v>Is there documented evidence that the Accountable Executive has had scheduled communication with the Engineer of Record to achieve the objective of the Accountable Executive being informed of the  safety of the facility and other matters which they are accountable for?</v>
      </c>
      <c r="G970" s="388" t="s">
        <v>1193</v>
      </c>
      <c r="H970" s="390">
        <v>2</v>
      </c>
      <c r="I970" s="390">
        <v>2</v>
      </c>
      <c r="J970" s="390"/>
      <c r="K970" s="398">
        <f>_xlfn.IFNA(VLOOKUP(A970,numbering!$K$3:$L$92,2,0),0)</f>
        <v>0</v>
      </c>
    </row>
    <row r="971" spans="1:11" ht="60" hidden="1" x14ac:dyDescent="0.2">
      <c r="A971" s="390">
        <v>281</v>
      </c>
      <c r="B971" s="390" t="s">
        <v>421</v>
      </c>
      <c r="C971" s="390">
        <f>VLOOKUP(B971,numbering!$N$18:$O$30,2,0)</f>
        <v>9</v>
      </c>
      <c r="D971" s="390" t="s">
        <v>422</v>
      </c>
      <c r="E971" s="403">
        <f t="shared" si="25"/>
        <v>1</v>
      </c>
      <c r="F971" s="432" t="str">
        <f>F970</f>
        <v>Is there documented evidence that the Accountable Executive has had scheduled communication with the Engineer of Record to achieve the objective of the Accountable Executive being informed of the  safety of the facility and other matters which they are accountable for?</v>
      </c>
      <c r="G971" s="388" t="s">
        <v>1194</v>
      </c>
      <c r="H971" s="390">
        <v>3</v>
      </c>
      <c r="I971" s="390">
        <v>3</v>
      </c>
      <c r="J971" s="390"/>
      <c r="K971" s="398">
        <f>_xlfn.IFNA(VLOOKUP(A971,numbering!$K$3:$L$92,2,0),0)</f>
        <v>0</v>
      </c>
    </row>
    <row r="972" spans="1:11" ht="60" hidden="1" x14ac:dyDescent="0.2">
      <c r="A972" s="390">
        <v>281</v>
      </c>
      <c r="B972" s="390" t="s">
        <v>421</v>
      </c>
      <c r="C972" s="390">
        <f>VLOOKUP(B972,numbering!$N$18:$O$30,2,0)</f>
        <v>9</v>
      </c>
      <c r="D972" s="390" t="s">
        <v>422</v>
      </c>
      <c r="E972" s="403">
        <f t="shared" si="25"/>
        <v>1</v>
      </c>
      <c r="F972" s="432" t="str">
        <f>F971</f>
        <v>Is there documented evidence that the Accountable Executive has had scheduled communication with the Engineer of Record to achieve the objective of the Accountable Executive being informed of the  safety of the facility and other matters which they are accountable for?</v>
      </c>
      <c r="G972" s="388" t="s">
        <v>1195</v>
      </c>
      <c r="H972" s="390">
        <v>4</v>
      </c>
      <c r="I972" s="390">
        <v>4</v>
      </c>
      <c r="J972" s="390"/>
      <c r="K972" s="398">
        <f>_xlfn.IFNA(VLOOKUP(A972,numbering!$K$3:$L$92,2,0),0)</f>
        <v>0</v>
      </c>
    </row>
    <row r="973" spans="1:11" ht="56" hidden="1" x14ac:dyDescent="0.2">
      <c r="A973" s="390">
        <v>282</v>
      </c>
      <c r="B973" s="390" t="s">
        <v>421</v>
      </c>
      <c r="C973" s="390">
        <f>VLOOKUP(B973,numbering!$N$18:$O$30,2,0)</f>
        <v>9</v>
      </c>
      <c r="D973" s="390" t="s">
        <v>429</v>
      </c>
      <c r="E973" s="403">
        <f t="shared" si="25"/>
        <v>2</v>
      </c>
      <c r="F973" s="433" t="s">
        <v>430</v>
      </c>
      <c r="G973" s="388" t="s">
        <v>1192</v>
      </c>
      <c r="H973" s="390">
        <v>1</v>
      </c>
      <c r="I973" s="390">
        <v>1</v>
      </c>
      <c r="J973" s="390"/>
      <c r="K973" s="398">
        <f>_xlfn.IFNA(VLOOKUP(A973,numbering!$K$3:$L$92,2,0),0)</f>
        <v>0</v>
      </c>
    </row>
    <row r="974" spans="1:11" ht="56" hidden="1" x14ac:dyDescent="0.2">
      <c r="A974" s="390">
        <v>282</v>
      </c>
      <c r="B974" s="390" t="s">
        <v>421</v>
      </c>
      <c r="C974" s="390">
        <f>VLOOKUP(B974,numbering!$N$18:$O$30,2,0)</f>
        <v>9</v>
      </c>
      <c r="D974" s="390" t="s">
        <v>429</v>
      </c>
      <c r="E974" s="403">
        <f t="shared" si="25"/>
        <v>2</v>
      </c>
      <c r="F974" s="433" t="str">
        <f>F973</f>
        <v>Is there documented evidence that a suitably qualified Nominated Manager has been assigned for the facility to achieve the objective of appointing a person who is accountable for the facilities’ compliance with the D5 Standard?</v>
      </c>
      <c r="G974" s="388" t="s">
        <v>1193</v>
      </c>
      <c r="H974" s="390">
        <v>2</v>
      </c>
      <c r="I974" s="390">
        <v>2</v>
      </c>
      <c r="J974" s="390"/>
      <c r="K974" s="398">
        <f>_xlfn.IFNA(VLOOKUP(A974,numbering!$K$3:$L$92,2,0),0)</f>
        <v>0</v>
      </c>
    </row>
    <row r="975" spans="1:11" ht="56" hidden="1" x14ac:dyDescent="0.2">
      <c r="A975" s="390">
        <v>282</v>
      </c>
      <c r="B975" s="390" t="s">
        <v>421</v>
      </c>
      <c r="C975" s="390">
        <f>VLOOKUP(B975,numbering!$N$18:$O$30,2,0)</f>
        <v>9</v>
      </c>
      <c r="D975" s="390" t="s">
        <v>429</v>
      </c>
      <c r="E975" s="403">
        <f t="shared" si="25"/>
        <v>2</v>
      </c>
      <c r="F975" s="433" t="str">
        <f>F974</f>
        <v>Is there documented evidence that a suitably qualified Nominated Manager has been assigned for the facility to achieve the objective of appointing a person who is accountable for the facilities’ compliance with the D5 Standard?</v>
      </c>
      <c r="G975" s="388" t="s">
        <v>1194</v>
      </c>
      <c r="H975" s="390">
        <v>3</v>
      </c>
      <c r="I975" s="390">
        <v>3</v>
      </c>
      <c r="J975" s="390"/>
      <c r="K975" s="398">
        <f>_xlfn.IFNA(VLOOKUP(A975,numbering!$K$3:$L$92,2,0),0)</f>
        <v>0</v>
      </c>
    </row>
    <row r="976" spans="1:11" ht="56" hidden="1" x14ac:dyDescent="0.2">
      <c r="A976" s="390">
        <v>282</v>
      </c>
      <c r="B976" s="390" t="s">
        <v>421</v>
      </c>
      <c r="C976" s="390">
        <f>VLOOKUP(B976,numbering!$N$18:$O$30,2,0)</f>
        <v>9</v>
      </c>
      <c r="D976" s="390" t="s">
        <v>429</v>
      </c>
      <c r="E976" s="403">
        <f t="shared" si="25"/>
        <v>2</v>
      </c>
      <c r="F976" s="433" t="str">
        <f>F975</f>
        <v>Is there documented evidence that a suitably qualified Nominated Manager has been assigned for the facility to achieve the objective of appointing a person who is accountable for the facilities’ compliance with the D5 Standard?</v>
      </c>
      <c r="G976" s="388" t="s">
        <v>1195</v>
      </c>
      <c r="H976" s="390">
        <v>4</v>
      </c>
      <c r="I976" s="390">
        <v>4</v>
      </c>
      <c r="J976" s="390"/>
      <c r="K976" s="398">
        <f>_xlfn.IFNA(VLOOKUP(A976,numbering!$K$3:$L$92,2,0),0)</f>
        <v>0</v>
      </c>
    </row>
    <row r="977" spans="1:11" ht="42" hidden="1" x14ac:dyDescent="0.2">
      <c r="A977" s="390">
        <v>283</v>
      </c>
      <c r="B977" s="390" t="s">
        <v>421</v>
      </c>
      <c r="C977" s="390">
        <f>VLOOKUP(B977,numbering!$N$18:$O$30,2,0)</f>
        <v>9</v>
      </c>
      <c r="D977" s="390" t="s">
        <v>429</v>
      </c>
      <c r="E977" s="403">
        <f t="shared" si="25"/>
        <v>2</v>
      </c>
      <c r="F977" s="433" t="s">
        <v>431</v>
      </c>
      <c r="G977" s="388" t="s">
        <v>1192</v>
      </c>
      <c r="H977" s="390">
        <v>1</v>
      </c>
      <c r="I977" s="390">
        <v>1</v>
      </c>
      <c r="J977" s="390"/>
      <c r="K977" s="398">
        <f>_xlfn.IFNA(VLOOKUP(A977,numbering!$K$3:$L$92,2,0),0)</f>
        <v>0</v>
      </c>
    </row>
    <row r="978" spans="1:11" ht="42" hidden="1" x14ac:dyDescent="0.2">
      <c r="A978" s="390">
        <v>283</v>
      </c>
      <c r="B978" s="390" t="s">
        <v>421</v>
      </c>
      <c r="C978" s="390">
        <f>VLOOKUP(B978,numbering!$N$18:$O$30,2,0)</f>
        <v>9</v>
      </c>
      <c r="D978" s="390" t="s">
        <v>429</v>
      </c>
      <c r="E978" s="403">
        <f t="shared" si="25"/>
        <v>2</v>
      </c>
      <c r="F978" s="433" t="str">
        <f>F977</f>
        <v>Is there documented evidence that a suitably qualified Responsible Facility Engineer has been assigned for the facility to achieve the objective of appointing a person who is accountable for the integrity of the facility?</v>
      </c>
      <c r="G978" s="388" t="s">
        <v>1193</v>
      </c>
      <c r="H978" s="390">
        <v>2</v>
      </c>
      <c r="I978" s="390">
        <v>2</v>
      </c>
      <c r="J978" s="390"/>
      <c r="K978" s="398">
        <f>_xlfn.IFNA(VLOOKUP(A978,numbering!$K$3:$L$92,2,0),0)</f>
        <v>0</v>
      </c>
    </row>
    <row r="979" spans="1:11" ht="42" hidden="1" x14ac:dyDescent="0.2">
      <c r="A979" s="390">
        <v>283</v>
      </c>
      <c r="B979" s="390" t="s">
        <v>421</v>
      </c>
      <c r="C979" s="390">
        <f>VLOOKUP(B979,numbering!$N$18:$O$30,2,0)</f>
        <v>9</v>
      </c>
      <c r="D979" s="390" t="s">
        <v>429</v>
      </c>
      <c r="E979" s="403">
        <f t="shared" si="25"/>
        <v>2</v>
      </c>
      <c r="F979" s="433" t="str">
        <f>F978</f>
        <v>Is there documented evidence that a suitably qualified Responsible Facility Engineer has been assigned for the facility to achieve the objective of appointing a person who is accountable for the integrity of the facility?</v>
      </c>
      <c r="G979" s="388" t="s">
        <v>1194</v>
      </c>
      <c r="H979" s="390">
        <v>3</v>
      </c>
      <c r="I979" s="390">
        <v>3</v>
      </c>
      <c r="J979" s="390"/>
      <c r="K979" s="398">
        <f>_xlfn.IFNA(VLOOKUP(A979,numbering!$K$3:$L$92,2,0),0)</f>
        <v>0</v>
      </c>
    </row>
    <row r="980" spans="1:11" ht="42" hidden="1" x14ac:dyDescent="0.2">
      <c r="A980" s="390">
        <v>283</v>
      </c>
      <c r="B980" s="390" t="s">
        <v>421</v>
      </c>
      <c r="C980" s="390">
        <f>VLOOKUP(B980,numbering!$N$18:$O$30,2,0)</f>
        <v>9</v>
      </c>
      <c r="D980" s="390" t="s">
        <v>429</v>
      </c>
      <c r="E980" s="403">
        <f t="shared" si="25"/>
        <v>2</v>
      </c>
      <c r="F980" s="433" t="str">
        <f>F979</f>
        <v>Is there documented evidence that a suitably qualified Responsible Facility Engineer has been assigned for the facility to achieve the objective of appointing a person who is accountable for the integrity of the facility?</v>
      </c>
      <c r="G980" s="388" t="s">
        <v>1195</v>
      </c>
      <c r="H980" s="390">
        <v>4</v>
      </c>
      <c r="I980" s="390">
        <v>4</v>
      </c>
      <c r="J980" s="390"/>
      <c r="K980" s="398">
        <f>_xlfn.IFNA(VLOOKUP(A980,numbering!$K$3:$L$92,2,0),0)</f>
        <v>0</v>
      </c>
    </row>
    <row r="981" spans="1:11" ht="56" hidden="1" x14ac:dyDescent="0.2">
      <c r="A981" s="390">
        <v>284</v>
      </c>
      <c r="B981" s="390" t="s">
        <v>421</v>
      </c>
      <c r="C981" s="390">
        <f>VLOOKUP(B981,numbering!$N$18:$O$30,2,0)</f>
        <v>9</v>
      </c>
      <c r="D981" s="390" t="s">
        <v>429</v>
      </c>
      <c r="E981" s="403">
        <f t="shared" si="25"/>
        <v>2</v>
      </c>
      <c r="F981" s="433" t="s">
        <v>432</v>
      </c>
      <c r="G981" s="388" t="s">
        <v>1192</v>
      </c>
      <c r="H981" s="390">
        <v>1</v>
      </c>
      <c r="I981" s="390">
        <v>1</v>
      </c>
      <c r="J981" s="390"/>
      <c r="K981" s="398">
        <f>_xlfn.IFNA(VLOOKUP(A981,numbering!$K$3:$L$92,2,0),0)</f>
        <v>0</v>
      </c>
    </row>
    <row r="982" spans="1:11" ht="56" hidden="1" x14ac:dyDescent="0.2">
      <c r="A982" s="390">
        <v>284</v>
      </c>
      <c r="B982" s="390" t="s">
        <v>421</v>
      </c>
      <c r="C982" s="390">
        <f>VLOOKUP(B982,numbering!$N$18:$O$30,2,0)</f>
        <v>9</v>
      </c>
      <c r="D982" s="390" t="s">
        <v>429</v>
      </c>
      <c r="E982" s="403">
        <f t="shared" si="25"/>
        <v>2</v>
      </c>
      <c r="F982" s="433" t="str">
        <f>F981</f>
        <v>Was a list of responsible personnel (governance, management and operational personnel) available to achieve the objective of clearly documenting all people accountable, responsible or otherwise involved with responsible management of the facility?</v>
      </c>
      <c r="G982" s="388" t="s">
        <v>1193</v>
      </c>
      <c r="H982" s="390">
        <v>2</v>
      </c>
      <c r="I982" s="390">
        <v>2</v>
      </c>
      <c r="J982" s="390"/>
      <c r="K982" s="398">
        <f>_xlfn.IFNA(VLOOKUP(A982,numbering!$K$3:$L$92,2,0),0)</f>
        <v>0</v>
      </c>
    </row>
    <row r="983" spans="1:11" ht="56" hidden="1" x14ac:dyDescent="0.2">
      <c r="A983" s="390">
        <v>284</v>
      </c>
      <c r="B983" s="390" t="s">
        <v>421</v>
      </c>
      <c r="C983" s="390">
        <f>VLOOKUP(B983,numbering!$N$18:$O$30,2,0)</f>
        <v>9</v>
      </c>
      <c r="D983" s="390" t="s">
        <v>429</v>
      </c>
      <c r="E983" s="403">
        <f t="shared" si="25"/>
        <v>2</v>
      </c>
      <c r="F983" s="433" t="str">
        <f>F982</f>
        <v>Was a list of responsible personnel (governance, management and operational personnel) available to achieve the objective of clearly documenting all people accountable, responsible or otherwise involved with responsible management of the facility?</v>
      </c>
      <c r="G983" s="388" t="s">
        <v>1194</v>
      </c>
      <c r="H983" s="390">
        <v>3</v>
      </c>
      <c r="I983" s="390">
        <v>3</v>
      </c>
      <c r="J983" s="390"/>
      <c r="K983" s="398">
        <f>_xlfn.IFNA(VLOOKUP(A983,numbering!$K$3:$L$92,2,0),0)</f>
        <v>0</v>
      </c>
    </row>
    <row r="984" spans="1:11" ht="56" hidden="1" x14ac:dyDescent="0.2">
      <c r="A984" s="390">
        <v>284</v>
      </c>
      <c r="B984" s="390" t="s">
        <v>421</v>
      </c>
      <c r="C984" s="390">
        <f>VLOOKUP(B984,numbering!$N$18:$O$30,2,0)</f>
        <v>9</v>
      </c>
      <c r="D984" s="390" t="s">
        <v>429</v>
      </c>
      <c r="E984" s="403">
        <f t="shared" si="25"/>
        <v>2</v>
      </c>
      <c r="F984" s="433" t="str">
        <f>F983</f>
        <v>Was a list of responsible personnel (governance, management and operational personnel) available to achieve the objective of clearly documenting all people accountable, responsible or otherwise involved with responsible management of the facility?</v>
      </c>
      <c r="G984" s="388" t="s">
        <v>1195</v>
      </c>
      <c r="H984" s="390">
        <v>4</v>
      </c>
      <c r="I984" s="390">
        <v>4</v>
      </c>
      <c r="J984" s="390"/>
      <c r="K984" s="398">
        <f>_xlfn.IFNA(VLOOKUP(A984,numbering!$K$3:$L$92,2,0),0)</f>
        <v>0</v>
      </c>
    </row>
    <row r="985" spans="1:11" ht="42" hidden="1" x14ac:dyDescent="0.2">
      <c r="A985" s="390">
        <v>285</v>
      </c>
      <c r="B985" s="390" t="s">
        <v>421</v>
      </c>
      <c r="C985" s="390">
        <f>VLOOKUP(B985,numbering!$N$18:$O$30,2,0)</f>
        <v>9</v>
      </c>
      <c r="D985" s="390" t="s">
        <v>429</v>
      </c>
      <c r="E985" s="403">
        <f t="shared" si="25"/>
        <v>2</v>
      </c>
      <c r="F985" s="433" t="s">
        <v>433</v>
      </c>
      <c r="G985" s="388" t="s">
        <v>1192</v>
      </c>
      <c r="H985" s="390">
        <v>1</v>
      </c>
      <c r="I985" s="390">
        <v>1</v>
      </c>
      <c r="J985" s="390"/>
      <c r="K985" s="398">
        <f>_xlfn.IFNA(VLOOKUP(A985,numbering!$K$3:$L$92,2,0),0)</f>
        <v>0</v>
      </c>
    </row>
    <row r="986" spans="1:11" ht="42" hidden="1" x14ac:dyDescent="0.2">
      <c r="A986" s="390">
        <v>285</v>
      </c>
      <c r="B986" s="390" t="s">
        <v>421</v>
      </c>
      <c r="C986" s="390">
        <f>VLOOKUP(B986,numbering!$N$18:$O$30,2,0)</f>
        <v>9</v>
      </c>
      <c r="D986" s="390" t="s">
        <v>429</v>
      </c>
      <c r="E986" s="403">
        <f t="shared" si="25"/>
        <v>2</v>
      </c>
      <c r="F986" s="433" t="str">
        <f>F985</f>
        <v>Is there documented evidence that a suitable hierarchy of personnel has been developed and accepted to achieve the objective of detailing lines of reporting and chains of communication?</v>
      </c>
      <c r="G986" s="388" t="s">
        <v>1193</v>
      </c>
      <c r="H986" s="390">
        <v>2</v>
      </c>
      <c r="I986" s="390">
        <v>2</v>
      </c>
      <c r="J986" s="390"/>
      <c r="K986" s="398">
        <f>_xlfn.IFNA(VLOOKUP(A986,numbering!$K$3:$L$92,2,0),0)</f>
        <v>0</v>
      </c>
    </row>
    <row r="987" spans="1:11" ht="42" hidden="1" x14ac:dyDescent="0.2">
      <c r="A987" s="390">
        <v>285</v>
      </c>
      <c r="B987" s="390" t="s">
        <v>421</v>
      </c>
      <c r="C987" s="390">
        <f>VLOOKUP(B987,numbering!$N$18:$O$30,2,0)</f>
        <v>9</v>
      </c>
      <c r="D987" s="390" t="s">
        <v>429</v>
      </c>
      <c r="E987" s="403">
        <f t="shared" si="25"/>
        <v>2</v>
      </c>
      <c r="F987" s="433" t="str">
        <f>F986</f>
        <v>Is there documented evidence that a suitable hierarchy of personnel has been developed and accepted to achieve the objective of detailing lines of reporting and chains of communication?</v>
      </c>
      <c r="G987" s="388" t="s">
        <v>1194</v>
      </c>
      <c r="H987" s="390">
        <v>3</v>
      </c>
      <c r="I987" s="390">
        <v>3</v>
      </c>
      <c r="J987" s="390"/>
      <c r="K987" s="398">
        <f>_xlfn.IFNA(VLOOKUP(A987,numbering!$K$3:$L$92,2,0),0)</f>
        <v>0</v>
      </c>
    </row>
    <row r="988" spans="1:11" ht="42" hidden="1" x14ac:dyDescent="0.2">
      <c r="A988" s="390">
        <v>285</v>
      </c>
      <c r="B988" s="390" t="s">
        <v>421</v>
      </c>
      <c r="C988" s="390">
        <f>VLOOKUP(B988,numbering!$N$18:$O$30,2,0)</f>
        <v>9</v>
      </c>
      <c r="D988" s="390" t="s">
        <v>429</v>
      </c>
      <c r="E988" s="403">
        <f t="shared" si="25"/>
        <v>2</v>
      </c>
      <c r="F988" s="433" t="str">
        <f>F987</f>
        <v>Is there documented evidence that a suitable hierarchy of personnel has been developed and accepted to achieve the objective of detailing lines of reporting and chains of communication?</v>
      </c>
      <c r="G988" s="388" t="s">
        <v>1195</v>
      </c>
      <c r="H988" s="390">
        <v>4</v>
      </c>
      <c r="I988" s="390">
        <v>4</v>
      </c>
      <c r="J988" s="390"/>
      <c r="K988" s="398">
        <f>_xlfn.IFNA(VLOOKUP(A988,numbering!$K$3:$L$92,2,0),0)</f>
        <v>0</v>
      </c>
    </row>
    <row r="989" spans="1:11" ht="70" hidden="1" x14ac:dyDescent="0.2">
      <c r="A989" s="390">
        <v>286</v>
      </c>
      <c r="B989" s="390" t="s">
        <v>421</v>
      </c>
      <c r="C989" s="390">
        <f>VLOOKUP(B989,numbering!$N$18:$O$30,2,0)</f>
        <v>9</v>
      </c>
      <c r="D989" s="390" t="s">
        <v>429</v>
      </c>
      <c r="E989" s="403">
        <f t="shared" si="25"/>
        <v>2</v>
      </c>
      <c r="F989" s="433" t="s">
        <v>434</v>
      </c>
      <c r="G989" s="388" t="s">
        <v>1192</v>
      </c>
      <c r="H989" s="390">
        <v>1</v>
      </c>
      <c r="I989" s="390">
        <v>1</v>
      </c>
      <c r="J989" s="390"/>
      <c r="K989" s="398">
        <f>_xlfn.IFNA(VLOOKUP(A989,numbering!$K$3:$L$92,2,0),0)</f>
        <v>0</v>
      </c>
    </row>
    <row r="990" spans="1:11" ht="70" hidden="1" x14ac:dyDescent="0.2">
      <c r="A990" s="390">
        <v>286</v>
      </c>
      <c r="B990" s="390" t="s">
        <v>421</v>
      </c>
      <c r="C990" s="390">
        <f>VLOOKUP(B990,numbering!$N$18:$O$30,2,0)</f>
        <v>9</v>
      </c>
      <c r="D990" s="390" t="s">
        <v>429</v>
      </c>
      <c r="E990" s="403">
        <f t="shared" si="25"/>
        <v>2</v>
      </c>
      <c r="F990" s="433" t="str">
        <f>F989</f>
        <v>Is there documented evidence that the role descriptions, responsibilities and accountabilities for each responsible personnel role have been developed to achieve the objective of ensuring personnel are aware of their roles and responsibilities and to provide evidence that they align with those in relevant standards and guidelines?</v>
      </c>
      <c r="G990" s="388" t="s">
        <v>1193</v>
      </c>
      <c r="H990" s="390">
        <v>2</v>
      </c>
      <c r="I990" s="390">
        <v>2</v>
      </c>
      <c r="J990" s="390"/>
      <c r="K990" s="398">
        <f>_xlfn.IFNA(VLOOKUP(A990,numbering!$K$3:$L$92,2,0),0)</f>
        <v>0</v>
      </c>
    </row>
    <row r="991" spans="1:11" ht="70" hidden="1" x14ac:dyDescent="0.2">
      <c r="A991" s="390">
        <v>286</v>
      </c>
      <c r="B991" s="390" t="s">
        <v>421</v>
      </c>
      <c r="C991" s="390">
        <f>VLOOKUP(B991,numbering!$N$18:$O$30,2,0)</f>
        <v>9</v>
      </c>
      <c r="D991" s="390" t="s">
        <v>429</v>
      </c>
      <c r="E991" s="403">
        <f t="shared" si="25"/>
        <v>2</v>
      </c>
      <c r="F991" s="433" t="str">
        <f>F990</f>
        <v>Is there documented evidence that the role descriptions, responsibilities and accountabilities for each responsible personnel role have been developed to achieve the objective of ensuring personnel are aware of their roles and responsibilities and to provide evidence that they align with those in relevant standards and guidelines?</v>
      </c>
      <c r="G991" s="388" t="s">
        <v>1194</v>
      </c>
      <c r="H991" s="390">
        <v>3</v>
      </c>
      <c r="I991" s="390">
        <v>3</v>
      </c>
      <c r="J991" s="390"/>
      <c r="K991" s="398">
        <f>_xlfn.IFNA(VLOOKUP(A991,numbering!$K$3:$L$92,2,0),0)</f>
        <v>0</v>
      </c>
    </row>
    <row r="992" spans="1:11" ht="70" hidden="1" x14ac:dyDescent="0.2">
      <c r="A992" s="390">
        <v>286</v>
      </c>
      <c r="B992" s="390" t="s">
        <v>421</v>
      </c>
      <c r="C992" s="390">
        <f>VLOOKUP(B992,numbering!$N$18:$O$30,2,0)</f>
        <v>9</v>
      </c>
      <c r="D992" s="390" t="s">
        <v>429</v>
      </c>
      <c r="E992" s="403">
        <f t="shared" si="25"/>
        <v>2</v>
      </c>
      <c r="F992" s="433" t="str">
        <f>F991</f>
        <v>Is there documented evidence that the role descriptions, responsibilities and accountabilities for each responsible personnel role have been developed to achieve the objective of ensuring personnel are aware of their roles and responsibilities and to provide evidence that they align with those in relevant standards and guidelines?</v>
      </c>
      <c r="G992" s="388" t="s">
        <v>1195</v>
      </c>
      <c r="H992" s="390">
        <v>4</v>
      </c>
      <c r="I992" s="390">
        <v>4</v>
      </c>
      <c r="J992" s="390"/>
      <c r="K992" s="398">
        <f>_xlfn.IFNA(VLOOKUP(A992,numbering!$K$3:$L$92,2,0),0)</f>
        <v>0</v>
      </c>
    </row>
    <row r="993" spans="1:11" ht="56" hidden="1" x14ac:dyDescent="0.2">
      <c r="A993" s="390">
        <v>287</v>
      </c>
      <c r="B993" s="390" t="s">
        <v>421</v>
      </c>
      <c r="C993" s="390">
        <f>VLOOKUP(B993,numbering!$N$18:$O$30,2,0)</f>
        <v>9</v>
      </c>
      <c r="D993" s="390" t="s">
        <v>429</v>
      </c>
      <c r="E993" s="403">
        <f t="shared" si="25"/>
        <v>2</v>
      </c>
      <c r="F993" s="433" t="s">
        <v>435</v>
      </c>
      <c r="G993" s="388" t="s">
        <v>1192</v>
      </c>
      <c r="H993" s="390">
        <v>1</v>
      </c>
      <c r="I993" s="390">
        <v>1</v>
      </c>
      <c r="J993" s="390"/>
      <c r="K993" s="398">
        <f>_xlfn.IFNA(VLOOKUP(A993,numbering!$K$3:$L$92,2,0),0)</f>
        <v>0</v>
      </c>
    </row>
    <row r="994" spans="1:11" ht="56" hidden="1" x14ac:dyDescent="0.2">
      <c r="A994" s="390">
        <v>287</v>
      </c>
      <c r="B994" s="390" t="s">
        <v>421</v>
      </c>
      <c r="C994" s="390">
        <f>VLOOKUP(B994,numbering!$N$18:$O$30,2,0)</f>
        <v>9</v>
      </c>
      <c r="D994" s="390" t="s">
        <v>429</v>
      </c>
      <c r="E994" s="403">
        <f t="shared" si="25"/>
        <v>2</v>
      </c>
      <c r="F994" s="433" t="str">
        <f>F993</f>
        <v>Is there documented evidence that the activities for each responsible personnel role has been developed to achieve the objective of all personnel understanding what they must do to fulfil their responsibilities and accountabilities?</v>
      </c>
      <c r="G994" s="388" t="s">
        <v>1193</v>
      </c>
      <c r="H994" s="390">
        <v>2</v>
      </c>
      <c r="I994" s="390">
        <v>2</v>
      </c>
      <c r="J994" s="390"/>
      <c r="K994" s="398">
        <f>_xlfn.IFNA(VLOOKUP(A994,numbering!$K$3:$L$92,2,0),0)</f>
        <v>0</v>
      </c>
    </row>
    <row r="995" spans="1:11" ht="56" hidden="1" x14ac:dyDescent="0.2">
      <c r="A995" s="390">
        <v>287</v>
      </c>
      <c r="B995" s="390" t="s">
        <v>421</v>
      </c>
      <c r="C995" s="390">
        <f>VLOOKUP(B995,numbering!$N$18:$O$30,2,0)</f>
        <v>9</v>
      </c>
      <c r="D995" s="390" t="s">
        <v>429</v>
      </c>
      <c r="E995" s="403">
        <f t="shared" si="25"/>
        <v>2</v>
      </c>
      <c r="F995" s="433" t="str">
        <f>F994</f>
        <v>Is there documented evidence that the activities for each responsible personnel role has been developed to achieve the objective of all personnel understanding what they must do to fulfil their responsibilities and accountabilities?</v>
      </c>
      <c r="G995" s="388" t="s">
        <v>1194</v>
      </c>
      <c r="H995" s="390">
        <v>3</v>
      </c>
      <c r="I995" s="390">
        <v>3</v>
      </c>
      <c r="J995" s="390"/>
      <c r="K995" s="398">
        <f>_xlfn.IFNA(VLOOKUP(A995,numbering!$K$3:$L$92,2,0),0)</f>
        <v>0</v>
      </c>
    </row>
    <row r="996" spans="1:11" ht="56" hidden="1" x14ac:dyDescent="0.2">
      <c r="A996" s="390">
        <v>287</v>
      </c>
      <c r="B996" s="390" t="s">
        <v>421</v>
      </c>
      <c r="C996" s="390">
        <f>VLOOKUP(B996,numbering!$N$18:$O$30,2,0)</f>
        <v>9</v>
      </c>
      <c r="D996" s="390" t="s">
        <v>429</v>
      </c>
      <c r="E996" s="403">
        <f t="shared" si="25"/>
        <v>2</v>
      </c>
      <c r="F996" s="433" t="str">
        <f>F995</f>
        <v>Is there documented evidence that the activities for each responsible personnel role has been developed to achieve the objective of all personnel understanding what they must do to fulfil their responsibilities and accountabilities?</v>
      </c>
      <c r="G996" s="388" t="s">
        <v>1195</v>
      </c>
      <c r="H996" s="390">
        <v>4</v>
      </c>
      <c r="I996" s="390">
        <v>4</v>
      </c>
      <c r="J996" s="390"/>
      <c r="K996" s="398">
        <f>_xlfn.IFNA(VLOOKUP(A996,numbering!$K$3:$L$92,2,0),0)</f>
        <v>0</v>
      </c>
    </row>
    <row r="997" spans="1:11" ht="42" hidden="1" x14ac:dyDescent="0.2">
      <c r="A997" s="390">
        <v>288</v>
      </c>
      <c r="B997" s="390" t="s">
        <v>421</v>
      </c>
      <c r="C997" s="390">
        <f>VLOOKUP(B997,numbering!$N$18:$O$30,2,0)</f>
        <v>9</v>
      </c>
      <c r="D997" s="390" t="s">
        <v>429</v>
      </c>
      <c r="E997" s="403">
        <f t="shared" si="25"/>
        <v>2</v>
      </c>
      <c r="F997" s="433" t="s">
        <v>436</v>
      </c>
      <c r="G997" s="388" t="s">
        <v>1192</v>
      </c>
      <c r="H997" s="390">
        <v>1</v>
      </c>
      <c r="I997" s="390">
        <v>1</v>
      </c>
      <c r="J997" s="390"/>
      <c r="K997" s="398">
        <f>_xlfn.IFNA(VLOOKUP(A997,numbering!$K$3:$L$92,2,0),0)</f>
        <v>0</v>
      </c>
    </row>
    <row r="998" spans="1:11" ht="42" hidden="1" x14ac:dyDescent="0.2">
      <c r="A998" s="390">
        <v>288</v>
      </c>
      <c r="B998" s="390" t="s">
        <v>421</v>
      </c>
      <c r="C998" s="390">
        <f>VLOOKUP(B998,numbering!$N$18:$O$30,2,0)</f>
        <v>9</v>
      </c>
      <c r="D998" s="390" t="s">
        <v>429</v>
      </c>
      <c r="E998" s="403">
        <f t="shared" si="25"/>
        <v>2</v>
      </c>
      <c r="F998" s="433" t="str">
        <f>F997</f>
        <v>Does the documented list of responsible personnel achieve the objective of fulfilling the requirements of all relevant standards, guideline and regulatory requirements?</v>
      </c>
      <c r="G998" s="388" t="s">
        <v>1193</v>
      </c>
      <c r="H998" s="390">
        <v>2</v>
      </c>
      <c r="I998" s="390">
        <v>2</v>
      </c>
      <c r="J998" s="390"/>
      <c r="K998" s="398">
        <f>_xlfn.IFNA(VLOOKUP(A998,numbering!$K$3:$L$92,2,0),0)</f>
        <v>0</v>
      </c>
    </row>
    <row r="999" spans="1:11" ht="42" hidden="1" x14ac:dyDescent="0.2">
      <c r="A999" s="390">
        <v>288</v>
      </c>
      <c r="B999" s="390" t="s">
        <v>421</v>
      </c>
      <c r="C999" s="390">
        <f>VLOOKUP(B999,numbering!$N$18:$O$30,2,0)</f>
        <v>9</v>
      </c>
      <c r="D999" s="390" t="s">
        <v>429</v>
      </c>
      <c r="E999" s="403">
        <f t="shared" si="25"/>
        <v>2</v>
      </c>
      <c r="F999" s="433" t="str">
        <f>F998</f>
        <v>Does the documented list of responsible personnel achieve the objective of fulfilling the requirements of all relevant standards, guideline and regulatory requirements?</v>
      </c>
      <c r="G999" s="388" t="s">
        <v>1194</v>
      </c>
      <c r="H999" s="390">
        <v>3</v>
      </c>
      <c r="I999" s="390">
        <v>3</v>
      </c>
      <c r="J999" s="390"/>
      <c r="K999" s="398">
        <f>_xlfn.IFNA(VLOOKUP(A999,numbering!$K$3:$L$92,2,0),0)</f>
        <v>0</v>
      </c>
    </row>
    <row r="1000" spans="1:11" ht="42" hidden="1" x14ac:dyDescent="0.2">
      <c r="A1000" s="390">
        <v>288</v>
      </c>
      <c r="B1000" s="390" t="s">
        <v>421</v>
      </c>
      <c r="C1000" s="390">
        <f>VLOOKUP(B1000,numbering!$N$18:$O$30,2,0)</f>
        <v>9</v>
      </c>
      <c r="D1000" s="390" t="s">
        <v>429</v>
      </c>
      <c r="E1000" s="403">
        <f t="shared" si="25"/>
        <v>2</v>
      </c>
      <c r="F1000" s="433" t="str">
        <f>F999</f>
        <v>Does the documented list of responsible personnel achieve the objective of fulfilling the requirements of all relevant standards, guideline and regulatory requirements?</v>
      </c>
      <c r="G1000" s="388" t="s">
        <v>1195</v>
      </c>
      <c r="H1000" s="390">
        <v>4</v>
      </c>
      <c r="I1000" s="390">
        <v>4</v>
      </c>
      <c r="J1000" s="390"/>
      <c r="K1000" s="398">
        <f>_xlfn.IFNA(VLOOKUP(A1000,numbering!$K$3:$L$92,2,0),0)</f>
        <v>0</v>
      </c>
    </row>
    <row r="1001" spans="1:11" ht="84" hidden="1" x14ac:dyDescent="0.2">
      <c r="A1001" s="390">
        <v>289</v>
      </c>
      <c r="B1001" s="390" t="s">
        <v>421</v>
      </c>
      <c r="C1001" s="390">
        <f>VLOOKUP(B1001,numbering!$N$18:$O$30,2,0)</f>
        <v>9</v>
      </c>
      <c r="D1001" s="390" t="s">
        <v>429</v>
      </c>
      <c r="E1001" s="403">
        <f t="shared" si="25"/>
        <v>2</v>
      </c>
      <c r="F1001" s="433" t="s">
        <v>437</v>
      </c>
      <c r="G1001" s="388" t="s">
        <v>1192</v>
      </c>
      <c r="H1001" s="390">
        <v>1</v>
      </c>
      <c r="I1001" s="390">
        <v>1</v>
      </c>
      <c r="J1001" s="390"/>
      <c r="K1001" s="398">
        <f>_xlfn.IFNA(VLOOKUP(A1001,numbering!$K$3:$L$92,2,0),0)</f>
        <v>0</v>
      </c>
    </row>
    <row r="1002" spans="1:11" ht="84" hidden="1" x14ac:dyDescent="0.2">
      <c r="A1002" s="390">
        <v>289</v>
      </c>
      <c r="B1002" s="390" t="s">
        <v>421</v>
      </c>
      <c r="C1002" s="390">
        <f>VLOOKUP(B1002,numbering!$N$18:$O$30,2,0)</f>
        <v>9</v>
      </c>
      <c r="D1002" s="390" t="s">
        <v>429</v>
      </c>
      <c r="E1002" s="403">
        <f t="shared" si="25"/>
        <v>2</v>
      </c>
      <c r="F1002" s="433" t="str">
        <f>F1001</f>
        <v>Is there documented evidence that suitably qualified and experienced members of an Independent Technical Review Board or Senior Independent Technical Reviewer was appointed for the facility with documented evidence of no conflicts of interest, to achieve the objective of appropriately establishing the ability to undertake independent reviews of all management, governance and design activities?</v>
      </c>
      <c r="G1002" s="388" t="s">
        <v>1193</v>
      </c>
      <c r="H1002" s="390">
        <v>2</v>
      </c>
      <c r="I1002" s="390">
        <v>2</v>
      </c>
      <c r="J1002" s="390"/>
      <c r="K1002" s="398">
        <f>_xlfn.IFNA(VLOOKUP(A1002,numbering!$K$3:$L$92,2,0),0)</f>
        <v>0</v>
      </c>
    </row>
    <row r="1003" spans="1:11" ht="84" hidden="1" x14ac:dyDescent="0.2">
      <c r="A1003" s="390">
        <v>289</v>
      </c>
      <c r="B1003" s="390" t="s">
        <v>421</v>
      </c>
      <c r="C1003" s="390">
        <f>VLOOKUP(B1003,numbering!$N$18:$O$30,2,0)</f>
        <v>9</v>
      </c>
      <c r="D1003" s="390" t="s">
        <v>429</v>
      </c>
      <c r="E1003" s="403">
        <f t="shared" ref="E1003:E1066" si="26">IF(C1003&lt;&gt;C1002,1,IF(D1003&lt;&gt;D1002,E1002+1,E1002))</f>
        <v>2</v>
      </c>
      <c r="F1003" s="433" t="str">
        <f>F1002</f>
        <v>Is there documented evidence that suitably qualified and experienced members of an Independent Technical Review Board or Senior Independent Technical Reviewer was appointed for the facility with documented evidence of no conflicts of interest, to achieve the objective of appropriately establishing the ability to undertake independent reviews of all management, governance and design activities?</v>
      </c>
      <c r="G1003" s="388" t="s">
        <v>1194</v>
      </c>
      <c r="H1003" s="390">
        <v>3</v>
      </c>
      <c r="I1003" s="390">
        <v>3</v>
      </c>
      <c r="J1003" s="390"/>
      <c r="K1003" s="398">
        <f>_xlfn.IFNA(VLOOKUP(A1003,numbering!$K$3:$L$92,2,0),0)</f>
        <v>0</v>
      </c>
    </row>
    <row r="1004" spans="1:11" ht="84" hidden="1" x14ac:dyDescent="0.2">
      <c r="A1004" s="390">
        <v>289</v>
      </c>
      <c r="B1004" s="390" t="s">
        <v>421</v>
      </c>
      <c r="C1004" s="390">
        <f>VLOOKUP(B1004,numbering!$N$18:$O$30,2,0)</f>
        <v>9</v>
      </c>
      <c r="D1004" s="390" t="s">
        <v>429</v>
      </c>
      <c r="E1004" s="403">
        <f t="shared" si="26"/>
        <v>2</v>
      </c>
      <c r="F1004" s="433" t="str">
        <f>F1003</f>
        <v>Is there documented evidence that suitably qualified and experienced members of an Independent Technical Review Board or Senior Independent Technical Reviewer was appointed for the facility with documented evidence of no conflicts of interest, to achieve the objective of appropriately establishing the ability to undertake independent reviews of all management, governance and design activities?</v>
      </c>
      <c r="G1004" s="388" t="s">
        <v>1195</v>
      </c>
      <c r="H1004" s="390">
        <v>4</v>
      </c>
      <c r="I1004" s="390">
        <v>4</v>
      </c>
      <c r="J1004" s="390"/>
      <c r="K1004" s="398">
        <f>_xlfn.IFNA(VLOOKUP(A1004,numbering!$K$3:$L$92,2,0),0)</f>
        <v>0</v>
      </c>
    </row>
    <row r="1005" spans="1:11" ht="70" hidden="1" x14ac:dyDescent="0.2">
      <c r="A1005" s="390">
        <v>290</v>
      </c>
      <c r="B1005" s="390" t="s">
        <v>421</v>
      </c>
      <c r="C1005" s="390">
        <f>VLOOKUP(B1005,numbering!$N$18:$O$30,2,0)</f>
        <v>9</v>
      </c>
      <c r="D1005" s="390" t="s">
        <v>429</v>
      </c>
      <c r="E1005" s="403">
        <f t="shared" si="26"/>
        <v>2</v>
      </c>
      <c r="F1005" s="433" t="s">
        <v>438</v>
      </c>
      <c r="G1005" s="388" t="s">
        <v>1192</v>
      </c>
      <c r="H1005" s="390">
        <v>1</v>
      </c>
      <c r="I1005" s="390">
        <v>1</v>
      </c>
      <c r="J1005" s="390"/>
      <c r="K1005" s="398">
        <f>_xlfn.IFNA(VLOOKUP(A1005,numbering!$K$3:$L$92,2,0),0)</f>
        <v>0</v>
      </c>
    </row>
    <row r="1006" spans="1:11" ht="70" hidden="1" x14ac:dyDescent="0.2">
      <c r="A1006" s="390">
        <v>290</v>
      </c>
      <c r="B1006" s="390" t="s">
        <v>421</v>
      </c>
      <c r="C1006" s="390">
        <f>VLOOKUP(B1006,numbering!$N$18:$O$30,2,0)</f>
        <v>9</v>
      </c>
      <c r="D1006" s="390" t="s">
        <v>429</v>
      </c>
      <c r="E1006" s="403">
        <f t="shared" si="26"/>
        <v>2</v>
      </c>
      <c r="F1006" s="433" t="str">
        <f>F1005</f>
        <v>Is there documented evidence that the Independent Technical Review Board or Senior Independent Technical Reviewer reports directly to the Accountable Executive to achieve the objective of ensuring  suitable line of communication between the reviewers and the Accountable Executive as required by the GISTM?</v>
      </c>
      <c r="G1006" s="388" t="s">
        <v>1193</v>
      </c>
      <c r="H1006" s="390">
        <v>2</v>
      </c>
      <c r="I1006" s="390">
        <v>2</v>
      </c>
      <c r="J1006" s="390"/>
      <c r="K1006" s="398">
        <f>_xlfn.IFNA(VLOOKUP(A1006,numbering!$K$3:$L$92,2,0),0)</f>
        <v>0</v>
      </c>
    </row>
    <row r="1007" spans="1:11" ht="70" hidden="1" x14ac:dyDescent="0.2">
      <c r="A1007" s="390">
        <v>290</v>
      </c>
      <c r="B1007" s="390" t="s">
        <v>421</v>
      </c>
      <c r="C1007" s="390">
        <f>VLOOKUP(B1007,numbering!$N$18:$O$30,2,0)</f>
        <v>9</v>
      </c>
      <c r="D1007" s="390" t="s">
        <v>429</v>
      </c>
      <c r="E1007" s="403">
        <f t="shared" si="26"/>
        <v>2</v>
      </c>
      <c r="F1007" s="433" t="str">
        <f>F1006</f>
        <v>Is there documented evidence that the Independent Technical Review Board or Senior Independent Technical Reviewer reports directly to the Accountable Executive to achieve the objective of ensuring  suitable line of communication between the reviewers and the Accountable Executive as required by the GISTM?</v>
      </c>
      <c r="G1007" s="388" t="s">
        <v>1194</v>
      </c>
      <c r="H1007" s="390">
        <v>3</v>
      </c>
      <c r="I1007" s="390">
        <v>3</v>
      </c>
      <c r="J1007" s="390"/>
      <c r="K1007" s="398">
        <f>_xlfn.IFNA(VLOOKUP(A1007,numbering!$K$3:$L$92,2,0),0)</f>
        <v>0</v>
      </c>
    </row>
    <row r="1008" spans="1:11" ht="70" hidden="1" x14ac:dyDescent="0.2">
      <c r="A1008" s="390">
        <v>290</v>
      </c>
      <c r="B1008" s="390" t="s">
        <v>421</v>
      </c>
      <c r="C1008" s="390">
        <f>VLOOKUP(B1008,numbering!$N$18:$O$30,2,0)</f>
        <v>9</v>
      </c>
      <c r="D1008" s="390" t="s">
        <v>429</v>
      </c>
      <c r="E1008" s="403">
        <f t="shared" si="26"/>
        <v>2</v>
      </c>
      <c r="F1008" s="433" t="str">
        <f>F1007</f>
        <v>Is there documented evidence that the Independent Technical Review Board or Senior Independent Technical Reviewer reports directly to the Accountable Executive to achieve the objective of ensuring  suitable line of communication between the reviewers and the Accountable Executive as required by the GISTM?</v>
      </c>
      <c r="G1008" s="388" t="s">
        <v>1195</v>
      </c>
      <c r="H1008" s="390">
        <v>4</v>
      </c>
      <c r="I1008" s="390">
        <v>4</v>
      </c>
      <c r="J1008" s="390"/>
      <c r="K1008" s="398">
        <f>_xlfn.IFNA(VLOOKUP(A1008,numbering!$K$3:$L$92,2,0),0)</f>
        <v>0</v>
      </c>
    </row>
    <row r="1009" spans="1:11" ht="56" hidden="1" x14ac:dyDescent="0.2">
      <c r="A1009" s="390">
        <v>291</v>
      </c>
      <c r="B1009" s="390" t="s">
        <v>421</v>
      </c>
      <c r="C1009" s="390">
        <f>VLOOKUP(B1009,numbering!$N$18:$O$30,2,0)</f>
        <v>9</v>
      </c>
      <c r="D1009" s="390" t="s">
        <v>429</v>
      </c>
      <c r="E1009" s="403">
        <f t="shared" si="26"/>
        <v>2</v>
      </c>
      <c r="F1009" s="433" t="s">
        <v>439</v>
      </c>
      <c r="G1009" s="388" t="s">
        <v>1192</v>
      </c>
      <c r="H1009" s="390">
        <v>1</v>
      </c>
      <c r="I1009" s="390">
        <v>1</v>
      </c>
      <c r="J1009" s="390"/>
      <c r="K1009" s="398">
        <f>_xlfn.IFNA(VLOOKUP(A1009,numbering!$K$3:$L$92,2,0),0)</f>
        <v>0</v>
      </c>
    </row>
    <row r="1010" spans="1:11" ht="56" hidden="1" x14ac:dyDescent="0.2">
      <c r="A1010" s="390">
        <v>291</v>
      </c>
      <c r="B1010" s="390" t="s">
        <v>421</v>
      </c>
      <c r="C1010" s="390">
        <f>VLOOKUP(B1010,numbering!$N$18:$O$30,2,0)</f>
        <v>9</v>
      </c>
      <c r="D1010" s="390" t="s">
        <v>429</v>
      </c>
      <c r="E1010" s="403">
        <f t="shared" si="26"/>
        <v>2</v>
      </c>
      <c r="F1010" s="433" t="str">
        <f>F1009</f>
        <v>Are the minimum required qualifications and experience for all responsible personnel documented to achieve the objective of setting minimum requirements that align with the requirements of relevant standards and guidelines?</v>
      </c>
      <c r="G1010" s="388" t="s">
        <v>1193</v>
      </c>
      <c r="H1010" s="390">
        <v>2</v>
      </c>
      <c r="I1010" s="390">
        <v>2</v>
      </c>
      <c r="J1010" s="390"/>
      <c r="K1010" s="398">
        <f>_xlfn.IFNA(VLOOKUP(A1010,numbering!$K$3:$L$92,2,0),0)</f>
        <v>0</v>
      </c>
    </row>
    <row r="1011" spans="1:11" ht="56" hidden="1" x14ac:dyDescent="0.2">
      <c r="A1011" s="390">
        <v>291</v>
      </c>
      <c r="B1011" s="390" t="s">
        <v>421</v>
      </c>
      <c r="C1011" s="390">
        <f>VLOOKUP(B1011,numbering!$N$18:$O$30,2,0)</f>
        <v>9</v>
      </c>
      <c r="D1011" s="390" t="s">
        <v>429</v>
      </c>
      <c r="E1011" s="403">
        <f t="shared" si="26"/>
        <v>2</v>
      </c>
      <c r="F1011" s="433" t="str">
        <f>F1010</f>
        <v>Are the minimum required qualifications and experience for all responsible personnel documented to achieve the objective of setting minimum requirements that align with the requirements of relevant standards and guidelines?</v>
      </c>
      <c r="G1011" s="388" t="s">
        <v>1194</v>
      </c>
      <c r="H1011" s="390">
        <v>3</v>
      </c>
      <c r="I1011" s="390">
        <v>3</v>
      </c>
      <c r="J1011" s="390"/>
      <c r="K1011" s="398">
        <f>_xlfn.IFNA(VLOOKUP(A1011,numbering!$K$3:$L$92,2,0),0)</f>
        <v>0</v>
      </c>
    </row>
    <row r="1012" spans="1:11" ht="56" hidden="1" x14ac:dyDescent="0.2">
      <c r="A1012" s="390">
        <v>291</v>
      </c>
      <c r="B1012" s="390" t="s">
        <v>421</v>
      </c>
      <c r="C1012" s="390">
        <f>VLOOKUP(B1012,numbering!$N$18:$O$30,2,0)</f>
        <v>9</v>
      </c>
      <c r="D1012" s="390" t="s">
        <v>429</v>
      </c>
      <c r="E1012" s="403">
        <f t="shared" si="26"/>
        <v>2</v>
      </c>
      <c r="F1012" s="433" t="str">
        <f>F1011</f>
        <v>Are the minimum required qualifications and experience for all responsible personnel documented to achieve the objective of setting minimum requirements that align with the requirements of relevant standards and guidelines?</v>
      </c>
      <c r="G1012" s="388" t="s">
        <v>1195</v>
      </c>
      <c r="H1012" s="390">
        <v>4</v>
      </c>
      <c r="I1012" s="390">
        <v>4</v>
      </c>
      <c r="J1012" s="390"/>
      <c r="K1012" s="398">
        <f>_xlfn.IFNA(VLOOKUP(A1012,numbering!$K$3:$L$92,2,0),0)</f>
        <v>0</v>
      </c>
    </row>
    <row r="1013" spans="1:11" ht="56" hidden="1" x14ac:dyDescent="0.2">
      <c r="A1013" s="390">
        <v>292</v>
      </c>
      <c r="B1013" s="390" t="s">
        <v>421</v>
      </c>
      <c r="C1013" s="390">
        <f>VLOOKUP(B1013,numbering!$N$18:$O$30,2,0)</f>
        <v>9</v>
      </c>
      <c r="D1013" s="390" t="s">
        <v>429</v>
      </c>
      <c r="E1013" s="403">
        <f t="shared" si="26"/>
        <v>2</v>
      </c>
      <c r="F1013" s="433" t="s">
        <v>440</v>
      </c>
      <c r="G1013" s="388" t="s">
        <v>1192</v>
      </c>
      <c r="H1013" s="390">
        <v>1</v>
      </c>
      <c r="I1013" s="390">
        <v>1</v>
      </c>
      <c r="J1013" s="390"/>
      <c r="K1013" s="398">
        <f>_xlfn.IFNA(VLOOKUP(A1013,numbering!$K$3:$L$92,2,0),0)</f>
        <v>0</v>
      </c>
    </row>
    <row r="1014" spans="1:11" ht="56" hidden="1" x14ac:dyDescent="0.2">
      <c r="A1014" s="390">
        <v>292</v>
      </c>
      <c r="B1014" s="390" t="s">
        <v>421</v>
      </c>
      <c r="C1014" s="390">
        <f>VLOOKUP(B1014,numbering!$N$18:$O$30,2,0)</f>
        <v>9</v>
      </c>
      <c r="D1014" s="390" t="s">
        <v>429</v>
      </c>
      <c r="E1014" s="403">
        <f t="shared" si="26"/>
        <v>2</v>
      </c>
      <c r="F1014" s="433" t="str">
        <f>F1013</f>
        <v>Is there documented evidence that the personnel fulfilling the various Responsible Personnel roles meet the minimum qualification and experience requirements to achieve the objective of engaging appropriately qualified and experienced personnel to fulfil the responsible personnel roles?</v>
      </c>
      <c r="G1014" s="388" t="s">
        <v>1193</v>
      </c>
      <c r="H1014" s="390">
        <v>2</v>
      </c>
      <c r="I1014" s="390">
        <v>2</v>
      </c>
      <c r="J1014" s="390"/>
      <c r="K1014" s="398">
        <f>_xlfn.IFNA(VLOOKUP(A1014,numbering!$K$3:$L$92,2,0),0)</f>
        <v>0</v>
      </c>
    </row>
    <row r="1015" spans="1:11" ht="56" hidden="1" x14ac:dyDescent="0.2">
      <c r="A1015" s="390">
        <v>292</v>
      </c>
      <c r="B1015" s="390" t="s">
        <v>421</v>
      </c>
      <c r="C1015" s="390">
        <f>VLOOKUP(B1015,numbering!$N$18:$O$30,2,0)</f>
        <v>9</v>
      </c>
      <c r="D1015" s="390" t="s">
        <v>429</v>
      </c>
      <c r="E1015" s="403">
        <f t="shared" si="26"/>
        <v>2</v>
      </c>
      <c r="F1015" s="433" t="str">
        <f>F1014</f>
        <v>Is there documented evidence that the personnel fulfilling the various Responsible Personnel roles meet the minimum qualification and experience requirements to achieve the objective of engaging appropriately qualified and experienced personnel to fulfil the responsible personnel roles?</v>
      </c>
      <c r="G1015" s="388" t="s">
        <v>1194</v>
      </c>
      <c r="H1015" s="390">
        <v>3</v>
      </c>
      <c r="I1015" s="390">
        <v>3</v>
      </c>
      <c r="J1015" s="390"/>
      <c r="K1015" s="398">
        <f>_xlfn.IFNA(VLOOKUP(A1015,numbering!$K$3:$L$92,2,0),0)</f>
        <v>0</v>
      </c>
    </row>
    <row r="1016" spans="1:11" ht="56" hidden="1" x14ac:dyDescent="0.2">
      <c r="A1016" s="390">
        <v>292</v>
      </c>
      <c r="B1016" s="390" t="s">
        <v>421</v>
      </c>
      <c r="C1016" s="390">
        <f>VLOOKUP(B1016,numbering!$N$18:$O$30,2,0)</f>
        <v>9</v>
      </c>
      <c r="D1016" s="390" t="s">
        <v>429</v>
      </c>
      <c r="E1016" s="403">
        <f t="shared" si="26"/>
        <v>2</v>
      </c>
      <c r="F1016" s="433" t="str">
        <f>F1015</f>
        <v>Is there documented evidence that the personnel fulfilling the various Responsible Personnel roles meet the minimum qualification and experience requirements to achieve the objective of engaging appropriately qualified and experienced personnel to fulfil the responsible personnel roles?</v>
      </c>
      <c r="G1016" s="388" t="s">
        <v>1195</v>
      </c>
      <c r="H1016" s="390">
        <v>4</v>
      </c>
      <c r="I1016" s="390">
        <v>4</v>
      </c>
      <c r="J1016" s="390"/>
      <c r="K1016" s="398">
        <f>_xlfn.IFNA(VLOOKUP(A1016,numbering!$K$3:$L$92,2,0),0)</f>
        <v>0</v>
      </c>
    </row>
    <row r="1017" spans="1:11" ht="60" hidden="1" x14ac:dyDescent="0.2">
      <c r="A1017" s="390">
        <v>293</v>
      </c>
      <c r="B1017" s="390" t="s">
        <v>421</v>
      </c>
      <c r="C1017" s="390">
        <f>VLOOKUP(B1017,numbering!$N$18:$O$30,2,0)</f>
        <v>9</v>
      </c>
      <c r="D1017" s="390" t="s">
        <v>441</v>
      </c>
      <c r="E1017" s="403">
        <f t="shared" si="26"/>
        <v>3</v>
      </c>
      <c r="F1017" s="432" t="s">
        <v>442</v>
      </c>
      <c r="G1017" s="388" t="s">
        <v>1192</v>
      </c>
      <c r="H1017" s="390">
        <v>1</v>
      </c>
      <c r="I1017" s="390">
        <v>1</v>
      </c>
      <c r="J1017" s="390"/>
      <c r="K1017" s="398">
        <f>_xlfn.IFNA(VLOOKUP(A1017,numbering!$K$3:$L$92,2,0),0)</f>
        <v>0</v>
      </c>
    </row>
    <row r="1018" spans="1:11" ht="60" hidden="1" x14ac:dyDescent="0.2">
      <c r="A1018" s="390">
        <v>293</v>
      </c>
      <c r="B1018" s="390" t="s">
        <v>421</v>
      </c>
      <c r="C1018" s="390">
        <f>VLOOKUP(B1018,numbering!$N$18:$O$30,2,0)</f>
        <v>9</v>
      </c>
      <c r="D1018" s="390" t="s">
        <v>441</v>
      </c>
      <c r="E1018" s="403">
        <f t="shared" si="26"/>
        <v>3</v>
      </c>
      <c r="F1018" s="432" t="str">
        <f>F1017</f>
        <v>Is there documented evidence that the Accountable Executive has had regular communication with the Board of Directors to achieve the objective of the Board being fully aware of the owner's compliance and other matters regarding relevant standards and guidelines?</v>
      </c>
      <c r="G1018" s="388" t="s">
        <v>1193</v>
      </c>
      <c r="H1018" s="390">
        <v>2</v>
      </c>
      <c r="I1018" s="390">
        <v>2</v>
      </c>
      <c r="J1018" s="390"/>
      <c r="K1018" s="398">
        <f>_xlfn.IFNA(VLOOKUP(A1018,numbering!$K$3:$L$92,2,0),0)</f>
        <v>0</v>
      </c>
    </row>
    <row r="1019" spans="1:11" ht="60" hidden="1" x14ac:dyDescent="0.2">
      <c r="A1019" s="390">
        <v>293</v>
      </c>
      <c r="B1019" s="390" t="s">
        <v>421</v>
      </c>
      <c r="C1019" s="390">
        <f>VLOOKUP(B1019,numbering!$N$18:$O$30,2,0)</f>
        <v>9</v>
      </c>
      <c r="D1019" s="390" t="s">
        <v>441</v>
      </c>
      <c r="E1019" s="403">
        <f t="shared" si="26"/>
        <v>3</v>
      </c>
      <c r="F1019" s="432" t="str">
        <f>F1018</f>
        <v>Is there documented evidence that the Accountable Executive has had regular communication with the Board of Directors to achieve the objective of the Board being fully aware of the owner's compliance and other matters regarding relevant standards and guidelines?</v>
      </c>
      <c r="G1019" s="388" t="s">
        <v>1194</v>
      </c>
      <c r="H1019" s="390">
        <v>3</v>
      </c>
      <c r="I1019" s="390">
        <v>3</v>
      </c>
      <c r="J1019" s="390"/>
      <c r="K1019" s="398">
        <f>_xlfn.IFNA(VLOOKUP(A1019,numbering!$K$3:$L$92,2,0),0)</f>
        <v>0</v>
      </c>
    </row>
    <row r="1020" spans="1:11" ht="60" hidden="1" x14ac:dyDescent="0.2">
      <c r="A1020" s="390">
        <v>293</v>
      </c>
      <c r="B1020" s="390" t="s">
        <v>421</v>
      </c>
      <c r="C1020" s="390">
        <f>VLOOKUP(B1020,numbering!$N$18:$O$30,2,0)</f>
        <v>9</v>
      </c>
      <c r="D1020" s="390" t="s">
        <v>441</v>
      </c>
      <c r="E1020" s="403">
        <f t="shared" si="26"/>
        <v>3</v>
      </c>
      <c r="F1020" s="432" t="str">
        <f>F1019</f>
        <v>Is there documented evidence that the Accountable Executive has had regular communication with the Board of Directors to achieve the objective of the Board being fully aware of the owner's compliance and other matters regarding relevant standards and guidelines?</v>
      </c>
      <c r="G1020" s="388" t="s">
        <v>1195</v>
      </c>
      <c r="H1020" s="390">
        <v>4</v>
      </c>
      <c r="I1020" s="390">
        <v>4</v>
      </c>
      <c r="J1020" s="390"/>
      <c r="K1020" s="398">
        <f>_xlfn.IFNA(VLOOKUP(A1020,numbering!$K$3:$L$92,2,0),0)</f>
        <v>0</v>
      </c>
    </row>
    <row r="1021" spans="1:11" ht="75" hidden="1" x14ac:dyDescent="0.2">
      <c r="A1021" s="390">
        <v>294</v>
      </c>
      <c r="B1021" s="390" t="s">
        <v>421</v>
      </c>
      <c r="C1021" s="390">
        <f>VLOOKUP(B1021,numbering!$N$18:$O$30,2,0)</f>
        <v>9</v>
      </c>
      <c r="D1021" s="390" t="s">
        <v>443</v>
      </c>
      <c r="E1021" s="403">
        <f t="shared" si="26"/>
        <v>4</v>
      </c>
      <c r="F1021" s="432" t="s">
        <v>444</v>
      </c>
      <c r="G1021" s="388" t="s">
        <v>1192</v>
      </c>
      <c r="H1021" s="390">
        <v>1</v>
      </c>
      <c r="I1021" s="390">
        <v>1</v>
      </c>
      <c r="J1021" s="390"/>
      <c r="K1021" s="398">
        <f>_xlfn.IFNA(VLOOKUP(A1021,numbering!$K$3:$L$92,2,0),0)</f>
        <v>0</v>
      </c>
    </row>
    <row r="1022" spans="1:11" ht="75" hidden="1" x14ac:dyDescent="0.2">
      <c r="A1022" s="390">
        <v>294</v>
      </c>
      <c r="B1022" s="390" t="s">
        <v>421</v>
      </c>
      <c r="C1022" s="390">
        <f>VLOOKUP(B1022,numbering!$N$18:$O$30,2,0)</f>
        <v>9</v>
      </c>
      <c r="D1022" s="390" t="s">
        <v>443</v>
      </c>
      <c r="E1022" s="403">
        <f t="shared" si="26"/>
        <v>4</v>
      </c>
      <c r="F1022" s="432" t="str">
        <f>F1021</f>
        <v>Is there documented evidence that an appropriate Engineer of Record has been appointed for the facility (either in-house or external company with identified Senior Engineer) to achieve the objective of engaging a person with the necessary skills and experience that are commensurate with the potential consequences and complexities of the facility?</v>
      </c>
      <c r="G1022" s="388" t="s">
        <v>1193</v>
      </c>
      <c r="H1022" s="390">
        <v>2</v>
      </c>
      <c r="I1022" s="390">
        <v>2</v>
      </c>
      <c r="J1022" s="390"/>
      <c r="K1022" s="398">
        <f>_xlfn.IFNA(VLOOKUP(A1022,numbering!$K$3:$L$92,2,0),0)</f>
        <v>0</v>
      </c>
    </row>
    <row r="1023" spans="1:11" ht="75" hidden="1" x14ac:dyDescent="0.2">
      <c r="A1023" s="390">
        <v>294</v>
      </c>
      <c r="B1023" s="390" t="s">
        <v>421</v>
      </c>
      <c r="C1023" s="390">
        <f>VLOOKUP(B1023,numbering!$N$18:$O$30,2,0)</f>
        <v>9</v>
      </c>
      <c r="D1023" s="390" t="s">
        <v>443</v>
      </c>
      <c r="E1023" s="403">
        <f t="shared" si="26"/>
        <v>4</v>
      </c>
      <c r="F1023" s="432" t="str">
        <f>F1022</f>
        <v>Is there documented evidence that an appropriate Engineer of Record has been appointed for the facility (either in-house or external company with identified Senior Engineer) to achieve the objective of engaging a person with the necessary skills and experience that are commensurate with the potential consequences and complexities of the facility?</v>
      </c>
      <c r="G1023" s="388" t="s">
        <v>1194</v>
      </c>
      <c r="H1023" s="390">
        <v>3</v>
      </c>
      <c r="I1023" s="390">
        <v>3</v>
      </c>
      <c r="J1023" s="390"/>
      <c r="K1023" s="398">
        <f>_xlfn.IFNA(VLOOKUP(A1023,numbering!$K$3:$L$92,2,0),0)</f>
        <v>0</v>
      </c>
    </row>
    <row r="1024" spans="1:11" ht="75" hidden="1" x14ac:dyDescent="0.2">
      <c r="A1024" s="390">
        <v>294</v>
      </c>
      <c r="B1024" s="390" t="s">
        <v>421</v>
      </c>
      <c r="C1024" s="390">
        <f>VLOOKUP(B1024,numbering!$N$18:$O$30,2,0)</f>
        <v>9</v>
      </c>
      <c r="D1024" s="390" t="s">
        <v>443</v>
      </c>
      <c r="E1024" s="403">
        <f t="shared" si="26"/>
        <v>4</v>
      </c>
      <c r="F1024" s="432" t="str">
        <f>F1023</f>
        <v>Is there documented evidence that an appropriate Engineer of Record has been appointed for the facility (either in-house or external company with identified Senior Engineer) to achieve the objective of engaging a person with the necessary skills and experience that are commensurate with the potential consequences and complexities of the facility?</v>
      </c>
      <c r="G1024" s="388" t="s">
        <v>1195</v>
      </c>
      <c r="H1024" s="390">
        <v>4</v>
      </c>
      <c r="I1024" s="390">
        <v>4</v>
      </c>
      <c r="J1024" s="390"/>
      <c r="K1024" s="398">
        <f>_xlfn.IFNA(VLOOKUP(A1024,numbering!$K$3:$L$92,2,0),0)</f>
        <v>0</v>
      </c>
    </row>
    <row r="1025" spans="1:11" ht="75" hidden="1" x14ac:dyDescent="0.2">
      <c r="A1025" s="390">
        <v>295</v>
      </c>
      <c r="B1025" s="390" t="s">
        <v>421</v>
      </c>
      <c r="C1025" s="390">
        <f>VLOOKUP(B1025,numbering!$N$18:$O$30,2,0)</f>
        <v>9</v>
      </c>
      <c r="D1025" s="390" t="s">
        <v>443</v>
      </c>
      <c r="E1025" s="403">
        <f t="shared" si="26"/>
        <v>4</v>
      </c>
      <c r="F1025" s="432" t="s">
        <v>1167</v>
      </c>
      <c r="G1025" s="388" t="s">
        <v>1192</v>
      </c>
      <c r="H1025" s="390">
        <v>1</v>
      </c>
      <c r="I1025" s="390">
        <v>1</v>
      </c>
      <c r="J1025" s="390"/>
      <c r="K1025" s="398">
        <f>_xlfn.IFNA(VLOOKUP(A1025,numbering!$K$3:$L$92,2,0),0)</f>
        <v>0</v>
      </c>
    </row>
    <row r="1026" spans="1:11" ht="75" hidden="1" x14ac:dyDescent="0.2">
      <c r="A1026" s="390">
        <v>295</v>
      </c>
      <c r="B1026" s="390" t="s">
        <v>421</v>
      </c>
      <c r="C1026" s="390">
        <f>VLOOKUP(B1026,numbering!$N$18:$O$30,2,0)</f>
        <v>9</v>
      </c>
      <c r="D1026" s="390" t="s">
        <v>443</v>
      </c>
      <c r="E1026" s="403">
        <f t="shared" si="26"/>
        <v>4</v>
      </c>
      <c r="F1026" s="432" t="str">
        <f>F1025</f>
        <v xml:space="preserve">Is there documented evidence that an agreement has been produced which clearly describes the roles, responsibilities and accountabilities of the Engineer of Record to achieve the objective of making the Engineer of Record aware of the requirements of the role and to provide evidence that the role meets the requirements in the GISTM? </v>
      </c>
      <c r="G1026" s="388" t="s">
        <v>1193</v>
      </c>
      <c r="H1026" s="390">
        <v>2</v>
      </c>
      <c r="I1026" s="390">
        <v>2</v>
      </c>
      <c r="J1026" s="390"/>
      <c r="K1026" s="398">
        <f>_xlfn.IFNA(VLOOKUP(A1026,numbering!$K$3:$L$92,2,0),0)</f>
        <v>0</v>
      </c>
    </row>
    <row r="1027" spans="1:11" ht="75" hidden="1" x14ac:dyDescent="0.2">
      <c r="A1027" s="390">
        <v>295</v>
      </c>
      <c r="B1027" s="390" t="s">
        <v>421</v>
      </c>
      <c r="C1027" s="390">
        <f>VLOOKUP(B1027,numbering!$N$18:$O$30,2,0)</f>
        <v>9</v>
      </c>
      <c r="D1027" s="390" t="s">
        <v>443</v>
      </c>
      <c r="E1027" s="403">
        <f t="shared" si="26"/>
        <v>4</v>
      </c>
      <c r="F1027" s="432" t="str">
        <f>F1026</f>
        <v xml:space="preserve">Is there documented evidence that an agreement has been produced which clearly describes the roles, responsibilities and accountabilities of the Engineer of Record to achieve the objective of making the Engineer of Record aware of the requirements of the role and to provide evidence that the role meets the requirements in the GISTM? </v>
      </c>
      <c r="G1027" s="388" t="s">
        <v>1194</v>
      </c>
      <c r="H1027" s="390">
        <v>3</v>
      </c>
      <c r="I1027" s="390">
        <v>3</v>
      </c>
      <c r="J1027" s="390"/>
      <c r="K1027" s="398">
        <f>_xlfn.IFNA(VLOOKUP(A1027,numbering!$K$3:$L$92,2,0),0)</f>
        <v>0</v>
      </c>
    </row>
    <row r="1028" spans="1:11" ht="75" hidden="1" x14ac:dyDescent="0.2">
      <c r="A1028" s="390">
        <v>295</v>
      </c>
      <c r="B1028" s="390" t="s">
        <v>421</v>
      </c>
      <c r="C1028" s="390">
        <f>VLOOKUP(B1028,numbering!$N$18:$O$30,2,0)</f>
        <v>9</v>
      </c>
      <c r="D1028" s="390" t="s">
        <v>443</v>
      </c>
      <c r="E1028" s="403">
        <f t="shared" si="26"/>
        <v>4</v>
      </c>
      <c r="F1028" s="432" t="str">
        <f>F1027</f>
        <v xml:space="preserve">Is there documented evidence that an agreement has been produced which clearly describes the roles, responsibilities and accountabilities of the Engineer of Record to achieve the objective of making the Engineer of Record aware of the requirements of the role and to provide evidence that the role meets the requirements in the GISTM? </v>
      </c>
      <c r="G1028" s="388" t="s">
        <v>1195</v>
      </c>
      <c r="H1028" s="390">
        <v>4</v>
      </c>
      <c r="I1028" s="390">
        <v>4</v>
      </c>
      <c r="J1028" s="390"/>
      <c r="K1028" s="398">
        <f>_xlfn.IFNA(VLOOKUP(A1028,numbering!$K$3:$L$92,2,0),0)</f>
        <v>0</v>
      </c>
    </row>
    <row r="1029" spans="1:11" ht="60" hidden="1" x14ac:dyDescent="0.2">
      <c r="A1029" s="390">
        <v>296</v>
      </c>
      <c r="B1029" s="390" t="s">
        <v>421</v>
      </c>
      <c r="C1029" s="390">
        <f>VLOOKUP(B1029,numbering!$N$18:$O$30,2,0)</f>
        <v>9</v>
      </c>
      <c r="D1029" s="390" t="s">
        <v>443</v>
      </c>
      <c r="E1029" s="403">
        <f t="shared" si="26"/>
        <v>4</v>
      </c>
      <c r="F1029" s="432" t="s">
        <v>445</v>
      </c>
      <c r="G1029" s="388" t="s">
        <v>1192</v>
      </c>
      <c r="H1029" s="390">
        <v>1</v>
      </c>
      <c r="I1029" s="390">
        <v>1</v>
      </c>
      <c r="J1029" s="390"/>
      <c r="K1029" s="398">
        <f>_xlfn.IFNA(VLOOKUP(A1029,numbering!$K$3:$L$92,2,0),0)</f>
        <v>0</v>
      </c>
    </row>
    <row r="1030" spans="1:11" ht="60" hidden="1" x14ac:dyDescent="0.2">
      <c r="A1030" s="390">
        <v>296</v>
      </c>
      <c r="B1030" s="390" t="s">
        <v>421</v>
      </c>
      <c r="C1030" s="390">
        <f>VLOOKUP(B1030,numbering!$N$18:$O$30,2,0)</f>
        <v>9</v>
      </c>
      <c r="D1030" s="390" t="s">
        <v>443</v>
      </c>
      <c r="E1030" s="403">
        <f t="shared" si="26"/>
        <v>4</v>
      </c>
      <c r="F1030" s="432" t="str">
        <f>F1029</f>
        <v>Is there documented evidence that an agreement has been produced which clearly describes the obligations of the Operator to the Engineer of Record to achieve the objective of the Operator formally stating they support the effective performance of the Engineer of Record?</v>
      </c>
      <c r="G1030" s="388" t="s">
        <v>1193</v>
      </c>
      <c r="H1030" s="390">
        <v>2</v>
      </c>
      <c r="I1030" s="390">
        <v>2</v>
      </c>
      <c r="J1030" s="390"/>
      <c r="K1030" s="398">
        <f>_xlfn.IFNA(VLOOKUP(A1030,numbering!$K$3:$L$92,2,0),0)</f>
        <v>0</v>
      </c>
    </row>
    <row r="1031" spans="1:11" ht="60" hidden="1" x14ac:dyDescent="0.2">
      <c r="A1031" s="390">
        <v>296</v>
      </c>
      <c r="B1031" s="390" t="s">
        <v>421</v>
      </c>
      <c r="C1031" s="390">
        <f>VLOOKUP(B1031,numbering!$N$18:$O$30,2,0)</f>
        <v>9</v>
      </c>
      <c r="D1031" s="390" t="s">
        <v>443</v>
      </c>
      <c r="E1031" s="403">
        <f t="shared" si="26"/>
        <v>4</v>
      </c>
      <c r="F1031" s="432" t="str">
        <f>F1030</f>
        <v>Is there documented evidence that an agreement has been produced which clearly describes the obligations of the Operator to the Engineer of Record to achieve the objective of the Operator formally stating they support the effective performance of the Engineer of Record?</v>
      </c>
      <c r="G1031" s="388" t="s">
        <v>1194</v>
      </c>
      <c r="H1031" s="390">
        <v>3</v>
      </c>
      <c r="I1031" s="390">
        <v>3</v>
      </c>
      <c r="J1031" s="390"/>
      <c r="K1031" s="398">
        <f>_xlfn.IFNA(VLOOKUP(A1031,numbering!$K$3:$L$92,2,0),0)</f>
        <v>0</v>
      </c>
    </row>
    <row r="1032" spans="1:11" ht="60" hidden="1" x14ac:dyDescent="0.2">
      <c r="A1032" s="390">
        <v>296</v>
      </c>
      <c r="B1032" s="390" t="s">
        <v>421</v>
      </c>
      <c r="C1032" s="390">
        <f>VLOOKUP(B1032,numbering!$N$18:$O$30,2,0)</f>
        <v>9</v>
      </c>
      <c r="D1032" s="390" t="s">
        <v>443</v>
      </c>
      <c r="E1032" s="403">
        <f t="shared" si="26"/>
        <v>4</v>
      </c>
      <c r="F1032" s="432" t="str">
        <f>F1031</f>
        <v>Is there documented evidence that an agreement has been produced which clearly describes the obligations of the Operator to the Engineer of Record to achieve the objective of the Operator formally stating they support the effective performance of the Engineer of Record?</v>
      </c>
      <c r="G1032" s="388" t="s">
        <v>1195</v>
      </c>
      <c r="H1032" s="390">
        <v>4</v>
      </c>
      <c r="I1032" s="390">
        <v>4</v>
      </c>
      <c r="J1032" s="390"/>
      <c r="K1032" s="398">
        <f>_xlfn.IFNA(VLOOKUP(A1032,numbering!$K$3:$L$92,2,0),0)</f>
        <v>0</v>
      </c>
    </row>
    <row r="1033" spans="1:11" ht="45" hidden="1" x14ac:dyDescent="0.2">
      <c r="A1033" s="390">
        <v>297</v>
      </c>
      <c r="B1033" s="390" t="s">
        <v>421</v>
      </c>
      <c r="C1033" s="390">
        <f>VLOOKUP(B1033,numbering!$N$18:$O$30,2,0)</f>
        <v>9</v>
      </c>
      <c r="D1033" s="390" t="s">
        <v>443</v>
      </c>
      <c r="E1033" s="403">
        <f t="shared" si="26"/>
        <v>4</v>
      </c>
      <c r="F1033" s="432" t="s">
        <v>1168</v>
      </c>
      <c r="G1033" s="388" t="s">
        <v>1192</v>
      </c>
      <c r="H1033" s="390">
        <v>1</v>
      </c>
      <c r="I1033" s="390">
        <v>1</v>
      </c>
      <c r="J1033" s="390"/>
      <c r="K1033" s="398">
        <f>_xlfn.IFNA(VLOOKUP(A1033,numbering!$K$3:$L$92,2,0),0)</f>
        <v>0</v>
      </c>
    </row>
    <row r="1034" spans="1:11" ht="45" hidden="1" x14ac:dyDescent="0.2">
      <c r="A1034" s="390">
        <v>297</v>
      </c>
      <c r="B1034" s="390" t="s">
        <v>421</v>
      </c>
      <c r="C1034" s="390">
        <f>VLOOKUP(B1034,numbering!$N$18:$O$30,2,0)</f>
        <v>9</v>
      </c>
      <c r="D1034" s="390" t="s">
        <v>443</v>
      </c>
      <c r="E1034" s="403">
        <f t="shared" si="26"/>
        <v>4</v>
      </c>
      <c r="F1034" s="432" t="str">
        <f>F1033</f>
        <v xml:space="preserve">Is there documented evidence that a program been implemented to manage the quality of all engineering work to achieve the objective that there is confirmation that both the implementation of the design and the design intent are met? </v>
      </c>
      <c r="G1034" s="388" t="s">
        <v>1193</v>
      </c>
      <c r="H1034" s="390">
        <v>2</v>
      </c>
      <c r="I1034" s="390">
        <v>2</v>
      </c>
      <c r="J1034" s="390"/>
      <c r="K1034" s="398">
        <f>_xlfn.IFNA(VLOOKUP(A1034,numbering!$K$3:$L$92,2,0),0)</f>
        <v>0</v>
      </c>
    </row>
    <row r="1035" spans="1:11" ht="45" hidden="1" x14ac:dyDescent="0.2">
      <c r="A1035" s="390">
        <v>297</v>
      </c>
      <c r="B1035" s="390" t="s">
        <v>421</v>
      </c>
      <c r="C1035" s="390">
        <f>VLOOKUP(B1035,numbering!$N$18:$O$30,2,0)</f>
        <v>9</v>
      </c>
      <c r="D1035" s="390" t="s">
        <v>443</v>
      </c>
      <c r="E1035" s="403">
        <f t="shared" si="26"/>
        <v>4</v>
      </c>
      <c r="F1035" s="432" t="str">
        <f>F1034</f>
        <v xml:space="preserve">Is there documented evidence that a program been implemented to manage the quality of all engineering work to achieve the objective that there is confirmation that both the implementation of the design and the design intent are met? </v>
      </c>
      <c r="G1035" s="388" t="s">
        <v>1194</v>
      </c>
      <c r="H1035" s="390">
        <v>3</v>
      </c>
      <c r="I1035" s="390">
        <v>3</v>
      </c>
      <c r="J1035" s="390"/>
      <c r="K1035" s="398">
        <f>_xlfn.IFNA(VLOOKUP(A1035,numbering!$K$3:$L$92,2,0),0)</f>
        <v>0</v>
      </c>
    </row>
    <row r="1036" spans="1:11" ht="45" hidden="1" x14ac:dyDescent="0.2">
      <c r="A1036" s="390">
        <v>297</v>
      </c>
      <c r="B1036" s="390" t="s">
        <v>421</v>
      </c>
      <c r="C1036" s="390">
        <f>VLOOKUP(B1036,numbering!$N$18:$O$30,2,0)</f>
        <v>9</v>
      </c>
      <c r="D1036" s="390" t="s">
        <v>443</v>
      </c>
      <c r="E1036" s="403">
        <f t="shared" si="26"/>
        <v>4</v>
      </c>
      <c r="F1036" s="432" t="str">
        <f>F1035</f>
        <v xml:space="preserve">Is there documented evidence that a program been implemented to manage the quality of all engineering work to achieve the objective that there is confirmation that both the implementation of the design and the design intent are met? </v>
      </c>
      <c r="G1036" s="388" t="s">
        <v>1195</v>
      </c>
      <c r="H1036" s="390">
        <v>4</v>
      </c>
      <c r="I1036" s="390">
        <v>4</v>
      </c>
      <c r="J1036" s="390"/>
      <c r="K1036" s="398">
        <f>_xlfn.IFNA(VLOOKUP(A1036,numbering!$K$3:$L$92,2,0),0)</f>
        <v>0</v>
      </c>
    </row>
    <row r="1037" spans="1:11" ht="75" hidden="1" x14ac:dyDescent="0.2">
      <c r="A1037" s="390">
        <v>298</v>
      </c>
      <c r="B1037" s="390" t="s">
        <v>421</v>
      </c>
      <c r="C1037" s="390">
        <f>VLOOKUP(B1037,numbering!$N$18:$O$30,2,0)</f>
        <v>9</v>
      </c>
      <c r="D1037" s="390" t="s">
        <v>443</v>
      </c>
      <c r="E1037" s="403">
        <f t="shared" si="26"/>
        <v>4</v>
      </c>
      <c r="F1037" s="432" t="s">
        <v>446</v>
      </c>
      <c r="G1037" s="388" t="s">
        <v>1192</v>
      </c>
      <c r="H1037" s="390">
        <v>1</v>
      </c>
      <c r="I1037" s="390">
        <v>1</v>
      </c>
      <c r="J1037" s="390"/>
      <c r="K1037" s="398">
        <f>_xlfn.IFNA(VLOOKUP(A1037,numbering!$K$3:$L$92,2,0),0)</f>
        <v>0</v>
      </c>
    </row>
    <row r="1038" spans="1:11" ht="75" hidden="1" x14ac:dyDescent="0.2">
      <c r="A1038" s="390">
        <v>298</v>
      </c>
      <c r="B1038" s="390" t="s">
        <v>421</v>
      </c>
      <c r="C1038" s="390">
        <f>VLOOKUP(B1038,numbering!$N$18:$O$30,2,0)</f>
        <v>9</v>
      </c>
      <c r="D1038" s="390" t="s">
        <v>443</v>
      </c>
      <c r="E1038" s="403">
        <f t="shared" si="26"/>
        <v>4</v>
      </c>
      <c r="F1038" s="432" t="str">
        <f>F1037</f>
        <v>Is there documented evidence that a program has been implemented to manage the interactions between the Engineer of Record, the Responsible Facility Engineer and the Accountable Executive and their involvement in the tailings facility lifecycle achieve the objective that there is confirmation that both the implementation of designs and that the design intent are met?</v>
      </c>
      <c r="G1038" s="388" t="s">
        <v>1193</v>
      </c>
      <c r="H1038" s="390">
        <v>2</v>
      </c>
      <c r="I1038" s="390">
        <v>2</v>
      </c>
      <c r="J1038" s="390"/>
      <c r="K1038" s="398">
        <f>_xlfn.IFNA(VLOOKUP(A1038,numbering!$K$3:$L$92,2,0),0)</f>
        <v>0</v>
      </c>
    </row>
    <row r="1039" spans="1:11" ht="75" hidden="1" x14ac:dyDescent="0.2">
      <c r="A1039" s="390">
        <v>298</v>
      </c>
      <c r="B1039" s="390" t="s">
        <v>421</v>
      </c>
      <c r="C1039" s="390">
        <f>VLOOKUP(B1039,numbering!$N$18:$O$30,2,0)</f>
        <v>9</v>
      </c>
      <c r="D1039" s="390" t="s">
        <v>443</v>
      </c>
      <c r="E1039" s="403">
        <f t="shared" si="26"/>
        <v>4</v>
      </c>
      <c r="F1039" s="432" t="str">
        <f>F1038</f>
        <v>Is there documented evidence that a program has been implemented to manage the interactions between the Engineer of Record, the Responsible Facility Engineer and the Accountable Executive and their involvement in the tailings facility lifecycle achieve the objective that there is confirmation that both the implementation of designs and that the design intent are met?</v>
      </c>
      <c r="G1039" s="388" t="s">
        <v>1194</v>
      </c>
      <c r="H1039" s="390">
        <v>3</v>
      </c>
      <c r="I1039" s="390">
        <v>3</v>
      </c>
      <c r="J1039" s="390"/>
      <c r="K1039" s="398">
        <f>_xlfn.IFNA(VLOOKUP(A1039,numbering!$K$3:$L$92,2,0),0)</f>
        <v>0</v>
      </c>
    </row>
    <row r="1040" spans="1:11" ht="75" hidden="1" x14ac:dyDescent="0.2">
      <c r="A1040" s="390">
        <v>298</v>
      </c>
      <c r="B1040" s="390" t="s">
        <v>421</v>
      </c>
      <c r="C1040" s="390">
        <f>VLOOKUP(B1040,numbering!$N$18:$O$30,2,0)</f>
        <v>9</v>
      </c>
      <c r="D1040" s="390" t="s">
        <v>443</v>
      </c>
      <c r="E1040" s="403">
        <f t="shared" si="26"/>
        <v>4</v>
      </c>
      <c r="F1040" s="432" t="str">
        <f>F1039</f>
        <v>Is there documented evidence that a program has been implemented to manage the interactions between the Engineer of Record, the Responsible Facility Engineer and the Accountable Executive and their involvement in the tailings facility lifecycle achieve the objective that there is confirmation that both the implementation of designs and that the design intent are met?</v>
      </c>
      <c r="G1040" s="388" t="s">
        <v>1195</v>
      </c>
      <c r="H1040" s="390">
        <v>4</v>
      </c>
      <c r="I1040" s="390">
        <v>4</v>
      </c>
      <c r="J1040" s="390"/>
      <c r="K1040" s="398">
        <f>_xlfn.IFNA(VLOOKUP(A1040,numbering!$K$3:$L$92,2,0),0)</f>
        <v>0</v>
      </c>
    </row>
    <row r="1041" spans="1:11" ht="60" hidden="1" x14ac:dyDescent="0.2">
      <c r="A1041" s="390">
        <v>299</v>
      </c>
      <c r="B1041" s="390" t="s">
        <v>421</v>
      </c>
      <c r="C1041" s="390">
        <f>VLOOKUP(B1041,numbering!$N$18:$O$30,2,0)</f>
        <v>9</v>
      </c>
      <c r="D1041" s="390" t="s">
        <v>443</v>
      </c>
      <c r="E1041" s="403">
        <f t="shared" si="26"/>
        <v>4</v>
      </c>
      <c r="F1041" s="432" t="s">
        <v>447</v>
      </c>
      <c r="G1041" s="388" t="s">
        <v>1192</v>
      </c>
      <c r="H1041" s="390">
        <v>1</v>
      </c>
      <c r="I1041" s="390">
        <v>1</v>
      </c>
      <c r="J1041" s="390"/>
      <c r="K1041" s="398">
        <f>_xlfn.IFNA(VLOOKUP(A1041,numbering!$K$3:$L$92,2,0),0)</f>
        <v>0</v>
      </c>
    </row>
    <row r="1042" spans="1:11" ht="60" hidden="1" x14ac:dyDescent="0.2">
      <c r="A1042" s="390">
        <v>299</v>
      </c>
      <c r="B1042" s="390" t="s">
        <v>421</v>
      </c>
      <c r="C1042" s="390">
        <f>VLOOKUP(B1042,numbering!$N$18:$O$30,2,0)</f>
        <v>9</v>
      </c>
      <c r="D1042" s="390" t="s">
        <v>443</v>
      </c>
      <c r="E1042" s="403">
        <f t="shared" si="26"/>
        <v>4</v>
      </c>
      <c r="F1042" s="432" t="str">
        <f>F1041</f>
        <v>Is there documented evidence that a process or procedure has been established to ensure that the selection of the Engineering of Record is decided by the Accountable Executive to achieve the objective that engagement of the Engineer of Record is done so by the person they are accountable to?</v>
      </c>
      <c r="G1042" s="388" t="s">
        <v>1193</v>
      </c>
      <c r="H1042" s="390">
        <v>2</v>
      </c>
      <c r="I1042" s="390">
        <v>2</v>
      </c>
      <c r="J1042" s="390"/>
      <c r="K1042" s="398">
        <f>_xlfn.IFNA(VLOOKUP(A1042,numbering!$K$3:$L$92,2,0),0)</f>
        <v>0</v>
      </c>
    </row>
    <row r="1043" spans="1:11" ht="60" hidden="1" x14ac:dyDescent="0.2">
      <c r="A1043" s="390">
        <v>299</v>
      </c>
      <c r="B1043" s="390" t="s">
        <v>421</v>
      </c>
      <c r="C1043" s="390">
        <f>VLOOKUP(B1043,numbering!$N$18:$O$30,2,0)</f>
        <v>9</v>
      </c>
      <c r="D1043" s="390" t="s">
        <v>443</v>
      </c>
      <c r="E1043" s="403">
        <f t="shared" si="26"/>
        <v>4</v>
      </c>
      <c r="F1043" s="432" t="str">
        <f>F1042</f>
        <v>Is there documented evidence that a process or procedure has been established to ensure that the selection of the Engineering of Record is decided by the Accountable Executive to achieve the objective that engagement of the Engineer of Record is done so by the person they are accountable to?</v>
      </c>
      <c r="G1043" s="388" t="s">
        <v>1194</v>
      </c>
      <c r="H1043" s="390">
        <v>3</v>
      </c>
      <c r="I1043" s="390">
        <v>3</v>
      </c>
      <c r="J1043" s="390"/>
      <c r="K1043" s="398">
        <f>_xlfn.IFNA(VLOOKUP(A1043,numbering!$K$3:$L$92,2,0),0)</f>
        <v>0</v>
      </c>
    </row>
    <row r="1044" spans="1:11" ht="60" hidden="1" x14ac:dyDescent="0.2">
      <c r="A1044" s="390">
        <v>299</v>
      </c>
      <c r="B1044" s="390" t="s">
        <v>421</v>
      </c>
      <c r="C1044" s="390">
        <f>VLOOKUP(B1044,numbering!$N$18:$O$30,2,0)</f>
        <v>9</v>
      </c>
      <c r="D1044" s="390" t="s">
        <v>443</v>
      </c>
      <c r="E1044" s="403">
        <f t="shared" si="26"/>
        <v>4</v>
      </c>
      <c r="F1044" s="432" t="str">
        <f>F1043</f>
        <v>Is there documented evidence that a process or procedure has been established to ensure that the selection of the Engineering of Record is decided by the Accountable Executive to achieve the objective that engagement of the Engineer of Record is done so by the person they are accountable to?</v>
      </c>
      <c r="G1044" s="388" t="s">
        <v>1195</v>
      </c>
      <c r="H1044" s="390">
        <v>4</v>
      </c>
      <c r="I1044" s="390">
        <v>4</v>
      </c>
      <c r="J1044" s="390"/>
      <c r="K1044" s="398">
        <f>_xlfn.IFNA(VLOOKUP(A1044,numbering!$K$3:$L$92,2,0),0)</f>
        <v>0</v>
      </c>
    </row>
    <row r="1045" spans="1:11" ht="45" hidden="1" x14ac:dyDescent="0.2">
      <c r="A1045" s="390">
        <v>300</v>
      </c>
      <c r="B1045" s="390" t="s">
        <v>421</v>
      </c>
      <c r="C1045" s="390">
        <f>VLOOKUP(B1045,numbering!$N$18:$O$30,2,0)</f>
        <v>9</v>
      </c>
      <c r="D1045" s="390" t="s">
        <v>443</v>
      </c>
      <c r="E1045" s="403">
        <f t="shared" si="26"/>
        <v>4</v>
      </c>
      <c r="F1045" s="432" t="s">
        <v>448</v>
      </c>
      <c r="G1045" s="388" t="s">
        <v>1192</v>
      </c>
      <c r="H1045" s="390">
        <v>1</v>
      </c>
      <c r="I1045" s="390">
        <v>1</v>
      </c>
      <c r="J1045" s="390"/>
      <c r="K1045" s="398">
        <f>_xlfn.IFNA(VLOOKUP(A1045,numbering!$K$3:$L$92,2,0),0)</f>
        <v>0</v>
      </c>
    </row>
    <row r="1046" spans="1:11" ht="45" hidden="1" x14ac:dyDescent="0.2">
      <c r="A1046" s="390">
        <v>300</v>
      </c>
      <c r="B1046" s="390" t="s">
        <v>421</v>
      </c>
      <c r="C1046" s="390">
        <f>VLOOKUP(B1046,numbering!$N$18:$O$30,2,0)</f>
        <v>9</v>
      </c>
      <c r="D1046" s="390" t="s">
        <v>443</v>
      </c>
      <c r="E1046" s="403">
        <f t="shared" si="26"/>
        <v>4</v>
      </c>
      <c r="F1046" s="432" t="str">
        <f>F1045</f>
        <v>Is there documented evidence that the selection of the Engineer of Record was not decided by procurement personnel to achieve the objective that commercial pressures do not influence the engagement of the Engineer of Record?</v>
      </c>
      <c r="G1046" s="388" t="s">
        <v>1193</v>
      </c>
      <c r="H1046" s="390">
        <v>2</v>
      </c>
      <c r="I1046" s="390">
        <v>2</v>
      </c>
      <c r="J1046" s="390"/>
      <c r="K1046" s="398">
        <f>_xlfn.IFNA(VLOOKUP(A1046,numbering!$K$3:$L$92,2,0),0)</f>
        <v>0</v>
      </c>
    </row>
    <row r="1047" spans="1:11" ht="45" hidden="1" x14ac:dyDescent="0.2">
      <c r="A1047" s="390">
        <v>300</v>
      </c>
      <c r="B1047" s="390" t="s">
        <v>421</v>
      </c>
      <c r="C1047" s="390">
        <f>VLOOKUP(B1047,numbering!$N$18:$O$30,2,0)</f>
        <v>9</v>
      </c>
      <c r="D1047" s="390" t="s">
        <v>443</v>
      </c>
      <c r="E1047" s="403">
        <f t="shared" si="26"/>
        <v>4</v>
      </c>
      <c r="F1047" s="432" t="str">
        <f>F1046</f>
        <v>Is there documented evidence that the selection of the Engineer of Record was not decided by procurement personnel to achieve the objective that commercial pressures do not influence the engagement of the Engineer of Record?</v>
      </c>
      <c r="G1047" s="388" t="s">
        <v>1194</v>
      </c>
      <c r="H1047" s="390">
        <v>3</v>
      </c>
      <c r="I1047" s="390">
        <v>3</v>
      </c>
      <c r="J1047" s="390"/>
      <c r="K1047" s="398">
        <f>_xlfn.IFNA(VLOOKUP(A1047,numbering!$K$3:$L$92,2,0),0)</f>
        <v>0</v>
      </c>
    </row>
    <row r="1048" spans="1:11" ht="45" hidden="1" x14ac:dyDescent="0.2">
      <c r="A1048" s="390">
        <v>300</v>
      </c>
      <c r="B1048" s="390" t="s">
        <v>421</v>
      </c>
      <c r="C1048" s="390">
        <f>VLOOKUP(B1048,numbering!$N$18:$O$30,2,0)</f>
        <v>9</v>
      </c>
      <c r="D1048" s="390" t="s">
        <v>443</v>
      </c>
      <c r="E1048" s="403">
        <f t="shared" si="26"/>
        <v>4</v>
      </c>
      <c r="F1048" s="432" t="str">
        <f>F1047</f>
        <v>Is there documented evidence that the selection of the Engineer of Record was not decided by procurement personnel to achieve the objective that commercial pressures do not influence the engagement of the Engineer of Record?</v>
      </c>
      <c r="G1048" s="388" t="s">
        <v>1195</v>
      </c>
      <c r="H1048" s="390">
        <v>4</v>
      </c>
      <c r="I1048" s="390">
        <v>4</v>
      </c>
      <c r="J1048" s="390"/>
      <c r="K1048" s="398">
        <f>_xlfn.IFNA(VLOOKUP(A1048,numbering!$K$3:$L$92,2,0),0)</f>
        <v>0</v>
      </c>
    </row>
    <row r="1049" spans="1:11" ht="45" hidden="1" x14ac:dyDescent="0.2">
      <c r="A1049" s="390">
        <v>301</v>
      </c>
      <c r="B1049" s="390" t="s">
        <v>421</v>
      </c>
      <c r="C1049" s="390">
        <f>VLOOKUP(B1049,numbering!$N$18:$O$30,2,0)</f>
        <v>9</v>
      </c>
      <c r="D1049" s="390" t="s">
        <v>443</v>
      </c>
      <c r="E1049" s="403">
        <f t="shared" si="26"/>
        <v>4</v>
      </c>
      <c r="F1049" s="432" t="s">
        <v>449</v>
      </c>
      <c r="G1049" s="388" t="s">
        <v>1192</v>
      </c>
      <c r="H1049" s="390">
        <v>1</v>
      </c>
      <c r="I1049" s="390">
        <v>1</v>
      </c>
      <c r="J1049" s="390"/>
      <c r="K1049" s="398">
        <f>_xlfn.IFNA(VLOOKUP(A1049,numbering!$K$3:$L$92,2,0),0)</f>
        <v>0</v>
      </c>
    </row>
    <row r="1050" spans="1:11" ht="45" hidden="1" x14ac:dyDescent="0.2">
      <c r="A1050" s="390">
        <v>301</v>
      </c>
      <c r="B1050" s="390" t="s">
        <v>421</v>
      </c>
      <c r="C1050" s="390">
        <f>VLOOKUP(B1050,numbering!$N$18:$O$30,2,0)</f>
        <v>9</v>
      </c>
      <c r="D1050" s="390" t="s">
        <v>443</v>
      </c>
      <c r="E1050" s="403">
        <f t="shared" si="26"/>
        <v>4</v>
      </c>
      <c r="F1050" s="432" t="str">
        <f>F1049</f>
        <v>Is there documented evidence that a succession plan been developed to facilitate the handover process of the Engineer of Record role to achieve the objective that the gap in knowledge is limited if handover of the role is required?</v>
      </c>
      <c r="G1050" s="388" t="s">
        <v>1193</v>
      </c>
      <c r="H1050" s="390">
        <v>2</v>
      </c>
      <c r="I1050" s="390">
        <v>2</v>
      </c>
      <c r="J1050" s="390"/>
      <c r="K1050" s="398">
        <f>_xlfn.IFNA(VLOOKUP(A1050,numbering!$K$3:$L$92,2,0),0)</f>
        <v>0</v>
      </c>
    </row>
    <row r="1051" spans="1:11" ht="45" hidden="1" x14ac:dyDescent="0.2">
      <c r="A1051" s="390">
        <v>301</v>
      </c>
      <c r="B1051" s="390" t="s">
        <v>421</v>
      </c>
      <c r="C1051" s="390">
        <f>VLOOKUP(B1051,numbering!$N$18:$O$30,2,0)</f>
        <v>9</v>
      </c>
      <c r="D1051" s="390" t="s">
        <v>443</v>
      </c>
      <c r="E1051" s="403">
        <f t="shared" si="26"/>
        <v>4</v>
      </c>
      <c r="F1051" s="432" t="str">
        <f>F1050</f>
        <v>Is there documented evidence that a succession plan been developed to facilitate the handover process of the Engineer of Record role to achieve the objective that the gap in knowledge is limited if handover of the role is required?</v>
      </c>
      <c r="G1051" s="388" t="s">
        <v>1194</v>
      </c>
      <c r="H1051" s="390">
        <v>3</v>
      </c>
      <c r="I1051" s="390">
        <v>3</v>
      </c>
      <c r="J1051" s="390"/>
      <c r="K1051" s="398">
        <f>_xlfn.IFNA(VLOOKUP(A1051,numbering!$K$3:$L$92,2,0),0)</f>
        <v>0</v>
      </c>
    </row>
    <row r="1052" spans="1:11" ht="45" hidden="1" x14ac:dyDescent="0.2">
      <c r="A1052" s="390">
        <v>301</v>
      </c>
      <c r="B1052" s="390" t="s">
        <v>421</v>
      </c>
      <c r="C1052" s="390">
        <f>VLOOKUP(B1052,numbering!$N$18:$O$30,2,0)</f>
        <v>9</v>
      </c>
      <c r="D1052" s="390" t="s">
        <v>443</v>
      </c>
      <c r="E1052" s="403">
        <f t="shared" si="26"/>
        <v>4</v>
      </c>
      <c r="F1052" s="432" t="str">
        <f>F1051</f>
        <v>Is there documented evidence that a succession plan been developed to facilitate the handover process of the Engineer of Record role to achieve the objective that the gap in knowledge is limited if handover of the role is required?</v>
      </c>
      <c r="G1052" s="388" t="s">
        <v>1195</v>
      </c>
      <c r="H1052" s="390">
        <v>4</v>
      </c>
      <c r="I1052" s="390">
        <v>4</v>
      </c>
      <c r="J1052" s="390"/>
      <c r="K1052" s="398">
        <f>_xlfn.IFNA(VLOOKUP(A1052,numbering!$K$3:$L$92,2,0),0)</f>
        <v>0</v>
      </c>
    </row>
    <row r="1053" spans="1:11" ht="45" hidden="1" x14ac:dyDescent="0.2">
      <c r="A1053" s="390">
        <v>302</v>
      </c>
      <c r="B1053" s="390" t="s">
        <v>450</v>
      </c>
      <c r="C1053" s="390">
        <f>VLOOKUP(B1053,numbering!$N$18:$O$30,2,0)</f>
        <v>8</v>
      </c>
      <c r="D1053" s="390" t="s">
        <v>451</v>
      </c>
      <c r="E1053" s="403">
        <f t="shared" si="26"/>
        <v>1</v>
      </c>
      <c r="F1053" s="432" t="s">
        <v>1169</v>
      </c>
      <c r="G1053" s="388" t="s">
        <v>1192</v>
      </c>
      <c r="H1053" s="390">
        <v>1</v>
      </c>
      <c r="I1053" s="390">
        <v>1</v>
      </c>
      <c r="J1053" s="390"/>
      <c r="K1053" s="398">
        <f>_xlfn.IFNA(VLOOKUP(A1053,numbering!$K$3:$L$92,2,0),0)</f>
        <v>0</v>
      </c>
    </row>
    <row r="1054" spans="1:11" ht="45" hidden="1" x14ac:dyDescent="0.2">
      <c r="A1054" s="390">
        <v>302</v>
      </c>
      <c r="B1054" s="390" t="s">
        <v>450</v>
      </c>
      <c r="C1054" s="390">
        <f>VLOOKUP(B1054,numbering!$N$18:$O$30,2,0)</f>
        <v>8</v>
      </c>
      <c r="D1054" s="390" t="s">
        <v>451</v>
      </c>
      <c r="E1054" s="403">
        <f t="shared" si="26"/>
        <v>1</v>
      </c>
      <c r="F1054" s="432" t="str">
        <f>F1053</f>
        <v>Is a Facility Management Plan available which achieves the objective of detailing all pertinent short-medium and long term considerations associated with managing the facility?</v>
      </c>
      <c r="G1054" s="388" t="s">
        <v>1193</v>
      </c>
      <c r="H1054" s="390">
        <v>2</v>
      </c>
      <c r="I1054" s="390">
        <v>2</v>
      </c>
      <c r="J1054" s="390"/>
      <c r="K1054" s="398">
        <f>_xlfn.IFNA(VLOOKUP(A1054,numbering!$K$3:$L$92,2,0),0)</f>
        <v>0</v>
      </c>
    </row>
    <row r="1055" spans="1:11" ht="45" hidden="1" x14ac:dyDescent="0.2">
      <c r="A1055" s="390">
        <v>302</v>
      </c>
      <c r="B1055" s="390" t="s">
        <v>450</v>
      </c>
      <c r="C1055" s="390">
        <f>VLOOKUP(B1055,numbering!$N$18:$O$30,2,0)</f>
        <v>8</v>
      </c>
      <c r="D1055" s="390" t="s">
        <v>451</v>
      </c>
      <c r="E1055" s="403">
        <f t="shared" si="26"/>
        <v>1</v>
      </c>
      <c r="F1055" s="432" t="str">
        <f>F1054</f>
        <v>Is a Facility Management Plan available which achieves the objective of detailing all pertinent short-medium and long term considerations associated with managing the facility?</v>
      </c>
      <c r="G1055" s="388" t="s">
        <v>1194</v>
      </c>
      <c r="H1055" s="390">
        <v>3</v>
      </c>
      <c r="I1055" s="390">
        <v>3</v>
      </c>
      <c r="J1055" s="390"/>
      <c r="K1055" s="398">
        <f>_xlfn.IFNA(VLOOKUP(A1055,numbering!$K$3:$L$92,2,0),0)</f>
        <v>0</v>
      </c>
    </row>
    <row r="1056" spans="1:11" ht="45" hidden="1" x14ac:dyDescent="0.2">
      <c r="A1056" s="390">
        <v>302</v>
      </c>
      <c r="B1056" s="390" t="s">
        <v>450</v>
      </c>
      <c r="C1056" s="390">
        <f>VLOOKUP(B1056,numbering!$N$18:$O$30,2,0)</f>
        <v>8</v>
      </c>
      <c r="D1056" s="390" t="s">
        <v>451</v>
      </c>
      <c r="E1056" s="403">
        <f t="shared" si="26"/>
        <v>1</v>
      </c>
      <c r="F1056" s="432" t="str">
        <f>F1055</f>
        <v>Is a Facility Management Plan available which achieves the objective of detailing all pertinent short-medium and long term considerations associated with managing the facility?</v>
      </c>
      <c r="G1056" s="388" t="s">
        <v>1195</v>
      </c>
      <c r="H1056" s="390">
        <v>4</v>
      </c>
      <c r="I1056" s="390">
        <v>4</v>
      </c>
      <c r="J1056" s="390"/>
      <c r="K1056" s="398">
        <f>_xlfn.IFNA(VLOOKUP(A1056,numbering!$K$3:$L$92,2,0),0)</f>
        <v>0</v>
      </c>
    </row>
    <row r="1057" spans="1:11" ht="60" hidden="1" x14ac:dyDescent="0.2">
      <c r="A1057" s="390">
        <v>303</v>
      </c>
      <c r="B1057" s="390" t="s">
        <v>450</v>
      </c>
      <c r="C1057" s="390">
        <f>VLOOKUP(B1057,numbering!$N$18:$O$30,2,0)</f>
        <v>8</v>
      </c>
      <c r="D1057" s="390" t="s">
        <v>451</v>
      </c>
      <c r="E1057" s="403">
        <f t="shared" si="26"/>
        <v>1</v>
      </c>
      <c r="F1057" s="432" t="s">
        <v>452</v>
      </c>
      <c r="G1057" s="388" t="s">
        <v>1192</v>
      </c>
      <c r="H1057" s="390">
        <v>1</v>
      </c>
      <c r="I1057" s="390">
        <v>1</v>
      </c>
      <c r="J1057" s="390"/>
      <c r="K1057" s="398">
        <f>_xlfn.IFNA(VLOOKUP(A1057,numbering!$K$3:$L$92,2,0),0)</f>
        <v>0</v>
      </c>
    </row>
    <row r="1058" spans="1:11" ht="60" hidden="1" x14ac:dyDescent="0.2">
      <c r="A1058" s="390">
        <v>303</v>
      </c>
      <c r="B1058" s="390" t="s">
        <v>450</v>
      </c>
      <c r="C1058" s="390">
        <f>VLOOKUP(B1058,numbering!$N$18:$O$30,2,0)</f>
        <v>8</v>
      </c>
      <c r="D1058" s="390" t="s">
        <v>451</v>
      </c>
      <c r="E1058" s="403">
        <f t="shared" si="26"/>
        <v>1</v>
      </c>
      <c r="F1058" s="432" t="str">
        <f>F1057</f>
        <v>Is there documented evidence that the Facility Management Plan identified the risks, resources, schedules and capital allowances required for the life of the facility to achieve the objective of allowing appropriate planning for responsible management?</v>
      </c>
      <c r="G1058" s="388" t="s">
        <v>1193</v>
      </c>
      <c r="H1058" s="390">
        <v>2</v>
      </c>
      <c r="I1058" s="390">
        <v>2</v>
      </c>
      <c r="J1058" s="390"/>
      <c r="K1058" s="398">
        <f>_xlfn.IFNA(VLOOKUP(A1058,numbering!$K$3:$L$92,2,0),0)</f>
        <v>0</v>
      </c>
    </row>
    <row r="1059" spans="1:11" ht="60" hidden="1" x14ac:dyDescent="0.2">
      <c r="A1059" s="390">
        <v>303</v>
      </c>
      <c r="B1059" s="390" t="s">
        <v>450</v>
      </c>
      <c r="C1059" s="390">
        <f>VLOOKUP(B1059,numbering!$N$18:$O$30,2,0)</f>
        <v>8</v>
      </c>
      <c r="D1059" s="390" t="s">
        <v>451</v>
      </c>
      <c r="E1059" s="403">
        <f t="shared" si="26"/>
        <v>1</v>
      </c>
      <c r="F1059" s="432" t="str">
        <f>F1058</f>
        <v>Is there documented evidence that the Facility Management Plan identified the risks, resources, schedules and capital allowances required for the life of the facility to achieve the objective of allowing appropriate planning for responsible management?</v>
      </c>
      <c r="G1059" s="388" t="s">
        <v>1194</v>
      </c>
      <c r="H1059" s="390">
        <v>3</v>
      </c>
      <c r="I1059" s="390">
        <v>3</v>
      </c>
      <c r="J1059" s="390"/>
      <c r="K1059" s="398">
        <f>_xlfn.IFNA(VLOOKUP(A1059,numbering!$K$3:$L$92,2,0),0)</f>
        <v>0</v>
      </c>
    </row>
    <row r="1060" spans="1:11" ht="60" hidden="1" x14ac:dyDescent="0.2">
      <c r="A1060" s="390">
        <v>303</v>
      </c>
      <c r="B1060" s="390" t="s">
        <v>450</v>
      </c>
      <c r="C1060" s="390">
        <f>VLOOKUP(B1060,numbering!$N$18:$O$30,2,0)</f>
        <v>8</v>
      </c>
      <c r="D1060" s="390" t="s">
        <v>451</v>
      </c>
      <c r="E1060" s="403">
        <f t="shared" si="26"/>
        <v>1</v>
      </c>
      <c r="F1060" s="432" t="str">
        <f>F1059</f>
        <v>Is there documented evidence that the Facility Management Plan identified the risks, resources, schedules and capital allowances required for the life of the facility to achieve the objective of allowing appropriate planning for responsible management?</v>
      </c>
      <c r="G1060" s="388" t="s">
        <v>1195</v>
      </c>
      <c r="H1060" s="390">
        <v>4</v>
      </c>
      <c r="I1060" s="390">
        <v>4</v>
      </c>
      <c r="J1060" s="390"/>
      <c r="K1060" s="398">
        <f>_xlfn.IFNA(VLOOKUP(A1060,numbering!$K$3:$L$92,2,0),0)</f>
        <v>0</v>
      </c>
    </row>
    <row r="1061" spans="1:11" ht="45" hidden="1" x14ac:dyDescent="0.2">
      <c r="A1061" s="390">
        <v>304</v>
      </c>
      <c r="B1061" s="390" t="s">
        <v>450</v>
      </c>
      <c r="C1061" s="390">
        <f>VLOOKUP(B1061,numbering!$N$18:$O$30,2,0)</f>
        <v>8</v>
      </c>
      <c r="D1061" s="390" t="s">
        <v>451</v>
      </c>
      <c r="E1061" s="403">
        <f t="shared" si="26"/>
        <v>1</v>
      </c>
      <c r="F1061" s="432" t="s">
        <v>453</v>
      </c>
      <c r="G1061" s="388" t="s">
        <v>1192</v>
      </c>
      <c r="H1061" s="390">
        <v>1</v>
      </c>
      <c r="I1061" s="390">
        <v>1</v>
      </c>
      <c r="J1061" s="390"/>
      <c r="K1061" s="398">
        <f>_xlfn.IFNA(VLOOKUP(A1061,numbering!$K$3:$L$92,2,0),0)</f>
        <v>0</v>
      </c>
    </row>
    <row r="1062" spans="1:11" ht="45" hidden="1" x14ac:dyDescent="0.2">
      <c r="A1062" s="390">
        <v>304</v>
      </c>
      <c r="B1062" s="390" t="s">
        <v>450</v>
      </c>
      <c r="C1062" s="390">
        <f>VLOOKUP(B1062,numbering!$N$18:$O$30,2,0)</f>
        <v>8</v>
      </c>
      <c r="D1062" s="390" t="s">
        <v>451</v>
      </c>
      <c r="E1062" s="403">
        <f t="shared" si="26"/>
        <v>1</v>
      </c>
      <c r="F1062" s="432" t="str">
        <f>F1061</f>
        <v>Is there documented evidence that the Facility Management Plan identified new and emerging technologies and approaches as opportunities to develop to achieve the objective of exploring opportunities to reduce the risks presented by the facility?</v>
      </c>
      <c r="G1062" s="388" t="s">
        <v>1193</v>
      </c>
      <c r="H1062" s="390">
        <v>2</v>
      </c>
      <c r="I1062" s="390">
        <v>2</v>
      </c>
      <c r="J1062" s="390"/>
      <c r="K1062" s="398">
        <f>_xlfn.IFNA(VLOOKUP(A1062,numbering!$K$3:$L$92,2,0),0)</f>
        <v>0</v>
      </c>
    </row>
    <row r="1063" spans="1:11" ht="45" hidden="1" x14ac:dyDescent="0.2">
      <c r="A1063" s="390">
        <v>304</v>
      </c>
      <c r="B1063" s="390" t="s">
        <v>450</v>
      </c>
      <c r="C1063" s="390">
        <f>VLOOKUP(B1063,numbering!$N$18:$O$30,2,0)</f>
        <v>8</v>
      </c>
      <c r="D1063" s="390" t="s">
        <v>451</v>
      </c>
      <c r="E1063" s="403">
        <f t="shared" si="26"/>
        <v>1</v>
      </c>
      <c r="F1063" s="432" t="str">
        <f>F1062</f>
        <v>Is there documented evidence that the Facility Management Plan identified new and emerging technologies and approaches as opportunities to develop to achieve the objective of exploring opportunities to reduce the risks presented by the facility?</v>
      </c>
      <c r="G1063" s="388" t="s">
        <v>1194</v>
      </c>
      <c r="H1063" s="390">
        <v>3</v>
      </c>
      <c r="I1063" s="390">
        <v>3</v>
      </c>
      <c r="J1063" s="390"/>
      <c r="K1063" s="398">
        <f>_xlfn.IFNA(VLOOKUP(A1063,numbering!$K$3:$L$92,2,0),0)</f>
        <v>0</v>
      </c>
    </row>
    <row r="1064" spans="1:11" ht="45" hidden="1" x14ac:dyDescent="0.2">
      <c r="A1064" s="390">
        <v>304</v>
      </c>
      <c r="B1064" s="390" t="s">
        <v>450</v>
      </c>
      <c r="C1064" s="390">
        <f>VLOOKUP(B1064,numbering!$N$18:$O$30,2,0)</f>
        <v>8</v>
      </c>
      <c r="D1064" s="390" t="s">
        <v>451</v>
      </c>
      <c r="E1064" s="403">
        <f t="shared" si="26"/>
        <v>1</v>
      </c>
      <c r="F1064" s="432" t="str">
        <f>F1063</f>
        <v>Is there documented evidence that the Facility Management Plan identified new and emerging technologies and approaches as opportunities to develop to achieve the objective of exploring opportunities to reduce the risks presented by the facility?</v>
      </c>
      <c r="G1064" s="388" t="s">
        <v>1195</v>
      </c>
      <c r="H1064" s="390">
        <v>4</v>
      </c>
      <c r="I1064" s="390">
        <v>4</v>
      </c>
      <c r="J1064" s="390"/>
      <c r="K1064" s="398">
        <f>_xlfn.IFNA(VLOOKUP(A1064,numbering!$K$3:$L$92,2,0),0)</f>
        <v>0</v>
      </c>
    </row>
    <row r="1065" spans="1:11" ht="60" hidden="1" x14ac:dyDescent="0.2">
      <c r="A1065" s="390">
        <v>305</v>
      </c>
      <c r="B1065" s="390" t="s">
        <v>450</v>
      </c>
      <c r="C1065" s="390">
        <f>VLOOKUP(B1065,numbering!$N$18:$O$30,2,0)</f>
        <v>8</v>
      </c>
      <c r="D1065" s="390" t="s">
        <v>451</v>
      </c>
      <c r="E1065" s="403">
        <f t="shared" si="26"/>
        <v>1</v>
      </c>
      <c r="F1065" s="437" t="s">
        <v>454</v>
      </c>
      <c r="G1065" s="388" t="s">
        <v>1192</v>
      </c>
      <c r="H1065" s="390">
        <v>1</v>
      </c>
      <c r="I1065" s="390">
        <v>1</v>
      </c>
      <c r="J1065" s="390"/>
      <c r="K1065" s="398">
        <f>_xlfn.IFNA(VLOOKUP(A1065,numbering!$K$3:$L$92,2,0),0)</f>
        <v>0</v>
      </c>
    </row>
    <row r="1066" spans="1:11" ht="60" hidden="1" x14ac:dyDescent="0.2">
      <c r="A1066" s="390">
        <v>305</v>
      </c>
      <c r="B1066" s="390" t="s">
        <v>450</v>
      </c>
      <c r="C1066" s="390">
        <f>VLOOKUP(B1066,numbering!$N$18:$O$30,2,0)</f>
        <v>8</v>
      </c>
      <c r="D1066" s="390" t="s">
        <v>451</v>
      </c>
      <c r="E1066" s="403">
        <f t="shared" si="26"/>
        <v>1</v>
      </c>
      <c r="F1066" s="437" t="str">
        <f>F1065</f>
        <v>Is there documented evidence that the Facility Management Plan is being reviewed and updated as required, when material changes to the requirements of the facility occur, or at least annually to achieve the objective of incorporating all material changes to the facility's knowledge base?</v>
      </c>
      <c r="G1066" s="388" t="s">
        <v>1193</v>
      </c>
      <c r="H1066" s="390">
        <v>2</v>
      </c>
      <c r="I1066" s="390">
        <v>2</v>
      </c>
      <c r="J1066" s="390"/>
      <c r="K1066" s="398">
        <f>_xlfn.IFNA(VLOOKUP(A1066,numbering!$K$3:$L$92,2,0),0)</f>
        <v>0</v>
      </c>
    </row>
    <row r="1067" spans="1:11" ht="60" hidden="1" x14ac:dyDescent="0.2">
      <c r="A1067" s="390">
        <v>305</v>
      </c>
      <c r="B1067" s="390" t="s">
        <v>450</v>
      </c>
      <c r="C1067" s="390">
        <f>VLOOKUP(B1067,numbering!$N$18:$O$30,2,0)</f>
        <v>8</v>
      </c>
      <c r="D1067" s="390" t="s">
        <v>451</v>
      </c>
      <c r="E1067" s="403">
        <f t="shared" ref="E1067:E1130" si="27">IF(C1067&lt;&gt;C1066,1,IF(D1067&lt;&gt;D1066,E1066+1,E1066))</f>
        <v>1</v>
      </c>
      <c r="F1067" s="437" t="str">
        <f>F1066</f>
        <v>Is there documented evidence that the Facility Management Plan is being reviewed and updated as required, when material changes to the requirements of the facility occur, or at least annually to achieve the objective of incorporating all material changes to the facility's knowledge base?</v>
      </c>
      <c r="G1067" s="388" t="s">
        <v>1194</v>
      </c>
      <c r="H1067" s="390">
        <v>3</v>
      </c>
      <c r="I1067" s="390">
        <v>3</v>
      </c>
      <c r="J1067" s="390"/>
      <c r="K1067" s="398">
        <f>_xlfn.IFNA(VLOOKUP(A1067,numbering!$K$3:$L$92,2,0),0)</f>
        <v>0</v>
      </c>
    </row>
    <row r="1068" spans="1:11" ht="60" hidden="1" x14ac:dyDescent="0.2">
      <c r="A1068" s="390">
        <v>305</v>
      </c>
      <c r="B1068" s="390" t="s">
        <v>450</v>
      </c>
      <c r="C1068" s="390">
        <f>VLOOKUP(B1068,numbering!$N$18:$O$30,2,0)</f>
        <v>8</v>
      </c>
      <c r="D1068" s="390" t="s">
        <v>451</v>
      </c>
      <c r="E1068" s="403">
        <f t="shared" si="27"/>
        <v>1</v>
      </c>
      <c r="F1068" s="437" t="str">
        <f>F1067</f>
        <v>Is there documented evidence that the Facility Management Plan is being reviewed and updated as required, when material changes to the requirements of the facility occur, or at least annually to achieve the objective of incorporating all material changes to the facility's knowledge base?</v>
      </c>
      <c r="G1068" s="388" t="s">
        <v>1195</v>
      </c>
      <c r="H1068" s="390">
        <v>4</v>
      </c>
      <c r="I1068" s="390">
        <v>4</v>
      </c>
      <c r="J1068" s="390"/>
      <c r="K1068" s="398">
        <f>_xlfn.IFNA(VLOOKUP(A1068,numbering!$K$3:$L$92,2,0),0)</f>
        <v>0</v>
      </c>
    </row>
    <row r="1069" spans="1:11" ht="30" hidden="1" x14ac:dyDescent="0.2">
      <c r="A1069" s="390">
        <v>306</v>
      </c>
      <c r="B1069" s="390" t="s">
        <v>450</v>
      </c>
      <c r="C1069" s="390">
        <f>VLOOKUP(B1069,numbering!$N$18:$O$30,2,0)</f>
        <v>8</v>
      </c>
      <c r="D1069" s="390" t="s">
        <v>451</v>
      </c>
      <c r="E1069" s="403">
        <f t="shared" si="27"/>
        <v>1</v>
      </c>
      <c r="F1069" s="437" t="s">
        <v>455</v>
      </c>
      <c r="G1069" s="388" t="s">
        <v>1192</v>
      </c>
      <c r="H1069" s="390">
        <v>1</v>
      </c>
      <c r="I1069" s="390">
        <v>1</v>
      </c>
      <c r="J1069" s="390"/>
      <c r="K1069" s="398">
        <f>_xlfn.IFNA(VLOOKUP(A1069,numbering!$K$3:$L$92,2,0),0)</f>
        <v>0</v>
      </c>
    </row>
    <row r="1070" spans="1:11" ht="32" hidden="1" x14ac:dyDescent="0.2">
      <c r="A1070" s="390">
        <v>306</v>
      </c>
      <c r="B1070" s="390" t="s">
        <v>450</v>
      </c>
      <c r="C1070" s="390">
        <f>VLOOKUP(B1070,numbering!$N$18:$O$30,2,0)</f>
        <v>8</v>
      </c>
      <c r="D1070" s="390" t="s">
        <v>451</v>
      </c>
      <c r="E1070" s="403">
        <f t="shared" si="27"/>
        <v>1</v>
      </c>
      <c r="F1070" s="437" t="str">
        <f>F1069</f>
        <v>Is there documented evidence that the D5 Tailings Management Plan meets the objective of containing all required content as required by the D5 Group Procedure?</v>
      </c>
      <c r="G1070" s="388" t="s">
        <v>1193</v>
      </c>
      <c r="H1070" s="390">
        <v>2</v>
      </c>
      <c r="I1070" s="390">
        <v>2</v>
      </c>
      <c r="J1070" s="390"/>
      <c r="K1070" s="398">
        <f>_xlfn.IFNA(VLOOKUP(A1070,numbering!$K$3:$L$92,2,0),0)</f>
        <v>0</v>
      </c>
    </row>
    <row r="1071" spans="1:11" ht="32" hidden="1" x14ac:dyDescent="0.2">
      <c r="A1071" s="390">
        <v>306</v>
      </c>
      <c r="B1071" s="390" t="s">
        <v>450</v>
      </c>
      <c r="C1071" s="390">
        <f>VLOOKUP(B1071,numbering!$N$18:$O$30,2,0)</f>
        <v>8</v>
      </c>
      <c r="D1071" s="390" t="s">
        <v>451</v>
      </c>
      <c r="E1071" s="403">
        <f t="shared" si="27"/>
        <v>1</v>
      </c>
      <c r="F1071" s="437" t="str">
        <f>F1070</f>
        <v>Is there documented evidence that the D5 Tailings Management Plan meets the objective of containing all required content as required by the D5 Group Procedure?</v>
      </c>
      <c r="G1071" s="388" t="s">
        <v>1194</v>
      </c>
      <c r="H1071" s="390">
        <v>3</v>
      </c>
      <c r="I1071" s="390">
        <v>3</v>
      </c>
      <c r="J1071" s="390"/>
      <c r="K1071" s="398">
        <f>_xlfn.IFNA(VLOOKUP(A1071,numbering!$K$3:$L$92,2,0),0)</f>
        <v>0</v>
      </c>
    </row>
    <row r="1072" spans="1:11" ht="30" hidden="1" x14ac:dyDescent="0.2">
      <c r="A1072" s="390">
        <v>306</v>
      </c>
      <c r="B1072" s="390" t="s">
        <v>450</v>
      </c>
      <c r="C1072" s="390">
        <f>VLOOKUP(B1072,numbering!$N$18:$O$30,2,0)</f>
        <v>8</v>
      </c>
      <c r="D1072" s="390" t="s">
        <v>451</v>
      </c>
      <c r="E1072" s="403">
        <f t="shared" si="27"/>
        <v>1</v>
      </c>
      <c r="F1072" s="437" t="str">
        <f>F1071</f>
        <v>Is there documented evidence that the D5 Tailings Management Plan meets the objective of containing all required content as required by the D5 Group Procedure?</v>
      </c>
      <c r="G1072" s="388" t="s">
        <v>1195</v>
      </c>
      <c r="H1072" s="390">
        <v>4</v>
      </c>
      <c r="I1072" s="390">
        <v>4</v>
      </c>
      <c r="J1072" s="390"/>
      <c r="K1072" s="398">
        <f>_xlfn.IFNA(VLOOKUP(A1072,numbering!$K$3:$L$92,2,0),0)</f>
        <v>0</v>
      </c>
    </row>
    <row r="1073" spans="1:11" ht="42" hidden="1" x14ac:dyDescent="0.2">
      <c r="A1073" s="390">
        <v>307</v>
      </c>
      <c r="B1073" s="390" t="s">
        <v>450</v>
      </c>
      <c r="C1073" s="390">
        <f>VLOOKUP(B1073,numbering!$N$18:$O$30,2,0)</f>
        <v>8</v>
      </c>
      <c r="D1073" s="390" t="s">
        <v>456</v>
      </c>
      <c r="E1073" s="403">
        <f t="shared" si="27"/>
        <v>2</v>
      </c>
      <c r="F1073" s="433" t="s">
        <v>457</v>
      </c>
      <c r="G1073" s="388" t="s">
        <v>1192</v>
      </c>
      <c r="H1073" s="390">
        <v>1</v>
      </c>
      <c r="I1073" s="390">
        <v>1</v>
      </c>
      <c r="J1073" s="390"/>
      <c r="K1073" s="398">
        <f>_xlfn.IFNA(VLOOKUP(A1073,numbering!$K$3:$L$92,2,0),0)</f>
        <v>0</v>
      </c>
    </row>
    <row r="1074" spans="1:11" ht="42" hidden="1" x14ac:dyDescent="0.2">
      <c r="A1074" s="390">
        <v>307</v>
      </c>
      <c r="B1074" s="390" t="s">
        <v>450</v>
      </c>
      <c r="C1074" s="390">
        <f>VLOOKUP(B1074,numbering!$N$18:$O$30,2,0)</f>
        <v>8</v>
      </c>
      <c r="D1074" s="390" t="s">
        <v>456</v>
      </c>
      <c r="E1074" s="403">
        <f t="shared" si="27"/>
        <v>2</v>
      </c>
      <c r="F1074" s="433" t="str">
        <f>F1073</f>
        <v>Is a Facility data book available which achieves the objective of collating and detailing the basic information and all available drawings for the facility?</v>
      </c>
      <c r="G1074" s="388" t="s">
        <v>1193</v>
      </c>
      <c r="H1074" s="390">
        <v>2</v>
      </c>
      <c r="I1074" s="390">
        <v>2</v>
      </c>
      <c r="J1074" s="390"/>
      <c r="K1074" s="398">
        <f>_xlfn.IFNA(VLOOKUP(A1074,numbering!$K$3:$L$92,2,0),0)</f>
        <v>0</v>
      </c>
    </row>
    <row r="1075" spans="1:11" ht="42" hidden="1" x14ac:dyDescent="0.2">
      <c r="A1075" s="390">
        <v>307</v>
      </c>
      <c r="B1075" s="390" t="s">
        <v>450</v>
      </c>
      <c r="C1075" s="390">
        <f>VLOOKUP(B1075,numbering!$N$18:$O$30,2,0)</f>
        <v>8</v>
      </c>
      <c r="D1075" s="390" t="s">
        <v>456</v>
      </c>
      <c r="E1075" s="403">
        <f t="shared" si="27"/>
        <v>2</v>
      </c>
      <c r="F1075" s="433" t="str">
        <f>F1074</f>
        <v>Is a Facility data book available which achieves the objective of collating and detailing the basic information and all available drawings for the facility?</v>
      </c>
      <c r="G1075" s="388" t="s">
        <v>1194</v>
      </c>
      <c r="H1075" s="390">
        <v>3</v>
      </c>
      <c r="I1075" s="390">
        <v>3</v>
      </c>
      <c r="J1075" s="390"/>
      <c r="K1075" s="398">
        <f>_xlfn.IFNA(VLOOKUP(A1075,numbering!$K$3:$L$92,2,0),0)</f>
        <v>0</v>
      </c>
    </row>
    <row r="1076" spans="1:11" ht="28" hidden="1" x14ac:dyDescent="0.2">
      <c r="A1076" s="390">
        <v>307</v>
      </c>
      <c r="B1076" s="390" t="s">
        <v>450</v>
      </c>
      <c r="C1076" s="390">
        <f>VLOOKUP(B1076,numbering!$N$18:$O$30,2,0)</f>
        <v>8</v>
      </c>
      <c r="D1076" s="390" t="s">
        <v>456</v>
      </c>
      <c r="E1076" s="403">
        <f t="shared" si="27"/>
        <v>2</v>
      </c>
      <c r="F1076" s="433" t="s">
        <v>458</v>
      </c>
      <c r="G1076" s="388" t="s">
        <v>1195</v>
      </c>
      <c r="H1076" s="390">
        <v>4</v>
      </c>
      <c r="I1076" s="390">
        <v>4</v>
      </c>
      <c r="J1076" s="390"/>
      <c r="K1076" s="398">
        <f>_xlfn.IFNA(VLOOKUP(A1076,numbering!$K$3:$L$92,2,0),0)</f>
        <v>0</v>
      </c>
    </row>
    <row r="1077" spans="1:11" ht="42" hidden="1" x14ac:dyDescent="0.2">
      <c r="A1077" s="390">
        <v>309</v>
      </c>
      <c r="B1077" s="390" t="s">
        <v>450</v>
      </c>
      <c r="C1077" s="390">
        <f>VLOOKUP(B1077,numbering!$N$18:$O$30,2,0)</f>
        <v>8</v>
      </c>
      <c r="D1077" s="390" t="s">
        <v>459</v>
      </c>
      <c r="E1077" s="403">
        <f t="shared" si="27"/>
        <v>3</v>
      </c>
      <c r="F1077" s="433" t="s">
        <v>1170</v>
      </c>
      <c r="G1077" s="388" t="s">
        <v>1192</v>
      </c>
      <c r="H1077" s="390">
        <v>1</v>
      </c>
      <c r="I1077" s="390">
        <v>1</v>
      </c>
      <c r="J1077" s="390"/>
      <c r="K1077" s="398">
        <f>_xlfn.IFNA(VLOOKUP(A1077,numbering!$K$3:$L$92,2,0),0)</f>
        <v>0</v>
      </c>
    </row>
    <row r="1078" spans="1:11" ht="42" hidden="1" x14ac:dyDescent="0.2">
      <c r="A1078" s="390">
        <v>309</v>
      </c>
      <c r="B1078" s="390" t="s">
        <v>450</v>
      </c>
      <c r="C1078" s="390">
        <f>VLOOKUP(B1078,numbering!$N$18:$O$30,2,0)</f>
        <v>8</v>
      </c>
      <c r="D1078" s="390" t="s">
        <v>459</v>
      </c>
      <c r="E1078" s="403">
        <f t="shared" si="27"/>
        <v>3</v>
      </c>
      <c r="F1078" s="433" t="str">
        <f>F1077</f>
        <v>Is there documented evidence of a Management of Change system with evidence that it is being updated to achieve the objective of the facility knowledge base reflecting current conditions as much as is practicable?</v>
      </c>
      <c r="G1078" s="388" t="s">
        <v>1193</v>
      </c>
      <c r="H1078" s="390">
        <v>2</v>
      </c>
      <c r="I1078" s="390">
        <v>2</v>
      </c>
      <c r="J1078" s="390"/>
      <c r="K1078" s="398">
        <f>_xlfn.IFNA(VLOOKUP(A1078,numbering!$K$3:$L$92,2,0),0)</f>
        <v>0</v>
      </c>
    </row>
    <row r="1079" spans="1:11" ht="42" hidden="1" x14ac:dyDescent="0.2">
      <c r="A1079" s="390">
        <v>309</v>
      </c>
      <c r="B1079" s="390" t="s">
        <v>450</v>
      </c>
      <c r="C1079" s="390">
        <f>VLOOKUP(B1079,numbering!$N$18:$O$30,2,0)</f>
        <v>8</v>
      </c>
      <c r="D1079" s="390" t="s">
        <v>459</v>
      </c>
      <c r="E1079" s="403">
        <f t="shared" si="27"/>
        <v>3</v>
      </c>
      <c r="F1079" s="433" t="str">
        <f>F1078</f>
        <v>Is there documented evidence of a Management of Change system with evidence that it is being updated to achieve the objective of the facility knowledge base reflecting current conditions as much as is practicable?</v>
      </c>
      <c r="G1079" s="388" t="s">
        <v>1194</v>
      </c>
      <c r="H1079" s="390">
        <v>3</v>
      </c>
      <c r="I1079" s="390">
        <v>3</v>
      </c>
      <c r="J1079" s="390"/>
      <c r="K1079" s="398">
        <f>_xlfn.IFNA(VLOOKUP(A1079,numbering!$K$3:$L$92,2,0),0)</f>
        <v>0</v>
      </c>
    </row>
    <row r="1080" spans="1:11" ht="42" hidden="1" x14ac:dyDescent="0.2">
      <c r="A1080" s="390">
        <v>309</v>
      </c>
      <c r="B1080" s="390" t="s">
        <v>450</v>
      </c>
      <c r="C1080" s="390">
        <f>VLOOKUP(B1080,numbering!$N$18:$O$30,2,0)</f>
        <v>8</v>
      </c>
      <c r="D1080" s="390" t="s">
        <v>459</v>
      </c>
      <c r="E1080" s="403">
        <f t="shared" si="27"/>
        <v>3</v>
      </c>
      <c r="F1080" s="433" t="str">
        <f>F1079</f>
        <v>Is there documented evidence of a Management of Change system with evidence that it is being updated to achieve the objective of the facility knowledge base reflecting current conditions as much as is practicable?</v>
      </c>
      <c r="G1080" s="388" t="s">
        <v>1195</v>
      </c>
      <c r="H1080" s="390">
        <v>4</v>
      </c>
      <c r="I1080" s="390">
        <v>4</v>
      </c>
      <c r="J1080" s="390"/>
      <c r="K1080" s="398">
        <f>_xlfn.IFNA(VLOOKUP(A1080,numbering!$K$3:$L$92,2,0),0)</f>
        <v>0</v>
      </c>
    </row>
    <row r="1081" spans="1:11" ht="56" hidden="1" x14ac:dyDescent="0.2">
      <c r="A1081" s="390">
        <v>310</v>
      </c>
      <c r="B1081" s="390" t="s">
        <v>450</v>
      </c>
      <c r="C1081" s="390">
        <f>VLOOKUP(B1081,numbering!$N$18:$O$30,2,0)</f>
        <v>8</v>
      </c>
      <c r="D1081" s="390" t="s">
        <v>459</v>
      </c>
      <c r="E1081" s="403">
        <f t="shared" si="27"/>
        <v>3</v>
      </c>
      <c r="F1081" s="433" t="s">
        <v>1171</v>
      </c>
      <c r="G1081" s="388" t="s">
        <v>1192</v>
      </c>
      <c r="H1081" s="390">
        <v>1</v>
      </c>
      <c r="I1081" s="390">
        <v>1</v>
      </c>
      <c r="J1081" s="390"/>
      <c r="K1081" s="398">
        <f>_xlfn.IFNA(VLOOKUP(A1081,numbering!$K$3:$L$92,2,0),0)</f>
        <v>0</v>
      </c>
    </row>
    <row r="1082" spans="1:11" ht="56" hidden="1" x14ac:dyDescent="0.2">
      <c r="A1082" s="390">
        <v>310</v>
      </c>
      <c r="B1082" s="390" t="s">
        <v>450</v>
      </c>
      <c r="C1082" s="390">
        <f>VLOOKUP(B1082,numbering!$N$18:$O$30,2,0)</f>
        <v>8</v>
      </c>
      <c r="D1082" s="390" t="s">
        <v>459</v>
      </c>
      <c r="E1082" s="403">
        <f t="shared" si="27"/>
        <v>3</v>
      </c>
      <c r="F1082" s="433" t="str">
        <f>F1081</f>
        <v xml:space="preserve">Is there documented evidence that the Management of Change system includes a statement of the risk introduced by all changes with approval from required personnel to achieve the objective of all material changes being appropriately recognised, assessed and accepted. </v>
      </c>
      <c r="G1082" s="388" t="s">
        <v>1193</v>
      </c>
      <c r="H1082" s="390">
        <v>2</v>
      </c>
      <c r="I1082" s="390">
        <v>2</v>
      </c>
      <c r="J1082" s="390"/>
      <c r="K1082" s="398">
        <f>_xlfn.IFNA(VLOOKUP(A1082,numbering!$K$3:$L$92,2,0),0)</f>
        <v>0</v>
      </c>
    </row>
    <row r="1083" spans="1:11" ht="56" hidden="1" x14ac:dyDescent="0.2">
      <c r="A1083" s="390">
        <v>310</v>
      </c>
      <c r="B1083" s="390" t="s">
        <v>450</v>
      </c>
      <c r="C1083" s="390">
        <f>VLOOKUP(B1083,numbering!$N$18:$O$30,2,0)</f>
        <v>8</v>
      </c>
      <c r="D1083" s="390" t="s">
        <v>459</v>
      </c>
      <c r="E1083" s="403">
        <f t="shared" si="27"/>
        <v>3</v>
      </c>
      <c r="F1083" s="433" t="str">
        <f>F1082</f>
        <v xml:space="preserve">Is there documented evidence that the Management of Change system includes a statement of the risk introduced by all changes with approval from required personnel to achieve the objective of all material changes being appropriately recognised, assessed and accepted. </v>
      </c>
      <c r="G1083" s="388" t="s">
        <v>1194</v>
      </c>
      <c r="H1083" s="390">
        <v>3</v>
      </c>
      <c r="I1083" s="390">
        <v>3</v>
      </c>
      <c r="J1083" s="390"/>
      <c r="K1083" s="398">
        <f>_xlfn.IFNA(VLOOKUP(A1083,numbering!$K$3:$L$92,2,0),0)</f>
        <v>0</v>
      </c>
    </row>
    <row r="1084" spans="1:11" ht="56" hidden="1" x14ac:dyDescent="0.2">
      <c r="A1084" s="390">
        <v>310</v>
      </c>
      <c r="B1084" s="390" t="s">
        <v>450</v>
      </c>
      <c r="C1084" s="390">
        <f>VLOOKUP(B1084,numbering!$N$18:$O$30,2,0)</f>
        <v>8</v>
      </c>
      <c r="D1084" s="390" t="s">
        <v>459</v>
      </c>
      <c r="E1084" s="403">
        <f t="shared" si="27"/>
        <v>3</v>
      </c>
      <c r="F1084" s="433" t="str">
        <f>F1083</f>
        <v xml:space="preserve">Is there documented evidence that the Management of Change system includes a statement of the risk introduced by all changes with approval from required personnel to achieve the objective of all material changes being appropriately recognised, assessed and accepted. </v>
      </c>
      <c r="G1084" s="388" t="s">
        <v>1195</v>
      </c>
      <c r="H1084" s="390">
        <v>4</v>
      </c>
      <c r="I1084" s="390">
        <v>4</v>
      </c>
      <c r="J1084" s="390"/>
      <c r="K1084" s="398">
        <f>_xlfn.IFNA(VLOOKUP(A1084,numbering!$K$3:$L$92,2,0),0)</f>
        <v>0</v>
      </c>
    </row>
    <row r="1085" spans="1:11" ht="56" hidden="1" x14ac:dyDescent="0.2">
      <c r="A1085" s="390">
        <v>311</v>
      </c>
      <c r="B1085" s="390" t="s">
        <v>450</v>
      </c>
      <c r="C1085" s="390">
        <f>VLOOKUP(B1085,numbering!$N$18:$O$30,2,0)</f>
        <v>8</v>
      </c>
      <c r="D1085" s="390" t="s">
        <v>459</v>
      </c>
      <c r="E1085" s="403">
        <f t="shared" si="27"/>
        <v>3</v>
      </c>
      <c r="F1085" s="433" t="s">
        <v>460</v>
      </c>
      <c r="G1085" s="388" t="s">
        <v>1192</v>
      </c>
      <c r="H1085" s="390">
        <v>1</v>
      </c>
      <c r="I1085" s="390">
        <v>1</v>
      </c>
      <c r="J1085" s="390"/>
      <c r="K1085" s="398">
        <f>_xlfn.IFNA(VLOOKUP(A1085,numbering!$K$3:$L$92,2,0),0)</f>
        <v>0</v>
      </c>
    </row>
    <row r="1086" spans="1:11" ht="56" hidden="1" x14ac:dyDescent="0.2">
      <c r="A1086" s="390">
        <v>311</v>
      </c>
      <c r="B1086" s="390" t="s">
        <v>450</v>
      </c>
      <c r="C1086" s="390">
        <f>VLOOKUP(B1086,numbering!$N$18:$O$30,2,0)</f>
        <v>8</v>
      </c>
      <c r="D1086" s="390" t="s">
        <v>459</v>
      </c>
      <c r="E1086" s="403">
        <f t="shared" si="27"/>
        <v>3</v>
      </c>
      <c r="F1086" s="433" t="str">
        <f>F1085</f>
        <v>Is there evidence that Deviance Accountability Reports were produced by the Engineer of Record and approved by the Accountable Executive, which achieves the objective of providing an assessment of the cumulative impact of changes on the risk profile of the facility?</v>
      </c>
      <c r="G1086" s="388" t="s">
        <v>1193</v>
      </c>
      <c r="H1086" s="390">
        <v>2</v>
      </c>
      <c r="I1086" s="390">
        <v>2</v>
      </c>
      <c r="J1086" s="390"/>
      <c r="K1086" s="398">
        <f>_xlfn.IFNA(VLOOKUP(A1086,numbering!$K$3:$L$92,2,0),0)</f>
        <v>0</v>
      </c>
    </row>
    <row r="1087" spans="1:11" ht="56" hidden="1" x14ac:dyDescent="0.2">
      <c r="A1087" s="390">
        <v>311</v>
      </c>
      <c r="B1087" s="390" t="s">
        <v>450</v>
      </c>
      <c r="C1087" s="390">
        <f>VLOOKUP(B1087,numbering!$N$18:$O$30,2,0)</f>
        <v>8</v>
      </c>
      <c r="D1087" s="390" t="s">
        <v>459</v>
      </c>
      <c r="E1087" s="403">
        <f t="shared" si="27"/>
        <v>3</v>
      </c>
      <c r="F1087" s="433" t="str">
        <f>F1086</f>
        <v>Is there evidence that Deviance Accountability Reports were produced by the Engineer of Record and approved by the Accountable Executive, which achieves the objective of providing an assessment of the cumulative impact of changes on the risk profile of the facility?</v>
      </c>
      <c r="G1087" s="388" t="s">
        <v>1194</v>
      </c>
      <c r="H1087" s="390">
        <v>3</v>
      </c>
      <c r="I1087" s="390">
        <v>3</v>
      </c>
      <c r="J1087" s="390"/>
      <c r="K1087" s="398">
        <f>_xlfn.IFNA(VLOOKUP(A1087,numbering!$K$3:$L$92,2,0),0)</f>
        <v>0</v>
      </c>
    </row>
    <row r="1088" spans="1:11" ht="56" hidden="1" x14ac:dyDescent="0.2">
      <c r="A1088" s="390">
        <v>311</v>
      </c>
      <c r="B1088" s="390" t="s">
        <v>450</v>
      </c>
      <c r="C1088" s="390">
        <f>VLOOKUP(B1088,numbering!$N$18:$O$30,2,0)</f>
        <v>8</v>
      </c>
      <c r="D1088" s="390" t="s">
        <v>459</v>
      </c>
      <c r="E1088" s="403">
        <f t="shared" si="27"/>
        <v>3</v>
      </c>
      <c r="F1088" s="433" t="str">
        <f>F1087</f>
        <v>Is there evidence that Deviance Accountability Reports were produced by the Engineer of Record and approved by the Accountable Executive, which achieves the objective of providing an assessment of the cumulative impact of changes on the risk profile of the facility?</v>
      </c>
      <c r="G1088" s="388" t="s">
        <v>1195</v>
      </c>
      <c r="H1088" s="390">
        <v>4</v>
      </c>
      <c r="I1088" s="390">
        <v>4</v>
      </c>
      <c r="J1088" s="390"/>
      <c r="K1088" s="398">
        <f>_xlfn.IFNA(VLOOKUP(A1088,numbering!$K$3:$L$92,2,0),0)</f>
        <v>0</v>
      </c>
    </row>
    <row r="1089" spans="1:11" ht="56" hidden="1" x14ac:dyDescent="0.2">
      <c r="A1089" s="390">
        <v>312</v>
      </c>
      <c r="B1089" s="390" t="s">
        <v>450</v>
      </c>
      <c r="C1089" s="390">
        <f>VLOOKUP(B1089,numbering!$N$18:$O$30,2,0)</f>
        <v>8</v>
      </c>
      <c r="D1089" s="390" t="s">
        <v>459</v>
      </c>
      <c r="E1089" s="403">
        <f t="shared" si="27"/>
        <v>3</v>
      </c>
      <c r="F1089" s="433" t="s">
        <v>461</v>
      </c>
      <c r="G1089" s="388" t="s">
        <v>1192</v>
      </c>
      <c r="H1089" s="390">
        <v>1</v>
      </c>
      <c r="I1089" s="390">
        <v>1</v>
      </c>
      <c r="J1089" s="390"/>
      <c r="K1089" s="398">
        <f>_xlfn.IFNA(VLOOKUP(A1089,numbering!$K$3:$L$92,2,0),0)</f>
        <v>0</v>
      </c>
    </row>
    <row r="1090" spans="1:11" ht="56" hidden="1" x14ac:dyDescent="0.2">
      <c r="A1090" s="390">
        <v>312</v>
      </c>
      <c r="B1090" s="390" t="s">
        <v>450</v>
      </c>
      <c r="C1090" s="390">
        <f>VLOOKUP(B1090,numbering!$N$18:$O$30,2,0)</f>
        <v>8</v>
      </c>
      <c r="D1090" s="390" t="s">
        <v>459</v>
      </c>
      <c r="E1090" s="403">
        <f t="shared" si="27"/>
        <v>3</v>
      </c>
      <c r="F1090" s="433" t="str">
        <f>F1089</f>
        <v>Is there documented evidence that the available Deviance Accountability Reports contains recommendations to achieve the objective of managing the facility's risks, including updates to the design, operation, management and surveillance of the facility?</v>
      </c>
      <c r="G1090" s="388" t="s">
        <v>1193</v>
      </c>
      <c r="H1090" s="390">
        <v>2</v>
      </c>
      <c r="I1090" s="390">
        <v>2</v>
      </c>
      <c r="J1090" s="390"/>
      <c r="K1090" s="398">
        <f>_xlfn.IFNA(VLOOKUP(A1090,numbering!$K$3:$L$92,2,0),0)</f>
        <v>0</v>
      </c>
    </row>
    <row r="1091" spans="1:11" ht="56" hidden="1" x14ac:dyDescent="0.2">
      <c r="A1091" s="390">
        <v>312</v>
      </c>
      <c r="B1091" s="390" t="s">
        <v>450</v>
      </c>
      <c r="C1091" s="390">
        <f>VLOOKUP(B1091,numbering!$N$18:$O$30,2,0)</f>
        <v>8</v>
      </c>
      <c r="D1091" s="390" t="s">
        <v>459</v>
      </c>
      <c r="E1091" s="403">
        <f t="shared" si="27"/>
        <v>3</v>
      </c>
      <c r="F1091" s="433" t="str">
        <f>F1090</f>
        <v>Is there documented evidence that the available Deviance Accountability Reports contains recommendations to achieve the objective of managing the facility's risks, including updates to the design, operation, management and surveillance of the facility?</v>
      </c>
      <c r="G1091" s="388" t="s">
        <v>1194</v>
      </c>
      <c r="H1091" s="390">
        <v>3</v>
      </c>
      <c r="I1091" s="390">
        <v>3</v>
      </c>
      <c r="J1091" s="390"/>
      <c r="K1091" s="398">
        <f>_xlfn.IFNA(VLOOKUP(A1091,numbering!$K$3:$L$92,2,0),0)</f>
        <v>0</v>
      </c>
    </row>
    <row r="1092" spans="1:11" ht="56" hidden="1" x14ac:dyDescent="0.2">
      <c r="A1092" s="390">
        <v>312</v>
      </c>
      <c r="B1092" s="390" t="s">
        <v>450</v>
      </c>
      <c r="C1092" s="390">
        <f>VLOOKUP(B1092,numbering!$N$18:$O$30,2,0)</f>
        <v>8</v>
      </c>
      <c r="D1092" s="390" t="s">
        <v>459</v>
      </c>
      <c r="E1092" s="403">
        <f t="shared" si="27"/>
        <v>3</v>
      </c>
      <c r="F1092" s="433" t="str">
        <f>F1091</f>
        <v>Is there documented evidence that the available Deviance Accountability Reports contains recommendations to achieve the objective of managing the facility's risks, including updates to the design, operation, management and surveillance of the facility?</v>
      </c>
      <c r="G1092" s="388" t="s">
        <v>1195</v>
      </c>
      <c r="H1092" s="390">
        <v>4</v>
      </c>
      <c r="I1092" s="390">
        <v>4</v>
      </c>
      <c r="J1092" s="390"/>
      <c r="K1092" s="398">
        <f>_xlfn.IFNA(VLOOKUP(A1092,numbering!$K$3:$L$92,2,0),0)</f>
        <v>0</v>
      </c>
    </row>
    <row r="1093" spans="1:11" ht="56" hidden="1" x14ac:dyDescent="0.2">
      <c r="A1093" s="390">
        <v>313</v>
      </c>
      <c r="B1093" s="390" t="s">
        <v>450</v>
      </c>
      <c r="C1093" s="390">
        <f>VLOOKUP(B1093,numbering!$N$18:$O$30,2,0)</f>
        <v>8</v>
      </c>
      <c r="D1093" s="390" t="s">
        <v>462</v>
      </c>
      <c r="E1093" s="403">
        <f t="shared" si="27"/>
        <v>4</v>
      </c>
      <c r="F1093" s="433" t="s">
        <v>463</v>
      </c>
      <c r="G1093" s="388" t="s">
        <v>1192</v>
      </c>
      <c r="H1093" s="390">
        <v>1</v>
      </c>
      <c r="I1093" s="390">
        <v>1</v>
      </c>
      <c r="J1093" s="390"/>
      <c r="K1093" s="398">
        <f>_xlfn.IFNA(VLOOKUP(A1093,numbering!$K$3:$L$92,2,0),0)</f>
        <v>0</v>
      </c>
    </row>
    <row r="1094" spans="1:11" ht="56" hidden="1" x14ac:dyDescent="0.2">
      <c r="A1094" s="390">
        <v>313</v>
      </c>
      <c r="B1094" s="390" t="s">
        <v>450</v>
      </c>
      <c r="C1094" s="390">
        <f>VLOOKUP(B1094,numbering!$N$18:$O$30,2,0)</f>
        <v>8</v>
      </c>
      <c r="D1094" s="390" t="s">
        <v>462</v>
      </c>
      <c r="E1094" s="403">
        <f t="shared" si="27"/>
        <v>4</v>
      </c>
      <c r="F1094" s="433" t="str">
        <f>F1093</f>
        <v>Is there documented evidence that a performance based Tailings Management System been established, which achieves the objective of detailing the key components for management and design of the tailings facility? (See the GISTM for further details)</v>
      </c>
      <c r="G1094" s="388" t="s">
        <v>1193</v>
      </c>
      <c r="H1094" s="390">
        <v>2</v>
      </c>
      <c r="I1094" s="390">
        <v>2</v>
      </c>
      <c r="J1094" s="390"/>
      <c r="K1094" s="398">
        <f>_xlfn.IFNA(VLOOKUP(A1094,numbering!$K$3:$L$92,2,0),0)</f>
        <v>0</v>
      </c>
    </row>
    <row r="1095" spans="1:11" ht="56" hidden="1" x14ac:dyDescent="0.2">
      <c r="A1095" s="390">
        <v>313</v>
      </c>
      <c r="B1095" s="390" t="s">
        <v>450</v>
      </c>
      <c r="C1095" s="390">
        <f>VLOOKUP(B1095,numbering!$N$18:$O$30,2,0)</f>
        <v>8</v>
      </c>
      <c r="D1095" s="390" t="s">
        <v>462</v>
      </c>
      <c r="E1095" s="403">
        <f t="shared" si="27"/>
        <v>4</v>
      </c>
      <c r="F1095" s="433" t="str">
        <f>F1094</f>
        <v>Is there documented evidence that a performance based Tailings Management System been established, which achieves the objective of detailing the key components for management and design of the tailings facility? (See the GISTM for further details)</v>
      </c>
      <c r="G1095" s="388" t="s">
        <v>1194</v>
      </c>
      <c r="H1095" s="390">
        <v>3</v>
      </c>
      <c r="I1095" s="390">
        <v>3</v>
      </c>
      <c r="J1095" s="390"/>
      <c r="K1095" s="398">
        <f>_xlfn.IFNA(VLOOKUP(A1095,numbering!$K$3:$L$92,2,0),0)</f>
        <v>0</v>
      </c>
    </row>
    <row r="1096" spans="1:11" ht="56" hidden="1" x14ac:dyDescent="0.2">
      <c r="A1096" s="390">
        <v>313</v>
      </c>
      <c r="B1096" s="390" t="s">
        <v>450</v>
      </c>
      <c r="C1096" s="390">
        <f>VLOOKUP(B1096,numbering!$N$18:$O$30,2,0)</f>
        <v>8</v>
      </c>
      <c r="D1096" s="390" t="s">
        <v>462</v>
      </c>
      <c r="E1096" s="403">
        <f t="shared" si="27"/>
        <v>4</v>
      </c>
      <c r="F1096" s="433" t="str">
        <f>F1095</f>
        <v>Is there documented evidence that a performance based Tailings Management System been established, which achieves the objective of detailing the key components for management and design of the tailings facility? (See the GISTM for further details)</v>
      </c>
      <c r="G1096" s="388" t="s">
        <v>1195</v>
      </c>
      <c r="H1096" s="390">
        <v>4</v>
      </c>
      <c r="I1096" s="390">
        <v>4</v>
      </c>
      <c r="J1096" s="390"/>
      <c r="K1096" s="398">
        <f>_xlfn.IFNA(VLOOKUP(A1096,numbering!$K$3:$L$92,2,0),0)</f>
        <v>0</v>
      </c>
    </row>
    <row r="1097" spans="1:11" ht="60" hidden="1" x14ac:dyDescent="0.2">
      <c r="A1097" s="390">
        <v>314</v>
      </c>
      <c r="B1097" s="390" t="s">
        <v>450</v>
      </c>
      <c r="C1097" s="390">
        <f>VLOOKUP(B1097,numbering!$N$18:$O$30,2,0)</f>
        <v>8</v>
      </c>
      <c r="D1097" s="390" t="s">
        <v>462</v>
      </c>
      <c r="E1097" s="403">
        <f t="shared" si="27"/>
        <v>4</v>
      </c>
      <c r="F1097" s="432" t="s">
        <v>464</v>
      </c>
      <c r="G1097" s="388" t="s">
        <v>1192</v>
      </c>
      <c r="H1097" s="390">
        <v>1</v>
      </c>
      <c r="I1097" s="390">
        <v>1</v>
      </c>
      <c r="J1097" s="390"/>
      <c r="K1097" s="398">
        <f>_xlfn.IFNA(VLOOKUP(A1097,numbering!$K$3:$L$92,2,0),0)</f>
        <v>0</v>
      </c>
    </row>
    <row r="1098" spans="1:11" ht="60" hidden="1" x14ac:dyDescent="0.2">
      <c r="A1098" s="390">
        <v>314</v>
      </c>
      <c r="B1098" s="390" t="s">
        <v>450</v>
      </c>
      <c r="C1098" s="390">
        <f>VLOOKUP(B1098,numbering!$N$18:$O$30,2,0)</f>
        <v>8</v>
      </c>
      <c r="D1098" s="390" t="s">
        <v>462</v>
      </c>
      <c r="E1098" s="403">
        <f t="shared" si="27"/>
        <v>4</v>
      </c>
      <c r="F1098" s="432" t="str">
        <f>F1097</f>
        <v>Is there documented evidence that the site's Environmental and Social Management System includes aspects and requirements related to tailings management to achieve the objective of management systems being in place for matters beyond facility safety?</v>
      </c>
      <c r="G1098" s="388" t="s">
        <v>1193</v>
      </c>
      <c r="H1098" s="390">
        <v>2</v>
      </c>
      <c r="I1098" s="390">
        <v>2</v>
      </c>
      <c r="J1098" s="390"/>
      <c r="K1098" s="398">
        <f>_xlfn.IFNA(VLOOKUP(A1098,numbering!$K$3:$L$92,2,0),0)</f>
        <v>0</v>
      </c>
    </row>
    <row r="1099" spans="1:11" ht="60" hidden="1" x14ac:dyDescent="0.2">
      <c r="A1099" s="390">
        <v>314</v>
      </c>
      <c r="B1099" s="390" t="s">
        <v>450</v>
      </c>
      <c r="C1099" s="390">
        <f>VLOOKUP(B1099,numbering!$N$18:$O$30,2,0)</f>
        <v>8</v>
      </c>
      <c r="D1099" s="390" t="s">
        <v>462</v>
      </c>
      <c r="E1099" s="403">
        <f t="shared" si="27"/>
        <v>4</v>
      </c>
      <c r="F1099" s="432" t="str">
        <f>F1098</f>
        <v>Is there documented evidence that the site's Environmental and Social Management System includes aspects and requirements related to tailings management to achieve the objective of management systems being in place for matters beyond facility safety?</v>
      </c>
      <c r="G1099" s="388" t="s">
        <v>1194</v>
      </c>
      <c r="H1099" s="390">
        <v>3</v>
      </c>
      <c r="I1099" s="390">
        <v>3</v>
      </c>
      <c r="J1099" s="390"/>
      <c r="K1099" s="398">
        <f>_xlfn.IFNA(VLOOKUP(A1099,numbering!$K$3:$L$92,2,0),0)</f>
        <v>0</v>
      </c>
    </row>
    <row r="1100" spans="1:11" ht="60" hidden="1" x14ac:dyDescent="0.2">
      <c r="A1100" s="390">
        <v>314</v>
      </c>
      <c r="B1100" s="390" t="s">
        <v>450</v>
      </c>
      <c r="C1100" s="390">
        <f>VLOOKUP(B1100,numbering!$N$18:$O$30,2,0)</f>
        <v>8</v>
      </c>
      <c r="D1100" s="390" t="s">
        <v>462</v>
      </c>
      <c r="E1100" s="403">
        <f t="shared" si="27"/>
        <v>4</v>
      </c>
      <c r="F1100" s="432" t="str">
        <f>F1099</f>
        <v>Is there documented evidence that the site's Environmental and Social Management System includes aspects and requirements related to tailings management to achieve the objective of management systems being in place for matters beyond facility safety?</v>
      </c>
      <c r="G1100" s="388" t="s">
        <v>1195</v>
      </c>
      <c r="H1100" s="390">
        <v>4</v>
      </c>
      <c r="I1100" s="390">
        <v>4</v>
      </c>
      <c r="J1100" s="390"/>
      <c r="K1100" s="398">
        <f>_xlfn.IFNA(VLOOKUP(A1100,numbering!$K$3:$L$92,2,0),0)</f>
        <v>0</v>
      </c>
    </row>
    <row r="1101" spans="1:11" ht="45" hidden="1" x14ac:dyDescent="0.2">
      <c r="A1101" s="390">
        <v>315</v>
      </c>
      <c r="B1101" s="390" t="s">
        <v>450</v>
      </c>
      <c r="C1101" s="390">
        <f>VLOOKUP(B1101,numbering!$N$18:$O$30,2,0)</f>
        <v>8</v>
      </c>
      <c r="D1101" s="390" t="s">
        <v>462</v>
      </c>
      <c r="E1101" s="403">
        <f t="shared" si="27"/>
        <v>4</v>
      </c>
      <c r="F1101" s="432" t="s">
        <v>465</v>
      </c>
      <c r="G1101" s="388" t="s">
        <v>1192</v>
      </c>
      <c r="H1101" s="390">
        <v>1</v>
      </c>
      <c r="I1101" s="390">
        <v>1</v>
      </c>
      <c r="J1101" s="390"/>
      <c r="K1101" s="398">
        <f>_xlfn.IFNA(VLOOKUP(A1101,numbering!$K$3:$L$92,2,0),0)</f>
        <v>0</v>
      </c>
    </row>
    <row r="1102" spans="1:11" ht="45" hidden="1" x14ac:dyDescent="0.2">
      <c r="A1102" s="390">
        <v>315</v>
      </c>
      <c r="B1102" s="390" t="s">
        <v>450</v>
      </c>
      <c r="C1102" s="390">
        <f>VLOOKUP(B1102,numbering!$N$18:$O$30,2,0)</f>
        <v>8</v>
      </c>
      <c r="D1102" s="390" t="s">
        <v>462</v>
      </c>
      <c r="E1102" s="403">
        <f t="shared" si="27"/>
        <v>4</v>
      </c>
      <c r="F1102" s="432" t="str">
        <f>F1101</f>
        <v>Is there documented evidence that Tailings Management System has been reviewed at a minimum of every three years by a suitably qualified Senior Technical Reviewer, to achieve the objective of reviewing the system's effectiveness?</v>
      </c>
      <c r="G1102" s="388" t="s">
        <v>1193</v>
      </c>
      <c r="H1102" s="390">
        <v>2</v>
      </c>
      <c r="I1102" s="390">
        <v>2</v>
      </c>
      <c r="J1102" s="390"/>
      <c r="K1102" s="398">
        <f>_xlfn.IFNA(VLOOKUP(A1102,numbering!$K$3:$L$92,2,0),0)</f>
        <v>0</v>
      </c>
    </row>
    <row r="1103" spans="1:11" ht="45" hidden="1" x14ac:dyDescent="0.2">
      <c r="A1103" s="390">
        <v>315</v>
      </c>
      <c r="B1103" s="390" t="s">
        <v>450</v>
      </c>
      <c r="C1103" s="390">
        <f>VLOOKUP(B1103,numbering!$N$18:$O$30,2,0)</f>
        <v>8</v>
      </c>
      <c r="D1103" s="390" t="s">
        <v>462</v>
      </c>
      <c r="E1103" s="403">
        <f t="shared" si="27"/>
        <v>4</v>
      </c>
      <c r="F1103" s="432" t="str">
        <f>F1102</f>
        <v>Is there documented evidence that Tailings Management System has been reviewed at a minimum of every three years by a suitably qualified Senior Technical Reviewer, to achieve the objective of reviewing the system's effectiveness?</v>
      </c>
      <c r="G1103" s="388" t="s">
        <v>1194</v>
      </c>
      <c r="H1103" s="390">
        <v>3</v>
      </c>
      <c r="I1103" s="390">
        <v>3</v>
      </c>
      <c r="J1103" s="390"/>
      <c r="K1103" s="398">
        <f>_xlfn.IFNA(VLOOKUP(A1103,numbering!$K$3:$L$92,2,0),0)</f>
        <v>0</v>
      </c>
    </row>
    <row r="1104" spans="1:11" ht="45" hidden="1" x14ac:dyDescent="0.2">
      <c r="A1104" s="390">
        <v>315</v>
      </c>
      <c r="B1104" s="390" t="s">
        <v>450</v>
      </c>
      <c r="C1104" s="390">
        <f>VLOOKUP(B1104,numbering!$N$18:$O$30,2,0)</f>
        <v>8</v>
      </c>
      <c r="D1104" s="390" t="s">
        <v>462</v>
      </c>
      <c r="E1104" s="403">
        <f t="shared" si="27"/>
        <v>4</v>
      </c>
      <c r="F1104" s="432" t="str">
        <f>F1103</f>
        <v>Is there documented evidence that Tailings Management System has been reviewed at a minimum of every three years by a suitably qualified Senior Technical Reviewer, to achieve the objective of reviewing the system's effectiveness?</v>
      </c>
      <c r="G1104" s="388" t="s">
        <v>1195</v>
      </c>
      <c r="H1104" s="390">
        <v>4</v>
      </c>
      <c r="I1104" s="390">
        <v>4</v>
      </c>
      <c r="J1104" s="390"/>
      <c r="K1104" s="398">
        <f>_xlfn.IFNA(VLOOKUP(A1104,numbering!$K$3:$L$92,2,0),0)</f>
        <v>0</v>
      </c>
    </row>
    <row r="1105" spans="1:11" ht="60" hidden="1" x14ac:dyDescent="0.2">
      <c r="A1105" s="390">
        <v>316</v>
      </c>
      <c r="B1105" s="390" t="s">
        <v>450</v>
      </c>
      <c r="C1105" s="390">
        <f>VLOOKUP(B1105,numbering!$N$18:$O$30,2,0)</f>
        <v>8</v>
      </c>
      <c r="D1105" s="390" t="s">
        <v>462</v>
      </c>
      <c r="E1105" s="403">
        <f t="shared" si="27"/>
        <v>4</v>
      </c>
      <c r="F1105" s="432" t="s">
        <v>466</v>
      </c>
      <c r="G1105" s="388" t="s">
        <v>1192</v>
      </c>
      <c r="H1105" s="390">
        <v>1</v>
      </c>
      <c r="I1105" s="390">
        <v>1</v>
      </c>
      <c r="J1105" s="390"/>
      <c r="K1105" s="398">
        <f>_xlfn.IFNA(VLOOKUP(A1105,numbering!$K$3:$L$92,2,0),0)</f>
        <v>0</v>
      </c>
    </row>
    <row r="1106" spans="1:11" ht="60" hidden="1" x14ac:dyDescent="0.2">
      <c r="A1106" s="390">
        <v>316</v>
      </c>
      <c r="B1106" s="390" t="s">
        <v>450</v>
      </c>
      <c r="C1106" s="390">
        <f>VLOOKUP(B1106,numbering!$N$18:$O$30,2,0)</f>
        <v>8</v>
      </c>
      <c r="D1106" s="390" t="s">
        <v>462</v>
      </c>
      <c r="E1106" s="403">
        <f t="shared" si="27"/>
        <v>4</v>
      </c>
      <c r="F1106" s="432" t="str">
        <f>F1105</f>
        <v>Is there documented evidence that the tailings related elements of a site's Environmental and Social Management System has been reviewed at a minimum of every three years by a suitably qualified Senior Technical Reviewer, to achieve the objective of reviewing the system's effectiveness?</v>
      </c>
      <c r="G1106" s="388" t="s">
        <v>1193</v>
      </c>
      <c r="H1106" s="390">
        <v>2</v>
      </c>
      <c r="I1106" s="390">
        <v>2</v>
      </c>
      <c r="J1106" s="390"/>
      <c r="K1106" s="398">
        <f>_xlfn.IFNA(VLOOKUP(A1106,numbering!$K$3:$L$92,2,0),0)</f>
        <v>0</v>
      </c>
    </row>
    <row r="1107" spans="1:11" ht="60" hidden="1" x14ac:dyDescent="0.2">
      <c r="A1107" s="390">
        <v>316</v>
      </c>
      <c r="B1107" s="390" t="s">
        <v>450</v>
      </c>
      <c r="C1107" s="390">
        <f>VLOOKUP(B1107,numbering!$N$18:$O$30,2,0)</f>
        <v>8</v>
      </c>
      <c r="D1107" s="390" t="s">
        <v>462</v>
      </c>
      <c r="E1107" s="403">
        <f t="shared" si="27"/>
        <v>4</v>
      </c>
      <c r="F1107" s="432" t="str">
        <f>F1106</f>
        <v>Is there documented evidence that the tailings related elements of a site's Environmental and Social Management System has been reviewed at a minimum of every three years by a suitably qualified Senior Technical Reviewer, to achieve the objective of reviewing the system's effectiveness?</v>
      </c>
      <c r="G1107" s="388" t="s">
        <v>1194</v>
      </c>
      <c r="H1107" s="390">
        <v>3</v>
      </c>
      <c r="I1107" s="390">
        <v>3</v>
      </c>
      <c r="J1107" s="390"/>
      <c r="K1107" s="398">
        <f>_xlfn.IFNA(VLOOKUP(A1107,numbering!$K$3:$L$92,2,0),0)</f>
        <v>0</v>
      </c>
    </row>
    <row r="1108" spans="1:11" ht="60" hidden="1" x14ac:dyDescent="0.2">
      <c r="A1108" s="390">
        <v>316</v>
      </c>
      <c r="B1108" s="390" t="s">
        <v>450</v>
      </c>
      <c r="C1108" s="390">
        <f>VLOOKUP(B1108,numbering!$N$18:$O$30,2,0)</f>
        <v>8</v>
      </c>
      <c r="D1108" s="390" t="s">
        <v>462</v>
      </c>
      <c r="E1108" s="403">
        <f t="shared" si="27"/>
        <v>4</v>
      </c>
      <c r="F1108" s="432" t="str">
        <f>F1107</f>
        <v>Is there documented evidence that the tailings related elements of a site's Environmental and Social Management System has been reviewed at a minimum of every three years by a suitably qualified Senior Technical Reviewer, to achieve the objective of reviewing the system's effectiveness?</v>
      </c>
      <c r="G1108" s="388" t="s">
        <v>1195</v>
      </c>
      <c r="H1108" s="390">
        <v>4</v>
      </c>
      <c r="I1108" s="390">
        <v>4</v>
      </c>
      <c r="J1108" s="390"/>
      <c r="K1108" s="398">
        <f>_xlfn.IFNA(VLOOKUP(A1108,numbering!$K$3:$L$92,2,0),0)</f>
        <v>0</v>
      </c>
    </row>
    <row r="1109" spans="1:11" ht="60" hidden="1" x14ac:dyDescent="0.2">
      <c r="A1109" s="390">
        <v>317</v>
      </c>
      <c r="B1109" s="390" t="s">
        <v>450</v>
      </c>
      <c r="C1109" s="390">
        <f>VLOOKUP(B1109,numbering!$N$18:$O$30,2,0)</f>
        <v>8</v>
      </c>
      <c r="D1109" s="390" t="s">
        <v>462</v>
      </c>
      <c r="E1109" s="403">
        <f t="shared" si="27"/>
        <v>4</v>
      </c>
      <c r="F1109" s="432" t="s">
        <v>467</v>
      </c>
      <c r="G1109" s="388" t="s">
        <v>1192</v>
      </c>
      <c r="H1109" s="390">
        <v>1</v>
      </c>
      <c r="I1109" s="390">
        <v>1</v>
      </c>
      <c r="J1109" s="390"/>
      <c r="K1109" s="398">
        <f>_xlfn.IFNA(VLOOKUP(A1109,numbering!$K$3:$L$92,2,0),0)</f>
        <v>0</v>
      </c>
    </row>
    <row r="1110" spans="1:11" ht="60" hidden="1" x14ac:dyDescent="0.2">
      <c r="A1110" s="390">
        <v>317</v>
      </c>
      <c r="B1110" s="390" t="s">
        <v>450</v>
      </c>
      <c r="C1110" s="390">
        <f>VLOOKUP(B1110,numbering!$N$18:$O$30,2,0)</f>
        <v>8</v>
      </c>
      <c r="D1110" s="390" t="s">
        <v>462</v>
      </c>
      <c r="E1110" s="403">
        <f t="shared" si="27"/>
        <v>4</v>
      </c>
      <c r="F1110" s="432" t="str">
        <f>F1109</f>
        <v>Is there documented evidence that the findings of the management system reviews were reported to the Accountable Executive, Board of Directors and project affected people to achieve the objective of informing these stakeholders to the findings of the review and how it may impact them?</v>
      </c>
      <c r="G1110" s="388" t="s">
        <v>1193</v>
      </c>
      <c r="H1110" s="390">
        <v>2</v>
      </c>
      <c r="I1110" s="390">
        <v>2</v>
      </c>
      <c r="J1110" s="390"/>
      <c r="K1110" s="398">
        <f>_xlfn.IFNA(VLOOKUP(A1110,numbering!$K$3:$L$92,2,0),0)</f>
        <v>0</v>
      </c>
    </row>
    <row r="1111" spans="1:11" ht="60" hidden="1" x14ac:dyDescent="0.2">
      <c r="A1111" s="390">
        <v>317</v>
      </c>
      <c r="B1111" s="390" t="s">
        <v>450</v>
      </c>
      <c r="C1111" s="390">
        <f>VLOOKUP(B1111,numbering!$N$18:$O$30,2,0)</f>
        <v>8</v>
      </c>
      <c r="D1111" s="390" t="s">
        <v>462</v>
      </c>
      <c r="E1111" s="403">
        <f t="shared" si="27"/>
        <v>4</v>
      </c>
      <c r="F1111" s="432" t="str">
        <f>F1110</f>
        <v>Is there documented evidence that the findings of the management system reviews were reported to the Accountable Executive, Board of Directors and project affected people to achieve the objective of informing these stakeholders to the findings of the review and how it may impact them?</v>
      </c>
      <c r="G1111" s="388" t="s">
        <v>1194</v>
      </c>
      <c r="H1111" s="390">
        <v>3</v>
      </c>
      <c r="I1111" s="390">
        <v>3</v>
      </c>
      <c r="J1111" s="390"/>
      <c r="K1111" s="398">
        <f>_xlfn.IFNA(VLOOKUP(A1111,numbering!$K$3:$L$92,2,0),0)</f>
        <v>0</v>
      </c>
    </row>
    <row r="1112" spans="1:11" ht="60" hidden="1" x14ac:dyDescent="0.2">
      <c r="A1112" s="390">
        <v>317</v>
      </c>
      <c r="B1112" s="390" t="s">
        <v>450</v>
      </c>
      <c r="C1112" s="390">
        <f>VLOOKUP(B1112,numbering!$N$18:$O$30,2,0)</f>
        <v>8</v>
      </c>
      <c r="D1112" s="390" t="s">
        <v>462</v>
      </c>
      <c r="E1112" s="403">
        <f t="shared" si="27"/>
        <v>4</v>
      </c>
      <c r="F1112" s="432" t="str">
        <f>F1111</f>
        <v>Is there documented evidence that the findings of the management system reviews were reported to the Accountable Executive, Board of Directors and project affected people to achieve the objective of informing these stakeholders to the findings of the review and how it may impact them?</v>
      </c>
      <c r="G1112" s="388" t="s">
        <v>1195</v>
      </c>
      <c r="H1112" s="390">
        <v>4</v>
      </c>
      <c r="I1112" s="390">
        <v>4</v>
      </c>
      <c r="J1112" s="390"/>
      <c r="K1112" s="398">
        <f>_xlfn.IFNA(VLOOKUP(A1112,numbering!$K$3:$L$92,2,0),0)</f>
        <v>0</v>
      </c>
    </row>
    <row r="1113" spans="1:11" ht="60" hidden="1" x14ac:dyDescent="0.2">
      <c r="A1113" s="390">
        <v>318</v>
      </c>
      <c r="B1113" s="390" t="s">
        <v>450</v>
      </c>
      <c r="C1113" s="390">
        <f>VLOOKUP(B1113,numbering!$N$18:$O$30,2,0)</f>
        <v>8</v>
      </c>
      <c r="D1113" s="390" t="s">
        <v>462</v>
      </c>
      <c r="E1113" s="403">
        <f t="shared" si="27"/>
        <v>4</v>
      </c>
      <c r="F1113" s="432" t="s">
        <v>468</v>
      </c>
      <c r="G1113" s="388" t="s">
        <v>1192</v>
      </c>
      <c r="H1113" s="390">
        <v>1</v>
      </c>
      <c r="I1113" s="390">
        <v>1</v>
      </c>
      <c r="J1113" s="390"/>
      <c r="K1113" s="398">
        <f>_xlfn.IFNA(VLOOKUP(A1113,numbering!$K$3:$L$92,2,0),0)</f>
        <v>0</v>
      </c>
    </row>
    <row r="1114" spans="1:11" ht="60" hidden="1" x14ac:dyDescent="0.2">
      <c r="A1114" s="390">
        <v>318</v>
      </c>
      <c r="B1114" s="390" t="s">
        <v>450</v>
      </c>
      <c r="C1114" s="390">
        <f>VLOOKUP(B1114,numbering!$N$18:$O$30,2,0)</f>
        <v>8</v>
      </c>
      <c r="D1114" s="390" t="s">
        <v>462</v>
      </c>
      <c r="E1114" s="403">
        <f t="shared" si="27"/>
        <v>4</v>
      </c>
      <c r="F1114" s="432" t="str">
        <f>F1113</f>
        <v>Is there documented evidence that internal audits were carried out to achieve the objective of verifying implementation of company procedures, guidelines and corporate governance requirements are consistent with tailings related management systems?</v>
      </c>
      <c r="G1114" s="388" t="s">
        <v>1193</v>
      </c>
      <c r="H1114" s="390">
        <v>2</v>
      </c>
      <c r="I1114" s="390">
        <v>2</v>
      </c>
      <c r="J1114" s="390"/>
      <c r="K1114" s="398">
        <f>_xlfn.IFNA(VLOOKUP(A1114,numbering!$K$3:$L$92,2,0),0)</f>
        <v>0</v>
      </c>
    </row>
    <row r="1115" spans="1:11" ht="60" hidden="1" x14ac:dyDescent="0.2">
      <c r="A1115" s="390">
        <v>318</v>
      </c>
      <c r="B1115" s="390" t="s">
        <v>450</v>
      </c>
      <c r="C1115" s="390">
        <f>VLOOKUP(B1115,numbering!$N$18:$O$30,2,0)</f>
        <v>8</v>
      </c>
      <c r="D1115" s="390" t="s">
        <v>462</v>
      </c>
      <c r="E1115" s="403">
        <f t="shared" si="27"/>
        <v>4</v>
      </c>
      <c r="F1115" s="432" t="str">
        <f>F1114</f>
        <v>Is there documented evidence that internal audits were carried out to achieve the objective of verifying implementation of company procedures, guidelines and corporate governance requirements are consistent with tailings related management systems?</v>
      </c>
      <c r="G1115" s="388" t="s">
        <v>1194</v>
      </c>
      <c r="H1115" s="390">
        <v>3</v>
      </c>
      <c r="I1115" s="390">
        <v>3</v>
      </c>
      <c r="J1115" s="390"/>
      <c r="K1115" s="398">
        <f>_xlfn.IFNA(VLOOKUP(A1115,numbering!$K$3:$L$92,2,0),0)</f>
        <v>0</v>
      </c>
    </row>
    <row r="1116" spans="1:11" ht="60" hidden="1" x14ac:dyDescent="0.2">
      <c r="A1116" s="390">
        <v>318</v>
      </c>
      <c r="B1116" s="390" t="s">
        <v>450</v>
      </c>
      <c r="C1116" s="390">
        <f>VLOOKUP(B1116,numbering!$N$18:$O$30,2,0)</f>
        <v>8</v>
      </c>
      <c r="D1116" s="390" t="s">
        <v>462</v>
      </c>
      <c r="E1116" s="403">
        <f t="shared" si="27"/>
        <v>4</v>
      </c>
      <c r="F1116" s="432" t="str">
        <f>F1115</f>
        <v>Is there documented evidence that internal audits were carried out to achieve the objective of verifying implementation of company procedures, guidelines and corporate governance requirements are consistent with tailings related management systems?</v>
      </c>
      <c r="G1116" s="388" t="s">
        <v>1195</v>
      </c>
      <c r="H1116" s="390">
        <v>4</v>
      </c>
      <c r="I1116" s="390">
        <v>4</v>
      </c>
      <c r="J1116" s="390"/>
      <c r="K1116" s="398">
        <f>_xlfn.IFNA(VLOOKUP(A1116,numbering!$K$3:$L$92,2,0),0)</f>
        <v>0</v>
      </c>
    </row>
    <row r="1117" spans="1:11" ht="45" hidden="1" x14ac:dyDescent="0.2">
      <c r="A1117" s="390">
        <v>319</v>
      </c>
      <c r="B1117" s="390" t="s">
        <v>450</v>
      </c>
      <c r="C1117" s="390">
        <f>VLOOKUP(B1117,numbering!$N$18:$O$30,2,0)</f>
        <v>8</v>
      </c>
      <c r="D1117" s="390" t="s">
        <v>462</v>
      </c>
      <c r="E1117" s="403">
        <f t="shared" si="27"/>
        <v>4</v>
      </c>
      <c r="F1117" s="432" t="s">
        <v>469</v>
      </c>
      <c r="G1117" s="388" t="s">
        <v>1192</v>
      </c>
      <c r="H1117" s="390">
        <v>1</v>
      </c>
      <c r="I1117" s="390">
        <v>1</v>
      </c>
      <c r="J1117" s="390"/>
      <c r="K1117" s="398">
        <f>_xlfn.IFNA(VLOOKUP(A1117,numbering!$K$3:$L$92,2,0),0)</f>
        <v>0</v>
      </c>
    </row>
    <row r="1118" spans="1:11" ht="45" hidden="1" x14ac:dyDescent="0.2">
      <c r="A1118" s="390">
        <v>319</v>
      </c>
      <c r="B1118" s="390" t="s">
        <v>450</v>
      </c>
      <c r="C1118" s="390">
        <f>VLOOKUP(B1118,numbering!$N$18:$O$30,2,0)</f>
        <v>8</v>
      </c>
      <c r="D1118" s="390" t="s">
        <v>462</v>
      </c>
      <c r="E1118" s="403">
        <f t="shared" si="27"/>
        <v>4</v>
      </c>
      <c r="F1118" s="432" t="str">
        <f>F1117</f>
        <v>Is there documented evidence that actions were sufficiently defined to achieve the objective of allowing  deficiencies identified during internal audits of tailings related management systems to be addressed?</v>
      </c>
      <c r="G1118" s="388" t="s">
        <v>1193</v>
      </c>
      <c r="H1118" s="390">
        <v>2</v>
      </c>
      <c r="I1118" s="390">
        <v>2</v>
      </c>
      <c r="J1118" s="390"/>
      <c r="K1118" s="398">
        <f>_xlfn.IFNA(VLOOKUP(A1118,numbering!$K$3:$L$92,2,0),0)</f>
        <v>0</v>
      </c>
    </row>
    <row r="1119" spans="1:11" ht="45" hidden="1" x14ac:dyDescent="0.2">
      <c r="A1119" s="390">
        <v>319</v>
      </c>
      <c r="B1119" s="390" t="s">
        <v>450</v>
      </c>
      <c r="C1119" s="390">
        <f>VLOOKUP(B1119,numbering!$N$18:$O$30,2,0)</f>
        <v>8</v>
      </c>
      <c r="D1119" s="390" t="s">
        <v>462</v>
      </c>
      <c r="E1119" s="403">
        <f t="shared" si="27"/>
        <v>4</v>
      </c>
      <c r="F1119" s="432" t="str">
        <f>F1118</f>
        <v>Is there documented evidence that actions were sufficiently defined to achieve the objective of allowing  deficiencies identified during internal audits of tailings related management systems to be addressed?</v>
      </c>
      <c r="G1119" s="388" t="s">
        <v>1194</v>
      </c>
      <c r="H1119" s="390">
        <v>3</v>
      </c>
      <c r="I1119" s="390">
        <v>3</v>
      </c>
      <c r="J1119" s="390"/>
      <c r="K1119" s="398">
        <f>_xlfn.IFNA(VLOOKUP(A1119,numbering!$K$3:$L$92,2,0),0)</f>
        <v>0</v>
      </c>
    </row>
    <row r="1120" spans="1:11" ht="45" hidden="1" x14ac:dyDescent="0.2">
      <c r="A1120" s="390">
        <v>319</v>
      </c>
      <c r="B1120" s="390" t="s">
        <v>450</v>
      </c>
      <c r="C1120" s="390">
        <f>VLOOKUP(B1120,numbering!$N$18:$O$30,2,0)</f>
        <v>8</v>
      </c>
      <c r="D1120" s="390" t="s">
        <v>462</v>
      </c>
      <c r="E1120" s="403">
        <f t="shared" si="27"/>
        <v>4</v>
      </c>
      <c r="F1120" s="432" t="str">
        <f>F1119</f>
        <v>Is there documented evidence that actions were sufficiently defined to achieve the objective of allowing  deficiencies identified during internal audits of tailings related management systems to be addressed?</v>
      </c>
      <c r="G1120" s="388" t="s">
        <v>1195</v>
      </c>
      <c r="H1120" s="390">
        <v>4</v>
      </c>
      <c r="I1120" s="390">
        <v>4</v>
      </c>
      <c r="J1120" s="390"/>
      <c r="K1120" s="398">
        <f>_xlfn.IFNA(VLOOKUP(A1120,numbering!$K$3:$L$92,2,0),0)</f>
        <v>0</v>
      </c>
    </row>
    <row r="1121" spans="1:11" ht="75" hidden="1" x14ac:dyDescent="0.2">
      <c r="A1121" s="390">
        <v>320</v>
      </c>
      <c r="B1121" s="390" t="s">
        <v>450</v>
      </c>
      <c r="C1121" s="390">
        <f>VLOOKUP(B1121,numbering!$N$18:$O$30,2,0)</f>
        <v>8</v>
      </c>
      <c r="D1121" s="390" t="s">
        <v>470</v>
      </c>
      <c r="E1121" s="403">
        <f t="shared" si="27"/>
        <v>5</v>
      </c>
      <c r="F1121" s="432" t="s">
        <v>471</v>
      </c>
      <c r="G1121" s="388" t="s">
        <v>1192</v>
      </c>
      <c r="H1121" s="390">
        <v>1</v>
      </c>
      <c r="I1121" s="390">
        <v>1</v>
      </c>
      <c r="J1121" s="390"/>
      <c r="K1121" s="398">
        <f>_xlfn.IFNA(VLOOKUP(A1121,numbering!$K$3:$L$92,2,0),0)</f>
        <v>0</v>
      </c>
    </row>
    <row r="1122" spans="1:11" ht="75" hidden="1" x14ac:dyDescent="0.2">
      <c r="A1122" s="390">
        <v>320</v>
      </c>
      <c r="B1122" s="390" t="s">
        <v>450</v>
      </c>
      <c r="C1122" s="390">
        <f>VLOOKUP(B1122,numbering!$N$18:$O$30,2,0)</f>
        <v>8</v>
      </c>
      <c r="D1122" s="390" t="s">
        <v>470</v>
      </c>
      <c r="E1122" s="403">
        <f t="shared" si="27"/>
        <v>5</v>
      </c>
      <c r="F1122" s="432" t="str">
        <f>F1121</f>
        <v>Is there documented evidence that the Engineer of Record or Senior Independent Technical Reviewer have completed reviews of the tailings facility's construction and performance to achieve the objective of confirming that the facility has been constructed or is being operated per the design intent and the risk profile of the facility has not materially changed?</v>
      </c>
      <c r="G1122" s="388" t="s">
        <v>1193</v>
      </c>
      <c r="H1122" s="390">
        <v>2</v>
      </c>
      <c r="I1122" s="390">
        <v>2</v>
      </c>
      <c r="J1122" s="390"/>
      <c r="K1122" s="398">
        <f>_xlfn.IFNA(VLOOKUP(A1122,numbering!$K$3:$L$92,2,0),0)</f>
        <v>0</v>
      </c>
    </row>
    <row r="1123" spans="1:11" ht="75" hidden="1" x14ac:dyDescent="0.2">
      <c r="A1123" s="390">
        <v>320</v>
      </c>
      <c r="B1123" s="390" t="s">
        <v>450</v>
      </c>
      <c r="C1123" s="390">
        <f>VLOOKUP(B1123,numbering!$N$18:$O$30,2,0)</f>
        <v>8</v>
      </c>
      <c r="D1123" s="390" t="s">
        <v>470</v>
      </c>
      <c r="E1123" s="403">
        <f t="shared" si="27"/>
        <v>5</v>
      </c>
      <c r="F1123" s="432" t="str">
        <f>F1122</f>
        <v>Is there documented evidence that the Engineer of Record or Senior Independent Technical Reviewer have completed reviews of the tailings facility's construction and performance to achieve the objective of confirming that the facility has been constructed or is being operated per the design intent and the risk profile of the facility has not materially changed?</v>
      </c>
      <c r="G1123" s="388" t="s">
        <v>1194</v>
      </c>
      <c r="H1123" s="390">
        <v>3</v>
      </c>
      <c r="I1123" s="390">
        <v>3</v>
      </c>
      <c r="J1123" s="390"/>
      <c r="K1123" s="398">
        <f>_xlfn.IFNA(VLOOKUP(A1123,numbering!$K$3:$L$92,2,0),0)</f>
        <v>0</v>
      </c>
    </row>
    <row r="1124" spans="1:11" ht="75" hidden="1" x14ac:dyDescent="0.2">
      <c r="A1124" s="390">
        <v>320</v>
      </c>
      <c r="B1124" s="390" t="s">
        <v>450</v>
      </c>
      <c r="C1124" s="390">
        <f>VLOOKUP(B1124,numbering!$N$18:$O$30,2,0)</f>
        <v>8</v>
      </c>
      <c r="D1124" s="390" t="s">
        <v>470</v>
      </c>
      <c r="E1124" s="403">
        <f t="shared" si="27"/>
        <v>5</v>
      </c>
      <c r="F1124" s="432" t="str">
        <f>F1123</f>
        <v>Is there documented evidence that the Engineer of Record or Senior Independent Technical Reviewer have completed reviews of the tailings facility's construction and performance to achieve the objective of confirming that the facility has been constructed or is being operated per the design intent and the risk profile of the facility has not materially changed?</v>
      </c>
      <c r="G1124" s="388" t="s">
        <v>1195</v>
      </c>
      <c r="H1124" s="390">
        <v>4</v>
      </c>
      <c r="I1124" s="390">
        <v>4</v>
      </c>
      <c r="J1124" s="390"/>
      <c r="K1124" s="398">
        <f>_xlfn.IFNA(VLOOKUP(A1124,numbering!$K$3:$L$92,2,0),0)</f>
        <v>0</v>
      </c>
    </row>
    <row r="1125" spans="1:11" ht="60" hidden="1" x14ac:dyDescent="0.2">
      <c r="A1125" s="390">
        <v>321</v>
      </c>
      <c r="B1125" s="390" t="s">
        <v>450</v>
      </c>
      <c r="C1125" s="390">
        <f>VLOOKUP(B1125,numbering!$N$18:$O$30,2,0)</f>
        <v>8</v>
      </c>
      <c r="D1125" s="390" t="s">
        <v>470</v>
      </c>
      <c r="E1125" s="403">
        <f t="shared" si="27"/>
        <v>5</v>
      </c>
      <c r="F1125" s="432" t="s">
        <v>472</v>
      </c>
      <c r="G1125" s="388" t="s">
        <v>1192</v>
      </c>
      <c r="H1125" s="390">
        <v>1</v>
      </c>
      <c r="I1125" s="390">
        <v>1</v>
      </c>
      <c r="J1125" s="390"/>
      <c r="K1125" s="398">
        <f>_xlfn.IFNA(VLOOKUP(A1125,numbering!$K$3:$L$92,2,0),0)</f>
        <v>0</v>
      </c>
    </row>
    <row r="1126" spans="1:11" ht="60" hidden="1" x14ac:dyDescent="0.2">
      <c r="A1126" s="390">
        <v>321</v>
      </c>
      <c r="B1126" s="390" t="s">
        <v>450</v>
      </c>
      <c r="C1126" s="390">
        <f>VLOOKUP(B1126,numbering!$N$18:$O$30,2,0)</f>
        <v>8</v>
      </c>
      <c r="D1126" s="390" t="s">
        <v>470</v>
      </c>
      <c r="E1126" s="403">
        <f t="shared" si="27"/>
        <v>5</v>
      </c>
      <c r="F1126" s="432" t="str">
        <f>F1125</f>
        <v>Is there documented evidence that actions were sufficiently defined by the Engineer of Record or Senior Independent Technical Reviewer to achieve the objective of addressing deficiencies identified in the reviews of the tailings facility's construction and performance?</v>
      </c>
      <c r="G1126" s="388" t="s">
        <v>1193</v>
      </c>
      <c r="H1126" s="390">
        <v>2</v>
      </c>
      <c r="I1126" s="390">
        <v>2</v>
      </c>
      <c r="J1126" s="390"/>
      <c r="K1126" s="398">
        <f>_xlfn.IFNA(VLOOKUP(A1126,numbering!$K$3:$L$92,2,0),0)</f>
        <v>0</v>
      </c>
    </row>
    <row r="1127" spans="1:11" ht="60" hidden="1" x14ac:dyDescent="0.2">
      <c r="A1127" s="390">
        <v>321</v>
      </c>
      <c r="B1127" s="390" t="s">
        <v>450</v>
      </c>
      <c r="C1127" s="390">
        <f>VLOOKUP(B1127,numbering!$N$18:$O$30,2,0)</f>
        <v>8</v>
      </c>
      <c r="D1127" s="390" t="s">
        <v>470</v>
      </c>
      <c r="E1127" s="403">
        <f t="shared" si="27"/>
        <v>5</v>
      </c>
      <c r="F1127" s="432" t="str">
        <f>F1126</f>
        <v>Is there documented evidence that actions were sufficiently defined by the Engineer of Record or Senior Independent Technical Reviewer to achieve the objective of addressing deficiencies identified in the reviews of the tailings facility's construction and performance?</v>
      </c>
      <c r="G1127" s="388" t="s">
        <v>1194</v>
      </c>
      <c r="H1127" s="390">
        <v>3</v>
      </c>
      <c r="I1127" s="390">
        <v>3</v>
      </c>
      <c r="J1127" s="390"/>
      <c r="K1127" s="398">
        <f>_xlfn.IFNA(VLOOKUP(A1127,numbering!$K$3:$L$92,2,0),0)</f>
        <v>0</v>
      </c>
    </row>
    <row r="1128" spans="1:11" ht="60" hidden="1" x14ac:dyDescent="0.2">
      <c r="A1128" s="390">
        <v>321</v>
      </c>
      <c r="B1128" s="390" t="s">
        <v>450</v>
      </c>
      <c r="C1128" s="390">
        <f>VLOOKUP(B1128,numbering!$N$18:$O$30,2,0)</f>
        <v>8</v>
      </c>
      <c r="D1128" s="390" t="s">
        <v>470</v>
      </c>
      <c r="E1128" s="403">
        <f t="shared" si="27"/>
        <v>5</v>
      </c>
      <c r="F1128" s="432" t="str">
        <f>F1127</f>
        <v>Is there documented evidence that actions were sufficiently defined by the Engineer of Record or Senior Independent Technical Reviewer to achieve the objective of addressing deficiencies identified in the reviews of the tailings facility's construction and performance?</v>
      </c>
      <c r="G1128" s="388" t="s">
        <v>1195</v>
      </c>
      <c r="H1128" s="390">
        <v>4</v>
      </c>
      <c r="I1128" s="390">
        <v>4</v>
      </c>
      <c r="J1128" s="390"/>
      <c r="K1128" s="398">
        <f>_xlfn.IFNA(VLOOKUP(A1128,numbering!$K$3:$L$92,2,0),0)</f>
        <v>0</v>
      </c>
    </row>
    <row r="1129" spans="1:11" ht="60" hidden="1" x14ac:dyDescent="0.2">
      <c r="A1129" s="390">
        <v>322</v>
      </c>
      <c r="B1129" s="390" t="s">
        <v>450</v>
      </c>
      <c r="C1129" s="390">
        <f>VLOOKUP(B1129,numbering!$N$18:$O$30,2,0)</f>
        <v>8</v>
      </c>
      <c r="D1129" s="390" t="s">
        <v>470</v>
      </c>
      <c r="E1129" s="403">
        <f t="shared" si="27"/>
        <v>5</v>
      </c>
      <c r="F1129" s="432" t="s">
        <v>473</v>
      </c>
      <c r="G1129" s="388" t="s">
        <v>1192</v>
      </c>
      <c r="H1129" s="390">
        <v>1</v>
      </c>
      <c r="I1129" s="390">
        <v>1</v>
      </c>
      <c r="J1129" s="390"/>
      <c r="K1129" s="398">
        <f>_xlfn.IFNA(VLOOKUP(A1129,numbering!$K$3:$L$92,2,0),0)</f>
        <v>0</v>
      </c>
    </row>
    <row r="1130" spans="1:11" ht="60" hidden="1" x14ac:dyDescent="0.2">
      <c r="A1130" s="390">
        <v>322</v>
      </c>
      <c r="B1130" s="390" t="s">
        <v>450</v>
      </c>
      <c r="C1130" s="390">
        <f>VLOOKUP(B1130,numbering!$N$18:$O$30,2,0)</f>
        <v>8</v>
      </c>
      <c r="D1130" s="390" t="s">
        <v>470</v>
      </c>
      <c r="E1130" s="403">
        <f t="shared" si="27"/>
        <v>5</v>
      </c>
      <c r="F1130" s="432" t="str">
        <f>F1129</f>
        <v>Is there documented evidence that independent Dam Safety Reviews were carried out for the facility at the frequencies required for the facility's consequence category to achieve the objective of meeting the requirements of relevant standards and guidelines?</v>
      </c>
      <c r="G1130" s="388" t="s">
        <v>1193</v>
      </c>
      <c r="H1130" s="390">
        <v>2</v>
      </c>
      <c r="I1130" s="390">
        <v>2</v>
      </c>
      <c r="J1130" s="390"/>
      <c r="K1130" s="398">
        <f>_xlfn.IFNA(VLOOKUP(A1130,numbering!$K$3:$L$92,2,0),0)</f>
        <v>0</v>
      </c>
    </row>
    <row r="1131" spans="1:11" ht="60" hidden="1" x14ac:dyDescent="0.2">
      <c r="A1131" s="390">
        <v>322</v>
      </c>
      <c r="B1131" s="390" t="s">
        <v>450</v>
      </c>
      <c r="C1131" s="390">
        <f>VLOOKUP(B1131,numbering!$N$18:$O$30,2,0)</f>
        <v>8</v>
      </c>
      <c r="D1131" s="390" t="s">
        <v>470</v>
      </c>
      <c r="E1131" s="403">
        <f t="shared" ref="E1131:E1194" si="28">IF(C1131&lt;&gt;C1130,1,IF(D1131&lt;&gt;D1130,E1130+1,E1130))</f>
        <v>5</v>
      </c>
      <c r="F1131" s="432" t="str">
        <f>F1130</f>
        <v>Is there documented evidence that independent Dam Safety Reviews were carried out for the facility at the frequencies required for the facility's consequence category to achieve the objective of meeting the requirements of relevant standards and guidelines?</v>
      </c>
      <c r="G1131" s="388" t="s">
        <v>1194</v>
      </c>
      <c r="H1131" s="390">
        <v>3</v>
      </c>
      <c r="I1131" s="390">
        <v>3</v>
      </c>
      <c r="J1131" s="390"/>
      <c r="K1131" s="398">
        <f>_xlfn.IFNA(VLOOKUP(A1131,numbering!$K$3:$L$92,2,0),0)</f>
        <v>0</v>
      </c>
    </row>
    <row r="1132" spans="1:11" ht="60" hidden="1" x14ac:dyDescent="0.2">
      <c r="A1132" s="390">
        <v>322</v>
      </c>
      <c r="B1132" s="390" t="s">
        <v>450</v>
      </c>
      <c r="C1132" s="390">
        <f>VLOOKUP(B1132,numbering!$N$18:$O$30,2,0)</f>
        <v>8</v>
      </c>
      <c r="D1132" s="390" t="s">
        <v>470</v>
      </c>
      <c r="E1132" s="403">
        <f t="shared" si="28"/>
        <v>5</v>
      </c>
      <c r="F1132" s="432" t="str">
        <f>F1131</f>
        <v>Is there documented evidence that independent Dam Safety Reviews were carried out for the facility at the frequencies required for the facility's consequence category to achieve the objective of meeting the requirements of relevant standards and guidelines?</v>
      </c>
      <c r="G1132" s="388" t="s">
        <v>1195</v>
      </c>
      <c r="H1132" s="390">
        <v>4</v>
      </c>
      <c r="I1132" s="390">
        <v>4</v>
      </c>
      <c r="J1132" s="390"/>
      <c r="K1132" s="398">
        <f>_xlfn.IFNA(VLOOKUP(A1132,numbering!$K$3:$L$92,2,0),0)</f>
        <v>0</v>
      </c>
    </row>
    <row r="1133" spans="1:11" ht="45" hidden="1" x14ac:dyDescent="0.2">
      <c r="A1133" s="390">
        <v>323</v>
      </c>
      <c r="B1133" s="390" t="s">
        <v>450</v>
      </c>
      <c r="C1133" s="390">
        <f>VLOOKUP(B1133,numbering!$N$18:$O$30,2,0)</f>
        <v>8</v>
      </c>
      <c r="D1133" s="390" t="s">
        <v>470</v>
      </c>
      <c r="E1133" s="403">
        <f t="shared" si="28"/>
        <v>5</v>
      </c>
      <c r="F1133" s="432" t="s">
        <v>474</v>
      </c>
      <c r="G1133" s="388" t="s">
        <v>1192</v>
      </c>
      <c r="H1133" s="390">
        <v>1</v>
      </c>
      <c r="I1133" s="390">
        <v>1</v>
      </c>
      <c r="J1133" s="390"/>
      <c r="K1133" s="398">
        <f>_xlfn.IFNA(VLOOKUP(A1133,numbering!$K$3:$L$92,2,0),0)</f>
        <v>0</v>
      </c>
    </row>
    <row r="1134" spans="1:11" ht="45" hidden="1" x14ac:dyDescent="0.2">
      <c r="A1134" s="390">
        <v>323</v>
      </c>
      <c r="B1134" s="390" t="s">
        <v>450</v>
      </c>
      <c r="C1134" s="390">
        <f>VLOOKUP(B1134,numbering!$N$18:$O$30,2,0)</f>
        <v>8</v>
      </c>
      <c r="D1134" s="390" t="s">
        <v>470</v>
      </c>
      <c r="E1134" s="403">
        <f t="shared" si="28"/>
        <v>5</v>
      </c>
      <c r="F1134" s="432" t="str">
        <f>F1133</f>
        <v>Is there documented evidence that the independent Dam Safety Review achieved the objective of reviewing the technical, operational and governance aspects of the facility using the requirements of the GISTM?</v>
      </c>
      <c r="G1134" s="388" t="s">
        <v>1193</v>
      </c>
      <c r="H1134" s="390">
        <v>2</v>
      </c>
      <c r="I1134" s="390">
        <v>2</v>
      </c>
      <c r="J1134" s="390"/>
      <c r="K1134" s="398">
        <f>_xlfn.IFNA(VLOOKUP(A1134,numbering!$K$3:$L$92,2,0),0)</f>
        <v>0</v>
      </c>
    </row>
    <row r="1135" spans="1:11" ht="45" hidden="1" x14ac:dyDescent="0.2">
      <c r="A1135" s="390">
        <v>323</v>
      </c>
      <c r="B1135" s="390" t="s">
        <v>450</v>
      </c>
      <c r="C1135" s="390">
        <f>VLOOKUP(B1135,numbering!$N$18:$O$30,2,0)</f>
        <v>8</v>
      </c>
      <c r="D1135" s="390" t="s">
        <v>470</v>
      </c>
      <c r="E1135" s="403">
        <f t="shared" si="28"/>
        <v>5</v>
      </c>
      <c r="F1135" s="432" t="str">
        <f>F1134</f>
        <v>Is there documented evidence that the independent Dam Safety Review achieved the objective of reviewing the technical, operational and governance aspects of the facility using the requirements of the GISTM?</v>
      </c>
      <c r="G1135" s="388" t="s">
        <v>1194</v>
      </c>
      <c r="H1135" s="390">
        <v>3</v>
      </c>
      <c r="I1135" s="390">
        <v>3</v>
      </c>
      <c r="J1135" s="390"/>
      <c r="K1135" s="398">
        <f>_xlfn.IFNA(VLOOKUP(A1135,numbering!$K$3:$L$92,2,0),0)</f>
        <v>0</v>
      </c>
    </row>
    <row r="1136" spans="1:11" ht="45" hidden="1" x14ac:dyDescent="0.2">
      <c r="A1136" s="390">
        <v>323</v>
      </c>
      <c r="B1136" s="390" t="s">
        <v>450</v>
      </c>
      <c r="C1136" s="390">
        <f>VLOOKUP(B1136,numbering!$N$18:$O$30,2,0)</f>
        <v>8</v>
      </c>
      <c r="D1136" s="390" t="s">
        <v>470</v>
      </c>
      <c r="E1136" s="403">
        <f t="shared" si="28"/>
        <v>5</v>
      </c>
      <c r="F1136" s="432" t="str">
        <f>F1135</f>
        <v>Is there documented evidence that the independent Dam Safety Review achieved the objective of reviewing the technical, operational and governance aspects of the facility using the requirements of the GISTM?</v>
      </c>
      <c r="G1136" s="388" t="s">
        <v>1195</v>
      </c>
      <c r="H1136" s="390">
        <v>4</v>
      </c>
      <c r="I1136" s="390">
        <v>4</v>
      </c>
      <c r="J1136" s="390"/>
      <c r="K1136" s="398">
        <f>_xlfn.IFNA(VLOOKUP(A1136,numbering!$K$3:$L$92,2,0),0)</f>
        <v>0</v>
      </c>
    </row>
    <row r="1137" spans="1:11" ht="60" hidden="1" x14ac:dyDescent="0.2">
      <c r="A1137" s="390">
        <v>324</v>
      </c>
      <c r="B1137" s="390" t="s">
        <v>450</v>
      </c>
      <c r="C1137" s="390">
        <f>VLOOKUP(B1137,numbering!$N$18:$O$30,2,0)</f>
        <v>8</v>
      </c>
      <c r="D1137" s="390" t="s">
        <v>470</v>
      </c>
      <c r="E1137" s="403">
        <f t="shared" si="28"/>
        <v>5</v>
      </c>
      <c r="F1137" s="432" t="s">
        <v>475</v>
      </c>
      <c r="G1137" s="388" t="s">
        <v>1192</v>
      </c>
      <c r="H1137" s="390">
        <v>1</v>
      </c>
      <c r="I1137" s="390">
        <v>1</v>
      </c>
      <c r="J1137" s="390"/>
      <c r="K1137" s="398">
        <f>_xlfn.IFNA(VLOOKUP(A1137,numbering!$K$3:$L$92,2,0),0)</f>
        <v>0</v>
      </c>
    </row>
    <row r="1138" spans="1:11" ht="60" hidden="1" x14ac:dyDescent="0.2">
      <c r="A1138" s="390">
        <v>324</v>
      </c>
      <c r="B1138" s="390" t="s">
        <v>450</v>
      </c>
      <c r="C1138" s="390">
        <f>VLOOKUP(B1138,numbering!$N$18:$O$30,2,0)</f>
        <v>8</v>
      </c>
      <c r="D1138" s="390" t="s">
        <v>470</v>
      </c>
      <c r="E1138" s="403">
        <f t="shared" si="28"/>
        <v>5</v>
      </c>
      <c r="F1138" s="432" t="str">
        <f>F1137</f>
        <v>Is there documented evidence that the selection process for reviewer/s undertaking independent Dam Safety Reviews achieved the objectives that the same reviewer/s did not undertake consecutive Dam Safety Reviews and that there was confirmation in writing of no conflicts of interest?</v>
      </c>
      <c r="G1138" s="388" t="s">
        <v>1193</v>
      </c>
      <c r="H1138" s="390">
        <v>2</v>
      </c>
      <c r="I1138" s="390">
        <v>2</v>
      </c>
      <c r="J1138" s="390"/>
      <c r="K1138" s="398">
        <f>_xlfn.IFNA(VLOOKUP(A1138,numbering!$K$3:$L$92,2,0),0)</f>
        <v>0</v>
      </c>
    </row>
    <row r="1139" spans="1:11" ht="60" hidden="1" x14ac:dyDescent="0.2">
      <c r="A1139" s="390">
        <v>324</v>
      </c>
      <c r="B1139" s="390" t="s">
        <v>450</v>
      </c>
      <c r="C1139" s="390">
        <f>VLOOKUP(B1139,numbering!$N$18:$O$30,2,0)</f>
        <v>8</v>
      </c>
      <c r="D1139" s="390" t="s">
        <v>470</v>
      </c>
      <c r="E1139" s="403">
        <f t="shared" si="28"/>
        <v>5</v>
      </c>
      <c r="F1139" s="432" t="str">
        <f>F1138</f>
        <v>Is there documented evidence that the selection process for reviewer/s undertaking independent Dam Safety Reviews achieved the objectives that the same reviewer/s did not undertake consecutive Dam Safety Reviews and that there was confirmation in writing of no conflicts of interest?</v>
      </c>
      <c r="G1139" s="388" t="s">
        <v>1194</v>
      </c>
      <c r="H1139" s="390">
        <v>3</v>
      </c>
      <c r="I1139" s="390">
        <v>3</v>
      </c>
      <c r="J1139" s="390"/>
      <c r="K1139" s="398">
        <f>_xlfn.IFNA(VLOOKUP(A1139,numbering!$K$3:$L$92,2,0),0)</f>
        <v>0</v>
      </c>
    </row>
    <row r="1140" spans="1:11" ht="60" hidden="1" x14ac:dyDescent="0.2">
      <c r="A1140" s="390">
        <v>324</v>
      </c>
      <c r="B1140" s="390" t="s">
        <v>450</v>
      </c>
      <c r="C1140" s="390">
        <f>VLOOKUP(B1140,numbering!$N$18:$O$30,2,0)</f>
        <v>8</v>
      </c>
      <c r="D1140" s="390" t="s">
        <v>470</v>
      </c>
      <c r="E1140" s="403">
        <f t="shared" si="28"/>
        <v>5</v>
      </c>
      <c r="F1140" s="432" t="str">
        <f>F1139</f>
        <v>Is there documented evidence that the selection process for reviewer/s undertaking independent Dam Safety Reviews achieved the objectives that the same reviewer/s did not undertake consecutive Dam Safety Reviews and that there was confirmation in writing of no conflicts of interest?</v>
      </c>
      <c r="G1140" s="388" t="s">
        <v>1195</v>
      </c>
      <c r="H1140" s="390">
        <v>4</v>
      </c>
      <c r="I1140" s="390">
        <v>4</v>
      </c>
      <c r="J1140" s="390"/>
      <c r="K1140" s="398">
        <f>_xlfn.IFNA(VLOOKUP(A1140,numbering!$K$3:$L$92,2,0),0)</f>
        <v>0</v>
      </c>
    </row>
    <row r="1141" spans="1:11" ht="225" hidden="1" x14ac:dyDescent="0.2">
      <c r="A1141" s="390">
        <v>325</v>
      </c>
      <c r="B1141" s="390" t="s">
        <v>450</v>
      </c>
      <c r="C1141" s="390">
        <f>VLOOKUP(B1141,numbering!$N$18:$O$30,2,0)</f>
        <v>8</v>
      </c>
      <c r="D1141" s="390" t="s">
        <v>470</v>
      </c>
      <c r="E1141" s="403">
        <f t="shared" si="28"/>
        <v>5</v>
      </c>
      <c r="F1141" s="432" t="s">
        <v>476</v>
      </c>
      <c r="G1141" s="388" t="s">
        <v>1192</v>
      </c>
      <c r="H1141" s="390">
        <v>1</v>
      </c>
      <c r="I1141" s="390">
        <v>1</v>
      </c>
      <c r="J1141" s="390"/>
      <c r="K1141" s="398">
        <f>_xlfn.IFNA(VLOOKUP(A1141,numbering!$K$3:$L$92,2,0),0)</f>
        <v>0</v>
      </c>
    </row>
    <row r="1142" spans="1:11" ht="225" hidden="1" x14ac:dyDescent="0.2">
      <c r="A1142" s="390">
        <v>325</v>
      </c>
      <c r="B1142" s="390" t="s">
        <v>450</v>
      </c>
      <c r="C1142" s="390">
        <f>VLOOKUP(B1142,numbering!$N$18:$O$30,2,0)</f>
        <v>8</v>
      </c>
      <c r="D1142" s="390" t="s">
        <v>470</v>
      </c>
      <c r="E1142" s="403">
        <f t="shared" si="28"/>
        <v>5</v>
      </c>
      <c r="F1142" s="432" t="str">
        <f>F1141</f>
        <v>Is there documented evidence that the Independent Technical Review Board or Senior Independent Technical Reviewer has regularly reviewed and reported the status of the following to the Accountable Executive, to achieve the objective of providing regular reviews that the following have been undertaken using the principles of risk informed performance-based decision making: 
-Planning
-Siting
-Design
-Construction
-Operation
-Water and mass balance 
-Maintenance
-Monitoring
-Performance
-Risk management</v>
      </c>
      <c r="G1142" s="388" t="s">
        <v>1193</v>
      </c>
      <c r="H1142" s="390">
        <v>2</v>
      </c>
      <c r="I1142" s="390">
        <v>2</v>
      </c>
      <c r="J1142" s="390"/>
      <c r="K1142" s="398">
        <f>_xlfn.IFNA(VLOOKUP(A1142,numbering!$K$3:$L$92,2,0),0)</f>
        <v>0</v>
      </c>
    </row>
    <row r="1143" spans="1:11" ht="225" hidden="1" x14ac:dyDescent="0.2">
      <c r="A1143" s="390">
        <v>325</v>
      </c>
      <c r="B1143" s="390" t="s">
        <v>450</v>
      </c>
      <c r="C1143" s="390">
        <f>VLOOKUP(B1143,numbering!$N$18:$O$30,2,0)</f>
        <v>8</v>
      </c>
      <c r="D1143" s="390" t="s">
        <v>470</v>
      </c>
      <c r="E1143" s="403">
        <f t="shared" si="28"/>
        <v>5</v>
      </c>
      <c r="F1143" s="432" t="str">
        <f>F1142</f>
        <v>Is there documented evidence that the Independent Technical Review Board or Senior Independent Technical Reviewer has regularly reviewed and reported the status of the following to the Accountable Executive, to achieve the objective of providing regular reviews that the following have been undertaken using the principles of risk informed performance-based decision making: 
-Planning
-Siting
-Design
-Construction
-Operation
-Water and mass balance 
-Maintenance
-Monitoring
-Performance
-Risk management</v>
      </c>
      <c r="G1143" s="388" t="s">
        <v>1194</v>
      </c>
      <c r="H1143" s="390">
        <v>3</v>
      </c>
      <c r="I1143" s="390">
        <v>3</v>
      </c>
      <c r="J1143" s="390"/>
      <c r="K1143" s="398">
        <f>_xlfn.IFNA(VLOOKUP(A1143,numbering!$K$3:$L$92,2,0),0)</f>
        <v>0</v>
      </c>
    </row>
    <row r="1144" spans="1:11" ht="225" hidden="1" x14ac:dyDescent="0.2">
      <c r="A1144" s="390">
        <v>325</v>
      </c>
      <c r="B1144" s="390" t="s">
        <v>450</v>
      </c>
      <c r="C1144" s="390">
        <f>VLOOKUP(B1144,numbering!$N$18:$O$30,2,0)</f>
        <v>8</v>
      </c>
      <c r="D1144" s="390" t="s">
        <v>470</v>
      </c>
      <c r="E1144" s="403">
        <f t="shared" si="28"/>
        <v>5</v>
      </c>
      <c r="F1144" s="432" t="str">
        <f>F1143</f>
        <v>Is there documented evidence that the Independent Technical Review Board or Senior Independent Technical Reviewer has regularly reviewed and reported the status of the following to the Accountable Executive, to achieve the objective of providing regular reviews that the following have been undertaken using the principles of risk informed performance-based decision making: 
-Planning
-Siting
-Design
-Construction
-Operation
-Water and mass balance 
-Maintenance
-Monitoring
-Performance
-Risk management</v>
      </c>
      <c r="G1144" s="388" t="s">
        <v>1195</v>
      </c>
      <c r="H1144" s="390">
        <v>4</v>
      </c>
      <c r="I1144" s="390">
        <v>4</v>
      </c>
      <c r="J1144" s="390"/>
      <c r="K1144" s="398">
        <f>_xlfn.IFNA(VLOOKUP(A1144,numbering!$K$3:$L$92,2,0),0)</f>
        <v>0</v>
      </c>
    </row>
    <row r="1145" spans="1:11" ht="75" hidden="1" x14ac:dyDescent="0.2">
      <c r="A1145" s="390">
        <v>326</v>
      </c>
      <c r="B1145" s="390" t="s">
        <v>450</v>
      </c>
      <c r="C1145" s="390">
        <f>VLOOKUP(B1145,numbering!$N$18:$O$30,2,0)</f>
        <v>8</v>
      </c>
      <c r="D1145" s="390" t="s">
        <v>470</v>
      </c>
      <c r="E1145" s="403">
        <f t="shared" si="28"/>
        <v>5</v>
      </c>
      <c r="F1145" s="432" t="s">
        <v>477</v>
      </c>
      <c r="G1145" s="388" t="s">
        <v>1192</v>
      </c>
      <c r="H1145" s="390">
        <v>1</v>
      </c>
      <c r="I1145" s="390">
        <v>1</v>
      </c>
      <c r="J1145" s="390"/>
      <c r="K1145" s="398">
        <f>_xlfn.IFNA(VLOOKUP(A1145,numbering!$K$3:$L$92,2,0),0)</f>
        <v>0</v>
      </c>
    </row>
    <row r="1146" spans="1:11" ht="75" hidden="1" x14ac:dyDescent="0.2">
      <c r="A1146" s="390">
        <v>326</v>
      </c>
      <c r="B1146" s="390" t="s">
        <v>450</v>
      </c>
      <c r="C1146" s="390">
        <f>VLOOKUP(B1146,numbering!$N$18:$O$30,2,0)</f>
        <v>8</v>
      </c>
      <c r="D1146" s="390" t="s">
        <v>470</v>
      </c>
      <c r="E1146" s="403">
        <f t="shared" si="28"/>
        <v>5</v>
      </c>
      <c r="F1146" s="432" t="str">
        <f>F1145</f>
        <v>Is there documented evidence that the frequency of the reviews required by the Independent Technical Review Board or Senior Independent Technical Reviewer for reporting to the Accountable Executive were defined and understood for each phase of the tailings facility lifecycle to achieve the objective that all reviews occur and are reported as required by relevant standards and guidelines?</v>
      </c>
      <c r="G1146" s="388" t="s">
        <v>1193</v>
      </c>
      <c r="H1146" s="390">
        <v>2</v>
      </c>
      <c r="I1146" s="390">
        <v>2</v>
      </c>
      <c r="J1146" s="390"/>
      <c r="K1146" s="398">
        <f>_xlfn.IFNA(VLOOKUP(A1146,numbering!$K$3:$L$92,2,0),0)</f>
        <v>0</v>
      </c>
    </row>
    <row r="1147" spans="1:11" ht="75" hidden="1" x14ac:dyDescent="0.2">
      <c r="A1147" s="390">
        <v>326</v>
      </c>
      <c r="B1147" s="390" t="s">
        <v>450</v>
      </c>
      <c r="C1147" s="390">
        <f>VLOOKUP(B1147,numbering!$N$18:$O$30,2,0)</f>
        <v>8</v>
      </c>
      <c r="D1147" s="390" t="s">
        <v>470</v>
      </c>
      <c r="E1147" s="403">
        <f t="shared" si="28"/>
        <v>5</v>
      </c>
      <c r="F1147" s="432" t="str">
        <f>F1146</f>
        <v>Is there documented evidence that the frequency of the reviews required by the Independent Technical Review Board or Senior Independent Technical Reviewer for reporting to the Accountable Executive were defined and understood for each phase of the tailings facility lifecycle to achieve the objective that all reviews occur and are reported as required by relevant standards and guidelines?</v>
      </c>
      <c r="G1147" s="388" t="s">
        <v>1194</v>
      </c>
      <c r="H1147" s="390">
        <v>3</v>
      </c>
      <c r="I1147" s="390">
        <v>3</v>
      </c>
      <c r="J1147" s="390"/>
      <c r="K1147" s="398">
        <f>_xlfn.IFNA(VLOOKUP(A1147,numbering!$K$3:$L$92,2,0),0)</f>
        <v>0</v>
      </c>
    </row>
    <row r="1148" spans="1:11" ht="75" hidden="1" x14ac:dyDescent="0.2">
      <c r="A1148" s="390">
        <v>326</v>
      </c>
      <c r="B1148" s="390" t="s">
        <v>450</v>
      </c>
      <c r="C1148" s="390">
        <f>VLOOKUP(B1148,numbering!$N$18:$O$30,2,0)</f>
        <v>8</v>
      </c>
      <c r="D1148" s="390" t="s">
        <v>470</v>
      </c>
      <c r="E1148" s="403">
        <f t="shared" si="28"/>
        <v>5</v>
      </c>
      <c r="F1148" s="432" t="str">
        <f>F1147</f>
        <v>Is there documented evidence that the frequency of the reviews required by the Independent Technical Review Board or Senior Independent Technical Reviewer for reporting to the Accountable Executive were defined and understood for each phase of the tailings facility lifecycle to achieve the objective that all reviews occur and are reported as required by relevant standards and guidelines?</v>
      </c>
      <c r="G1148" s="388" t="s">
        <v>1195</v>
      </c>
      <c r="H1148" s="390">
        <v>4</v>
      </c>
      <c r="I1148" s="390">
        <v>4</v>
      </c>
      <c r="J1148" s="390"/>
      <c r="K1148" s="398">
        <f>_xlfn.IFNA(VLOOKUP(A1148,numbering!$K$3:$L$92,2,0),0)</f>
        <v>0</v>
      </c>
    </row>
    <row r="1149" spans="1:11" ht="60" hidden="1" x14ac:dyDescent="0.2">
      <c r="A1149" s="390">
        <v>327</v>
      </c>
      <c r="B1149" s="390" t="s">
        <v>450</v>
      </c>
      <c r="C1149" s="390">
        <f>VLOOKUP(B1149,numbering!$N$18:$O$30,2,0)</f>
        <v>8</v>
      </c>
      <c r="D1149" s="390" t="s">
        <v>483</v>
      </c>
      <c r="E1149" s="403">
        <f t="shared" si="28"/>
        <v>6</v>
      </c>
      <c r="F1149" s="432" t="s">
        <v>484</v>
      </c>
      <c r="G1149" s="388" t="s">
        <v>1192</v>
      </c>
      <c r="H1149" s="390">
        <v>1</v>
      </c>
      <c r="I1149" s="390">
        <v>1</v>
      </c>
      <c r="J1149" s="390"/>
      <c r="K1149" s="398">
        <f>_xlfn.IFNA(VLOOKUP(A1149,numbering!$K$3:$L$92,2,0),0)</f>
        <v>0</v>
      </c>
    </row>
    <row r="1150" spans="1:11" ht="60" hidden="1" x14ac:dyDescent="0.2">
      <c r="A1150" s="390">
        <v>327</v>
      </c>
      <c r="B1150" s="390" t="s">
        <v>450</v>
      </c>
      <c r="C1150" s="390">
        <f>VLOOKUP(B1150,numbering!$N$18:$O$30,2,0)</f>
        <v>8</v>
      </c>
      <c r="D1150" s="390" t="s">
        <v>483</v>
      </c>
      <c r="E1150" s="403">
        <f t="shared" si="28"/>
        <v>6</v>
      </c>
      <c r="F1150" s="432" t="str">
        <f>F1149</f>
        <v>Is there documented evidence that costs (including insurance) and resources were estimated for the planned closure, early closure, reclamation and post-closure of the tailings facility and appurtenant structures to achieve the objective that these costs and required resources are understood by the owner?</v>
      </c>
      <c r="G1150" s="388" t="s">
        <v>1193</v>
      </c>
      <c r="H1150" s="390">
        <v>2</v>
      </c>
      <c r="I1150" s="390">
        <v>2</v>
      </c>
      <c r="J1150" s="390"/>
      <c r="K1150" s="398">
        <f>_xlfn.IFNA(VLOOKUP(A1150,numbering!$K$3:$L$92,2,0),0)</f>
        <v>0</v>
      </c>
    </row>
    <row r="1151" spans="1:11" ht="60" hidden="1" x14ac:dyDescent="0.2">
      <c r="A1151" s="390">
        <v>327</v>
      </c>
      <c r="B1151" s="390" t="s">
        <v>450</v>
      </c>
      <c r="C1151" s="390">
        <f>VLOOKUP(B1151,numbering!$N$18:$O$30,2,0)</f>
        <v>8</v>
      </c>
      <c r="D1151" s="390" t="s">
        <v>483</v>
      </c>
      <c r="E1151" s="403">
        <f t="shared" si="28"/>
        <v>6</v>
      </c>
      <c r="F1151" s="432" t="str">
        <f>F1150</f>
        <v>Is there documented evidence that costs (including insurance) and resources were estimated for the planned closure, early closure, reclamation and post-closure of the tailings facility and appurtenant structures to achieve the objective that these costs and required resources are understood by the owner?</v>
      </c>
      <c r="G1151" s="388" t="s">
        <v>1194</v>
      </c>
      <c r="H1151" s="390">
        <v>3</v>
      </c>
      <c r="I1151" s="390">
        <v>3</v>
      </c>
      <c r="J1151" s="390"/>
      <c r="K1151" s="398">
        <f>_xlfn.IFNA(VLOOKUP(A1151,numbering!$K$3:$L$92,2,0),0)</f>
        <v>0</v>
      </c>
    </row>
    <row r="1152" spans="1:11" ht="60" hidden="1" x14ac:dyDescent="0.2">
      <c r="A1152" s="390">
        <v>327</v>
      </c>
      <c r="B1152" s="390" t="s">
        <v>450</v>
      </c>
      <c r="C1152" s="390">
        <f>VLOOKUP(B1152,numbering!$N$18:$O$30,2,0)</f>
        <v>8</v>
      </c>
      <c r="D1152" s="390" t="s">
        <v>483</v>
      </c>
      <c r="E1152" s="403">
        <f t="shared" si="28"/>
        <v>6</v>
      </c>
      <c r="F1152" s="432" t="str">
        <f>F1151</f>
        <v>Is there documented evidence that costs (including insurance) and resources were estimated for the planned closure, early closure, reclamation and post-closure of the tailings facility and appurtenant structures to achieve the objective that these costs and required resources are understood by the owner?</v>
      </c>
      <c r="G1152" s="388" t="s">
        <v>1195</v>
      </c>
      <c r="H1152" s="390">
        <v>4</v>
      </c>
      <c r="I1152" s="390">
        <v>4</v>
      </c>
      <c r="J1152" s="390"/>
      <c r="K1152" s="398">
        <f>_xlfn.IFNA(VLOOKUP(A1152,numbering!$K$3:$L$92,2,0),0)</f>
        <v>0</v>
      </c>
    </row>
    <row r="1153" spans="1:11" ht="60" hidden="1" x14ac:dyDescent="0.2">
      <c r="A1153" s="390">
        <v>328</v>
      </c>
      <c r="B1153" s="390" t="s">
        <v>450</v>
      </c>
      <c r="C1153" s="390">
        <f>VLOOKUP(B1153,numbering!$N$18:$O$30,2,0)</f>
        <v>8</v>
      </c>
      <c r="D1153" s="390" t="s">
        <v>470</v>
      </c>
      <c r="E1153" s="403">
        <f t="shared" si="28"/>
        <v>7</v>
      </c>
      <c r="F1153" s="432" t="s">
        <v>479</v>
      </c>
      <c r="G1153" s="388" t="s">
        <v>1192</v>
      </c>
      <c r="H1153" s="390">
        <v>1</v>
      </c>
      <c r="I1153" s="390">
        <v>1</v>
      </c>
      <c r="J1153" s="390"/>
      <c r="K1153" s="398">
        <f>_xlfn.IFNA(VLOOKUP(A1153,numbering!$K$3:$L$92,2,0),0)</f>
        <v>0</v>
      </c>
    </row>
    <row r="1154" spans="1:11" ht="60" hidden="1" x14ac:dyDescent="0.2">
      <c r="A1154" s="390">
        <v>328</v>
      </c>
      <c r="B1154" s="390" t="s">
        <v>450</v>
      </c>
      <c r="C1154" s="390">
        <f>VLOOKUP(B1154,numbering!$N$18:$O$30,2,0)</f>
        <v>8</v>
      </c>
      <c r="D1154" s="390" t="s">
        <v>470</v>
      </c>
      <c r="E1154" s="403">
        <f t="shared" si="28"/>
        <v>7</v>
      </c>
      <c r="F1154" s="432" t="str">
        <f>F1153</f>
        <v>Is there documented evidence that the methods used to estimate closure and post-closure costs were appropriate considering the stage of the facility's life cycle to achieve the objective of the costs being as accurately understood as much as is practicable, given potential changes and unknowns with the future of the facility?</v>
      </c>
      <c r="G1154" s="388" t="s">
        <v>1193</v>
      </c>
      <c r="H1154" s="390">
        <v>2</v>
      </c>
      <c r="I1154" s="390">
        <v>2</v>
      </c>
      <c r="J1154" s="390"/>
      <c r="K1154" s="398">
        <f>_xlfn.IFNA(VLOOKUP(A1154,numbering!$K$3:$L$92,2,0),0)</f>
        <v>0</v>
      </c>
    </row>
    <row r="1155" spans="1:11" ht="60" hidden="1" x14ac:dyDescent="0.2">
      <c r="A1155" s="390">
        <v>328</v>
      </c>
      <c r="B1155" s="390" t="s">
        <v>450</v>
      </c>
      <c r="C1155" s="390">
        <f>VLOOKUP(B1155,numbering!$N$18:$O$30,2,0)</f>
        <v>8</v>
      </c>
      <c r="D1155" s="390" t="s">
        <v>470</v>
      </c>
      <c r="E1155" s="403">
        <f t="shared" si="28"/>
        <v>7</v>
      </c>
      <c r="F1155" s="432" t="str">
        <f>F1154</f>
        <v>Is there documented evidence that the methods used to estimate closure and post-closure costs were appropriate considering the stage of the facility's life cycle to achieve the objective of the costs being as accurately understood as much as is practicable, given potential changes and unknowns with the future of the facility?</v>
      </c>
      <c r="G1155" s="388" t="s">
        <v>1194</v>
      </c>
      <c r="H1155" s="390">
        <v>3</v>
      </c>
      <c r="I1155" s="390">
        <v>3</v>
      </c>
      <c r="J1155" s="390"/>
      <c r="K1155" s="398">
        <f>_xlfn.IFNA(VLOOKUP(A1155,numbering!$K$3:$L$92,2,0),0)</f>
        <v>0</v>
      </c>
    </row>
    <row r="1156" spans="1:11" ht="60" hidden="1" x14ac:dyDescent="0.2">
      <c r="A1156" s="390">
        <v>328</v>
      </c>
      <c r="B1156" s="390" t="s">
        <v>450</v>
      </c>
      <c r="C1156" s="390">
        <f>VLOOKUP(B1156,numbering!$N$18:$O$30,2,0)</f>
        <v>8</v>
      </c>
      <c r="D1156" s="390" t="s">
        <v>470</v>
      </c>
      <c r="E1156" s="403">
        <f t="shared" si="28"/>
        <v>7</v>
      </c>
      <c r="F1156" s="432" t="str">
        <f>F1155</f>
        <v>Is there documented evidence that the methods used to estimate closure and post-closure costs were appropriate considering the stage of the facility's life cycle to achieve the objective of the costs being as accurately understood as much as is practicable, given potential changes and unknowns with the future of the facility?</v>
      </c>
      <c r="G1156" s="388" t="s">
        <v>1195</v>
      </c>
      <c r="H1156" s="390">
        <v>4</v>
      </c>
      <c r="I1156" s="390">
        <v>4</v>
      </c>
      <c r="J1156" s="390"/>
      <c r="K1156" s="398">
        <f>_xlfn.IFNA(VLOOKUP(A1156,numbering!$K$3:$L$92,2,0),0)</f>
        <v>0</v>
      </c>
    </row>
    <row r="1157" spans="1:11" ht="75" hidden="1" x14ac:dyDescent="0.2">
      <c r="A1157" s="390">
        <v>329</v>
      </c>
      <c r="B1157" s="390" t="s">
        <v>450</v>
      </c>
      <c r="C1157" s="390">
        <f>VLOOKUP(B1157,numbering!$N$18:$O$30,2,0)</f>
        <v>8</v>
      </c>
      <c r="D1157" s="390" t="s">
        <v>470</v>
      </c>
      <c r="E1157" s="403">
        <f t="shared" si="28"/>
        <v>7</v>
      </c>
      <c r="F1157" s="432" t="s">
        <v>480</v>
      </c>
      <c r="G1157" s="388" t="s">
        <v>1192</v>
      </c>
      <c r="H1157" s="390">
        <v>1</v>
      </c>
      <c r="I1157" s="390">
        <v>1</v>
      </c>
      <c r="J1157" s="390"/>
      <c r="K1157" s="398">
        <f>_xlfn.IFNA(VLOOKUP(A1157,numbering!$K$3:$L$92,2,0),0)</f>
        <v>0</v>
      </c>
    </row>
    <row r="1158" spans="1:11" ht="75" hidden="1" x14ac:dyDescent="0.2">
      <c r="A1158" s="390">
        <v>329</v>
      </c>
      <c r="B1158" s="390" t="s">
        <v>450</v>
      </c>
      <c r="C1158" s="390">
        <f>VLOOKUP(B1158,numbering!$N$18:$O$30,2,0)</f>
        <v>8</v>
      </c>
      <c r="D1158" s="390" t="s">
        <v>470</v>
      </c>
      <c r="E1158" s="403">
        <f t="shared" si="28"/>
        <v>7</v>
      </c>
      <c r="F1158" s="432" t="str">
        <f>F1157</f>
        <v>Is there documented evidence that the costs (including insurance) and resources that were estimated for the planned closure, early closure, reclamation and post-closure of the tailings facility and appurtenant structures were appropriately reviewed on an annual basis throughout the facility's life, to achieve the objective of the costs and resources being estimated using defensible methods?</v>
      </c>
      <c r="G1158" s="388" t="s">
        <v>1193</v>
      </c>
      <c r="H1158" s="390">
        <v>2</v>
      </c>
      <c r="I1158" s="390">
        <v>2</v>
      </c>
      <c r="J1158" s="390"/>
      <c r="K1158" s="398">
        <f>_xlfn.IFNA(VLOOKUP(A1158,numbering!$K$3:$L$92,2,0),0)</f>
        <v>0</v>
      </c>
    </row>
    <row r="1159" spans="1:11" ht="75" hidden="1" x14ac:dyDescent="0.2">
      <c r="A1159" s="390">
        <v>329</v>
      </c>
      <c r="B1159" s="390" t="s">
        <v>450</v>
      </c>
      <c r="C1159" s="390">
        <f>VLOOKUP(B1159,numbering!$N$18:$O$30,2,0)</f>
        <v>8</v>
      </c>
      <c r="D1159" s="390" t="s">
        <v>470</v>
      </c>
      <c r="E1159" s="403">
        <f t="shared" si="28"/>
        <v>7</v>
      </c>
      <c r="F1159" s="432" t="str">
        <f>F1158</f>
        <v>Is there documented evidence that the costs (including insurance) and resources that were estimated for the planned closure, early closure, reclamation and post-closure of the tailings facility and appurtenant structures were appropriately reviewed on an annual basis throughout the facility's life, to achieve the objective of the costs and resources being estimated using defensible methods?</v>
      </c>
      <c r="G1159" s="388" t="s">
        <v>1194</v>
      </c>
      <c r="H1159" s="390">
        <v>3</v>
      </c>
      <c r="I1159" s="390">
        <v>3</v>
      </c>
      <c r="J1159" s="390"/>
      <c r="K1159" s="398">
        <f>_xlfn.IFNA(VLOOKUP(A1159,numbering!$K$3:$L$92,2,0),0)</f>
        <v>0</v>
      </c>
    </row>
    <row r="1160" spans="1:11" ht="75" hidden="1" x14ac:dyDescent="0.2">
      <c r="A1160" s="390">
        <v>329</v>
      </c>
      <c r="B1160" s="390" t="s">
        <v>450</v>
      </c>
      <c r="C1160" s="390">
        <f>VLOOKUP(B1160,numbering!$N$18:$O$30,2,0)</f>
        <v>8</v>
      </c>
      <c r="D1160" s="390" t="s">
        <v>470</v>
      </c>
      <c r="E1160" s="403">
        <f t="shared" si="28"/>
        <v>7</v>
      </c>
      <c r="F1160" s="432" t="str">
        <f>F1159</f>
        <v>Is there documented evidence that the costs (including insurance) and resources that were estimated for the planned closure, early closure, reclamation and post-closure of the tailings facility and appurtenant structures were appropriately reviewed on an annual basis throughout the facility's life, to achieve the objective of the costs and resources being estimated using defensible methods?</v>
      </c>
      <c r="G1160" s="388" t="s">
        <v>1195</v>
      </c>
      <c r="H1160" s="390">
        <v>4</v>
      </c>
      <c r="I1160" s="390">
        <v>4</v>
      </c>
      <c r="J1160" s="390"/>
      <c r="K1160" s="398">
        <f>_xlfn.IFNA(VLOOKUP(A1160,numbering!$K$3:$L$92,2,0),0)</f>
        <v>0</v>
      </c>
    </row>
    <row r="1161" spans="1:11" ht="45" hidden="1" x14ac:dyDescent="0.2">
      <c r="A1161" s="390">
        <v>330</v>
      </c>
      <c r="B1161" s="390" t="s">
        <v>450</v>
      </c>
      <c r="C1161" s="390">
        <f>VLOOKUP(B1161,numbering!$N$18:$O$30,2,0)</f>
        <v>8</v>
      </c>
      <c r="D1161" s="390" t="s">
        <v>470</v>
      </c>
      <c r="E1161" s="403">
        <f t="shared" si="28"/>
        <v>7</v>
      </c>
      <c r="F1161" s="432" t="s">
        <v>1172</v>
      </c>
      <c r="G1161" s="388" t="s">
        <v>1192</v>
      </c>
      <c r="H1161" s="390">
        <v>1</v>
      </c>
      <c r="I1161" s="390">
        <v>1</v>
      </c>
      <c r="J1161" s="390"/>
      <c r="K1161" s="398">
        <f>_xlfn.IFNA(VLOOKUP(A1161,numbering!$K$3:$L$92,2,0),0)</f>
        <v>0</v>
      </c>
    </row>
    <row r="1162" spans="1:11" ht="45" hidden="1" x14ac:dyDescent="0.2">
      <c r="A1162" s="390">
        <v>330</v>
      </c>
      <c r="B1162" s="390" t="s">
        <v>450</v>
      </c>
      <c r="C1162" s="390">
        <f>VLOOKUP(B1162,numbering!$N$18:$O$30,2,0)</f>
        <v>8</v>
      </c>
      <c r="D1162" s="390" t="s">
        <v>470</v>
      </c>
      <c r="E1162" s="403">
        <f t="shared" si="28"/>
        <v>7</v>
      </c>
      <c r="F1162" s="432" t="str">
        <f>F1161</f>
        <v xml:space="preserve">Is there documented evidence that the closure and post-closure costs were publicly disclosed annually to achieve the objective of responsible management and transparency to relevant stakeholders? </v>
      </c>
      <c r="G1162" s="388" t="s">
        <v>1193</v>
      </c>
      <c r="H1162" s="390">
        <v>2</v>
      </c>
      <c r="I1162" s="390">
        <v>2</v>
      </c>
      <c r="J1162" s="390"/>
      <c r="K1162" s="398">
        <f>_xlfn.IFNA(VLOOKUP(A1162,numbering!$K$3:$L$92,2,0),0)</f>
        <v>0</v>
      </c>
    </row>
    <row r="1163" spans="1:11" ht="45" hidden="1" x14ac:dyDescent="0.2">
      <c r="A1163" s="390">
        <v>330</v>
      </c>
      <c r="B1163" s="390" t="s">
        <v>450</v>
      </c>
      <c r="C1163" s="390">
        <f>VLOOKUP(B1163,numbering!$N$18:$O$30,2,0)</f>
        <v>8</v>
      </c>
      <c r="D1163" s="390" t="s">
        <v>470</v>
      </c>
      <c r="E1163" s="403">
        <f t="shared" si="28"/>
        <v>7</v>
      </c>
      <c r="F1163" s="432" t="str">
        <f>F1162</f>
        <v xml:space="preserve">Is there documented evidence that the closure and post-closure costs were publicly disclosed annually to achieve the objective of responsible management and transparency to relevant stakeholders? </v>
      </c>
      <c r="G1163" s="388" t="s">
        <v>1194</v>
      </c>
      <c r="H1163" s="390">
        <v>3</v>
      </c>
      <c r="I1163" s="390">
        <v>3</v>
      </c>
      <c r="J1163" s="390"/>
      <c r="K1163" s="398">
        <f>_xlfn.IFNA(VLOOKUP(A1163,numbering!$K$3:$L$92,2,0),0)</f>
        <v>0</v>
      </c>
    </row>
    <row r="1164" spans="1:11" ht="45" hidden="1" x14ac:dyDescent="0.2">
      <c r="A1164" s="390">
        <v>330</v>
      </c>
      <c r="B1164" s="390" t="s">
        <v>450</v>
      </c>
      <c r="C1164" s="390">
        <f>VLOOKUP(B1164,numbering!$N$18:$O$30,2,0)</f>
        <v>8</v>
      </c>
      <c r="D1164" s="390" t="s">
        <v>470</v>
      </c>
      <c r="E1164" s="403">
        <f t="shared" si="28"/>
        <v>7</v>
      </c>
      <c r="F1164" s="432" t="str">
        <f>F1163</f>
        <v xml:space="preserve">Is there documented evidence that the closure and post-closure costs were publicly disclosed annually to achieve the objective of responsible management and transparency to relevant stakeholders? </v>
      </c>
      <c r="G1164" s="388" t="s">
        <v>1195</v>
      </c>
      <c r="H1164" s="390">
        <v>4</v>
      </c>
      <c r="I1164" s="390">
        <v>4</v>
      </c>
      <c r="J1164" s="390"/>
      <c r="K1164" s="398">
        <f>_xlfn.IFNA(VLOOKUP(A1164,numbering!$K$3:$L$92,2,0),0)</f>
        <v>0</v>
      </c>
    </row>
    <row r="1165" spans="1:11" ht="30" hidden="1" x14ac:dyDescent="0.2">
      <c r="A1165" s="390">
        <v>331</v>
      </c>
      <c r="B1165" s="390" t="s">
        <v>450</v>
      </c>
      <c r="C1165" s="390">
        <f>VLOOKUP(B1165,numbering!$N$18:$O$30,2,0)</f>
        <v>8</v>
      </c>
      <c r="D1165" s="390" t="s">
        <v>470</v>
      </c>
      <c r="E1165" s="403">
        <f t="shared" si="28"/>
        <v>7</v>
      </c>
      <c r="F1165" s="432" t="s">
        <v>481</v>
      </c>
      <c r="G1165" s="388" t="s">
        <v>8</v>
      </c>
      <c r="H1165" s="390">
        <v>1</v>
      </c>
      <c r="I1165" s="390">
        <v>1</v>
      </c>
      <c r="J1165" s="390"/>
      <c r="K1165" s="398">
        <f>_xlfn.IFNA(VLOOKUP(A1165,numbering!$K$3:$L$92,2,0),0)</f>
        <v>0</v>
      </c>
    </row>
    <row r="1166" spans="1:11" ht="30" hidden="1" x14ac:dyDescent="0.2">
      <c r="A1166" s="390">
        <v>331</v>
      </c>
      <c r="B1166" s="390" t="s">
        <v>450</v>
      </c>
      <c r="C1166" s="390">
        <f>VLOOKUP(B1166,numbering!$N$18:$O$30,2,0)</f>
        <v>8</v>
      </c>
      <c r="D1166" s="390" t="s">
        <v>470</v>
      </c>
      <c r="E1166" s="403">
        <f t="shared" si="28"/>
        <v>7</v>
      </c>
      <c r="F1166" s="432" t="s">
        <v>1173</v>
      </c>
      <c r="G1166" s="388" t="s">
        <v>7</v>
      </c>
      <c r="H1166" s="390">
        <v>4</v>
      </c>
      <c r="I1166" s="390">
        <v>4</v>
      </c>
      <c r="J1166" s="390"/>
      <c r="K1166" s="398">
        <f>_xlfn.IFNA(VLOOKUP(A1166,numbering!$K$3:$L$92,2,0),0)</f>
        <v>0</v>
      </c>
    </row>
    <row r="1167" spans="1:11" ht="60" hidden="1" x14ac:dyDescent="0.2">
      <c r="A1167" s="390">
        <v>332</v>
      </c>
      <c r="B1167" s="390" t="s">
        <v>450</v>
      </c>
      <c r="C1167" s="390">
        <f>VLOOKUP(B1167,numbering!$N$18:$O$30,2,0)</f>
        <v>8</v>
      </c>
      <c r="D1167" s="390" t="s">
        <v>470</v>
      </c>
      <c r="E1167" s="403">
        <f t="shared" si="28"/>
        <v>7</v>
      </c>
      <c r="F1167" s="437" t="s">
        <v>482</v>
      </c>
      <c r="G1167" s="388" t="s">
        <v>1192</v>
      </c>
      <c r="H1167" s="390">
        <v>1</v>
      </c>
      <c r="I1167" s="390">
        <v>1</v>
      </c>
      <c r="J1167" s="390"/>
      <c r="K1167" s="398">
        <f>_xlfn.IFNA(VLOOKUP(A1167,numbering!$K$3:$L$92,2,0),0)</f>
        <v>0</v>
      </c>
    </row>
    <row r="1168" spans="1:11" ht="60" hidden="1" x14ac:dyDescent="0.2">
      <c r="A1168" s="390">
        <v>332</v>
      </c>
      <c r="B1168" s="390" t="s">
        <v>450</v>
      </c>
      <c r="C1168" s="390">
        <f>VLOOKUP(B1168,numbering!$N$18:$O$30,2,0)</f>
        <v>8</v>
      </c>
      <c r="D1168" s="390" t="s">
        <v>470</v>
      </c>
      <c r="E1168" s="403">
        <f t="shared" si="28"/>
        <v>7</v>
      </c>
      <c r="F1168" s="437" t="str">
        <f>F1167</f>
        <v>If yes, is there documented evidence that demonstrates efforts were made to achieve the objective of determining if the potential new owner was capable of maintaining the facility to the requirements stated in relevant standards and guidelines?</v>
      </c>
      <c r="G1168" s="388" t="s">
        <v>1193</v>
      </c>
      <c r="H1168" s="390">
        <v>2</v>
      </c>
      <c r="I1168" s="390">
        <v>2</v>
      </c>
      <c r="J1168" s="390"/>
      <c r="K1168" s="398">
        <f>_xlfn.IFNA(VLOOKUP(A1168,numbering!$K$3:$L$92,2,0),0)</f>
        <v>0</v>
      </c>
    </row>
    <row r="1169" spans="1:11" ht="60" hidden="1" x14ac:dyDescent="0.2">
      <c r="A1169" s="390">
        <v>332</v>
      </c>
      <c r="B1169" s="390" t="s">
        <v>450</v>
      </c>
      <c r="C1169" s="390">
        <f>VLOOKUP(B1169,numbering!$N$18:$O$30,2,0)</f>
        <v>8</v>
      </c>
      <c r="D1169" s="390" t="s">
        <v>470</v>
      </c>
      <c r="E1169" s="403">
        <f t="shared" si="28"/>
        <v>7</v>
      </c>
      <c r="F1169" s="437" t="str">
        <f>F1168</f>
        <v>If yes, is there documented evidence that demonstrates efforts were made to achieve the objective of determining if the potential new owner was capable of maintaining the facility to the requirements stated in relevant standards and guidelines?</v>
      </c>
      <c r="G1169" s="388" t="s">
        <v>1194</v>
      </c>
      <c r="H1169" s="390">
        <v>3</v>
      </c>
      <c r="I1169" s="390">
        <v>3</v>
      </c>
      <c r="J1169" s="390"/>
      <c r="K1169" s="398">
        <f>_xlfn.IFNA(VLOOKUP(A1169,numbering!$K$3:$L$92,2,0),0)</f>
        <v>0</v>
      </c>
    </row>
    <row r="1170" spans="1:11" ht="60" hidden="1" x14ac:dyDescent="0.2">
      <c r="A1170" s="390">
        <v>332</v>
      </c>
      <c r="B1170" s="390" t="s">
        <v>450</v>
      </c>
      <c r="C1170" s="390">
        <f>VLOOKUP(B1170,numbering!$N$18:$O$30,2,0)</f>
        <v>8</v>
      </c>
      <c r="D1170" s="390" t="s">
        <v>470</v>
      </c>
      <c r="E1170" s="403">
        <f t="shared" si="28"/>
        <v>7</v>
      </c>
      <c r="F1170" s="437" t="str">
        <f>F1169</f>
        <v>If yes, is there documented evidence that demonstrates efforts were made to achieve the objective of determining if the potential new owner was capable of maintaining the facility to the requirements stated in relevant standards and guidelines?</v>
      </c>
      <c r="G1170" s="388" t="s">
        <v>1195</v>
      </c>
      <c r="H1170" s="390">
        <v>4</v>
      </c>
      <c r="I1170" s="390">
        <v>4</v>
      </c>
      <c r="J1170" s="390"/>
      <c r="K1170" s="398">
        <f>_xlfn.IFNA(VLOOKUP(A1170,numbering!$K$3:$L$92,2,0),0)</f>
        <v>0</v>
      </c>
    </row>
    <row r="1171" spans="1:11" ht="45" hidden="1" x14ac:dyDescent="0.2">
      <c r="A1171" s="390">
        <v>333</v>
      </c>
      <c r="B1171" s="390" t="s">
        <v>450</v>
      </c>
      <c r="C1171" s="390">
        <f>VLOOKUP(B1171,numbering!$N$18:$O$30,2,0)</f>
        <v>8</v>
      </c>
      <c r="D1171" s="390" t="s">
        <v>485</v>
      </c>
      <c r="E1171" s="403">
        <f t="shared" si="28"/>
        <v>8</v>
      </c>
      <c r="F1171" s="437" t="s">
        <v>486</v>
      </c>
      <c r="G1171" s="388" t="s">
        <v>1192</v>
      </c>
      <c r="H1171" s="390">
        <v>1</v>
      </c>
      <c r="I1171" s="390">
        <v>1</v>
      </c>
      <c r="J1171" s="390"/>
      <c r="K1171" s="398">
        <f>_xlfn.IFNA(VLOOKUP(A1171,numbering!$K$3:$L$92,2,0),0)</f>
        <v>0</v>
      </c>
    </row>
    <row r="1172" spans="1:11" ht="45" hidden="1" x14ac:dyDescent="0.2">
      <c r="A1172" s="390">
        <v>333</v>
      </c>
      <c r="B1172" s="390" t="s">
        <v>450</v>
      </c>
      <c r="C1172" s="390">
        <f>VLOOKUP(B1172,numbering!$N$18:$O$30,2,0)</f>
        <v>8</v>
      </c>
      <c r="D1172" s="390" t="s">
        <v>485</v>
      </c>
      <c r="E1172" s="403">
        <f t="shared" si="28"/>
        <v>8</v>
      </c>
      <c r="F1172" s="437" t="str">
        <f>F1171</f>
        <v>Is there documented evidence that a process and sufficient resources are in place to achieve the objective of educating personnel on their role and responsibilities and how it relates to the risk level of the facility?</v>
      </c>
      <c r="G1172" s="388" t="s">
        <v>1193</v>
      </c>
      <c r="H1172" s="390">
        <v>2</v>
      </c>
      <c r="I1172" s="390">
        <v>2</v>
      </c>
      <c r="J1172" s="390"/>
      <c r="K1172" s="398">
        <f>_xlfn.IFNA(VLOOKUP(A1172,numbering!$K$3:$L$92,2,0),0)</f>
        <v>0</v>
      </c>
    </row>
    <row r="1173" spans="1:11" ht="45" hidden="1" x14ac:dyDescent="0.2">
      <c r="A1173" s="390">
        <v>333</v>
      </c>
      <c r="B1173" s="390" t="s">
        <v>450</v>
      </c>
      <c r="C1173" s="390">
        <f>VLOOKUP(B1173,numbering!$N$18:$O$30,2,0)</f>
        <v>8</v>
      </c>
      <c r="D1173" s="390" t="s">
        <v>485</v>
      </c>
      <c r="E1173" s="403">
        <f t="shared" si="28"/>
        <v>8</v>
      </c>
      <c r="F1173" s="437" t="str">
        <f>F1172</f>
        <v>Is there documented evidence that a process and sufficient resources are in place to achieve the objective of educating personnel on their role and responsibilities and how it relates to the risk level of the facility?</v>
      </c>
      <c r="G1173" s="388" t="s">
        <v>1194</v>
      </c>
      <c r="H1173" s="390">
        <v>3</v>
      </c>
      <c r="I1173" s="390">
        <v>3</v>
      </c>
      <c r="J1173" s="390"/>
      <c r="K1173" s="398">
        <f>_xlfn.IFNA(VLOOKUP(A1173,numbering!$K$3:$L$92,2,0),0)</f>
        <v>0</v>
      </c>
    </row>
    <row r="1174" spans="1:11" ht="45" hidden="1" x14ac:dyDescent="0.2">
      <c r="A1174" s="390">
        <v>333</v>
      </c>
      <c r="B1174" s="390" t="s">
        <v>450</v>
      </c>
      <c r="C1174" s="390">
        <f>VLOOKUP(B1174,numbering!$N$18:$O$30,2,0)</f>
        <v>8</v>
      </c>
      <c r="D1174" s="390" t="s">
        <v>485</v>
      </c>
      <c r="E1174" s="403">
        <f t="shared" si="28"/>
        <v>8</v>
      </c>
      <c r="F1174" s="437" t="str">
        <f>F1173</f>
        <v>Is there documented evidence that a process and sufficient resources are in place to achieve the objective of educating personnel on their role and responsibilities and how it relates to the risk level of the facility?</v>
      </c>
      <c r="G1174" s="388" t="s">
        <v>1195</v>
      </c>
      <c r="H1174" s="390">
        <v>4</v>
      </c>
      <c r="I1174" s="390">
        <v>4</v>
      </c>
      <c r="J1174" s="390"/>
      <c r="K1174" s="398">
        <f>_xlfn.IFNA(VLOOKUP(A1174,numbering!$K$3:$L$92,2,0),0)</f>
        <v>0</v>
      </c>
    </row>
    <row r="1175" spans="1:11" ht="60" hidden="1" x14ac:dyDescent="0.2">
      <c r="A1175" s="390">
        <v>334</v>
      </c>
      <c r="B1175" s="390" t="s">
        <v>450</v>
      </c>
      <c r="C1175" s="390">
        <f>VLOOKUP(B1175,numbering!$N$18:$O$30,2,0)</f>
        <v>8</v>
      </c>
      <c r="D1175" s="390" t="s">
        <v>485</v>
      </c>
      <c r="E1175" s="403">
        <f t="shared" si="28"/>
        <v>8</v>
      </c>
      <c r="F1175" s="437" t="s">
        <v>487</v>
      </c>
      <c r="G1175" s="388" t="s">
        <v>1192</v>
      </c>
      <c r="H1175" s="390">
        <v>1</v>
      </c>
      <c r="I1175" s="390">
        <v>1</v>
      </c>
      <c r="J1175" s="390"/>
      <c r="K1175" s="398">
        <f>_xlfn.IFNA(VLOOKUP(A1175,numbering!$K$3:$L$92,2,0),0)</f>
        <v>0</v>
      </c>
    </row>
    <row r="1176" spans="1:11" ht="60" hidden="1" x14ac:dyDescent="0.2">
      <c r="A1176" s="390">
        <v>334</v>
      </c>
      <c r="B1176" s="390" t="s">
        <v>450</v>
      </c>
      <c r="C1176" s="390">
        <f>VLOOKUP(B1176,numbering!$N$18:$O$30,2,0)</f>
        <v>8</v>
      </c>
      <c r="D1176" s="390" t="s">
        <v>485</v>
      </c>
      <c r="E1176" s="403">
        <f t="shared" si="28"/>
        <v>8</v>
      </c>
      <c r="F1176" s="437" t="str">
        <f>F1175</f>
        <v>Is there documented evidence that a process and sufficient resources are in place to educate personnel to achieve the objective of all personnel being educated on the operating requirements of the facility and how it relates to the risk level of the facility?</v>
      </c>
      <c r="G1176" s="388" t="s">
        <v>1193</v>
      </c>
      <c r="H1176" s="390">
        <v>2</v>
      </c>
      <c r="I1176" s="390">
        <v>2</v>
      </c>
      <c r="J1176" s="390"/>
      <c r="K1176" s="398">
        <f>_xlfn.IFNA(VLOOKUP(A1176,numbering!$K$3:$L$92,2,0),0)</f>
        <v>0</v>
      </c>
    </row>
    <row r="1177" spans="1:11" ht="60" hidden="1" x14ac:dyDescent="0.2">
      <c r="A1177" s="390">
        <v>334</v>
      </c>
      <c r="B1177" s="390" t="s">
        <v>450</v>
      </c>
      <c r="C1177" s="390">
        <f>VLOOKUP(B1177,numbering!$N$18:$O$30,2,0)</f>
        <v>8</v>
      </c>
      <c r="D1177" s="390" t="s">
        <v>485</v>
      </c>
      <c r="E1177" s="403">
        <f t="shared" si="28"/>
        <v>8</v>
      </c>
      <c r="F1177" s="437" t="str">
        <f>F1176</f>
        <v>Is there documented evidence that a process and sufficient resources are in place to educate personnel to achieve the objective of all personnel being educated on the operating requirements of the facility and how it relates to the risk level of the facility?</v>
      </c>
      <c r="G1177" s="388" t="s">
        <v>1194</v>
      </c>
      <c r="H1177" s="390">
        <v>3</v>
      </c>
      <c r="I1177" s="390">
        <v>3</v>
      </c>
      <c r="J1177" s="390"/>
      <c r="K1177" s="398">
        <f>_xlfn.IFNA(VLOOKUP(A1177,numbering!$K$3:$L$92,2,0),0)</f>
        <v>0</v>
      </c>
    </row>
    <row r="1178" spans="1:11" ht="60" hidden="1" x14ac:dyDescent="0.2">
      <c r="A1178" s="390">
        <v>334</v>
      </c>
      <c r="B1178" s="390" t="s">
        <v>450</v>
      </c>
      <c r="C1178" s="390">
        <f>VLOOKUP(B1178,numbering!$N$18:$O$30,2,0)</f>
        <v>8</v>
      </c>
      <c r="D1178" s="390" t="s">
        <v>485</v>
      </c>
      <c r="E1178" s="403">
        <f t="shared" si="28"/>
        <v>8</v>
      </c>
      <c r="F1178" s="437" t="str">
        <f>F1177</f>
        <v>Is there documented evidence that a process and sufficient resources are in place to educate personnel to achieve the objective of all personnel being educated on the operating requirements of the facility and how it relates to the risk level of the facility?</v>
      </c>
      <c r="G1178" s="388" t="s">
        <v>1195</v>
      </c>
      <c r="H1178" s="390">
        <v>4</v>
      </c>
      <c r="I1178" s="390">
        <v>4</v>
      </c>
      <c r="J1178" s="390"/>
      <c r="K1178" s="398">
        <f>_xlfn.IFNA(VLOOKUP(A1178,numbering!$K$3:$L$92,2,0),0)</f>
        <v>0</v>
      </c>
    </row>
    <row r="1179" spans="1:11" ht="60" hidden="1" x14ac:dyDescent="0.2">
      <c r="A1179" s="390">
        <v>335</v>
      </c>
      <c r="B1179" s="390" t="s">
        <v>450</v>
      </c>
      <c r="C1179" s="390">
        <f>VLOOKUP(B1179,numbering!$N$18:$O$30,2,0)</f>
        <v>8</v>
      </c>
      <c r="D1179" s="390" t="s">
        <v>485</v>
      </c>
      <c r="E1179" s="403">
        <f t="shared" si="28"/>
        <v>8</v>
      </c>
      <c r="F1179" s="437" t="s">
        <v>488</v>
      </c>
      <c r="G1179" s="388" t="s">
        <v>1192</v>
      </c>
      <c r="H1179" s="390">
        <v>1</v>
      </c>
      <c r="I1179" s="390">
        <v>1</v>
      </c>
      <c r="J1179" s="390"/>
      <c r="K1179" s="398">
        <f>_xlfn.IFNA(VLOOKUP(A1179,numbering!$K$3:$L$92,2,0),0)</f>
        <v>0</v>
      </c>
    </row>
    <row r="1180" spans="1:11" ht="60" hidden="1" x14ac:dyDescent="0.2">
      <c r="A1180" s="390">
        <v>335</v>
      </c>
      <c r="B1180" s="390" t="s">
        <v>450</v>
      </c>
      <c r="C1180" s="390">
        <f>VLOOKUP(B1180,numbering!$N$18:$O$30,2,0)</f>
        <v>8</v>
      </c>
      <c r="D1180" s="390" t="s">
        <v>485</v>
      </c>
      <c r="E1180" s="403">
        <f t="shared" si="28"/>
        <v>8</v>
      </c>
      <c r="F1180" s="437" t="str">
        <f>F1179</f>
        <v>Is there documented evidence that the education process includes certification which achieves the objective of certifying that personnel are adequately trained and educated based on a review of the personnel's understanding of their role and responsibilities and the operating requirements of the facility?</v>
      </c>
      <c r="G1180" s="388" t="s">
        <v>1193</v>
      </c>
      <c r="H1180" s="390">
        <v>2</v>
      </c>
      <c r="I1180" s="390">
        <v>2</v>
      </c>
      <c r="J1180" s="390"/>
      <c r="K1180" s="398">
        <f>_xlfn.IFNA(VLOOKUP(A1180,numbering!$K$3:$L$92,2,0),0)</f>
        <v>0</v>
      </c>
    </row>
    <row r="1181" spans="1:11" ht="60" hidden="1" x14ac:dyDescent="0.2">
      <c r="A1181" s="390">
        <v>335</v>
      </c>
      <c r="B1181" s="390" t="s">
        <v>450</v>
      </c>
      <c r="C1181" s="390">
        <f>VLOOKUP(B1181,numbering!$N$18:$O$30,2,0)</f>
        <v>8</v>
      </c>
      <c r="D1181" s="390" t="s">
        <v>485</v>
      </c>
      <c r="E1181" s="403">
        <f t="shared" si="28"/>
        <v>8</v>
      </c>
      <c r="F1181" s="437" t="str">
        <f>F1180</f>
        <v>Is there documented evidence that the education process includes certification which achieves the objective of certifying that personnel are adequately trained and educated based on a review of the personnel's understanding of their role and responsibilities and the operating requirements of the facility?</v>
      </c>
      <c r="G1181" s="388" t="s">
        <v>1194</v>
      </c>
      <c r="H1181" s="390">
        <v>3</v>
      </c>
      <c r="I1181" s="390">
        <v>3</v>
      </c>
      <c r="J1181" s="390"/>
      <c r="K1181" s="398">
        <f>_xlfn.IFNA(VLOOKUP(A1181,numbering!$K$3:$L$92,2,0),0)</f>
        <v>0</v>
      </c>
    </row>
    <row r="1182" spans="1:11" ht="60" hidden="1" x14ac:dyDescent="0.2">
      <c r="A1182" s="390">
        <v>335</v>
      </c>
      <c r="B1182" s="390" t="s">
        <v>450</v>
      </c>
      <c r="C1182" s="390">
        <f>VLOOKUP(B1182,numbering!$N$18:$O$30,2,0)</f>
        <v>8</v>
      </c>
      <c r="D1182" s="390" t="s">
        <v>485</v>
      </c>
      <c r="E1182" s="403">
        <f t="shared" si="28"/>
        <v>8</v>
      </c>
      <c r="F1182" s="437" t="str">
        <f>F1181</f>
        <v>Is there documented evidence that the education process includes certification which achieves the objective of certifying that personnel are adequately trained and educated based on a review of the personnel's understanding of their role and responsibilities and the operating requirements of the facility?</v>
      </c>
      <c r="G1182" s="388" t="s">
        <v>1195</v>
      </c>
      <c r="H1182" s="390">
        <v>4</v>
      </c>
      <c r="I1182" s="390">
        <v>4</v>
      </c>
      <c r="J1182" s="390"/>
      <c r="K1182" s="398">
        <f>_xlfn.IFNA(VLOOKUP(A1182,numbering!$K$3:$L$92,2,0),0)</f>
        <v>0</v>
      </c>
    </row>
    <row r="1183" spans="1:11" ht="45" hidden="1" x14ac:dyDescent="0.2">
      <c r="A1183" s="390">
        <v>336</v>
      </c>
      <c r="B1183" s="390" t="s">
        <v>450</v>
      </c>
      <c r="C1183" s="390">
        <f>VLOOKUP(B1183,numbering!$N$18:$O$30,2,0)</f>
        <v>8</v>
      </c>
      <c r="D1183" s="390" t="s">
        <v>485</v>
      </c>
      <c r="E1183" s="403">
        <f t="shared" si="28"/>
        <v>8</v>
      </c>
      <c r="F1183" s="432" t="s">
        <v>489</v>
      </c>
      <c r="G1183" s="388" t="s">
        <v>1192</v>
      </c>
      <c r="H1183" s="390">
        <v>1</v>
      </c>
      <c r="I1183" s="390">
        <v>1</v>
      </c>
      <c r="J1183" s="390"/>
      <c r="K1183" s="398">
        <f>_xlfn.IFNA(VLOOKUP(A1183,numbering!$K$3:$L$92,2,0),0)</f>
        <v>0</v>
      </c>
    </row>
    <row r="1184" spans="1:11" ht="45" hidden="1" x14ac:dyDescent="0.2">
      <c r="A1184" s="390">
        <v>336</v>
      </c>
      <c r="B1184" s="390" t="s">
        <v>450</v>
      </c>
      <c r="C1184" s="390">
        <f>VLOOKUP(B1184,numbering!$N$18:$O$30,2,0)</f>
        <v>8</v>
      </c>
      <c r="D1184" s="390" t="s">
        <v>485</v>
      </c>
      <c r="E1184" s="403">
        <f t="shared" si="28"/>
        <v>8</v>
      </c>
      <c r="F1184" s="432" t="str">
        <f>F1183</f>
        <v>Is there documented evidence that the required training achieves the objective of being directly based on, and suitable for, the identified training and qualifications for responsible personnel?</v>
      </c>
      <c r="G1184" s="388" t="s">
        <v>1193</v>
      </c>
      <c r="H1184" s="390">
        <v>2</v>
      </c>
      <c r="I1184" s="390">
        <v>2</v>
      </c>
      <c r="J1184" s="390"/>
      <c r="K1184" s="398">
        <f>_xlfn.IFNA(VLOOKUP(A1184,numbering!$K$3:$L$92,2,0),0)</f>
        <v>0</v>
      </c>
    </row>
    <row r="1185" spans="1:11" ht="45" hidden="1" x14ac:dyDescent="0.2">
      <c r="A1185" s="390">
        <v>336</v>
      </c>
      <c r="B1185" s="390" t="s">
        <v>450</v>
      </c>
      <c r="C1185" s="390">
        <f>VLOOKUP(B1185,numbering!$N$18:$O$30,2,0)</f>
        <v>8</v>
      </c>
      <c r="D1185" s="390" t="s">
        <v>485</v>
      </c>
      <c r="E1185" s="403">
        <f t="shared" si="28"/>
        <v>8</v>
      </c>
      <c r="F1185" s="432" t="str">
        <f>F1184</f>
        <v>Is there documented evidence that the required training achieves the objective of being directly based on, and suitable for, the identified training and qualifications for responsible personnel?</v>
      </c>
      <c r="G1185" s="388" t="s">
        <v>1194</v>
      </c>
      <c r="H1185" s="390">
        <v>3</v>
      </c>
      <c r="I1185" s="390">
        <v>3</v>
      </c>
      <c r="J1185" s="390"/>
      <c r="K1185" s="398">
        <f>_xlfn.IFNA(VLOOKUP(A1185,numbering!$K$3:$L$92,2,0),0)</f>
        <v>0</v>
      </c>
    </row>
    <row r="1186" spans="1:11" ht="45" hidden="1" x14ac:dyDescent="0.2">
      <c r="A1186" s="390">
        <v>336</v>
      </c>
      <c r="B1186" s="390" t="s">
        <v>450</v>
      </c>
      <c r="C1186" s="390">
        <f>VLOOKUP(B1186,numbering!$N$18:$O$30,2,0)</f>
        <v>8</v>
      </c>
      <c r="D1186" s="390" t="s">
        <v>485</v>
      </c>
      <c r="E1186" s="403">
        <f t="shared" si="28"/>
        <v>8</v>
      </c>
      <c r="F1186" s="432" t="str">
        <f>F1185</f>
        <v>Is there documented evidence that the required training achieves the objective of being directly based on, and suitable for, the identified training and qualifications for responsible personnel?</v>
      </c>
      <c r="G1186" s="388" t="s">
        <v>1195</v>
      </c>
      <c r="H1186" s="390">
        <v>4</v>
      </c>
      <c r="I1186" s="390">
        <v>4</v>
      </c>
      <c r="J1186" s="390"/>
      <c r="K1186" s="398">
        <f>_xlfn.IFNA(VLOOKUP(A1186,numbering!$K$3:$L$92,2,0),0)</f>
        <v>0</v>
      </c>
    </row>
    <row r="1187" spans="1:11" ht="45" hidden="1" x14ac:dyDescent="0.2">
      <c r="A1187" s="390">
        <v>337</v>
      </c>
      <c r="B1187" s="390" t="s">
        <v>450</v>
      </c>
      <c r="C1187" s="390">
        <f>VLOOKUP(B1187,numbering!$N$18:$O$30,2,0)</f>
        <v>8</v>
      </c>
      <c r="D1187" s="390" t="s">
        <v>485</v>
      </c>
      <c r="E1187" s="403">
        <f t="shared" si="28"/>
        <v>8</v>
      </c>
      <c r="F1187" s="437" t="s">
        <v>490</v>
      </c>
      <c r="G1187" s="388" t="s">
        <v>1192</v>
      </c>
      <c r="H1187" s="390">
        <v>1</v>
      </c>
      <c r="I1187" s="390">
        <v>1</v>
      </c>
      <c r="J1187" s="390"/>
      <c r="K1187" s="398">
        <f>_xlfn.IFNA(VLOOKUP(A1187,numbering!$K$3:$L$92,2,0),0)</f>
        <v>0</v>
      </c>
    </row>
    <row r="1188" spans="1:11" ht="45" hidden="1" x14ac:dyDescent="0.2">
      <c r="A1188" s="390">
        <v>337</v>
      </c>
      <c r="B1188" s="390" t="s">
        <v>450</v>
      </c>
      <c r="C1188" s="390">
        <f>VLOOKUP(B1188,numbering!$N$18:$O$30,2,0)</f>
        <v>8</v>
      </c>
      <c r="D1188" s="390" t="s">
        <v>485</v>
      </c>
      <c r="E1188" s="403">
        <f t="shared" si="28"/>
        <v>8</v>
      </c>
      <c r="F1188" s="437" t="str">
        <f>F1187</f>
        <v>Is there documented evidence, supported by verbal confirmation, that operation and management personnel achieve the objective of having a clear understanding of their roles and responsibilities and operating requirements of the facility?</v>
      </c>
      <c r="G1188" s="388" t="s">
        <v>1193</v>
      </c>
      <c r="H1188" s="390">
        <v>2</v>
      </c>
      <c r="I1188" s="390">
        <v>2</v>
      </c>
      <c r="J1188" s="390"/>
      <c r="K1188" s="398">
        <f>_xlfn.IFNA(VLOOKUP(A1188,numbering!$K$3:$L$92,2,0),0)</f>
        <v>0</v>
      </c>
    </row>
    <row r="1189" spans="1:11" ht="45" hidden="1" x14ac:dyDescent="0.2">
      <c r="A1189" s="390">
        <v>337</v>
      </c>
      <c r="B1189" s="390" t="s">
        <v>450</v>
      </c>
      <c r="C1189" s="390">
        <f>VLOOKUP(B1189,numbering!$N$18:$O$30,2,0)</f>
        <v>8</v>
      </c>
      <c r="D1189" s="390" t="s">
        <v>485</v>
      </c>
      <c r="E1189" s="403">
        <f t="shared" si="28"/>
        <v>8</v>
      </c>
      <c r="F1189" s="437" t="str">
        <f>F1188</f>
        <v>Is there documented evidence, supported by verbal confirmation, that operation and management personnel achieve the objective of having a clear understanding of their roles and responsibilities and operating requirements of the facility?</v>
      </c>
      <c r="G1189" s="388" t="s">
        <v>1194</v>
      </c>
      <c r="H1189" s="390">
        <v>3</v>
      </c>
      <c r="I1189" s="390">
        <v>3</v>
      </c>
      <c r="J1189" s="390"/>
      <c r="K1189" s="398">
        <f>_xlfn.IFNA(VLOOKUP(A1189,numbering!$K$3:$L$92,2,0),0)</f>
        <v>0</v>
      </c>
    </row>
    <row r="1190" spans="1:11" ht="45" hidden="1" x14ac:dyDescent="0.2">
      <c r="A1190" s="390">
        <v>337</v>
      </c>
      <c r="B1190" s="390" t="s">
        <v>450</v>
      </c>
      <c r="C1190" s="390">
        <f>VLOOKUP(B1190,numbering!$N$18:$O$30,2,0)</f>
        <v>8</v>
      </c>
      <c r="D1190" s="390" t="s">
        <v>485</v>
      </c>
      <c r="E1190" s="403">
        <f t="shared" si="28"/>
        <v>8</v>
      </c>
      <c r="F1190" s="437" t="str">
        <f>F1189</f>
        <v>Is there documented evidence, supported by verbal confirmation, that operation and management personnel achieve the objective of having a clear understanding of their roles and responsibilities and operating requirements of the facility?</v>
      </c>
      <c r="G1190" s="388" t="s">
        <v>1195</v>
      </c>
      <c r="H1190" s="390">
        <v>4</v>
      </c>
      <c r="I1190" s="390">
        <v>4</v>
      </c>
      <c r="J1190" s="390"/>
      <c r="K1190" s="398">
        <f>_xlfn.IFNA(VLOOKUP(A1190,numbering!$K$3:$L$92,2,0),0)</f>
        <v>0</v>
      </c>
    </row>
    <row r="1191" spans="1:11" ht="42" hidden="1" x14ac:dyDescent="0.2">
      <c r="A1191" s="390">
        <v>338</v>
      </c>
      <c r="B1191" s="390" t="s">
        <v>450</v>
      </c>
      <c r="C1191" s="390">
        <f>VLOOKUP(B1191,numbering!$N$18:$O$30,2,0)</f>
        <v>8</v>
      </c>
      <c r="D1191" s="390" t="s">
        <v>485</v>
      </c>
      <c r="E1191" s="403">
        <f t="shared" si="28"/>
        <v>8</v>
      </c>
      <c r="F1191" s="435" t="s">
        <v>491</v>
      </c>
      <c r="G1191" s="388" t="s">
        <v>1192</v>
      </c>
      <c r="H1191" s="390">
        <v>1</v>
      </c>
      <c r="I1191" s="390">
        <v>1</v>
      </c>
      <c r="J1191" s="390"/>
      <c r="K1191" s="398">
        <f>_xlfn.IFNA(VLOOKUP(A1191,numbering!$K$3:$L$92,2,0),0)</f>
        <v>0</v>
      </c>
    </row>
    <row r="1192" spans="1:11" ht="42" hidden="1" x14ac:dyDescent="0.2">
      <c r="A1192" s="390">
        <v>338</v>
      </c>
      <c r="B1192" s="390" t="s">
        <v>450</v>
      </c>
      <c r="C1192" s="390">
        <f>VLOOKUP(B1192,numbering!$N$18:$O$30,2,0)</f>
        <v>8</v>
      </c>
      <c r="D1192" s="390" t="s">
        <v>485</v>
      </c>
      <c r="E1192" s="403">
        <f t="shared" si="28"/>
        <v>8</v>
      </c>
      <c r="F1192" s="435" t="str">
        <f>F1191</f>
        <v>Is there documented evidence that management and operations personnel have achieved the objective of completing the minimum training requirements?</v>
      </c>
      <c r="G1192" s="388" t="s">
        <v>1193</v>
      </c>
      <c r="H1192" s="390">
        <v>2</v>
      </c>
      <c r="I1192" s="390">
        <v>2</v>
      </c>
      <c r="J1192" s="390"/>
      <c r="K1192" s="398">
        <f>_xlfn.IFNA(VLOOKUP(A1192,numbering!$K$3:$L$92,2,0),0)</f>
        <v>0</v>
      </c>
    </row>
    <row r="1193" spans="1:11" ht="42" hidden="1" x14ac:dyDescent="0.2">
      <c r="A1193" s="390">
        <v>338</v>
      </c>
      <c r="B1193" s="390" t="s">
        <v>450</v>
      </c>
      <c r="C1193" s="390">
        <f>VLOOKUP(B1193,numbering!$N$18:$O$30,2,0)</f>
        <v>8</v>
      </c>
      <c r="D1193" s="390" t="s">
        <v>485</v>
      </c>
      <c r="E1193" s="403">
        <f t="shared" si="28"/>
        <v>8</v>
      </c>
      <c r="F1193" s="435" t="str">
        <f>F1192</f>
        <v>Is there documented evidence that management and operations personnel have achieved the objective of completing the minimum training requirements?</v>
      </c>
      <c r="G1193" s="388" t="s">
        <v>1194</v>
      </c>
      <c r="H1193" s="390">
        <v>3</v>
      </c>
      <c r="I1193" s="390">
        <v>3</v>
      </c>
      <c r="J1193" s="390"/>
      <c r="K1193" s="398">
        <f>_xlfn.IFNA(VLOOKUP(A1193,numbering!$K$3:$L$92,2,0),0)</f>
        <v>0</v>
      </c>
    </row>
    <row r="1194" spans="1:11" ht="42" hidden="1" x14ac:dyDescent="0.2">
      <c r="A1194" s="390">
        <v>338</v>
      </c>
      <c r="B1194" s="390" t="s">
        <v>450</v>
      </c>
      <c r="C1194" s="390">
        <f>VLOOKUP(B1194,numbering!$N$18:$O$30,2,0)</f>
        <v>8</v>
      </c>
      <c r="D1194" s="390" t="s">
        <v>485</v>
      </c>
      <c r="E1194" s="403">
        <f t="shared" si="28"/>
        <v>8</v>
      </c>
      <c r="F1194" s="435" t="str">
        <f>F1193</f>
        <v>Is there documented evidence that management and operations personnel have achieved the objective of completing the minimum training requirements?</v>
      </c>
      <c r="G1194" s="388" t="s">
        <v>1195</v>
      </c>
      <c r="H1194" s="390">
        <v>4</v>
      </c>
      <c r="I1194" s="390">
        <v>4</v>
      </c>
      <c r="J1194" s="390"/>
      <c r="K1194" s="398">
        <f>_xlfn.IFNA(VLOOKUP(A1194,numbering!$K$3:$L$92,2,0),0)</f>
        <v>0</v>
      </c>
    </row>
    <row r="1195" spans="1:11" ht="60" hidden="1" x14ac:dyDescent="0.2">
      <c r="A1195" s="390">
        <v>339</v>
      </c>
      <c r="B1195" s="390" t="s">
        <v>492</v>
      </c>
      <c r="C1195" s="390">
        <f>VLOOKUP(B1195,numbering!$N$18:$O$30,2,0)</f>
        <v>6</v>
      </c>
      <c r="D1195" s="390" t="s">
        <v>493</v>
      </c>
      <c r="E1195" s="403">
        <f t="shared" ref="E1195:E1258" si="29">IF(C1195&lt;&gt;C1194,1,IF(D1195&lt;&gt;D1194,E1194+1,E1194))</f>
        <v>1</v>
      </c>
      <c r="F1195" s="432" t="s">
        <v>494</v>
      </c>
      <c r="G1195" s="388" t="s">
        <v>1192</v>
      </c>
      <c r="H1195" s="390">
        <v>1</v>
      </c>
      <c r="I1195" s="390">
        <v>1</v>
      </c>
      <c r="J1195" s="390"/>
      <c r="K1195" s="398">
        <f>_xlfn.IFNA(VLOOKUP(A1195,numbering!$K$3:$L$92,2,0),0)</f>
        <v>0</v>
      </c>
    </row>
    <row r="1196" spans="1:11" ht="60" hidden="1" x14ac:dyDescent="0.2">
      <c r="A1196" s="390">
        <v>339</v>
      </c>
      <c r="B1196" s="390" t="s">
        <v>492</v>
      </c>
      <c r="C1196" s="390">
        <f>VLOOKUP(B1196,numbering!$N$18:$O$30,2,0)</f>
        <v>6</v>
      </c>
      <c r="D1196" s="390" t="s">
        <v>493</v>
      </c>
      <c r="E1196" s="403">
        <f t="shared" si="29"/>
        <v>1</v>
      </c>
      <c r="F1196" s="432" t="str">
        <f>F1195</f>
        <v>Is an Operation and Maintenance Manual for the facility available, to achieve the objective of providing direction and guidance to management and operational personnel on how to manage and operate the facility in accordance with the design intent?</v>
      </c>
      <c r="G1196" s="388" t="s">
        <v>1193</v>
      </c>
      <c r="H1196" s="390">
        <v>2</v>
      </c>
      <c r="I1196" s="390">
        <v>2</v>
      </c>
      <c r="J1196" s="390"/>
      <c r="K1196" s="398">
        <f>_xlfn.IFNA(VLOOKUP(A1196,numbering!$K$3:$L$92,2,0),0)</f>
        <v>0</v>
      </c>
    </row>
    <row r="1197" spans="1:11" ht="60" hidden="1" x14ac:dyDescent="0.2">
      <c r="A1197" s="390">
        <v>339</v>
      </c>
      <c r="B1197" s="390" t="s">
        <v>492</v>
      </c>
      <c r="C1197" s="390">
        <f>VLOOKUP(B1197,numbering!$N$18:$O$30,2,0)</f>
        <v>6</v>
      </c>
      <c r="D1197" s="390" t="s">
        <v>493</v>
      </c>
      <c r="E1197" s="403">
        <f t="shared" si="29"/>
        <v>1</v>
      </c>
      <c r="F1197" s="432" t="str">
        <f>F1196</f>
        <v>Is an Operation and Maintenance Manual for the facility available, to achieve the objective of providing direction and guidance to management and operational personnel on how to manage and operate the facility in accordance with the design intent?</v>
      </c>
      <c r="G1197" s="388" t="s">
        <v>1194</v>
      </c>
      <c r="H1197" s="390">
        <v>3</v>
      </c>
      <c r="I1197" s="390">
        <v>3</v>
      </c>
      <c r="J1197" s="390"/>
      <c r="K1197" s="398">
        <f>_xlfn.IFNA(VLOOKUP(A1197,numbering!$K$3:$L$92,2,0),0)</f>
        <v>0</v>
      </c>
    </row>
    <row r="1198" spans="1:11" ht="60" hidden="1" x14ac:dyDescent="0.2">
      <c r="A1198" s="390">
        <v>339</v>
      </c>
      <c r="B1198" s="390" t="s">
        <v>492</v>
      </c>
      <c r="C1198" s="390">
        <f>VLOOKUP(B1198,numbering!$N$18:$O$30,2,0)</f>
        <v>6</v>
      </c>
      <c r="D1198" s="390" t="s">
        <v>493</v>
      </c>
      <c r="E1198" s="403">
        <f t="shared" si="29"/>
        <v>1</v>
      </c>
      <c r="F1198" s="432" t="str">
        <f>F1197</f>
        <v>Is an Operation and Maintenance Manual for the facility available, to achieve the objective of providing direction and guidance to management and operational personnel on how to manage and operate the facility in accordance with the design intent?</v>
      </c>
      <c r="G1198" s="388" t="s">
        <v>1195</v>
      </c>
      <c r="H1198" s="390">
        <v>4</v>
      </c>
      <c r="I1198" s="390">
        <v>4</v>
      </c>
      <c r="J1198" s="390"/>
      <c r="K1198" s="398">
        <f>_xlfn.IFNA(VLOOKUP(A1198,numbering!$K$3:$L$92,2,0),0)</f>
        <v>0</v>
      </c>
    </row>
    <row r="1199" spans="1:11" ht="56" hidden="1" x14ac:dyDescent="0.2">
      <c r="A1199" s="390">
        <v>340</v>
      </c>
      <c r="B1199" s="390" t="s">
        <v>492</v>
      </c>
      <c r="C1199" s="390">
        <f>VLOOKUP(B1199,numbering!$N$18:$O$30,2,0)</f>
        <v>6</v>
      </c>
      <c r="D1199" s="390" t="s">
        <v>493</v>
      </c>
      <c r="E1199" s="403">
        <f t="shared" si="29"/>
        <v>1</v>
      </c>
      <c r="F1199" s="433" t="s">
        <v>495</v>
      </c>
      <c r="G1199" s="388" t="s">
        <v>1192</v>
      </c>
      <c r="H1199" s="390">
        <v>1</v>
      </c>
      <c r="I1199" s="390">
        <v>1</v>
      </c>
      <c r="J1199" s="390"/>
      <c r="K1199" s="398">
        <f>_xlfn.IFNA(VLOOKUP(A1199,numbering!$K$3:$L$92,2,0),0)</f>
        <v>0</v>
      </c>
    </row>
    <row r="1200" spans="1:11" ht="56" hidden="1" x14ac:dyDescent="0.2">
      <c r="A1200" s="390">
        <v>340</v>
      </c>
      <c r="B1200" s="390" t="s">
        <v>492</v>
      </c>
      <c r="C1200" s="390">
        <f>VLOOKUP(B1200,numbering!$N$18:$O$30,2,0)</f>
        <v>6</v>
      </c>
      <c r="D1200" s="390" t="s">
        <v>493</v>
      </c>
      <c r="E1200" s="403">
        <f t="shared" si="29"/>
        <v>1</v>
      </c>
      <c r="F1200" s="433" t="str">
        <f>F1199</f>
        <v>Does the Operation and Maintenance Manual include a statement which achieves the objective of clearly stating the required frequency of reviews and updates for the Manual ,with documented evidence that this frequency has been adhered to?</v>
      </c>
      <c r="G1200" s="388" t="s">
        <v>1193</v>
      </c>
      <c r="H1200" s="390">
        <v>2</v>
      </c>
      <c r="I1200" s="390">
        <v>2</v>
      </c>
      <c r="J1200" s="390"/>
      <c r="K1200" s="398">
        <f>_xlfn.IFNA(VLOOKUP(A1200,numbering!$K$3:$L$92,2,0),0)</f>
        <v>0</v>
      </c>
    </row>
    <row r="1201" spans="1:11" ht="56" hidden="1" x14ac:dyDescent="0.2">
      <c r="A1201" s="390">
        <v>340</v>
      </c>
      <c r="B1201" s="390" t="s">
        <v>492</v>
      </c>
      <c r="C1201" s="390">
        <f>VLOOKUP(B1201,numbering!$N$18:$O$30,2,0)</f>
        <v>6</v>
      </c>
      <c r="D1201" s="390" t="s">
        <v>493</v>
      </c>
      <c r="E1201" s="403">
        <f t="shared" si="29"/>
        <v>1</v>
      </c>
      <c r="F1201" s="433" t="str">
        <f>F1200</f>
        <v>Does the Operation and Maintenance Manual include a statement which achieves the objective of clearly stating the required frequency of reviews and updates for the Manual ,with documented evidence that this frequency has been adhered to?</v>
      </c>
      <c r="G1201" s="388" t="s">
        <v>1194</v>
      </c>
      <c r="H1201" s="390">
        <v>3</v>
      </c>
      <c r="I1201" s="390">
        <v>3</v>
      </c>
      <c r="J1201" s="390"/>
      <c r="K1201" s="398">
        <f>_xlfn.IFNA(VLOOKUP(A1201,numbering!$K$3:$L$92,2,0),0)</f>
        <v>0</v>
      </c>
    </row>
    <row r="1202" spans="1:11" ht="56" hidden="1" x14ac:dyDescent="0.2">
      <c r="A1202" s="390">
        <v>340</v>
      </c>
      <c r="B1202" s="390" t="s">
        <v>492</v>
      </c>
      <c r="C1202" s="390">
        <f>VLOOKUP(B1202,numbering!$N$18:$O$30,2,0)</f>
        <v>6</v>
      </c>
      <c r="D1202" s="390" t="s">
        <v>493</v>
      </c>
      <c r="E1202" s="403">
        <f t="shared" si="29"/>
        <v>1</v>
      </c>
      <c r="F1202" s="433" t="str">
        <f>F1201</f>
        <v>Does the Operation and Maintenance Manual include a statement which achieves the objective of clearly stating the required frequency of reviews and updates for the Manual ,with documented evidence that this frequency has been adhered to?</v>
      </c>
      <c r="G1202" s="388" t="s">
        <v>1195</v>
      </c>
      <c r="H1202" s="390">
        <v>4</v>
      </c>
      <c r="I1202" s="390">
        <v>4</v>
      </c>
      <c r="J1202" s="390"/>
      <c r="K1202" s="398">
        <f>_xlfn.IFNA(VLOOKUP(A1202,numbering!$K$3:$L$92,2,0),0)</f>
        <v>0</v>
      </c>
    </row>
    <row r="1203" spans="1:11" ht="42" hidden="1" x14ac:dyDescent="0.2">
      <c r="A1203" s="390">
        <v>341</v>
      </c>
      <c r="B1203" s="390" t="s">
        <v>492</v>
      </c>
      <c r="C1203" s="390">
        <f>VLOOKUP(B1203,numbering!$N$18:$O$30,2,0)</f>
        <v>6</v>
      </c>
      <c r="D1203" s="390" t="s">
        <v>493</v>
      </c>
      <c r="E1203" s="403">
        <f t="shared" si="29"/>
        <v>1</v>
      </c>
      <c r="F1203" s="433" t="s">
        <v>496</v>
      </c>
      <c r="G1203" s="388" t="s">
        <v>1192</v>
      </c>
      <c r="H1203" s="390">
        <v>1</v>
      </c>
      <c r="I1203" s="390">
        <v>1</v>
      </c>
      <c r="J1203" s="390"/>
      <c r="K1203" s="398">
        <f>_xlfn.IFNA(VLOOKUP(A1203,numbering!$K$3:$L$92,2,0),0)</f>
        <v>0</v>
      </c>
    </row>
    <row r="1204" spans="1:11" ht="42" hidden="1" x14ac:dyDescent="0.2">
      <c r="A1204" s="390">
        <v>341</v>
      </c>
      <c r="B1204" s="390" t="s">
        <v>492</v>
      </c>
      <c r="C1204" s="390">
        <f>VLOOKUP(B1204,numbering!$N$18:$O$30,2,0)</f>
        <v>6</v>
      </c>
      <c r="D1204" s="390" t="s">
        <v>493</v>
      </c>
      <c r="E1204" s="403">
        <f t="shared" si="29"/>
        <v>1</v>
      </c>
      <c r="F1204" s="433" t="str">
        <f>F1203</f>
        <v>Does the Operation and Maintenance Manual achieve the objective of documenting the information about the facility that is required by relevant standards and guidelines?</v>
      </c>
      <c r="G1204" s="388" t="s">
        <v>1193</v>
      </c>
      <c r="H1204" s="390">
        <v>2</v>
      </c>
      <c r="I1204" s="390">
        <v>2</v>
      </c>
      <c r="J1204" s="390"/>
      <c r="K1204" s="398">
        <f>_xlfn.IFNA(VLOOKUP(A1204,numbering!$K$3:$L$92,2,0),0)</f>
        <v>0</v>
      </c>
    </row>
    <row r="1205" spans="1:11" ht="42" hidden="1" x14ac:dyDescent="0.2">
      <c r="A1205" s="390">
        <v>341</v>
      </c>
      <c r="B1205" s="390" t="s">
        <v>492</v>
      </c>
      <c r="C1205" s="390">
        <f>VLOOKUP(B1205,numbering!$N$18:$O$30,2,0)</f>
        <v>6</v>
      </c>
      <c r="D1205" s="390" t="s">
        <v>493</v>
      </c>
      <c r="E1205" s="403">
        <f t="shared" si="29"/>
        <v>1</v>
      </c>
      <c r="F1205" s="433" t="str">
        <f>F1204</f>
        <v>Does the Operation and Maintenance Manual achieve the objective of documenting the information about the facility that is required by relevant standards and guidelines?</v>
      </c>
      <c r="G1205" s="388" t="s">
        <v>1194</v>
      </c>
      <c r="H1205" s="390">
        <v>3</v>
      </c>
      <c r="I1205" s="390">
        <v>3</v>
      </c>
      <c r="J1205" s="390"/>
      <c r="K1205" s="398">
        <f>_xlfn.IFNA(VLOOKUP(A1205,numbering!$K$3:$L$92,2,0),0)</f>
        <v>0</v>
      </c>
    </row>
    <row r="1206" spans="1:11" ht="42" hidden="1" x14ac:dyDescent="0.2">
      <c r="A1206" s="390">
        <v>341</v>
      </c>
      <c r="B1206" s="390" t="s">
        <v>492</v>
      </c>
      <c r="C1206" s="390">
        <f>VLOOKUP(B1206,numbering!$N$18:$O$30,2,0)</f>
        <v>6</v>
      </c>
      <c r="D1206" s="390" t="s">
        <v>493</v>
      </c>
      <c r="E1206" s="403">
        <f t="shared" si="29"/>
        <v>1</v>
      </c>
      <c r="F1206" s="433" t="str">
        <f>F1205</f>
        <v>Does the Operation and Maintenance Manual achieve the objective of documenting the information about the facility that is required by relevant standards and guidelines?</v>
      </c>
      <c r="G1206" s="388" t="s">
        <v>1195</v>
      </c>
      <c r="H1206" s="390">
        <v>4</v>
      </c>
      <c r="I1206" s="390">
        <v>4</v>
      </c>
      <c r="J1206" s="390"/>
      <c r="K1206" s="398">
        <f>_xlfn.IFNA(VLOOKUP(A1206,numbering!$K$3:$L$92,2,0),0)</f>
        <v>0</v>
      </c>
    </row>
    <row r="1207" spans="1:11" ht="42" hidden="1" x14ac:dyDescent="0.2">
      <c r="A1207" s="390">
        <v>342</v>
      </c>
      <c r="B1207" s="390" t="s">
        <v>492</v>
      </c>
      <c r="C1207" s="390">
        <f>VLOOKUP(B1207,numbering!$N$18:$O$30,2,0)</f>
        <v>6</v>
      </c>
      <c r="D1207" s="390" t="s">
        <v>493</v>
      </c>
      <c r="E1207" s="403">
        <f t="shared" si="29"/>
        <v>1</v>
      </c>
      <c r="F1207" s="433" t="s">
        <v>497</v>
      </c>
      <c r="G1207" s="388" t="s">
        <v>1192</v>
      </c>
      <c r="H1207" s="390">
        <v>1</v>
      </c>
      <c r="I1207" s="390">
        <v>1</v>
      </c>
      <c r="J1207" s="390"/>
      <c r="K1207" s="398">
        <f>_xlfn.IFNA(VLOOKUP(A1207,numbering!$K$3:$L$92,2,0),0)</f>
        <v>0</v>
      </c>
    </row>
    <row r="1208" spans="1:11" ht="42" hidden="1" x14ac:dyDescent="0.2">
      <c r="A1208" s="390">
        <v>342</v>
      </c>
      <c r="B1208" s="390" t="s">
        <v>492</v>
      </c>
      <c r="C1208" s="390">
        <f>VLOOKUP(B1208,numbering!$N$18:$O$30,2,0)</f>
        <v>6</v>
      </c>
      <c r="D1208" s="390" t="s">
        <v>493</v>
      </c>
      <c r="E1208" s="403">
        <f t="shared" si="29"/>
        <v>1</v>
      </c>
      <c r="F1208" s="433" t="str">
        <f>F1207</f>
        <v>Does the OMM contain information that achieves the objective of stating the operation and management personnel and roles that are required by relevant standards and guidelines?</v>
      </c>
      <c r="G1208" s="388" t="s">
        <v>1193</v>
      </c>
      <c r="H1208" s="390">
        <v>2</v>
      </c>
      <c r="I1208" s="390">
        <v>2</v>
      </c>
      <c r="J1208" s="390"/>
      <c r="K1208" s="398">
        <f>_xlfn.IFNA(VLOOKUP(A1208,numbering!$K$3:$L$92,2,0),0)</f>
        <v>0</v>
      </c>
    </row>
    <row r="1209" spans="1:11" ht="42" hidden="1" x14ac:dyDescent="0.2">
      <c r="A1209" s="390">
        <v>342</v>
      </c>
      <c r="B1209" s="390" t="s">
        <v>492</v>
      </c>
      <c r="C1209" s="390">
        <f>VLOOKUP(B1209,numbering!$N$18:$O$30,2,0)</f>
        <v>6</v>
      </c>
      <c r="D1209" s="390" t="s">
        <v>493</v>
      </c>
      <c r="E1209" s="403">
        <f t="shared" si="29"/>
        <v>1</v>
      </c>
      <c r="F1209" s="433" t="str">
        <f>F1208</f>
        <v>Does the OMM contain information that achieves the objective of stating the operation and management personnel and roles that are required by relevant standards and guidelines?</v>
      </c>
      <c r="G1209" s="388" t="s">
        <v>1194</v>
      </c>
      <c r="H1209" s="390">
        <v>3</v>
      </c>
      <c r="I1209" s="390">
        <v>3</v>
      </c>
      <c r="J1209" s="390"/>
      <c r="K1209" s="398">
        <f>_xlfn.IFNA(VLOOKUP(A1209,numbering!$K$3:$L$92,2,0),0)</f>
        <v>0</v>
      </c>
    </row>
    <row r="1210" spans="1:11" ht="42" hidden="1" x14ac:dyDescent="0.2">
      <c r="A1210" s="390">
        <v>342</v>
      </c>
      <c r="B1210" s="390" t="s">
        <v>492</v>
      </c>
      <c r="C1210" s="390">
        <f>VLOOKUP(B1210,numbering!$N$18:$O$30,2,0)</f>
        <v>6</v>
      </c>
      <c r="D1210" s="390" t="s">
        <v>493</v>
      </c>
      <c r="E1210" s="403">
        <f t="shared" si="29"/>
        <v>1</v>
      </c>
      <c r="F1210" s="433" t="str">
        <f>F1209</f>
        <v>Does the OMM contain information that achieves the objective of stating the operation and management personnel and roles that are required by relevant standards and guidelines?</v>
      </c>
      <c r="G1210" s="388" t="s">
        <v>1195</v>
      </c>
      <c r="H1210" s="390">
        <v>4</v>
      </c>
      <c r="I1210" s="390">
        <v>4</v>
      </c>
      <c r="J1210" s="390"/>
      <c r="K1210" s="398">
        <f>_xlfn.IFNA(VLOOKUP(A1210,numbering!$K$3:$L$92,2,0),0)</f>
        <v>0</v>
      </c>
    </row>
    <row r="1211" spans="1:11" ht="56" hidden="1" x14ac:dyDescent="0.2">
      <c r="A1211" s="398">
        <v>343</v>
      </c>
      <c r="B1211" s="390" t="s">
        <v>492</v>
      </c>
      <c r="C1211" s="390">
        <f>VLOOKUP(B1211,numbering!$N$18:$O$30,2,0)</f>
        <v>6</v>
      </c>
      <c r="D1211" s="398" t="s">
        <v>506</v>
      </c>
      <c r="E1211" s="403">
        <f t="shared" si="29"/>
        <v>2</v>
      </c>
      <c r="F1211" s="433" t="s">
        <v>1174</v>
      </c>
      <c r="G1211" s="388" t="s">
        <v>1192</v>
      </c>
      <c r="H1211" s="390">
        <v>1</v>
      </c>
      <c r="I1211" s="390">
        <v>1</v>
      </c>
      <c r="J1211" s="390"/>
      <c r="K1211" s="398">
        <f>_xlfn.IFNA(VLOOKUP(A1211,numbering!$K$3:$L$92,2,0),0)</f>
        <v>0</v>
      </c>
    </row>
    <row r="1212" spans="1:11" ht="56" hidden="1" x14ac:dyDescent="0.2">
      <c r="A1212" s="398">
        <v>343</v>
      </c>
      <c r="B1212" s="390" t="s">
        <v>492</v>
      </c>
      <c r="C1212" s="390">
        <f>VLOOKUP(B1212,numbering!$N$18:$O$30,2,0)</f>
        <v>6</v>
      </c>
      <c r="D1212" s="398" t="s">
        <v>506</v>
      </c>
      <c r="E1212" s="403">
        <f t="shared" si="29"/>
        <v>2</v>
      </c>
      <c r="F1212" s="433" t="str">
        <f>F1211</f>
        <v xml:space="preserve">Is there documented evidence of a deposition plan that is referred to by operations and management personnel which achieves the objective of providing guidance of the location and duration that tailings should be deposited from into the storage? </v>
      </c>
      <c r="G1212" s="388" t="s">
        <v>1193</v>
      </c>
      <c r="H1212" s="390">
        <v>2</v>
      </c>
      <c r="I1212" s="390">
        <v>2</v>
      </c>
      <c r="J1212" s="390"/>
      <c r="K1212" s="398">
        <f>_xlfn.IFNA(VLOOKUP(A1212,numbering!$K$3:$L$92,2,0),0)</f>
        <v>0</v>
      </c>
    </row>
    <row r="1213" spans="1:11" ht="56" hidden="1" x14ac:dyDescent="0.2">
      <c r="A1213" s="398">
        <v>343</v>
      </c>
      <c r="B1213" s="390" t="s">
        <v>492</v>
      </c>
      <c r="C1213" s="390">
        <f>VLOOKUP(B1213,numbering!$N$18:$O$30,2,0)</f>
        <v>6</v>
      </c>
      <c r="D1213" s="398" t="s">
        <v>506</v>
      </c>
      <c r="E1213" s="403">
        <f t="shared" si="29"/>
        <v>2</v>
      </c>
      <c r="F1213" s="433" t="str">
        <f>F1212</f>
        <v xml:space="preserve">Is there documented evidence of a deposition plan that is referred to by operations and management personnel which achieves the objective of providing guidance of the location and duration that tailings should be deposited from into the storage? </v>
      </c>
      <c r="G1213" s="388" t="s">
        <v>1194</v>
      </c>
      <c r="H1213" s="390">
        <v>3</v>
      </c>
      <c r="I1213" s="390">
        <v>3</v>
      </c>
      <c r="J1213" s="390"/>
      <c r="K1213" s="398">
        <f>_xlfn.IFNA(VLOOKUP(A1213,numbering!$K$3:$L$92,2,0),0)</f>
        <v>0</v>
      </c>
    </row>
    <row r="1214" spans="1:11" ht="56" hidden="1" x14ac:dyDescent="0.2">
      <c r="A1214" s="398">
        <v>343</v>
      </c>
      <c r="B1214" s="390" t="s">
        <v>492</v>
      </c>
      <c r="C1214" s="390">
        <f>VLOOKUP(B1214,numbering!$N$18:$O$30,2,0)</f>
        <v>6</v>
      </c>
      <c r="D1214" s="398" t="s">
        <v>506</v>
      </c>
      <c r="E1214" s="403">
        <f t="shared" si="29"/>
        <v>2</v>
      </c>
      <c r="F1214" s="433" t="str">
        <f>F1213</f>
        <v xml:space="preserve">Is there documented evidence of a deposition plan that is referred to by operations and management personnel which achieves the objective of providing guidance of the location and duration that tailings should be deposited from into the storage? </v>
      </c>
      <c r="G1214" s="388" t="s">
        <v>1195</v>
      </c>
      <c r="H1214" s="390">
        <v>4</v>
      </c>
      <c r="I1214" s="390">
        <v>4</v>
      </c>
      <c r="J1214" s="390"/>
      <c r="K1214" s="398">
        <f>_xlfn.IFNA(VLOOKUP(A1214,numbering!$K$3:$L$92,2,0),0)</f>
        <v>0</v>
      </c>
    </row>
    <row r="1215" spans="1:11" ht="56" hidden="1" x14ac:dyDescent="0.2">
      <c r="A1215" s="398">
        <v>344</v>
      </c>
      <c r="B1215" s="390" t="s">
        <v>492</v>
      </c>
      <c r="C1215" s="390">
        <f>VLOOKUP(B1215,numbering!$N$18:$O$30,2,0)</f>
        <v>6</v>
      </c>
      <c r="D1215" s="398" t="s">
        <v>506</v>
      </c>
      <c r="E1215" s="403">
        <f t="shared" si="29"/>
        <v>2</v>
      </c>
      <c r="F1215" s="433" t="s">
        <v>507</v>
      </c>
      <c r="G1215" s="388" t="s">
        <v>1192</v>
      </c>
      <c r="H1215" s="390">
        <v>1</v>
      </c>
      <c r="I1215" s="390">
        <v>1</v>
      </c>
      <c r="J1215" s="390"/>
      <c r="K1215" s="398">
        <f>_xlfn.IFNA(VLOOKUP(A1215,numbering!$K$3:$L$92,2,0),0)</f>
        <v>0</v>
      </c>
    </row>
    <row r="1216" spans="1:11" ht="56" hidden="1" x14ac:dyDescent="0.2">
      <c r="A1216" s="398">
        <v>344</v>
      </c>
      <c r="B1216" s="390" t="s">
        <v>492</v>
      </c>
      <c r="C1216" s="390">
        <f>VLOOKUP(B1216,numbering!$N$18:$O$30,2,0)</f>
        <v>6</v>
      </c>
      <c r="D1216" s="398" t="s">
        <v>506</v>
      </c>
      <c r="E1216" s="403">
        <f t="shared" si="29"/>
        <v>2</v>
      </c>
      <c r="F1216" s="433" t="str">
        <f>F1215</f>
        <v>Is there documented evidence that the deposition plan was informed by the deposition modelling carried out as part of the design for the facility to achieve the objective of the operations of the facility adhering to the facility's design intent?</v>
      </c>
      <c r="G1216" s="388" t="s">
        <v>1193</v>
      </c>
      <c r="H1216" s="390">
        <v>2</v>
      </c>
      <c r="I1216" s="390">
        <v>2</v>
      </c>
      <c r="J1216" s="390"/>
      <c r="K1216" s="398">
        <f>_xlfn.IFNA(VLOOKUP(A1216,numbering!$K$3:$L$92,2,0),0)</f>
        <v>0</v>
      </c>
    </row>
    <row r="1217" spans="1:11" ht="56" hidden="1" x14ac:dyDescent="0.2">
      <c r="A1217" s="398">
        <v>344</v>
      </c>
      <c r="B1217" s="390" t="s">
        <v>492</v>
      </c>
      <c r="C1217" s="390">
        <f>VLOOKUP(B1217,numbering!$N$18:$O$30,2,0)</f>
        <v>6</v>
      </c>
      <c r="D1217" s="398" t="s">
        <v>506</v>
      </c>
      <c r="E1217" s="403">
        <f t="shared" si="29"/>
        <v>2</v>
      </c>
      <c r="F1217" s="433" t="str">
        <f>F1216</f>
        <v>Is there documented evidence that the deposition plan was informed by the deposition modelling carried out as part of the design for the facility to achieve the objective of the operations of the facility adhering to the facility's design intent?</v>
      </c>
      <c r="G1217" s="388" t="s">
        <v>1194</v>
      </c>
      <c r="H1217" s="390">
        <v>3</v>
      </c>
      <c r="I1217" s="390">
        <v>3</v>
      </c>
      <c r="J1217" s="390"/>
      <c r="K1217" s="398">
        <f>_xlfn.IFNA(VLOOKUP(A1217,numbering!$K$3:$L$92,2,0),0)</f>
        <v>0</v>
      </c>
    </row>
    <row r="1218" spans="1:11" ht="56" hidden="1" x14ac:dyDescent="0.2">
      <c r="A1218" s="398">
        <v>344</v>
      </c>
      <c r="B1218" s="390" t="s">
        <v>492</v>
      </c>
      <c r="C1218" s="390">
        <f>VLOOKUP(B1218,numbering!$N$18:$O$30,2,0)</f>
        <v>6</v>
      </c>
      <c r="D1218" s="398" t="s">
        <v>506</v>
      </c>
      <c r="E1218" s="403">
        <f t="shared" si="29"/>
        <v>2</v>
      </c>
      <c r="F1218" s="433" t="str">
        <f>F1217</f>
        <v>Is there documented evidence that the deposition plan was informed by the deposition modelling carried out as part of the design for the facility to achieve the objective of the operations of the facility adhering to the facility's design intent?</v>
      </c>
      <c r="G1218" s="388" t="s">
        <v>1195</v>
      </c>
      <c r="H1218" s="390">
        <v>4</v>
      </c>
      <c r="I1218" s="390">
        <v>4</v>
      </c>
      <c r="J1218" s="390"/>
      <c r="K1218" s="398">
        <f>_xlfn.IFNA(VLOOKUP(A1218,numbering!$K$3:$L$92,2,0),0)</f>
        <v>0</v>
      </c>
    </row>
    <row r="1219" spans="1:11" ht="70" hidden="1" x14ac:dyDescent="0.2">
      <c r="A1219" s="398">
        <v>345</v>
      </c>
      <c r="B1219" s="390" t="s">
        <v>492</v>
      </c>
      <c r="C1219" s="390">
        <f>VLOOKUP(B1219,numbering!$N$18:$O$30,2,0)</f>
        <v>6</v>
      </c>
      <c r="D1219" s="398" t="s">
        <v>506</v>
      </c>
      <c r="E1219" s="403">
        <f t="shared" si="29"/>
        <v>2</v>
      </c>
      <c r="F1219" s="433" t="s">
        <v>508</v>
      </c>
      <c r="G1219" s="388" t="s">
        <v>1192</v>
      </c>
      <c r="H1219" s="390">
        <v>1</v>
      </c>
      <c r="I1219" s="390">
        <v>1</v>
      </c>
      <c r="J1219" s="390"/>
      <c r="K1219" s="398">
        <f>_xlfn.IFNA(VLOOKUP(A1219,numbering!$K$3:$L$92,2,0),0)</f>
        <v>0</v>
      </c>
    </row>
    <row r="1220" spans="1:11" ht="70" hidden="1" x14ac:dyDescent="0.2">
      <c r="A1220" s="398">
        <v>345</v>
      </c>
      <c r="B1220" s="390" t="s">
        <v>492</v>
      </c>
      <c r="C1220" s="390">
        <f>VLOOKUP(B1220,numbering!$N$18:$O$30,2,0)</f>
        <v>6</v>
      </c>
      <c r="D1220" s="398" t="s">
        <v>506</v>
      </c>
      <c r="E1220" s="403">
        <f t="shared" si="29"/>
        <v>2</v>
      </c>
      <c r="F1220" s="433" t="str">
        <f>F1219</f>
        <v>Is there documented evidence that the deposition plan has been reviewed at frequent intervals, to achieve the objective of ongoing operations matching the design intent of the facility while considering the actual tailings beach conditions, supernatant water volume and other pertinent factors?</v>
      </c>
      <c r="G1220" s="388" t="s">
        <v>1193</v>
      </c>
      <c r="H1220" s="390">
        <v>2</v>
      </c>
      <c r="I1220" s="390">
        <v>2</v>
      </c>
      <c r="J1220" s="390"/>
      <c r="K1220" s="398">
        <f>_xlfn.IFNA(VLOOKUP(A1220,numbering!$K$3:$L$92,2,0),0)</f>
        <v>0</v>
      </c>
    </row>
    <row r="1221" spans="1:11" ht="70" hidden="1" x14ac:dyDescent="0.2">
      <c r="A1221" s="398">
        <v>345</v>
      </c>
      <c r="B1221" s="390" t="s">
        <v>492</v>
      </c>
      <c r="C1221" s="390">
        <f>VLOOKUP(B1221,numbering!$N$18:$O$30,2,0)</f>
        <v>6</v>
      </c>
      <c r="D1221" s="398" t="s">
        <v>506</v>
      </c>
      <c r="E1221" s="403">
        <f t="shared" si="29"/>
        <v>2</v>
      </c>
      <c r="F1221" s="433" t="str">
        <f>F1220</f>
        <v>Is there documented evidence that the deposition plan has been reviewed at frequent intervals, to achieve the objective of ongoing operations matching the design intent of the facility while considering the actual tailings beach conditions, supernatant water volume and other pertinent factors?</v>
      </c>
      <c r="G1221" s="388" t="s">
        <v>1194</v>
      </c>
      <c r="H1221" s="390">
        <v>3</v>
      </c>
      <c r="I1221" s="390">
        <v>3</v>
      </c>
      <c r="J1221" s="390"/>
      <c r="K1221" s="398">
        <f>_xlfn.IFNA(VLOOKUP(A1221,numbering!$K$3:$L$92,2,0),0)</f>
        <v>0</v>
      </c>
    </row>
    <row r="1222" spans="1:11" ht="70" hidden="1" x14ac:dyDescent="0.2">
      <c r="A1222" s="398">
        <v>345</v>
      </c>
      <c r="B1222" s="390" t="s">
        <v>492</v>
      </c>
      <c r="C1222" s="390">
        <f>VLOOKUP(B1222,numbering!$N$18:$O$30,2,0)</f>
        <v>6</v>
      </c>
      <c r="D1222" s="398" t="s">
        <v>506</v>
      </c>
      <c r="E1222" s="403">
        <f t="shared" si="29"/>
        <v>2</v>
      </c>
      <c r="F1222" s="433" t="str">
        <f>F1221</f>
        <v>Is there documented evidence that the deposition plan has been reviewed at frequent intervals, to achieve the objective of ongoing operations matching the design intent of the facility while considering the actual tailings beach conditions, supernatant water volume and other pertinent factors?</v>
      </c>
      <c r="G1222" s="388" t="s">
        <v>1195</v>
      </c>
      <c r="H1222" s="390">
        <v>4</v>
      </c>
      <c r="I1222" s="390">
        <v>4</v>
      </c>
      <c r="J1222" s="390"/>
      <c r="K1222" s="398">
        <f>_xlfn.IFNA(VLOOKUP(A1222,numbering!$K$3:$L$92,2,0),0)</f>
        <v>0</v>
      </c>
    </row>
    <row r="1223" spans="1:11" ht="84" hidden="1" x14ac:dyDescent="0.2">
      <c r="A1223" s="398">
        <v>346</v>
      </c>
      <c r="B1223" s="390" t="s">
        <v>492</v>
      </c>
      <c r="C1223" s="390">
        <f>VLOOKUP(B1223,numbering!$N$18:$O$30,2,0)</f>
        <v>6</v>
      </c>
      <c r="D1223" s="398" t="s">
        <v>506</v>
      </c>
      <c r="E1223" s="403">
        <f t="shared" si="29"/>
        <v>2</v>
      </c>
      <c r="F1223" s="433" t="s">
        <v>509</v>
      </c>
      <c r="G1223" s="388" t="s">
        <v>1192</v>
      </c>
      <c r="H1223" s="390">
        <v>1</v>
      </c>
      <c r="I1223" s="390">
        <v>1</v>
      </c>
      <c r="J1223" s="390"/>
      <c r="K1223" s="398">
        <f>_xlfn.IFNA(VLOOKUP(A1223,numbering!$K$3:$L$92,2,0),0)</f>
        <v>0</v>
      </c>
    </row>
    <row r="1224" spans="1:11" ht="84" hidden="1" x14ac:dyDescent="0.2">
      <c r="A1224" s="398">
        <v>346</v>
      </c>
      <c r="B1224" s="390" t="s">
        <v>492</v>
      </c>
      <c r="C1224" s="390">
        <f>VLOOKUP(B1224,numbering!$N$18:$O$30,2,0)</f>
        <v>6</v>
      </c>
      <c r="D1224" s="398" t="s">
        <v>506</v>
      </c>
      <c r="E1224" s="403">
        <f t="shared" si="29"/>
        <v>2</v>
      </c>
      <c r="F1224" s="433" t="str">
        <f>F1223</f>
        <v>Is there documented evidence that the deposition plan is the topic of two-way communications between the responsible tailings facility engineer and operations staff to achieve the objective of onsite operations matching what the deposition plan indicates should be occurring? (e.g. daily communication to tell operators how deposition should occur, with feedback from operators regarding if the plan is achieving the intent)</v>
      </c>
      <c r="G1224" s="388" t="s">
        <v>1193</v>
      </c>
      <c r="H1224" s="390">
        <v>2</v>
      </c>
      <c r="I1224" s="390">
        <v>2</v>
      </c>
      <c r="J1224" s="390"/>
      <c r="K1224" s="398">
        <f>_xlfn.IFNA(VLOOKUP(A1224,numbering!$K$3:$L$92,2,0),0)</f>
        <v>0</v>
      </c>
    </row>
    <row r="1225" spans="1:11" ht="84" hidden="1" x14ac:dyDescent="0.2">
      <c r="A1225" s="398">
        <v>346</v>
      </c>
      <c r="B1225" s="390" t="s">
        <v>492</v>
      </c>
      <c r="C1225" s="390">
        <f>VLOOKUP(B1225,numbering!$N$18:$O$30,2,0)</f>
        <v>6</v>
      </c>
      <c r="D1225" s="398" t="s">
        <v>506</v>
      </c>
      <c r="E1225" s="403">
        <f t="shared" si="29"/>
        <v>2</v>
      </c>
      <c r="F1225" s="433" t="str">
        <f>F1224</f>
        <v>Is there documented evidence that the deposition plan is the topic of two-way communications between the responsible tailings facility engineer and operations staff to achieve the objective of onsite operations matching what the deposition plan indicates should be occurring? (e.g. daily communication to tell operators how deposition should occur, with feedback from operators regarding if the plan is achieving the intent)</v>
      </c>
      <c r="G1225" s="388" t="s">
        <v>1194</v>
      </c>
      <c r="H1225" s="390">
        <v>3</v>
      </c>
      <c r="I1225" s="390">
        <v>3</v>
      </c>
      <c r="J1225" s="390"/>
      <c r="K1225" s="398">
        <f>_xlfn.IFNA(VLOOKUP(A1225,numbering!$K$3:$L$92,2,0),0)</f>
        <v>0</v>
      </c>
    </row>
    <row r="1226" spans="1:11" ht="84" hidden="1" x14ac:dyDescent="0.2">
      <c r="A1226" s="398">
        <v>346</v>
      </c>
      <c r="B1226" s="390" t="s">
        <v>492</v>
      </c>
      <c r="C1226" s="390">
        <f>VLOOKUP(B1226,numbering!$N$18:$O$30,2,0)</f>
        <v>6</v>
      </c>
      <c r="D1226" s="398" t="s">
        <v>506</v>
      </c>
      <c r="E1226" s="403">
        <f t="shared" si="29"/>
        <v>2</v>
      </c>
      <c r="F1226" s="433" t="str">
        <f>F1225</f>
        <v>Is there documented evidence that the deposition plan is the topic of two-way communications between the responsible tailings facility engineer and operations staff to achieve the objective of onsite operations matching what the deposition plan indicates should be occurring? (e.g. daily communication to tell operators how deposition should occur, with feedback from operators regarding if the plan is achieving the intent)</v>
      </c>
      <c r="G1226" s="388" t="s">
        <v>1195</v>
      </c>
      <c r="H1226" s="390">
        <v>4</v>
      </c>
      <c r="I1226" s="390">
        <v>4</v>
      </c>
      <c r="J1226" s="390"/>
      <c r="K1226" s="398">
        <f>_xlfn.IFNA(VLOOKUP(A1226,numbering!$K$3:$L$92,2,0),0)</f>
        <v>0</v>
      </c>
    </row>
    <row r="1227" spans="1:11" ht="56" hidden="1" x14ac:dyDescent="0.2">
      <c r="A1227" s="390">
        <v>347</v>
      </c>
      <c r="B1227" s="390" t="s">
        <v>492</v>
      </c>
      <c r="C1227" s="390">
        <f>VLOOKUP(B1227,numbering!$N$18:$O$30,2,0)</f>
        <v>6</v>
      </c>
      <c r="D1227" s="390" t="s">
        <v>493</v>
      </c>
      <c r="E1227" s="403">
        <f t="shared" si="29"/>
        <v>3</v>
      </c>
      <c r="F1227" s="433" t="s">
        <v>498</v>
      </c>
      <c r="G1227" s="388" t="s">
        <v>1192</v>
      </c>
      <c r="H1227" s="390">
        <v>1</v>
      </c>
      <c r="I1227" s="390">
        <v>1</v>
      </c>
      <c r="J1227" s="390"/>
      <c r="K1227" s="398">
        <f>_xlfn.IFNA(VLOOKUP(A1227,numbering!$K$3:$L$92,2,0),0)</f>
        <v>0</v>
      </c>
    </row>
    <row r="1228" spans="1:11" ht="56" hidden="1" x14ac:dyDescent="0.2">
      <c r="A1228" s="390">
        <v>347</v>
      </c>
      <c r="B1228" s="390" t="s">
        <v>492</v>
      </c>
      <c r="C1228" s="390">
        <f>VLOOKUP(B1228,numbering!$N$18:$O$30,2,0)</f>
        <v>6</v>
      </c>
      <c r="D1228" s="390" t="s">
        <v>493</v>
      </c>
      <c r="E1228" s="403">
        <f t="shared" si="29"/>
        <v>3</v>
      </c>
      <c r="F1228" s="433" t="str">
        <f>F1227</f>
        <v>Does the OMM contain all the operational procedures which achieves the objective of detailing how to operate the facility in alignment with the documented operational philosophy of the facility, relevant standards and guidelines?</v>
      </c>
      <c r="G1228" s="388" t="s">
        <v>1193</v>
      </c>
      <c r="H1228" s="390">
        <v>2</v>
      </c>
      <c r="I1228" s="390">
        <v>2</v>
      </c>
      <c r="J1228" s="390"/>
      <c r="K1228" s="398">
        <f>_xlfn.IFNA(VLOOKUP(A1228,numbering!$K$3:$L$92,2,0),0)</f>
        <v>0</v>
      </c>
    </row>
    <row r="1229" spans="1:11" ht="56" hidden="1" x14ac:dyDescent="0.2">
      <c r="A1229" s="390">
        <v>347</v>
      </c>
      <c r="B1229" s="390" t="s">
        <v>492</v>
      </c>
      <c r="C1229" s="390">
        <f>VLOOKUP(B1229,numbering!$N$18:$O$30,2,0)</f>
        <v>6</v>
      </c>
      <c r="D1229" s="390" t="s">
        <v>493</v>
      </c>
      <c r="E1229" s="403">
        <f t="shared" si="29"/>
        <v>3</v>
      </c>
      <c r="F1229" s="433" t="str">
        <f>F1228</f>
        <v>Does the OMM contain all the operational procedures which achieves the objective of detailing how to operate the facility in alignment with the documented operational philosophy of the facility, relevant standards and guidelines?</v>
      </c>
      <c r="G1229" s="388" t="s">
        <v>1194</v>
      </c>
      <c r="H1229" s="390">
        <v>3</v>
      </c>
      <c r="I1229" s="390">
        <v>3</v>
      </c>
      <c r="J1229" s="390"/>
      <c r="K1229" s="398">
        <f>_xlfn.IFNA(VLOOKUP(A1229,numbering!$K$3:$L$92,2,0),0)</f>
        <v>0</v>
      </c>
    </row>
    <row r="1230" spans="1:11" ht="56" hidden="1" x14ac:dyDescent="0.2">
      <c r="A1230" s="390">
        <v>347</v>
      </c>
      <c r="B1230" s="390" t="s">
        <v>492</v>
      </c>
      <c r="C1230" s="390">
        <f>VLOOKUP(B1230,numbering!$N$18:$O$30,2,0)</f>
        <v>6</v>
      </c>
      <c r="D1230" s="390" t="s">
        <v>493</v>
      </c>
      <c r="E1230" s="403">
        <f t="shared" si="29"/>
        <v>3</v>
      </c>
      <c r="F1230" s="433" t="str">
        <f>F1229</f>
        <v>Does the OMM contain all the operational procedures which achieves the objective of detailing how to operate the facility in alignment with the documented operational philosophy of the facility, relevant standards and guidelines?</v>
      </c>
      <c r="G1230" s="388" t="s">
        <v>1195</v>
      </c>
      <c r="H1230" s="390">
        <v>4</v>
      </c>
      <c r="I1230" s="390">
        <v>4</v>
      </c>
      <c r="J1230" s="390"/>
      <c r="K1230" s="398">
        <f>_xlfn.IFNA(VLOOKUP(A1230,numbering!$K$3:$L$92,2,0),0)</f>
        <v>0</v>
      </c>
    </row>
    <row r="1231" spans="1:11" ht="56" hidden="1" x14ac:dyDescent="0.2">
      <c r="A1231" s="390">
        <v>348</v>
      </c>
      <c r="B1231" s="390" t="s">
        <v>492</v>
      </c>
      <c r="C1231" s="390">
        <f>VLOOKUP(B1231,numbering!$N$18:$O$30,2,0)</f>
        <v>6</v>
      </c>
      <c r="D1231" s="390" t="s">
        <v>493</v>
      </c>
      <c r="E1231" s="403">
        <f t="shared" si="29"/>
        <v>3</v>
      </c>
      <c r="F1231" s="433" t="s">
        <v>499</v>
      </c>
      <c r="G1231" s="388" t="s">
        <v>1192</v>
      </c>
      <c r="H1231" s="390">
        <v>1</v>
      </c>
      <c r="I1231" s="390">
        <v>1</v>
      </c>
      <c r="J1231" s="390"/>
      <c r="K1231" s="398">
        <f>_xlfn.IFNA(VLOOKUP(A1231,numbering!$K$3:$L$92,2,0),0)</f>
        <v>0</v>
      </c>
    </row>
    <row r="1232" spans="1:11" ht="56" hidden="1" x14ac:dyDescent="0.2">
      <c r="A1232" s="390">
        <v>348</v>
      </c>
      <c r="B1232" s="390" t="s">
        <v>492</v>
      </c>
      <c r="C1232" s="390">
        <f>VLOOKUP(B1232,numbering!$N$18:$O$30,2,0)</f>
        <v>6</v>
      </c>
      <c r="D1232" s="390" t="s">
        <v>493</v>
      </c>
      <c r="E1232" s="403">
        <f t="shared" si="29"/>
        <v>3</v>
      </c>
      <c r="F1232" s="433" t="str">
        <f>F1231</f>
        <v>Does the OMM contain all the maintenance actions and procedures which achieves the objectives of detailing how to maintain the facility in alignment with the documented operational philosophy of the facility, relevant standards and guidelines?</v>
      </c>
      <c r="G1232" s="388" t="s">
        <v>1193</v>
      </c>
      <c r="H1232" s="390">
        <v>2</v>
      </c>
      <c r="I1232" s="390">
        <v>2</v>
      </c>
      <c r="J1232" s="390"/>
      <c r="K1232" s="398">
        <f>_xlfn.IFNA(VLOOKUP(A1232,numbering!$K$3:$L$92,2,0),0)</f>
        <v>0</v>
      </c>
    </row>
    <row r="1233" spans="1:11" ht="56" hidden="1" x14ac:dyDescent="0.2">
      <c r="A1233" s="390">
        <v>348</v>
      </c>
      <c r="B1233" s="390" t="s">
        <v>492</v>
      </c>
      <c r="C1233" s="390">
        <f>VLOOKUP(B1233,numbering!$N$18:$O$30,2,0)</f>
        <v>6</v>
      </c>
      <c r="D1233" s="390" t="s">
        <v>493</v>
      </c>
      <c r="E1233" s="403">
        <f t="shared" si="29"/>
        <v>3</v>
      </c>
      <c r="F1233" s="433" t="str">
        <f>F1232</f>
        <v>Does the OMM contain all the maintenance actions and procedures which achieves the objectives of detailing how to maintain the facility in alignment with the documented operational philosophy of the facility, relevant standards and guidelines?</v>
      </c>
      <c r="G1233" s="388" t="s">
        <v>1194</v>
      </c>
      <c r="H1233" s="390">
        <v>3</v>
      </c>
      <c r="I1233" s="390">
        <v>3</v>
      </c>
      <c r="J1233" s="390"/>
      <c r="K1233" s="398">
        <f>_xlfn.IFNA(VLOOKUP(A1233,numbering!$K$3:$L$92,2,0),0)</f>
        <v>0</v>
      </c>
    </row>
    <row r="1234" spans="1:11" ht="56" hidden="1" x14ac:dyDescent="0.2">
      <c r="A1234" s="390">
        <v>348</v>
      </c>
      <c r="B1234" s="390" t="s">
        <v>492</v>
      </c>
      <c r="C1234" s="390">
        <f>VLOOKUP(B1234,numbering!$N$18:$O$30,2,0)</f>
        <v>6</v>
      </c>
      <c r="D1234" s="390" t="s">
        <v>493</v>
      </c>
      <c r="E1234" s="403">
        <f t="shared" si="29"/>
        <v>3</v>
      </c>
      <c r="F1234" s="433" t="str">
        <f>F1233</f>
        <v>Does the OMM contain all the maintenance actions and procedures which achieves the objectives of detailing how to maintain the facility in alignment with the documented operational philosophy of the facility, relevant standards and guidelines?</v>
      </c>
      <c r="G1234" s="388" t="s">
        <v>1195</v>
      </c>
      <c r="H1234" s="390">
        <v>4</v>
      </c>
      <c r="I1234" s="390">
        <v>4</v>
      </c>
      <c r="J1234" s="390"/>
      <c r="K1234" s="398">
        <f>_xlfn.IFNA(VLOOKUP(A1234,numbering!$K$3:$L$92,2,0),0)</f>
        <v>0</v>
      </c>
    </row>
    <row r="1235" spans="1:11" ht="56" hidden="1" x14ac:dyDescent="0.2">
      <c r="A1235" s="390">
        <v>349</v>
      </c>
      <c r="B1235" s="390" t="s">
        <v>492</v>
      </c>
      <c r="C1235" s="390">
        <f>VLOOKUP(B1235,numbering!$N$18:$O$30,2,0)</f>
        <v>6</v>
      </c>
      <c r="D1235" s="390" t="s">
        <v>493</v>
      </c>
      <c r="E1235" s="403">
        <f t="shared" si="29"/>
        <v>3</v>
      </c>
      <c r="F1235" s="433" t="s">
        <v>500</v>
      </c>
      <c r="G1235" s="388" t="s">
        <v>1192</v>
      </c>
      <c r="H1235" s="390">
        <v>1</v>
      </c>
      <c r="I1235" s="390">
        <v>1</v>
      </c>
      <c r="J1235" s="390"/>
      <c r="K1235" s="398">
        <f>_xlfn.IFNA(VLOOKUP(A1235,numbering!$K$3:$L$92,2,0),0)</f>
        <v>0</v>
      </c>
    </row>
    <row r="1236" spans="1:11" ht="56" hidden="1" x14ac:dyDescent="0.2">
      <c r="A1236" s="390">
        <v>349</v>
      </c>
      <c r="B1236" s="390" t="s">
        <v>492</v>
      </c>
      <c r="C1236" s="390">
        <f>VLOOKUP(B1236,numbering!$N$18:$O$30,2,0)</f>
        <v>6</v>
      </c>
      <c r="D1236" s="390" t="s">
        <v>493</v>
      </c>
      <c r="E1236" s="403">
        <f t="shared" si="29"/>
        <v>3</v>
      </c>
      <c r="F1236" s="433" t="str">
        <f>F1235</f>
        <v>Did the OMM contain all the surveillance and monitoring actions and procedures which achieves the objective of detailing how to inspect and monitor the facility in alignment with the documented operational philosophy of the facility relevant standards and guidelines?</v>
      </c>
      <c r="G1236" s="388" t="s">
        <v>1193</v>
      </c>
      <c r="H1236" s="390">
        <v>2</v>
      </c>
      <c r="I1236" s="390">
        <v>2</v>
      </c>
      <c r="J1236" s="390"/>
      <c r="K1236" s="398">
        <f>_xlfn.IFNA(VLOOKUP(A1236,numbering!$K$3:$L$92,2,0),0)</f>
        <v>0</v>
      </c>
    </row>
    <row r="1237" spans="1:11" ht="56" hidden="1" x14ac:dyDescent="0.2">
      <c r="A1237" s="390">
        <v>349</v>
      </c>
      <c r="B1237" s="390" t="s">
        <v>492</v>
      </c>
      <c r="C1237" s="390">
        <f>VLOOKUP(B1237,numbering!$N$18:$O$30,2,0)</f>
        <v>6</v>
      </c>
      <c r="D1237" s="390" t="s">
        <v>493</v>
      </c>
      <c r="E1237" s="403">
        <f t="shared" si="29"/>
        <v>3</v>
      </c>
      <c r="F1237" s="433" t="str">
        <f>F1236</f>
        <v>Did the OMM contain all the surveillance and monitoring actions and procedures which achieves the objective of detailing how to inspect and monitor the facility in alignment with the documented operational philosophy of the facility relevant standards and guidelines?</v>
      </c>
      <c r="G1237" s="388" t="s">
        <v>1194</v>
      </c>
      <c r="H1237" s="390">
        <v>3</v>
      </c>
      <c r="I1237" s="390">
        <v>3</v>
      </c>
      <c r="J1237" s="390"/>
      <c r="K1237" s="398">
        <f>_xlfn.IFNA(VLOOKUP(A1237,numbering!$K$3:$L$92,2,0),0)</f>
        <v>0</v>
      </c>
    </row>
    <row r="1238" spans="1:11" ht="56" hidden="1" x14ac:dyDescent="0.2">
      <c r="A1238" s="390">
        <v>349</v>
      </c>
      <c r="B1238" s="390" t="s">
        <v>492</v>
      </c>
      <c r="C1238" s="390">
        <f>VLOOKUP(B1238,numbering!$N$18:$O$30,2,0)</f>
        <v>6</v>
      </c>
      <c r="D1238" s="390" t="s">
        <v>493</v>
      </c>
      <c r="E1238" s="403">
        <f t="shared" si="29"/>
        <v>3</v>
      </c>
      <c r="F1238" s="433" t="str">
        <f>F1237</f>
        <v>Did the OMM contain all the surveillance and monitoring actions and procedures which achieves the objective of detailing how to inspect and monitor the facility in alignment with the documented operational philosophy of the facility relevant standards and guidelines?</v>
      </c>
      <c r="G1238" s="388" t="s">
        <v>1195</v>
      </c>
      <c r="H1238" s="390">
        <v>4</v>
      </c>
      <c r="I1238" s="390">
        <v>4</v>
      </c>
      <c r="J1238" s="390"/>
      <c r="K1238" s="398">
        <f>_xlfn.IFNA(VLOOKUP(A1238,numbering!$K$3:$L$92,2,0),0)</f>
        <v>0</v>
      </c>
    </row>
    <row r="1239" spans="1:11" ht="56" hidden="1" x14ac:dyDescent="0.2">
      <c r="A1239" s="390">
        <v>350</v>
      </c>
      <c r="B1239" s="390" t="s">
        <v>492</v>
      </c>
      <c r="C1239" s="390">
        <f>VLOOKUP(B1239,numbering!$N$18:$O$30,2,0)</f>
        <v>6</v>
      </c>
      <c r="D1239" s="390" t="s">
        <v>493</v>
      </c>
      <c r="E1239" s="403">
        <f t="shared" si="29"/>
        <v>3</v>
      </c>
      <c r="F1239" s="433" t="s">
        <v>501</v>
      </c>
      <c r="G1239" s="388" t="s">
        <v>1192</v>
      </c>
      <c r="H1239" s="390">
        <v>1</v>
      </c>
      <c r="I1239" s="390">
        <v>1</v>
      </c>
      <c r="J1239" s="390"/>
      <c r="K1239" s="398">
        <f>_xlfn.IFNA(VLOOKUP(A1239,numbering!$K$3:$L$92,2,0),0)</f>
        <v>0</v>
      </c>
    </row>
    <row r="1240" spans="1:11" ht="56" hidden="1" x14ac:dyDescent="0.2">
      <c r="A1240" s="390">
        <v>350</v>
      </c>
      <c r="B1240" s="390" t="s">
        <v>492</v>
      </c>
      <c r="C1240" s="390">
        <f>VLOOKUP(B1240,numbering!$N$18:$O$30,2,0)</f>
        <v>6</v>
      </c>
      <c r="D1240" s="390" t="s">
        <v>493</v>
      </c>
      <c r="E1240" s="403">
        <f t="shared" si="29"/>
        <v>3</v>
      </c>
      <c r="F1240" s="433" t="str">
        <f>F1239</f>
        <v>Does the OMM state the frequency of surveillance and monitoring actions, with the stated frequencies achieving the objective of meeting the minimum surveillance and monitoring frequencies required by relevant standards and guidelines?</v>
      </c>
      <c r="G1240" s="388" t="s">
        <v>1193</v>
      </c>
      <c r="H1240" s="390">
        <v>2</v>
      </c>
      <c r="I1240" s="390">
        <v>2</v>
      </c>
      <c r="J1240" s="390"/>
      <c r="K1240" s="398">
        <f>_xlfn.IFNA(VLOOKUP(A1240,numbering!$K$3:$L$92,2,0),0)</f>
        <v>0</v>
      </c>
    </row>
    <row r="1241" spans="1:11" ht="56" hidden="1" x14ac:dyDescent="0.2">
      <c r="A1241" s="390">
        <v>350</v>
      </c>
      <c r="B1241" s="390" t="s">
        <v>492</v>
      </c>
      <c r="C1241" s="390">
        <f>VLOOKUP(B1241,numbering!$N$18:$O$30,2,0)</f>
        <v>6</v>
      </c>
      <c r="D1241" s="390" t="s">
        <v>493</v>
      </c>
      <c r="E1241" s="403">
        <f t="shared" si="29"/>
        <v>3</v>
      </c>
      <c r="F1241" s="433" t="str">
        <f>F1240</f>
        <v>Does the OMM state the frequency of surveillance and monitoring actions, with the stated frequencies achieving the objective of meeting the minimum surveillance and monitoring frequencies required by relevant standards and guidelines?</v>
      </c>
      <c r="G1241" s="388" t="s">
        <v>1194</v>
      </c>
      <c r="H1241" s="390">
        <v>3</v>
      </c>
      <c r="I1241" s="390">
        <v>3</v>
      </c>
      <c r="J1241" s="390"/>
      <c r="K1241" s="398">
        <f>_xlfn.IFNA(VLOOKUP(A1241,numbering!$K$3:$L$92,2,0),0)</f>
        <v>0</v>
      </c>
    </row>
    <row r="1242" spans="1:11" ht="56" hidden="1" x14ac:dyDescent="0.2">
      <c r="A1242" s="390">
        <v>350</v>
      </c>
      <c r="B1242" s="390" t="s">
        <v>492</v>
      </c>
      <c r="C1242" s="390">
        <f>VLOOKUP(B1242,numbering!$N$18:$O$30,2,0)</f>
        <v>6</v>
      </c>
      <c r="D1242" s="390" t="s">
        <v>493</v>
      </c>
      <c r="E1242" s="403">
        <f t="shared" si="29"/>
        <v>3</v>
      </c>
      <c r="F1242" s="433" t="str">
        <f>F1241</f>
        <v>Does the OMM state the frequency of surveillance and monitoring actions, with the stated frequencies achieving the objective of meeting the minimum surveillance and monitoring frequencies required by relevant standards and guidelines?</v>
      </c>
      <c r="G1242" s="388" t="s">
        <v>1195</v>
      </c>
      <c r="H1242" s="390">
        <v>4</v>
      </c>
      <c r="I1242" s="390">
        <v>4</v>
      </c>
      <c r="J1242" s="390"/>
      <c r="K1242" s="398">
        <f>_xlfn.IFNA(VLOOKUP(A1242,numbering!$K$3:$L$92,2,0),0)</f>
        <v>0</v>
      </c>
    </row>
    <row r="1243" spans="1:11" ht="84" hidden="1" x14ac:dyDescent="0.2">
      <c r="A1243" s="390">
        <v>351</v>
      </c>
      <c r="B1243" s="390" t="s">
        <v>492</v>
      </c>
      <c r="C1243" s="390">
        <f>VLOOKUP(B1243,numbering!$N$18:$O$30,2,0)</f>
        <v>6</v>
      </c>
      <c r="D1243" s="390" t="s">
        <v>493</v>
      </c>
      <c r="E1243" s="403">
        <f t="shared" si="29"/>
        <v>3</v>
      </c>
      <c r="F1243" s="433" t="s">
        <v>1175</v>
      </c>
      <c r="G1243" s="388" t="s">
        <v>1192</v>
      </c>
      <c r="H1243" s="390">
        <v>1</v>
      </c>
      <c r="I1243" s="390">
        <v>1</v>
      </c>
      <c r="J1243" s="390"/>
      <c r="K1243" s="398">
        <f>_xlfn.IFNA(VLOOKUP(A1243,numbering!$K$3:$L$92,2,0),0)</f>
        <v>0</v>
      </c>
    </row>
    <row r="1244" spans="1:11" ht="84" hidden="1" x14ac:dyDescent="0.2">
      <c r="A1244" s="390">
        <v>351</v>
      </c>
      <c r="B1244" s="390" t="s">
        <v>492</v>
      </c>
      <c r="C1244" s="390">
        <f>VLOOKUP(B1244,numbering!$N$18:$O$30,2,0)</f>
        <v>6</v>
      </c>
      <c r="D1244" s="390" t="s">
        <v>493</v>
      </c>
      <c r="E1244" s="403">
        <f t="shared" si="29"/>
        <v>3</v>
      </c>
      <c r="F1244" s="433" t="str">
        <f>F1243</f>
        <v xml:space="preserve">Is a Trigger Action Response Plan available that achieves the objective of clearly stating triggers related to various visual and monitoring instrument indications and response actions in a tiered approach that would allow appropriate actions to be undertaken to mitigate the likelihood and/or consequence of failure if adhered to? 
</v>
      </c>
      <c r="G1244" s="388" t="s">
        <v>1193</v>
      </c>
      <c r="H1244" s="390">
        <v>2</v>
      </c>
      <c r="I1244" s="390">
        <v>2</v>
      </c>
      <c r="J1244" s="390"/>
      <c r="K1244" s="398">
        <f>_xlfn.IFNA(VLOOKUP(A1244,numbering!$K$3:$L$92,2,0),0)</f>
        <v>0</v>
      </c>
    </row>
    <row r="1245" spans="1:11" ht="84" hidden="1" x14ac:dyDescent="0.2">
      <c r="A1245" s="390">
        <v>351</v>
      </c>
      <c r="B1245" s="390" t="s">
        <v>492</v>
      </c>
      <c r="C1245" s="390">
        <f>VLOOKUP(B1245,numbering!$N$18:$O$30,2,0)</f>
        <v>6</v>
      </c>
      <c r="D1245" s="390" t="s">
        <v>493</v>
      </c>
      <c r="E1245" s="403">
        <f t="shared" si="29"/>
        <v>3</v>
      </c>
      <c r="F1245" s="433" t="str">
        <f>F1244</f>
        <v xml:space="preserve">Is a Trigger Action Response Plan available that achieves the objective of clearly stating triggers related to various visual and monitoring instrument indications and response actions in a tiered approach that would allow appropriate actions to be undertaken to mitigate the likelihood and/or consequence of failure if adhered to? 
</v>
      </c>
      <c r="G1245" s="388" t="s">
        <v>1194</v>
      </c>
      <c r="H1245" s="390">
        <v>3</v>
      </c>
      <c r="I1245" s="390">
        <v>3</v>
      </c>
      <c r="J1245" s="390"/>
      <c r="K1245" s="398">
        <f>_xlfn.IFNA(VLOOKUP(A1245,numbering!$K$3:$L$92,2,0),0)</f>
        <v>0</v>
      </c>
    </row>
    <row r="1246" spans="1:11" ht="84" hidden="1" x14ac:dyDescent="0.2">
      <c r="A1246" s="390">
        <v>351</v>
      </c>
      <c r="B1246" s="390" t="s">
        <v>492</v>
      </c>
      <c r="C1246" s="390">
        <f>VLOOKUP(B1246,numbering!$N$18:$O$30,2,0)</f>
        <v>6</v>
      </c>
      <c r="D1246" s="390" t="s">
        <v>493</v>
      </c>
      <c r="E1246" s="403">
        <f t="shared" si="29"/>
        <v>3</v>
      </c>
      <c r="F1246" s="433" t="str">
        <f>F1245</f>
        <v xml:space="preserve">Is a Trigger Action Response Plan available that achieves the objective of clearly stating triggers related to various visual and monitoring instrument indications and response actions in a tiered approach that would allow appropriate actions to be undertaken to mitigate the likelihood and/or consequence of failure if adhered to? 
</v>
      </c>
      <c r="G1246" s="388" t="s">
        <v>1195</v>
      </c>
      <c r="H1246" s="390">
        <v>4</v>
      </c>
      <c r="I1246" s="390">
        <v>4</v>
      </c>
      <c r="J1246" s="390"/>
      <c r="K1246" s="398">
        <f>_xlfn.IFNA(VLOOKUP(A1246,numbering!$K$3:$L$92,2,0),0)</f>
        <v>0</v>
      </c>
    </row>
    <row r="1247" spans="1:11" ht="56" hidden="1" x14ac:dyDescent="0.2">
      <c r="A1247" s="390">
        <v>352</v>
      </c>
      <c r="B1247" s="390" t="s">
        <v>492</v>
      </c>
      <c r="C1247" s="390">
        <f>VLOOKUP(B1247,numbering!$N$18:$O$30,2,0)</f>
        <v>6</v>
      </c>
      <c r="D1247" s="390" t="s">
        <v>493</v>
      </c>
      <c r="E1247" s="403">
        <f t="shared" si="29"/>
        <v>3</v>
      </c>
      <c r="F1247" s="433" t="s">
        <v>502</v>
      </c>
      <c r="G1247" s="388" t="s">
        <v>1192</v>
      </c>
      <c r="H1247" s="390">
        <v>1</v>
      </c>
      <c r="I1247" s="390">
        <v>1</v>
      </c>
      <c r="J1247" s="390"/>
      <c r="K1247" s="398">
        <f>_xlfn.IFNA(VLOOKUP(A1247,numbering!$K$3:$L$92,2,0),0)</f>
        <v>0</v>
      </c>
    </row>
    <row r="1248" spans="1:11" ht="56" hidden="1" x14ac:dyDescent="0.2">
      <c r="A1248" s="390">
        <v>352</v>
      </c>
      <c r="B1248" s="390" t="s">
        <v>492</v>
      </c>
      <c r="C1248" s="390">
        <f>VLOOKUP(B1248,numbering!$N$18:$O$30,2,0)</f>
        <v>6</v>
      </c>
      <c r="D1248" s="390" t="s">
        <v>493</v>
      </c>
      <c r="E1248" s="403">
        <f t="shared" si="29"/>
        <v>3</v>
      </c>
      <c r="F1248" s="433" t="str">
        <f>F1247</f>
        <v>Is there documented evidence that the triggers and trigger levels stated in the Trigger Action Response Plan achieve the objective of being based on identified failure modes and the results of appropriate analyses for the facility? (e.g. stability, seepage and deformation assessment)</v>
      </c>
      <c r="G1248" s="388" t="s">
        <v>1193</v>
      </c>
      <c r="H1248" s="390">
        <v>2</v>
      </c>
      <c r="I1248" s="390">
        <v>2</v>
      </c>
      <c r="J1248" s="390"/>
      <c r="K1248" s="398">
        <f>_xlfn.IFNA(VLOOKUP(A1248,numbering!$K$3:$L$92,2,0),0)</f>
        <v>0</v>
      </c>
    </row>
    <row r="1249" spans="1:11" ht="56" hidden="1" x14ac:dyDescent="0.2">
      <c r="A1249" s="390">
        <v>352</v>
      </c>
      <c r="B1249" s="390" t="s">
        <v>492</v>
      </c>
      <c r="C1249" s="390">
        <f>VLOOKUP(B1249,numbering!$N$18:$O$30,2,0)</f>
        <v>6</v>
      </c>
      <c r="D1249" s="390" t="s">
        <v>493</v>
      </c>
      <c r="E1249" s="403">
        <f t="shared" si="29"/>
        <v>3</v>
      </c>
      <c r="F1249" s="433" t="str">
        <f>F1248</f>
        <v>Is there documented evidence that the triggers and trigger levels stated in the Trigger Action Response Plan achieve the objective of being based on identified failure modes and the results of appropriate analyses for the facility? (e.g. stability, seepage and deformation assessment)</v>
      </c>
      <c r="G1249" s="388" t="s">
        <v>1194</v>
      </c>
      <c r="H1249" s="390">
        <v>3</v>
      </c>
      <c r="I1249" s="390">
        <v>3</v>
      </c>
      <c r="J1249" s="390"/>
      <c r="K1249" s="398">
        <f>_xlfn.IFNA(VLOOKUP(A1249,numbering!$K$3:$L$92,2,0),0)</f>
        <v>0</v>
      </c>
    </row>
    <row r="1250" spans="1:11" ht="56" hidden="1" x14ac:dyDescent="0.2">
      <c r="A1250" s="390">
        <v>352</v>
      </c>
      <c r="B1250" s="390" t="s">
        <v>492</v>
      </c>
      <c r="C1250" s="390">
        <f>VLOOKUP(B1250,numbering!$N$18:$O$30,2,0)</f>
        <v>6</v>
      </c>
      <c r="D1250" s="390" t="s">
        <v>493</v>
      </c>
      <c r="E1250" s="403">
        <f t="shared" si="29"/>
        <v>3</v>
      </c>
      <c r="F1250" s="433" t="str">
        <f>F1249</f>
        <v>Is there documented evidence that the triggers and trigger levels stated in the Trigger Action Response Plan achieve the objective of being based on identified failure modes and the results of appropriate analyses for the facility? (e.g. stability, seepage and deformation assessment)</v>
      </c>
      <c r="G1250" s="388" t="s">
        <v>1195</v>
      </c>
      <c r="H1250" s="390">
        <v>4</v>
      </c>
      <c r="I1250" s="390">
        <v>4</v>
      </c>
      <c r="J1250" s="390"/>
      <c r="K1250" s="398">
        <f>_xlfn.IFNA(VLOOKUP(A1250,numbering!$K$3:$L$92,2,0),0)</f>
        <v>0</v>
      </c>
    </row>
    <row r="1251" spans="1:11" ht="56" hidden="1" x14ac:dyDescent="0.2">
      <c r="A1251" s="390">
        <v>353</v>
      </c>
      <c r="B1251" s="390" t="s">
        <v>492</v>
      </c>
      <c r="C1251" s="390">
        <f>VLOOKUP(B1251,numbering!$N$18:$O$30,2,0)</f>
        <v>6</v>
      </c>
      <c r="D1251" s="390" t="s">
        <v>493</v>
      </c>
      <c r="E1251" s="403">
        <f t="shared" si="29"/>
        <v>3</v>
      </c>
      <c r="F1251" s="433" t="s">
        <v>503</v>
      </c>
      <c r="G1251" s="388" t="s">
        <v>1192</v>
      </c>
      <c r="H1251" s="390">
        <v>1</v>
      </c>
      <c r="I1251" s="390">
        <v>1</v>
      </c>
      <c r="J1251" s="390"/>
      <c r="K1251" s="398">
        <f>_xlfn.IFNA(VLOOKUP(A1251,numbering!$K$3:$L$92,2,0),0)</f>
        <v>0</v>
      </c>
    </row>
    <row r="1252" spans="1:11" ht="56" hidden="1" x14ac:dyDescent="0.2">
      <c r="A1252" s="390">
        <v>353</v>
      </c>
      <c r="B1252" s="390" t="s">
        <v>492</v>
      </c>
      <c r="C1252" s="390">
        <f>VLOOKUP(B1252,numbering!$N$18:$O$30,2,0)</f>
        <v>6</v>
      </c>
      <c r="D1252" s="390" t="s">
        <v>493</v>
      </c>
      <c r="E1252" s="403">
        <f t="shared" si="29"/>
        <v>3</v>
      </c>
      <c r="F1252" s="433" t="str">
        <f>F1251</f>
        <v>Does the OMM contain sufficient discussion, information and instruction which achieves the objective of detailing actions required to be undertaken by operational staff in the event of emerging deleterious conditions, or failure scenarios (i.e. Emergency Action Plans)?</v>
      </c>
      <c r="G1252" s="388" t="s">
        <v>1193</v>
      </c>
      <c r="H1252" s="390">
        <v>2</v>
      </c>
      <c r="I1252" s="390">
        <v>2</v>
      </c>
      <c r="J1252" s="390"/>
      <c r="K1252" s="398">
        <f>_xlfn.IFNA(VLOOKUP(A1252,numbering!$K$3:$L$92,2,0),0)</f>
        <v>0</v>
      </c>
    </row>
    <row r="1253" spans="1:11" ht="56" hidden="1" x14ac:dyDescent="0.2">
      <c r="A1253" s="390">
        <v>353</v>
      </c>
      <c r="B1253" s="390" t="s">
        <v>492</v>
      </c>
      <c r="C1253" s="390">
        <f>VLOOKUP(B1253,numbering!$N$18:$O$30,2,0)</f>
        <v>6</v>
      </c>
      <c r="D1253" s="390" t="s">
        <v>493</v>
      </c>
      <c r="E1253" s="403">
        <f t="shared" si="29"/>
        <v>3</v>
      </c>
      <c r="F1253" s="433" t="str">
        <f>F1252</f>
        <v>Does the OMM contain sufficient discussion, information and instruction which achieves the objective of detailing actions required to be undertaken by operational staff in the event of emerging deleterious conditions, or failure scenarios (i.e. Emergency Action Plans)?</v>
      </c>
      <c r="G1253" s="388" t="s">
        <v>1194</v>
      </c>
      <c r="H1253" s="390">
        <v>3</v>
      </c>
      <c r="I1253" s="390">
        <v>3</v>
      </c>
      <c r="J1253" s="390"/>
      <c r="K1253" s="398">
        <f>_xlfn.IFNA(VLOOKUP(A1253,numbering!$K$3:$L$92,2,0),0)</f>
        <v>0</v>
      </c>
    </row>
    <row r="1254" spans="1:11" ht="56" hidden="1" x14ac:dyDescent="0.2">
      <c r="A1254" s="390">
        <v>353</v>
      </c>
      <c r="B1254" s="390" t="s">
        <v>492</v>
      </c>
      <c r="C1254" s="390">
        <f>VLOOKUP(B1254,numbering!$N$18:$O$30,2,0)</f>
        <v>6</v>
      </c>
      <c r="D1254" s="390" t="s">
        <v>493</v>
      </c>
      <c r="E1254" s="403">
        <f t="shared" si="29"/>
        <v>3</v>
      </c>
      <c r="F1254" s="433" t="str">
        <f>F1253</f>
        <v>Does the OMM contain sufficient discussion, information and instruction which achieves the objective of detailing actions required to be undertaken by operational staff in the event of emerging deleterious conditions, or failure scenarios (i.e. Emergency Action Plans)?</v>
      </c>
      <c r="G1254" s="388" t="s">
        <v>1195</v>
      </c>
      <c r="H1254" s="390">
        <v>4</v>
      </c>
      <c r="I1254" s="390">
        <v>4</v>
      </c>
      <c r="J1254" s="390"/>
      <c r="K1254" s="398">
        <f>_xlfn.IFNA(VLOOKUP(A1254,numbering!$K$3:$L$92,2,0),0)</f>
        <v>0</v>
      </c>
    </row>
    <row r="1255" spans="1:11" ht="42" hidden="1" x14ac:dyDescent="0.2">
      <c r="A1255" s="390">
        <v>354</v>
      </c>
      <c r="B1255" s="390" t="s">
        <v>492</v>
      </c>
      <c r="C1255" s="390">
        <f>VLOOKUP(B1255,numbering!$N$18:$O$30,2,0)</f>
        <v>6</v>
      </c>
      <c r="D1255" s="390" t="s">
        <v>493</v>
      </c>
      <c r="E1255" s="403">
        <f t="shared" si="29"/>
        <v>3</v>
      </c>
      <c r="F1255" s="433" t="s">
        <v>504</v>
      </c>
      <c r="G1255" s="388" t="s">
        <v>1192</v>
      </c>
      <c r="H1255" s="390">
        <v>1</v>
      </c>
      <c r="I1255" s="390">
        <v>1</v>
      </c>
      <c r="J1255" s="390"/>
      <c r="K1255" s="398">
        <f>_xlfn.IFNA(VLOOKUP(A1255,numbering!$K$3:$L$92,2,0),0)</f>
        <v>0</v>
      </c>
    </row>
    <row r="1256" spans="1:11" ht="42" hidden="1" x14ac:dyDescent="0.2">
      <c r="A1256" s="390">
        <v>354</v>
      </c>
      <c r="B1256" s="390" t="s">
        <v>492</v>
      </c>
      <c r="C1256" s="390">
        <f>VLOOKUP(B1256,numbering!$N$18:$O$30,2,0)</f>
        <v>6</v>
      </c>
      <c r="D1256" s="390" t="s">
        <v>493</v>
      </c>
      <c r="E1256" s="403">
        <f t="shared" si="29"/>
        <v>3</v>
      </c>
      <c r="F1256" s="433" t="str">
        <f>F1255</f>
        <v>Is supporting information referenced in the OMM attached as appendices which achieve the objective of providing further detailed instructions or information? (e.g. pump instructions, VWP calibration certificates, etc.)</v>
      </c>
      <c r="G1256" s="388" t="s">
        <v>1193</v>
      </c>
      <c r="H1256" s="390">
        <v>2</v>
      </c>
      <c r="I1256" s="390">
        <v>2</v>
      </c>
      <c r="J1256" s="390"/>
      <c r="K1256" s="398">
        <f>_xlfn.IFNA(VLOOKUP(A1256,numbering!$K$3:$L$92,2,0),0)</f>
        <v>0</v>
      </c>
    </row>
    <row r="1257" spans="1:11" ht="42" hidden="1" x14ac:dyDescent="0.2">
      <c r="A1257" s="390">
        <v>354</v>
      </c>
      <c r="B1257" s="390" t="s">
        <v>492</v>
      </c>
      <c r="C1257" s="390">
        <f>VLOOKUP(B1257,numbering!$N$18:$O$30,2,0)</f>
        <v>6</v>
      </c>
      <c r="D1257" s="390" t="s">
        <v>493</v>
      </c>
      <c r="E1257" s="403">
        <f t="shared" si="29"/>
        <v>3</v>
      </c>
      <c r="F1257" s="433" t="str">
        <f>F1256</f>
        <v>Is supporting information referenced in the OMM attached as appendices which achieve the objective of providing further detailed instructions or information? (e.g. pump instructions, VWP calibration certificates, etc.)</v>
      </c>
      <c r="G1257" s="388" t="s">
        <v>1194</v>
      </c>
      <c r="H1257" s="390">
        <v>3</v>
      </c>
      <c r="I1257" s="390">
        <v>3</v>
      </c>
      <c r="J1257" s="390"/>
      <c r="K1257" s="398">
        <f>_xlfn.IFNA(VLOOKUP(A1257,numbering!$K$3:$L$92,2,0),0)</f>
        <v>0</v>
      </c>
    </row>
    <row r="1258" spans="1:11" ht="32" hidden="1" x14ac:dyDescent="0.2">
      <c r="A1258" s="390">
        <v>354</v>
      </c>
      <c r="B1258" s="390" t="s">
        <v>492</v>
      </c>
      <c r="C1258" s="390">
        <f>VLOOKUP(B1258,numbering!$N$18:$O$30,2,0)</f>
        <v>6</v>
      </c>
      <c r="D1258" s="390" t="s">
        <v>493</v>
      </c>
      <c r="E1258" s="403">
        <f t="shared" si="29"/>
        <v>3</v>
      </c>
      <c r="F1258" s="433" t="s">
        <v>505</v>
      </c>
      <c r="G1258" s="388" t="s">
        <v>1195</v>
      </c>
      <c r="H1258" s="390">
        <v>4</v>
      </c>
      <c r="I1258" s="390">
        <v>4</v>
      </c>
      <c r="J1258" s="390"/>
      <c r="K1258" s="398">
        <f>_xlfn.IFNA(VLOOKUP(A1258,numbering!$K$3:$L$92,2,0),0)</f>
        <v>0</v>
      </c>
    </row>
    <row r="1259" spans="1:11" ht="42" hidden="1" x14ac:dyDescent="0.2">
      <c r="A1259" s="390">
        <v>356</v>
      </c>
      <c r="B1259" s="390" t="s">
        <v>492</v>
      </c>
      <c r="C1259" s="390">
        <f>VLOOKUP(B1259,numbering!$N$18:$O$30,2,0)</f>
        <v>6</v>
      </c>
      <c r="D1259" s="390" t="s">
        <v>510</v>
      </c>
      <c r="E1259" s="403">
        <f t="shared" ref="E1259:E1318" si="30">IF(C1259&lt;&gt;C1258,1,IF(D1259&lt;&gt;D1258,E1258+1,E1258))</f>
        <v>4</v>
      </c>
      <c r="F1259" s="433" t="s">
        <v>511</v>
      </c>
      <c r="G1259" s="388" t="s">
        <v>1192</v>
      </c>
      <c r="H1259" s="390">
        <v>1</v>
      </c>
      <c r="I1259" s="390">
        <v>1</v>
      </c>
      <c r="J1259" s="390"/>
      <c r="K1259" s="398">
        <f>_xlfn.IFNA(VLOOKUP(A1259,numbering!$K$3:$L$92,2,0),0)</f>
        <v>0</v>
      </c>
    </row>
    <row r="1260" spans="1:11" ht="42" hidden="1" x14ac:dyDescent="0.2">
      <c r="A1260" s="390">
        <v>356</v>
      </c>
      <c r="B1260" s="390" t="s">
        <v>492</v>
      </c>
      <c r="C1260" s="390">
        <f>VLOOKUP(B1260,numbering!$N$18:$O$30,2,0)</f>
        <v>6</v>
      </c>
      <c r="D1260" s="390" t="s">
        <v>510</v>
      </c>
      <c r="E1260" s="403">
        <f t="shared" si="30"/>
        <v>4</v>
      </c>
      <c r="F1260" s="433" t="str">
        <f>F1259</f>
        <v>Is there documented evidence that the objective of operational performance measures in the OMM (e.g. key performance indicators) being met is being achieved?</v>
      </c>
      <c r="G1260" s="388" t="s">
        <v>1193</v>
      </c>
      <c r="H1260" s="390">
        <v>2</v>
      </c>
      <c r="I1260" s="390">
        <v>2</v>
      </c>
      <c r="J1260" s="390"/>
      <c r="K1260" s="398">
        <f>_xlfn.IFNA(VLOOKUP(A1260,numbering!$K$3:$L$92,2,0),0)</f>
        <v>0</v>
      </c>
    </row>
    <row r="1261" spans="1:11" ht="42" hidden="1" x14ac:dyDescent="0.2">
      <c r="A1261" s="390">
        <v>356</v>
      </c>
      <c r="B1261" s="390" t="s">
        <v>492</v>
      </c>
      <c r="C1261" s="390">
        <f>VLOOKUP(B1261,numbering!$N$18:$O$30,2,0)</f>
        <v>6</v>
      </c>
      <c r="D1261" s="390" t="s">
        <v>510</v>
      </c>
      <c r="E1261" s="403">
        <f t="shared" si="30"/>
        <v>4</v>
      </c>
      <c r="F1261" s="433" t="str">
        <f>F1260</f>
        <v>Is there documented evidence that the objective of operational performance measures in the OMM (e.g. key performance indicators) being met is being achieved?</v>
      </c>
      <c r="G1261" s="388" t="s">
        <v>1194</v>
      </c>
      <c r="H1261" s="390">
        <v>3</v>
      </c>
      <c r="I1261" s="390">
        <v>3</v>
      </c>
      <c r="J1261" s="390"/>
      <c r="K1261" s="398">
        <f>_xlfn.IFNA(VLOOKUP(A1261,numbering!$K$3:$L$92,2,0),0)</f>
        <v>0</v>
      </c>
    </row>
    <row r="1262" spans="1:11" ht="42" hidden="1" x14ac:dyDescent="0.2">
      <c r="A1262" s="390">
        <v>356</v>
      </c>
      <c r="B1262" s="390" t="s">
        <v>492</v>
      </c>
      <c r="C1262" s="390">
        <f>VLOOKUP(B1262,numbering!$N$18:$O$30,2,0)</f>
        <v>6</v>
      </c>
      <c r="D1262" s="390" t="s">
        <v>510</v>
      </c>
      <c r="E1262" s="403">
        <f t="shared" si="30"/>
        <v>4</v>
      </c>
      <c r="F1262" s="433" t="str">
        <f>F1261</f>
        <v>Is there documented evidence that the objective of operational performance measures in the OMM (e.g. key performance indicators) being met is being achieved?</v>
      </c>
      <c r="G1262" s="388" t="s">
        <v>1195</v>
      </c>
      <c r="H1262" s="390">
        <v>4</v>
      </c>
      <c r="I1262" s="390">
        <v>4</v>
      </c>
      <c r="J1262" s="390"/>
      <c r="K1262" s="398">
        <f>_xlfn.IFNA(VLOOKUP(A1262,numbering!$K$3:$L$92,2,0),0)</f>
        <v>0</v>
      </c>
    </row>
    <row r="1263" spans="1:11" ht="42" hidden="1" x14ac:dyDescent="0.2">
      <c r="A1263" s="390">
        <v>357</v>
      </c>
      <c r="B1263" s="390" t="s">
        <v>492</v>
      </c>
      <c r="C1263" s="390">
        <f>VLOOKUP(B1263,numbering!$N$18:$O$30,2,0)</f>
        <v>6</v>
      </c>
      <c r="D1263" s="390" t="s">
        <v>510</v>
      </c>
      <c r="E1263" s="403">
        <f t="shared" si="30"/>
        <v>4</v>
      </c>
      <c r="F1263" s="433" t="s">
        <v>512</v>
      </c>
      <c r="G1263" s="388" t="s">
        <v>1192</v>
      </c>
      <c r="H1263" s="390">
        <v>1</v>
      </c>
      <c r="I1263" s="390">
        <v>1</v>
      </c>
      <c r="J1263" s="390"/>
      <c r="K1263" s="398">
        <f>_xlfn.IFNA(VLOOKUP(A1263,numbering!$K$3:$L$92,2,0),0)</f>
        <v>0</v>
      </c>
    </row>
    <row r="1264" spans="1:11" ht="42" hidden="1" x14ac:dyDescent="0.2">
      <c r="A1264" s="390">
        <v>357</v>
      </c>
      <c r="B1264" s="390" t="s">
        <v>492</v>
      </c>
      <c r="C1264" s="390">
        <f>VLOOKUP(B1264,numbering!$N$18:$O$30,2,0)</f>
        <v>6</v>
      </c>
      <c r="D1264" s="390" t="s">
        <v>510</v>
      </c>
      <c r="E1264" s="403">
        <f t="shared" si="30"/>
        <v>4</v>
      </c>
      <c r="F1264" s="433" t="str">
        <f>F1263</f>
        <v>Is there documented evidence that the objective of addressing required operation and maintenance actions within nominated time frames are being met?</v>
      </c>
      <c r="G1264" s="388" t="s">
        <v>1193</v>
      </c>
      <c r="H1264" s="390">
        <v>2</v>
      </c>
      <c r="I1264" s="390">
        <v>2</v>
      </c>
      <c r="J1264" s="390"/>
      <c r="K1264" s="398">
        <f>_xlfn.IFNA(VLOOKUP(A1264,numbering!$K$3:$L$92,2,0),0)</f>
        <v>0</v>
      </c>
    </row>
    <row r="1265" spans="1:11" ht="42" hidden="1" x14ac:dyDescent="0.2">
      <c r="A1265" s="390">
        <v>357</v>
      </c>
      <c r="B1265" s="390" t="s">
        <v>492</v>
      </c>
      <c r="C1265" s="390">
        <f>VLOOKUP(B1265,numbering!$N$18:$O$30,2,0)</f>
        <v>6</v>
      </c>
      <c r="D1265" s="390" t="s">
        <v>510</v>
      </c>
      <c r="E1265" s="403">
        <f t="shared" si="30"/>
        <v>4</v>
      </c>
      <c r="F1265" s="433" t="str">
        <f>F1264</f>
        <v>Is there documented evidence that the objective of addressing required operation and maintenance actions within nominated time frames are being met?</v>
      </c>
      <c r="G1265" s="388" t="s">
        <v>1194</v>
      </c>
      <c r="H1265" s="390">
        <v>3</v>
      </c>
      <c r="I1265" s="390">
        <v>3</v>
      </c>
      <c r="J1265" s="390"/>
      <c r="K1265" s="398">
        <f>_xlfn.IFNA(VLOOKUP(A1265,numbering!$K$3:$L$92,2,0),0)</f>
        <v>0</v>
      </c>
    </row>
    <row r="1266" spans="1:11" ht="42" hidden="1" x14ac:dyDescent="0.2">
      <c r="A1266" s="390">
        <v>357</v>
      </c>
      <c r="B1266" s="390" t="s">
        <v>492</v>
      </c>
      <c r="C1266" s="390">
        <f>VLOOKUP(B1266,numbering!$N$18:$O$30,2,0)</f>
        <v>6</v>
      </c>
      <c r="D1266" s="390" t="s">
        <v>510</v>
      </c>
      <c r="E1266" s="403">
        <f t="shared" si="30"/>
        <v>4</v>
      </c>
      <c r="F1266" s="433" t="str">
        <f>F1265</f>
        <v>Is there documented evidence that the objective of addressing required operation and maintenance actions within nominated time frames are being met?</v>
      </c>
      <c r="G1266" s="388" t="s">
        <v>1195</v>
      </c>
      <c r="H1266" s="390">
        <v>4</v>
      </c>
      <c r="I1266" s="390">
        <v>4</v>
      </c>
      <c r="J1266" s="390"/>
      <c r="K1266" s="398">
        <f>_xlfn.IFNA(VLOOKUP(A1266,numbering!$K$3:$L$92,2,0),0)</f>
        <v>0</v>
      </c>
    </row>
    <row r="1267" spans="1:11" ht="45" hidden="1" x14ac:dyDescent="0.2">
      <c r="A1267" s="390">
        <v>358</v>
      </c>
      <c r="B1267" s="390" t="s">
        <v>492</v>
      </c>
      <c r="C1267" s="390">
        <f>VLOOKUP(B1267,numbering!$N$18:$O$30,2,0)</f>
        <v>6</v>
      </c>
      <c r="D1267" s="390" t="s">
        <v>513</v>
      </c>
      <c r="E1267" s="403">
        <f t="shared" si="30"/>
        <v>5</v>
      </c>
      <c r="F1267" s="422" t="s">
        <v>514</v>
      </c>
      <c r="G1267" s="388" t="s">
        <v>1192</v>
      </c>
      <c r="H1267" s="390">
        <v>1</v>
      </c>
      <c r="I1267" s="390">
        <v>1</v>
      </c>
      <c r="J1267" s="390"/>
      <c r="K1267" s="398">
        <f>_xlfn.IFNA(VLOOKUP(A1267,numbering!$K$3:$L$92,2,0),0)</f>
        <v>1</v>
      </c>
    </row>
    <row r="1268" spans="1:11" ht="45" hidden="1" x14ac:dyDescent="0.2">
      <c r="A1268" s="390">
        <v>358</v>
      </c>
      <c r="B1268" s="390" t="s">
        <v>492</v>
      </c>
      <c r="C1268" s="390">
        <f>VLOOKUP(B1268,numbering!$N$18:$O$30,2,0)</f>
        <v>6</v>
      </c>
      <c r="D1268" s="390" t="s">
        <v>513</v>
      </c>
      <c r="E1268" s="403">
        <f t="shared" si="30"/>
        <v>5</v>
      </c>
      <c r="F1268" s="422" t="s">
        <v>514</v>
      </c>
      <c r="G1268" s="388" t="s">
        <v>1193</v>
      </c>
      <c r="H1268" s="390">
        <v>2</v>
      </c>
      <c r="I1268" s="390">
        <v>2</v>
      </c>
      <c r="J1268" s="390"/>
      <c r="K1268" s="398">
        <f>_xlfn.IFNA(VLOOKUP(A1268,numbering!$K$3:$L$92,2,0),0)</f>
        <v>1</v>
      </c>
    </row>
    <row r="1269" spans="1:11" ht="45" hidden="1" x14ac:dyDescent="0.2">
      <c r="A1269" s="390">
        <v>358</v>
      </c>
      <c r="B1269" s="390" t="s">
        <v>492</v>
      </c>
      <c r="C1269" s="390">
        <f>VLOOKUP(B1269,numbering!$N$18:$O$30,2,0)</f>
        <v>6</v>
      </c>
      <c r="D1269" s="390" t="s">
        <v>513</v>
      </c>
      <c r="E1269" s="403">
        <f t="shared" si="30"/>
        <v>5</v>
      </c>
      <c r="F1269" s="422" t="s">
        <v>514</v>
      </c>
      <c r="G1269" s="388" t="s">
        <v>1194</v>
      </c>
      <c r="H1269" s="390">
        <v>3</v>
      </c>
      <c r="I1269" s="390">
        <v>3</v>
      </c>
      <c r="J1269" s="390"/>
      <c r="K1269" s="398">
        <f>_xlfn.IFNA(VLOOKUP(A1269,numbering!$K$3:$L$92,2,0),0)</f>
        <v>1</v>
      </c>
    </row>
    <row r="1270" spans="1:11" ht="45" hidden="1" x14ac:dyDescent="0.2">
      <c r="A1270" s="390">
        <v>358</v>
      </c>
      <c r="B1270" s="390" t="s">
        <v>492</v>
      </c>
      <c r="C1270" s="390">
        <f>VLOOKUP(B1270,numbering!$N$18:$O$30,2,0)</f>
        <v>6</v>
      </c>
      <c r="D1270" s="390" t="s">
        <v>513</v>
      </c>
      <c r="E1270" s="403">
        <f t="shared" si="30"/>
        <v>5</v>
      </c>
      <c r="F1270" s="422" t="s">
        <v>514</v>
      </c>
      <c r="G1270" s="388" t="s">
        <v>1195</v>
      </c>
      <c r="H1270" s="390">
        <v>4</v>
      </c>
      <c r="I1270" s="390">
        <v>4</v>
      </c>
      <c r="J1270" s="390"/>
      <c r="K1270" s="398">
        <f>_xlfn.IFNA(VLOOKUP(A1270,numbering!$K$3:$L$92,2,0),0)</f>
        <v>1</v>
      </c>
    </row>
    <row r="1271" spans="1:11" ht="45" hidden="1" x14ac:dyDescent="0.2">
      <c r="A1271" s="390">
        <v>359</v>
      </c>
      <c r="B1271" s="390" t="s">
        <v>492</v>
      </c>
      <c r="C1271" s="390">
        <f>VLOOKUP(B1271,numbering!$N$18:$O$30,2,0)</f>
        <v>6</v>
      </c>
      <c r="D1271" s="390" t="s">
        <v>513</v>
      </c>
      <c r="E1271" s="403">
        <f t="shared" si="30"/>
        <v>5</v>
      </c>
      <c r="F1271" s="422" t="s">
        <v>515</v>
      </c>
      <c r="G1271" s="388" t="s">
        <v>1192</v>
      </c>
      <c r="H1271" s="390">
        <v>1</v>
      </c>
      <c r="I1271" s="390">
        <v>1</v>
      </c>
      <c r="J1271" s="390"/>
      <c r="K1271" s="398">
        <f>_xlfn.IFNA(VLOOKUP(A1271,numbering!$K$3:$L$92,2,0),0)</f>
        <v>1</v>
      </c>
    </row>
    <row r="1272" spans="1:11" ht="45" hidden="1" x14ac:dyDescent="0.2">
      <c r="A1272" s="390">
        <v>359</v>
      </c>
      <c r="B1272" s="390" t="s">
        <v>492</v>
      </c>
      <c r="C1272" s="390">
        <f>VLOOKUP(B1272,numbering!$N$18:$O$30,2,0)</f>
        <v>6</v>
      </c>
      <c r="D1272" s="390" t="s">
        <v>513</v>
      </c>
      <c r="E1272" s="403">
        <f t="shared" si="30"/>
        <v>5</v>
      </c>
      <c r="F1272" s="422" t="s">
        <v>515</v>
      </c>
      <c r="G1272" s="388" t="s">
        <v>1193</v>
      </c>
      <c r="H1272" s="390">
        <v>2</v>
      </c>
      <c r="I1272" s="390">
        <v>2</v>
      </c>
      <c r="J1272" s="390"/>
      <c r="K1272" s="398">
        <f>_xlfn.IFNA(VLOOKUP(A1272,numbering!$K$3:$L$92,2,0),0)</f>
        <v>1</v>
      </c>
    </row>
    <row r="1273" spans="1:11" ht="45" hidden="1" x14ac:dyDescent="0.2">
      <c r="A1273" s="390">
        <v>359</v>
      </c>
      <c r="B1273" s="390" t="s">
        <v>492</v>
      </c>
      <c r="C1273" s="390">
        <f>VLOOKUP(B1273,numbering!$N$18:$O$30,2,0)</f>
        <v>6</v>
      </c>
      <c r="D1273" s="390" t="s">
        <v>513</v>
      </c>
      <c r="E1273" s="403">
        <f t="shared" si="30"/>
        <v>5</v>
      </c>
      <c r="F1273" s="422" t="s">
        <v>515</v>
      </c>
      <c r="G1273" s="388" t="s">
        <v>1194</v>
      </c>
      <c r="H1273" s="390">
        <v>3</v>
      </c>
      <c r="I1273" s="390">
        <v>3</v>
      </c>
      <c r="J1273" s="390"/>
      <c r="K1273" s="398">
        <f>_xlfn.IFNA(VLOOKUP(A1273,numbering!$K$3:$L$92,2,0),0)</f>
        <v>1</v>
      </c>
    </row>
    <row r="1274" spans="1:11" ht="45" hidden="1" x14ac:dyDescent="0.2">
      <c r="A1274" s="390">
        <v>359</v>
      </c>
      <c r="B1274" s="390" t="s">
        <v>492</v>
      </c>
      <c r="C1274" s="390">
        <f>VLOOKUP(B1274,numbering!$N$18:$O$30,2,0)</f>
        <v>6</v>
      </c>
      <c r="D1274" s="390" t="s">
        <v>513</v>
      </c>
      <c r="E1274" s="403">
        <f t="shared" si="30"/>
        <v>5</v>
      </c>
      <c r="F1274" s="422" t="s">
        <v>515</v>
      </c>
      <c r="G1274" s="388" t="s">
        <v>1195</v>
      </c>
      <c r="H1274" s="390">
        <v>4</v>
      </c>
      <c r="I1274" s="390">
        <v>4</v>
      </c>
      <c r="J1274" s="390"/>
      <c r="K1274" s="398">
        <f>_xlfn.IFNA(VLOOKUP(A1274,numbering!$K$3:$L$92,2,0),0)</f>
        <v>1</v>
      </c>
    </row>
    <row r="1275" spans="1:11" ht="75" hidden="1" x14ac:dyDescent="0.2">
      <c r="A1275" s="390">
        <v>360</v>
      </c>
      <c r="B1275" s="390" t="s">
        <v>492</v>
      </c>
      <c r="C1275" s="390">
        <f>VLOOKUP(B1275,numbering!$N$18:$O$30,2,0)</f>
        <v>6</v>
      </c>
      <c r="D1275" s="390" t="s">
        <v>513</v>
      </c>
      <c r="E1275" s="403">
        <f t="shared" si="30"/>
        <v>5</v>
      </c>
      <c r="F1275" s="422" t="s">
        <v>516</v>
      </c>
      <c r="G1275" s="388" t="s">
        <v>1192</v>
      </c>
      <c r="H1275" s="390">
        <v>1</v>
      </c>
      <c r="I1275" s="390">
        <v>1</v>
      </c>
      <c r="J1275" s="390"/>
      <c r="K1275" s="398">
        <f>_xlfn.IFNA(VLOOKUP(A1275,numbering!$K$3:$L$92,2,0),0)</f>
        <v>1</v>
      </c>
    </row>
    <row r="1276" spans="1:11" ht="75" hidden="1" x14ac:dyDescent="0.2">
      <c r="A1276" s="390">
        <v>360</v>
      </c>
      <c r="B1276" s="390" t="s">
        <v>492</v>
      </c>
      <c r="C1276" s="390">
        <f>VLOOKUP(B1276,numbering!$N$18:$O$30,2,0)</f>
        <v>6</v>
      </c>
      <c r="D1276" s="390" t="s">
        <v>513</v>
      </c>
      <c r="E1276" s="403">
        <f t="shared" si="30"/>
        <v>5</v>
      </c>
      <c r="F1276" s="422" t="s">
        <v>516</v>
      </c>
      <c r="G1276" s="388" t="s">
        <v>1193</v>
      </c>
      <c r="H1276" s="390">
        <v>2</v>
      </c>
      <c r="I1276" s="390">
        <v>2</v>
      </c>
      <c r="J1276" s="390"/>
      <c r="K1276" s="398">
        <f>_xlfn.IFNA(VLOOKUP(A1276,numbering!$K$3:$L$92,2,0),0)</f>
        <v>1</v>
      </c>
    </row>
    <row r="1277" spans="1:11" ht="75" hidden="1" x14ac:dyDescent="0.2">
      <c r="A1277" s="390">
        <v>360</v>
      </c>
      <c r="B1277" s="390" t="s">
        <v>492</v>
      </c>
      <c r="C1277" s="390">
        <f>VLOOKUP(B1277,numbering!$N$18:$O$30,2,0)</f>
        <v>6</v>
      </c>
      <c r="D1277" s="390" t="s">
        <v>513</v>
      </c>
      <c r="E1277" s="403">
        <f t="shared" si="30"/>
        <v>5</v>
      </c>
      <c r="F1277" s="422" t="s">
        <v>516</v>
      </c>
      <c r="G1277" s="388" t="s">
        <v>1194</v>
      </c>
      <c r="H1277" s="390">
        <v>3</v>
      </c>
      <c r="I1277" s="390">
        <v>3</v>
      </c>
      <c r="J1277" s="390"/>
      <c r="K1277" s="398">
        <f>_xlfn.IFNA(VLOOKUP(A1277,numbering!$K$3:$L$92,2,0),0)</f>
        <v>1</v>
      </c>
    </row>
    <row r="1278" spans="1:11" ht="75" hidden="1" x14ac:dyDescent="0.2">
      <c r="A1278" s="390">
        <v>360</v>
      </c>
      <c r="B1278" s="390" t="s">
        <v>492</v>
      </c>
      <c r="C1278" s="390">
        <f>VLOOKUP(B1278,numbering!$N$18:$O$30,2,0)</f>
        <v>6</v>
      </c>
      <c r="D1278" s="390" t="s">
        <v>513</v>
      </c>
      <c r="E1278" s="403">
        <f t="shared" si="30"/>
        <v>5</v>
      </c>
      <c r="F1278" s="422" t="s">
        <v>516</v>
      </c>
      <c r="G1278" s="388" t="s">
        <v>1195</v>
      </c>
      <c r="H1278" s="390">
        <v>4</v>
      </c>
      <c r="I1278" s="390">
        <v>4</v>
      </c>
      <c r="J1278" s="390"/>
      <c r="K1278" s="398">
        <f>_xlfn.IFNA(VLOOKUP(A1278,numbering!$K$3:$L$92,2,0),0)</f>
        <v>1</v>
      </c>
    </row>
    <row r="1279" spans="1:11" ht="45" hidden="1" x14ac:dyDescent="0.2">
      <c r="A1279" s="390">
        <v>361</v>
      </c>
      <c r="B1279" s="390" t="s">
        <v>492</v>
      </c>
      <c r="C1279" s="390">
        <f>VLOOKUP(B1279,numbering!$N$18:$O$30,2,0)</f>
        <v>6</v>
      </c>
      <c r="D1279" s="390" t="s">
        <v>513</v>
      </c>
      <c r="E1279" s="403">
        <f t="shared" si="30"/>
        <v>5</v>
      </c>
      <c r="F1279" s="422" t="s">
        <v>517</v>
      </c>
      <c r="G1279" s="388" t="s">
        <v>1192</v>
      </c>
      <c r="H1279" s="390">
        <v>1</v>
      </c>
      <c r="I1279" s="390">
        <v>1</v>
      </c>
      <c r="J1279" s="390"/>
      <c r="K1279" s="398">
        <f>_xlfn.IFNA(VLOOKUP(A1279,numbering!$K$3:$L$92,2,0),0)</f>
        <v>1</v>
      </c>
    </row>
    <row r="1280" spans="1:11" ht="45" hidden="1" x14ac:dyDescent="0.2">
      <c r="A1280" s="390">
        <v>361</v>
      </c>
      <c r="B1280" s="390" t="s">
        <v>492</v>
      </c>
      <c r="C1280" s="390">
        <f>VLOOKUP(B1280,numbering!$N$18:$O$30,2,0)</f>
        <v>6</v>
      </c>
      <c r="D1280" s="390" t="s">
        <v>513</v>
      </c>
      <c r="E1280" s="403">
        <f t="shared" si="30"/>
        <v>5</v>
      </c>
      <c r="F1280" s="422" t="s">
        <v>517</v>
      </c>
      <c r="G1280" s="388" t="s">
        <v>1193</v>
      </c>
      <c r="H1280" s="390">
        <v>2</v>
      </c>
      <c r="I1280" s="390">
        <v>2</v>
      </c>
      <c r="J1280" s="390"/>
      <c r="K1280" s="398">
        <f>_xlfn.IFNA(VLOOKUP(A1280,numbering!$K$3:$L$92,2,0),0)</f>
        <v>1</v>
      </c>
    </row>
    <row r="1281" spans="1:11" ht="45" hidden="1" x14ac:dyDescent="0.2">
      <c r="A1281" s="390">
        <v>361</v>
      </c>
      <c r="B1281" s="390" t="s">
        <v>492</v>
      </c>
      <c r="C1281" s="390">
        <f>VLOOKUP(B1281,numbering!$N$18:$O$30,2,0)</f>
        <v>6</v>
      </c>
      <c r="D1281" s="390" t="s">
        <v>513</v>
      </c>
      <c r="E1281" s="403">
        <f t="shared" si="30"/>
        <v>5</v>
      </c>
      <c r="F1281" s="422" t="s">
        <v>517</v>
      </c>
      <c r="G1281" s="388" t="s">
        <v>1194</v>
      </c>
      <c r="H1281" s="390">
        <v>3</v>
      </c>
      <c r="I1281" s="390">
        <v>3</v>
      </c>
      <c r="J1281" s="390"/>
      <c r="K1281" s="398">
        <f>_xlfn.IFNA(VLOOKUP(A1281,numbering!$K$3:$L$92,2,0),0)</f>
        <v>1</v>
      </c>
    </row>
    <row r="1282" spans="1:11" ht="45" hidden="1" x14ac:dyDescent="0.2">
      <c r="A1282" s="390">
        <v>361</v>
      </c>
      <c r="B1282" s="390" t="s">
        <v>492</v>
      </c>
      <c r="C1282" s="390">
        <f>VLOOKUP(B1282,numbering!$N$18:$O$30,2,0)</f>
        <v>6</v>
      </c>
      <c r="D1282" s="390" t="s">
        <v>513</v>
      </c>
      <c r="E1282" s="403">
        <f t="shared" si="30"/>
        <v>5</v>
      </c>
      <c r="F1282" s="422" t="s">
        <v>517</v>
      </c>
      <c r="G1282" s="388" t="s">
        <v>1195</v>
      </c>
      <c r="H1282" s="390">
        <v>4</v>
      </c>
      <c r="I1282" s="390">
        <v>4</v>
      </c>
      <c r="J1282" s="390"/>
      <c r="K1282" s="398">
        <f>_xlfn.IFNA(VLOOKUP(A1282,numbering!$K$3:$L$92,2,0),0)</f>
        <v>1</v>
      </c>
    </row>
    <row r="1283" spans="1:11" ht="56" hidden="1" x14ac:dyDescent="0.2">
      <c r="A1283" s="390">
        <v>362</v>
      </c>
      <c r="B1283" s="390" t="s">
        <v>492</v>
      </c>
      <c r="C1283" s="390">
        <f>VLOOKUP(B1283,numbering!$N$18:$O$30,2,0)</f>
        <v>6</v>
      </c>
      <c r="D1283" s="390" t="s">
        <v>518</v>
      </c>
      <c r="E1283" s="403">
        <f t="shared" si="30"/>
        <v>6</v>
      </c>
      <c r="F1283" s="433" t="s">
        <v>519</v>
      </c>
      <c r="G1283" s="388" t="s">
        <v>1192</v>
      </c>
      <c r="H1283" s="390">
        <v>1</v>
      </c>
      <c r="I1283" s="390">
        <v>1</v>
      </c>
      <c r="J1283" s="390"/>
      <c r="K1283" s="398">
        <f>_xlfn.IFNA(VLOOKUP(A1283,numbering!$K$3:$L$92,2,0),0)</f>
        <v>0</v>
      </c>
    </row>
    <row r="1284" spans="1:11" ht="56" hidden="1" x14ac:dyDescent="0.2">
      <c r="A1284" s="390">
        <v>362</v>
      </c>
      <c r="B1284" s="390" t="s">
        <v>492</v>
      </c>
      <c r="C1284" s="390">
        <f>VLOOKUP(B1284,numbering!$N$18:$O$30,2,0)</f>
        <v>6</v>
      </c>
      <c r="D1284" s="390" t="s">
        <v>518</v>
      </c>
      <c r="E1284" s="403">
        <f t="shared" si="30"/>
        <v>6</v>
      </c>
      <c r="F1284" s="433" t="str">
        <f>F1283</f>
        <v>Is there documented evidence that storage elevation instruments been installed for the facility, to achieve the objective of being able to monitor storage elevations with sufficient accuracy and frequency considering the context of the facility?</v>
      </c>
      <c r="G1284" s="388" t="s">
        <v>1193</v>
      </c>
      <c r="H1284" s="390">
        <v>2</v>
      </c>
      <c r="I1284" s="390">
        <v>2</v>
      </c>
      <c r="J1284" s="390"/>
      <c r="K1284" s="398">
        <f>_xlfn.IFNA(VLOOKUP(A1284,numbering!$K$3:$L$92,2,0),0)</f>
        <v>0</v>
      </c>
    </row>
    <row r="1285" spans="1:11" ht="56" hidden="1" x14ac:dyDescent="0.2">
      <c r="A1285" s="390">
        <v>362</v>
      </c>
      <c r="B1285" s="390" t="s">
        <v>492</v>
      </c>
      <c r="C1285" s="390">
        <f>VLOOKUP(B1285,numbering!$N$18:$O$30,2,0)</f>
        <v>6</v>
      </c>
      <c r="D1285" s="390" t="s">
        <v>518</v>
      </c>
      <c r="E1285" s="403">
        <f t="shared" si="30"/>
        <v>6</v>
      </c>
      <c r="F1285" s="433" t="str">
        <f>F1284</f>
        <v>Is there documented evidence that storage elevation instruments been installed for the facility, to achieve the objective of being able to monitor storage elevations with sufficient accuracy and frequency considering the context of the facility?</v>
      </c>
      <c r="G1285" s="388" t="s">
        <v>1194</v>
      </c>
      <c r="H1285" s="390">
        <v>3</v>
      </c>
      <c r="I1285" s="390">
        <v>3</v>
      </c>
      <c r="J1285" s="390"/>
      <c r="K1285" s="398">
        <f>_xlfn.IFNA(VLOOKUP(A1285,numbering!$K$3:$L$92,2,0),0)</f>
        <v>0</v>
      </c>
    </row>
    <row r="1286" spans="1:11" ht="56" hidden="1" x14ac:dyDescent="0.2">
      <c r="A1286" s="390">
        <v>362</v>
      </c>
      <c r="B1286" s="390" t="s">
        <v>492</v>
      </c>
      <c r="C1286" s="390">
        <f>VLOOKUP(B1286,numbering!$N$18:$O$30,2,0)</f>
        <v>6</v>
      </c>
      <c r="D1286" s="390" t="s">
        <v>518</v>
      </c>
      <c r="E1286" s="403">
        <f t="shared" si="30"/>
        <v>6</v>
      </c>
      <c r="F1286" s="433" t="str">
        <f>F1285</f>
        <v>Is there documented evidence that storage elevation instruments been installed for the facility, to achieve the objective of being able to monitor storage elevations with sufficient accuracy and frequency considering the context of the facility?</v>
      </c>
      <c r="G1286" s="388" t="s">
        <v>1195</v>
      </c>
      <c r="H1286" s="390">
        <v>4</v>
      </c>
      <c r="I1286" s="390">
        <v>4</v>
      </c>
      <c r="J1286" s="390"/>
      <c r="K1286" s="398">
        <f>_xlfn.IFNA(VLOOKUP(A1286,numbering!$K$3:$L$92,2,0),0)</f>
        <v>0</v>
      </c>
    </row>
    <row r="1287" spans="1:11" ht="56" hidden="1" x14ac:dyDescent="0.2">
      <c r="A1287" s="390">
        <v>363</v>
      </c>
      <c r="B1287" s="390" t="s">
        <v>492</v>
      </c>
      <c r="C1287" s="390">
        <f>VLOOKUP(B1287,numbering!$N$18:$O$30,2,0)</f>
        <v>6</v>
      </c>
      <c r="D1287" s="390" t="s">
        <v>518</v>
      </c>
      <c r="E1287" s="403">
        <f t="shared" si="30"/>
        <v>6</v>
      </c>
      <c r="F1287" s="433" t="s">
        <v>520</v>
      </c>
      <c r="G1287" s="388" t="s">
        <v>1192</v>
      </c>
      <c r="H1287" s="390">
        <v>1</v>
      </c>
      <c r="I1287" s="390">
        <v>1</v>
      </c>
      <c r="J1287" s="390"/>
      <c r="K1287" s="398">
        <f>_xlfn.IFNA(VLOOKUP(A1287,numbering!$K$3:$L$92,2,0),0)</f>
        <v>0</v>
      </c>
    </row>
    <row r="1288" spans="1:11" ht="56" hidden="1" x14ac:dyDescent="0.2">
      <c r="A1288" s="390">
        <v>363</v>
      </c>
      <c r="B1288" s="390" t="s">
        <v>492</v>
      </c>
      <c r="C1288" s="390">
        <f>VLOOKUP(B1288,numbering!$N$18:$O$30,2,0)</f>
        <v>6</v>
      </c>
      <c r="D1288" s="390" t="s">
        <v>518</v>
      </c>
      <c r="E1288" s="403">
        <f t="shared" si="30"/>
        <v>6</v>
      </c>
      <c r="F1288" s="433" t="str">
        <f>F1287</f>
        <v>Is there documented evidence that a method to record rainfall at the facility is available, to achieve the objective of measuring representative rainfall with sufficient accuracy and frequency considering the context of the facility?</v>
      </c>
      <c r="G1288" s="388" t="s">
        <v>1193</v>
      </c>
      <c r="H1288" s="390">
        <v>2</v>
      </c>
      <c r="I1288" s="390">
        <v>2</v>
      </c>
      <c r="J1288" s="390"/>
      <c r="K1288" s="398">
        <f>_xlfn.IFNA(VLOOKUP(A1288,numbering!$K$3:$L$92,2,0),0)</f>
        <v>0</v>
      </c>
    </row>
    <row r="1289" spans="1:11" ht="56" hidden="1" x14ac:dyDescent="0.2">
      <c r="A1289" s="390">
        <v>363</v>
      </c>
      <c r="B1289" s="390" t="s">
        <v>492</v>
      </c>
      <c r="C1289" s="390">
        <f>VLOOKUP(B1289,numbering!$N$18:$O$30,2,0)</f>
        <v>6</v>
      </c>
      <c r="D1289" s="390" t="s">
        <v>518</v>
      </c>
      <c r="E1289" s="403">
        <f t="shared" si="30"/>
        <v>6</v>
      </c>
      <c r="F1289" s="433" t="str">
        <f>F1288</f>
        <v>Is there documented evidence that a method to record rainfall at the facility is available, to achieve the objective of measuring representative rainfall with sufficient accuracy and frequency considering the context of the facility?</v>
      </c>
      <c r="G1289" s="388" t="s">
        <v>1194</v>
      </c>
      <c r="H1289" s="390">
        <v>3</v>
      </c>
      <c r="I1289" s="390">
        <v>3</v>
      </c>
      <c r="J1289" s="390"/>
      <c r="K1289" s="398">
        <f>_xlfn.IFNA(VLOOKUP(A1289,numbering!$K$3:$L$92,2,0),0)</f>
        <v>0</v>
      </c>
    </row>
    <row r="1290" spans="1:11" ht="56" hidden="1" x14ac:dyDescent="0.2">
      <c r="A1290" s="390">
        <v>363</v>
      </c>
      <c r="B1290" s="390" t="s">
        <v>492</v>
      </c>
      <c r="C1290" s="390">
        <f>VLOOKUP(B1290,numbering!$N$18:$O$30,2,0)</f>
        <v>6</v>
      </c>
      <c r="D1290" s="390" t="s">
        <v>518</v>
      </c>
      <c r="E1290" s="403">
        <f t="shared" si="30"/>
        <v>6</v>
      </c>
      <c r="F1290" s="433" t="str">
        <f>F1289</f>
        <v>Is there documented evidence that a method to record rainfall at the facility is available, to achieve the objective of measuring representative rainfall with sufficient accuracy and frequency considering the context of the facility?</v>
      </c>
      <c r="G1290" s="388" t="s">
        <v>1195</v>
      </c>
      <c r="H1290" s="390">
        <v>4</v>
      </c>
      <c r="I1290" s="390">
        <v>4</v>
      </c>
      <c r="J1290" s="390"/>
      <c r="K1290" s="398">
        <f>_xlfn.IFNA(VLOOKUP(A1290,numbering!$K$3:$L$92,2,0),0)</f>
        <v>0</v>
      </c>
    </row>
    <row r="1291" spans="1:11" s="420" customFormat="1" ht="60" hidden="1" x14ac:dyDescent="0.2">
      <c r="A1291" s="391"/>
      <c r="B1291" s="391" t="s">
        <v>492</v>
      </c>
      <c r="C1291" s="391">
        <f>VLOOKUP(B1291,numbering!$N$18:$O$30,2,0)</f>
        <v>6</v>
      </c>
      <c r="D1291" s="391" t="s">
        <v>518</v>
      </c>
      <c r="E1291" s="417">
        <f t="shared" si="30"/>
        <v>6</v>
      </c>
      <c r="F1291" s="431" t="s">
        <v>521</v>
      </c>
      <c r="G1291" s="396" t="s">
        <v>1192</v>
      </c>
      <c r="H1291" s="391">
        <v>1</v>
      </c>
      <c r="I1291" s="391">
        <v>1</v>
      </c>
      <c r="J1291" s="391"/>
      <c r="K1291" s="391">
        <f>_xlfn.IFNA(VLOOKUP(A1291,numbering!$K$3:$L$92,2,0),0)</f>
        <v>0</v>
      </c>
    </row>
    <row r="1292" spans="1:11" s="420" customFormat="1" ht="60" hidden="1" x14ac:dyDescent="0.2">
      <c r="A1292" s="391"/>
      <c r="B1292" s="391" t="s">
        <v>492</v>
      </c>
      <c r="C1292" s="391">
        <f>VLOOKUP(B1292,numbering!$N$18:$O$30,2,0)</f>
        <v>6</v>
      </c>
      <c r="D1292" s="391" t="s">
        <v>518</v>
      </c>
      <c r="E1292" s="417">
        <f t="shared" si="30"/>
        <v>6</v>
      </c>
      <c r="F1292" s="431" t="str">
        <f>F1291</f>
        <v>Is there documented evidence that pore pressure measuring devices (standpipes, VWPs) have been installed in the confining structure, to achieve the objective of monitoring pore pressures within the embankment with sufficient accuracy and frequency considering the context of the facility?</v>
      </c>
      <c r="G1292" s="396" t="s">
        <v>1193</v>
      </c>
      <c r="H1292" s="391">
        <v>2</v>
      </c>
      <c r="I1292" s="391">
        <v>2</v>
      </c>
      <c r="J1292" s="391"/>
      <c r="K1292" s="391">
        <f>_xlfn.IFNA(VLOOKUP(A1292,numbering!$K$3:$L$92,2,0),0)</f>
        <v>0</v>
      </c>
    </row>
    <row r="1293" spans="1:11" s="420" customFormat="1" ht="60" hidden="1" x14ac:dyDescent="0.2">
      <c r="A1293" s="391"/>
      <c r="B1293" s="391" t="s">
        <v>492</v>
      </c>
      <c r="C1293" s="391">
        <f>VLOOKUP(B1293,numbering!$N$18:$O$30,2,0)</f>
        <v>6</v>
      </c>
      <c r="D1293" s="391" t="s">
        <v>518</v>
      </c>
      <c r="E1293" s="417">
        <f t="shared" si="30"/>
        <v>6</v>
      </c>
      <c r="F1293" s="431" t="str">
        <f>F1292</f>
        <v>Is there documented evidence that pore pressure measuring devices (standpipes, VWPs) have been installed in the confining structure, to achieve the objective of monitoring pore pressures within the embankment with sufficient accuracy and frequency considering the context of the facility?</v>
      </c>
      <c r="G1293" s="396" t="s">
        <v>1194</v>
      </c>
      <c r="H1293" s="391">
        <v>3</v>
      </c>
      <c r="I1293" s="391">
        <v>3</v>
      </c>
      <c r="J1293" s="391"/>
      <c r="K1293" s="391">
        <f>_xlfn.IFNA(VLOOKUP(A1293,numbering!$K$3:$L$92,2,0),0)</f>
        <v>0</v>
      </c>
    </row>
    <row r="1294" spans="1:11" s="420" customFormat="1" ht="60" hidden="1" x14ac:dyDescent="0.2">
      <c r="A1294" s="391"/>
      <c r="B1294" s="391" t="s">
        <v>492</v>
      </c>
      <c r="C1294" s="391">
        <f>VLOOKUP(B1294,numbering!$N$18:$O$30,2,0)</f>
        <v>6</v>
      </c>
      <c r="D1294" s="391" t="s">
        <v>518</v>
      </c>
      <c r="E1294" s="417">
        <f t="shared" si="30"/>
        <v>6</v>
      </c>
      <c r="F1294" s="431" t="str">
        <f>F1293</f>
        <v>Is there documented evidence that pore pressure measuring devices (standpipes, VWPs) have been installed in the confining structure, to achieve the objective of monitoring pore pressures within the embankment with sufficient accuracy and frequency considering the context of the facility?</v>
      </c>
      <c r="G1294" s="396" t="s">
        <v>1195</v>
      </c>
      <c r="H1294" s="391">
        <v>4</v>
      </c>
      <c r="I1294" s="391">
        <v>4</v>
      </c>
      <c r="J1294" s="391"/>
      <c r="K1294" s="391">
        <f>_xlfn.IFNA(VLOOKUP(A1294,numbering!$K$3:$L$92,2,0),0)</f>
        <v>0</v>
      </c>
    </row>
    <row r="1295" spans="1:11" s="420" customFormat="1" ht="60" hidden="1" x14ac:dyDescent="0.2">
      <c r="A1295" s="391">
        <v>365</v>
      </c>
      <c r="B1295" s="391" t="s">
        <v>492</v>
      </c>
      <c r="C1295" s="391">
        <f>VLOOKUP(B1295,numbering!$N$18:$O$30,2,0)</f>
        <v>6</v>
      </c>
      <c r="D1295" s="391" t="s">
        <v>518</v>
      </c>
      <c r="E1295" s="417">
        <f t="shared" si="30"/>
        <v>6</v>
      </c>
      <c r="F1295" s="431" t="str">
        <f>F1294</f>
        <v>Is there documented evidence that pore pressure measuring devices (standpipes, VWPs) have been installed in the confining structure, to achieve the objective of monitoring pore pressures within the embankment with sufficient accuracy and frequency considering the context of the facility?</v>
      </c>
      <c r="G1295" s="396" t="s">
        <v>1194</v>
      </c>
      <c r="H1295" s="391">
        <v>3</v>
      </c>
      <c r="I1295" s="391">
        <v>3</v>
      </c>
      <c r="J1295" s="391"/>
      <c r="K1295" s="391">
        <f>_xlfn.IFNA(VLOOKUP(A1295,numbering!$K$3:$L$92,2,0),0)</f>
        <v>1</v>
      </c>
    </row>
    <row r="1296" spans="1:11" s="420" customFormat="1" ht="60" hidden="1" x14ac:dyDescent="0.2">
      <c r="A1296" s="391">
        <v>365</v>
      </c>
      <c r="B1296" s="391" t="s">
        <v>492</v>
      </c>
      <c r="C1296" s="391">
        <f>VLOOKUP(B1296,numbering!$N$18:$O$30,2,0)</f>
        <v>6</v>
      </c>
      <c r="D1296" s="391" t="s">
        <v>518</v>
      </c>
      <c r="E1296" s="417">
        <f t="shared" si="30"/>
        <v>6</v>
      </c>
      <c r="F1296" s="431" t="str">
        <f>F1295</f>
        <v>Is there documented evidence that pore pressure measuring devices (standpipes, VWPs) have been installed in the confining structure, to achieve the objective of monitoring pore pressures within the embankment with sufficient accuracy and frequency considering the context of the facility?</v>
      </c>
      <c r="G1296" s="396" t="s">
        <v>1195</v>
      </c>
      <c r="H1296" s="391">
        <v>4</v>
      </c>
      <c r="I1296" s="391">
        <v>4</v>
      </c>
      <c r="J1296" s="391"/>
      <c r="K1296" s="391">
        <f>_xlfn.IFNA(VLOOKUP(A1296,numbering!$K$3:$L$92,2,0),0)</f>
        <v>1</v>
      </c>
    </row>
    <row r="1297" spans="1:11" s="420" customFormat="1" ht="60" hidden="1" x14ac:dyDescent="0.2">
      <c r="A1297" s="391">
        <v>365</v>
      </c>
      <c r="B1297" s="391" t="s">
        <v>492</v>
      </c>
      <c r="C1297" s="391">
        <f>VLOOKUP(B1297,numbering!$N$18:$O$30,2,0)</f>
        <v>6</v>
      </c>
      <c r="D1297" s="391" t="s">
        <v>518</v>
      </c>
      <c r="E1297" s="417">
        <f t="shared" si="30"/>
        <v>6</v>
      </c>
      <c r="F1297" s="431" t="s">
        <v>522</v>
      </c>
      <c r="G1297" s="396" t="s">
        <v>1192</v>
      </c>
      <c r="H1297" s="391">
        <v>1</v>
      </c>
      <c r="I1297" s="391">
        <v>1</v>
      </c>
      <c r="J1297" s="391"/>
      <c r="K1297" s="391">
        <f>_xlfn.IFNA(VLOOKUP(A1297,numbering!$K$3:$L$92,2,0),0)</f>
        <v>1</v>
      </c>
    </row>
    <row r="1298" spans="1:11" s="420" customFormat="1" ht="60" hidden="1" x14ac:dyDescent="0.2">
      <c r="A1298" s="391">
        <v>365</v>
      </c>
      <c r="B1298" s="391" t="s">
        <v>492</v>
      </c>
      <c r="C1298" s="391">
        <f>VLOOKUP(B1298,numbering!$N$18:$O$30,2,0)</f>
        <v>6</v>
      </c>
      <c r="D1298" s="391" t="s">
        <v>518</v>
      </c>
      <c r="E1298" s="417">
        <f t="shared" si="30"/>
        <v>6</v>
      </c>
      <c r="F1298" s="431" t="str">
        <f>F1297</f>
        <v>Is there documented evidence that pore pressure measuring devices (standpipes, VWPs) have been installed in the foundations of the confining structure, to achieve the objective of monitoring pore pressures with within the foundation zones with sufficient accuracy and frequency considering the contact of the facility?</v>
      </c>
      <c r="G1298" s="396" t="s">
        <v>1193</v>
      </c>
      <c r="H1298" s="391">
        <v>2</v>
      </c>
      <c r="I1298" s="391">
        <v>2</v>
      </c>
      <c r="J1298" s="391"/>
      <c r="K1298" s="391">
        <f>_xlfn.IFNA(VLOOKUP(A1298,numbering!$K$3:$L$92,2,0),0)</f>
        <v>1</v>
      </c>
    </row>
    <row r="1299" spans="1:11" ht="45" hidden="1" x14ac:dyDescent="0.2">
      <c r="A1299" s="390">
        <v>366</v>
      </c>
      <c r="B1299" s="390" t="s">
        <v>492</v>
      </c>
      <c r="C1299" s="390">
        <f>VLOOKUP(B1299,numbering!$N$18:$O$30,2,0)</f>
        <v>6</v>
      </c>
      <c r="D1299" s="390" t="s">
        <v>518</v>
      </c>
      <c r="E1299" s="403">
        <f t="shared" si="30"/>
        <v>6</v>
      </c>
      <c r="F1299" s="424" t="s">
        <v>1313</v>
      </c>
      <c r="G1299" s="388" t="s">
        <v>1192</v>
      </c>
      <c r="H1299" s="390">
        <v>1</v>
      </c>
      <c r="I1299" s="390">
        <v>1</v>
      </c>
      <c r="J1299" s="390"/>
      <c r="K1299" s="398">
        <f>_xlfn.IFNA(VLOOKUP(A1299,numbering!$K$3:$L$92,2,0),0)</f>
        <v>1</v>
      </c>
    </row>
    <row r="1300" spans="1:11" ht="45" hidden="1" x14ac:dyDescent="0.2">
      <c r="A1300" s="390">
        <v>366</v>
      </c>
      <c r="B1300" s="390" t="s">
        <v>492</v>
      </c>
      <c r="C1300" s="390">
        <f>VLOOKUP(B1300,numbering!$N$18:$O$30,2,0)</f>
        <v>6</v>
      </c>
      <c r="D1300" s="390" t="s">
        <v>518</v>
      </c>
      <c r="E1300" s="403">
        <f t="shared" si="30"/>
        <v>6</v>
      </c>
      <c r="F1300" s="424" t="s">
        <v>1313</v>
      </c>
      <c r="G1300" s="388" t="s">
        <v>1193</v>
      </c>
      <c r="H1300" s="390">
        <v>2</v>
      </c>
      <c r="I1300" s="390">
        <v>2</v>
      </c>
      <c r="J1300" s="390"/>
      <c r="K1300" s="398">
        <f>_xlfn.IFNA(VLOOKUP(A1300,numbering!$K$3:$L$92,2,0),0)</f>
        <v>1</v>
      </c>
    </row>
    <row r="1301" spans="1:11" ht="45" hidden="1" x14ac:dyDescent="0.2">
      <c r="A1301" s="390">
        <v>366</v>
      </c>
      <c r="B1301" s="390" t="s">
        <v>492</v>
      </c>
      <c r="C1301" s="390">
        <f>VLOOKUP(B1301,numbering!$N$18:$O$30,2,0)</f>
        <v>6</v>
      </c>
      <c r="D1301" s="390" t="s">
        <v>518</v>
      </c>
      <c r="E1301" s="403">
        <f t="shared" si="30"/>
        <v>6</v>
      </c>
      <c r="F1301" s="424" t="s">
        <v>1313</v>
      </c>
      <c r="G1301" s="388" t="s">
        <v>1194</v>
      </c>
      <c r="H1301" s="390">
        <v>3</v>
      </c>
      <c r="I1301" s="390">
        <v>3</v>
      </c>
      <c r="J1301" s="390"/>
      <c r="K1301" s="398">
        <f>_xlfn.IFNA(VLOOKUP(A1301,numbering!$K$3:$L$92,2,0),0)</f>
        <v>1</v>
      </c>
    </row>
    <row r="1302" spans="1:11" ht="45" hidden="1" x14ac:dyDescent="0.2">
      <c r="A1302" s="390">
        <v>366</v>
      </c>
      <c r="B1302" s="390" t="s">
        <v>492</v>
      </c>
      <c r="C1302" s="390">
        <f>VLOOKUP(B1302,numbering!$N$18:$O$30,2,0)</f>
        <v>6</v>
      </c>
      <c r="D1302" s="390" t="s">
        <v>518</v>
      </c>
      <c r="E1302" s="403">
        <f t="shared" si="30"/>
        <v>6</v>
      </c>
      <c r="F1302" s="424" t="s">
        <v>1313</v>
      </c>
      <c r="G1302" s="388" t="s">
        <v>1195</v>
      </c>
      <c r="H1302" s="390">
        <v>4</v>
      </c>
      <c r="I1302" s="390">
        <v>4</v>
      </c>
      <c r="J1302" s="390"/>
      <c r="K1302" s="398">
        <f>_xlfn.IFNA(VLOOKUP(A1302,numbering!$K$3:$L$92,2,0),0)</f>
        <v>1</v>
      </c>
    </row>
    <row r="1303" spans="1:11" ht="45" hidden="1" x14ac:dyDescent="0.2">
      <c r="A1303" s="390">
        <v>367</v>
      </c>
      <c r="B1303" s="390" t="s">
        <v>492</v>
      </c>
      <c r="C1303" s="390">
        <f>VLOOKUP(B1303,numbering!$N$18:$O$30,2,0)</f>
        <v>6</v>
      </c>
      <c r="D1303" s="390" t="s">
        <v>518</v>
      </c>
      <c r="E1303" s="403">
        <f t="shared" si="30"/>
        <v>6</v>
      </c>
      <c r="F1303" s="424" t="s">
        <v>1312</v>
      </c>
      <c r="G1303" s="388" t="s">
        <v>1192</v>
      </c>
      <c r="H1303" s="390">
        <v>1</v>
      </c>
      <c r="I1303" s="390">
        <v>1</v>
      </c>
      <c r="J1303" s="390"/>
      <c r="K1303" s="398">
        <f>_xlfn.IFNA(VLOOKUP(A1303,numbering!$K$3:$L$92,2,0),0)</f>
        <v>1</v>
      </c>
    </row>
    <row r="1304" spans="1:11" ht="45" hidden="1" x14ac:dyDescent="0.2">
      <c r="A1304" s="390">
        <v>367</v>
      </c>
      <c r="B1304" s="390" t="s">
        <v>492</v>
      </c>
      <c r="C1304" s="390">
        <f>VLOOKUP(B1304,numbering!$N$18:$O$30,2,0)</f>
        <v>6</v>
      </c>
      <c r="D1304" s="390" t="s">
        <v>518</v>
      </c>
      <c r="E1304" s="403">
        <f t="shared" si="30"/>
        <v>6</v>
      </c>
      <c r="F1304" s="424" t="s">
        <v>1312</v>
      </c>
      <c r="G1304" s="388" t="s">
        <v>1193</v>
      </c>
      <c r="H1304" s="390">
        <v>2</v>
      </c>
      <c r="I1304" s="390">
        <v>2</v>
      </c>
      <c r="J1304" s="390"/>
      <c r="K1304" s="398">
        <f>_xlfn.IFNA(VLOOKUP(A1304,numbering!$K$3:$L$92,2,0),0)</f>
        <v>1</v>
      </c>
    </row>
    <row r="1305" spans="1:11" ht="45" hidden="1" x14ac:dyDescent="0.2">
      <c r="A1305" s="390">
        <v>367</v>
      </c>
      <c r="B1305" s="390" t="s">
        <v>492</v>
      </c>
      <c r="C1305" s="390">
        <f>VLOOKUP(B1305,numbering!$N$18:$O$30,2,0)</f>
        <v>6</v>
      </c>
      <c r="D1305" s="390" t="s">
        <v>518</v>
      </c>
      <c r="E1305" s="403">
        <f t="shared" si="30"/>
        <v>6</v>
      </c>
      <c r="F1305" s="424" t="s">
        <v>1312</v>
      </c>
      <c r="G1305" s="388" t="s">
        <v>1194</v>
      </c>
      <c r="H1305" s="390">
        <v>3</v>
      </c>
      <c r="I1305" s="390">
        <v>3</v>
      </c>
      <c r="J1305" s="390"/>
      <c r="K1305" s="398">
        <f>_xlfn.IFNA(VLOOKUP(A1305,numbering!$K$3:$L$92,2,0),0)</f>
        <v>1</v>
      </c>
    </row>
    <row r="1306" spans="1:11" ht="45" hidden="1" x14ac:dyDescent="0.2">
      <c r="A1306" s="390">
        <v>367</v>
      </c>
      <c r="B1306" s="390" t="s">
        <v>492</v>
      </c>
      <c r="C1306" s="390">
        <f>VLOOKUP(B1306,numbering!$N$18:$O$30,2,0)</f>
        <v>6</v>
      </c>
      <c r="D1306" s="390" t="s">
        <v>518</v>
      </c>
      <c r="E1306" s="403">
        <f t="shared" si="30"/>
        <v>6</v>
      </c>
      <c r="F1306" s="424" t="s">
        <v>1312</v>
      </c>
      <c r="G1306" s="388" t="s">
        <v>1195</v>
      </c>
      <c r="H1306" s="390">
        <v>4</v>
      </c>
      <c r="I1306" s="390">
        <v>4</v>
      </c>
      <c r="J1306" s="390"/>
      <c r="K1306" s="398">
        <f>_xlfn.IFNA(VLOOKUP(A1306,numbering!$K$3:$L$92,2,0),0)</f>
        <v>1</v>
      </c>
    </row>
    <row r="1307" spans="1:11" ht="45" hidden="1" x14ac:dyDescent="0.2">
      <c r="A1307" s="390">
        <v>368</v>
      </c>
      <c r="B1307" s="390" t="s">
        <v>492</v>
      </c>
      <c r="C1307" s="390">
        <f>VLOOKUP(B1307,numbering!$N$18:$O$30,2,0)</f>
        <v>6</v>
      </c>
      <c r="D1307" s="390" t="s">
        <v>518</v>
      </c>
      <c r="E1307" s="403">
        <f t="shared" si="30"/>
        <v>6</v>
      </c>
      <c r="F1307" s="424" t="s">
        <v>1336</v>
      </c>
      <c r="G1307" s="388" t="s">
        <v>1192</v>
      </c>
      <c r="H1307" s="390">
        <v>1</v>
      </c>
      <c r="I1307" s="390">
        <v>1</v>
      </c>
      <c r="J1307" s="390"/>
      <c r="K1307" s="398">
        <f>_xlfn.IFNA(VLOOKUP(A1307,numbering!$K$3:$L$92,2,0),0)</f>
        <v>1</v>
      </c>
    </row>
    <row r="1308" spans="1:11" ht="45" hidden="1" x14ac:dyDescent="0.2">
      <c r="A1308" s="390">
        <v>368</v>
      </c>
      <c r="B1308" s="390" t="s">
        <v>492</v>
      </c>
      <c r="C1308" s="390">
        <f>VLOOKUP(B1308,numbering!$N$18:$O$30,2,0)</f>
        <v>6</v>
      </c>
      <c r="D1308" s="390" t="s">
        <v>518</v>
      </c>
      <c r="E1308" s="403">
        <f t="shared" si="30"/>
        <v>6</v>
      </c>
      <c r="F1308" s="424" t="s">
        <v>1336</v>
      </c>
      <c r="G1308" s="388" t="s">
        <v>1193</v>
      </c>
      <c r="H1308" s="390">
        <v>2</v>
      </c>
      <c r="I1308" s="390">
        <v>2</v>
      </c>
      <c r="J1308" s="390"/>
      <c r="K1308" s="398">
        <f>_xlfn.IFNA(VLOOKUP(A1308,numbering!$K$3:$L$92,2,0),0)</f>
        <v>1</v>
      </c>
    </row>
    <row r="1309" spans="1:11" ht="45" hidden="1" x14ac:dyDescent="0.2">
      <c r="A1309" s="390">
        <v>368</v>
      </c>
      <c r="B1309" s="390" t="s">
        <v>492</v>
      </c>
      <c r="C1309" s="390">
        <f>VLOOKUP(B1309,numbering!$N$18:$O$30,2,0)</f>
        <v>6</v>
      </c>
      <c r="D1309" s="390" t="s">
        <v>518</v>
      </c>
      <c r="E1309" s="403">
        <f t="shared" si="30"/>
        <v>6</v>
      </c>
      <c r="F1309" s="424" t="s">
        <v>1336</v>
      </c>
      <c r="G1309" s="388" t="s">
        <v>1194</v>
      </c>
      <c r="H1309" s="390">
        <v>3</v>
      </c>
      <c r="I1309" s="390">
        <v>3</v>
      </c>
      <c r="J1309" s="390"/>
      <c r="K1309" s="398">
        <f>_xlfn.IFNA(VLOOKUP(A1309,numbering!$K$3:$L$92,2,0),0)</f>
        <v>1</v>
      </c>
    </row>
    <row r="1310" spans="1:11" ht="45" hidden="1" x14ac:dyDescent="0.2">
      <c r="A1310" s="390">
        <v>368</v>
      </c>
      <c r="B1310" s="390" t="s">
        <v>492</v>
      </c>
      <c r="C1310" s="390">
        <f>VLOOKUP(B1310,numbering!$N$18:$O$30,2,0)</f>
        <v>6</v>
      </c>
      <c r="D1310" s="390" t="s">
        <v>518</v>
      </c>
      <c r="E1310" s="403">
        <f t="shared" si="30"/>
        <v>6</v>
      </c>
      <c r="F1310" s="424" t="s">
        <v>1336</v>
      </c>
      <c r="G1310" s="388" t="s">
        <v>1195</v>
      </c>
      <c r="H1310" s="390">
        <v>4</v>
      </c>
      <c r="I1310" s="390">
        <v>4</v>
      </c>
      <c r="J1310" s="390"/>
      <c r="K1310" s="398">
        <f>_xlfn.IFNA(VLOOKUP(A1310,numbering!$K$3:$L$92,2,0),0)</f>
        <v>1</v>
      </c>
    </row>
    <row r="1311" spans="1:11" ht="45" hidden="1" x14ac:dyDescent="0.2">
      <c r="A1311" s="390">
        <v>369</v>
      </c>
      <c r="B1311" s="390" t="s">
        <v>492</v>
      </c>
      <c r="C1311" s="390">
        <f>VLOOKUP(B1311,numbering!$N$18:$O$30,2,0)</f>
        <v>6</v>
      </c>
      <c r="D1311" s="390" t="s">
        <v>518</v>
      </c>
      <c r="E1311" s="403">
        <f t="shared" si="30"/>
        <v>6</v>
      </c>
      <c r="F1311" s="424" t="s">
        <v>1337</v>
      </c>
      <c r="G1311" s="388" t="s">
        <v>1192</v>
      </c>
      <c r="H1311" s="390">
        <v>1</v>
      </c>
      <c r="I1311" s="390">
        <v>1</v>
      </c>
      <c r="J1311" s="390"/>
      <c r="K1311" s="398">
        <f>_xlfn.IFNA(VLOOKUP(A1311,numbering!$K$3:$L$92,2,0),0)</f>
        <v>1</v>
      </c>
    </row>
    <row r="1312" spans="1:11" ht="45" hidden="1" x14ac:dyDescent="0.2">
      <c r="A1312" s="390">
        <v>369</v>
      </c>
      <c r="B1312" s="390" t="s">
        <v>492</v>
      </c>
      <c r="C1312" s="390">
        <f>VLOOKUP(B1312,numbering!$N$18:$O$30,2,0)</f>
        <v>6</v>
      </c>
      <c r="D1312" s="390" t="s">
        <v>518</v>
      </c>
      <c r="E1312" s="403">
        <f t="shared" si="30"/>
        <v>6</v>
      </c>
      <c r="F1312" s="424" t="s">
        <v>1337</v>
      </c>
      <c r="G1312" s="388" t="s">
        <v>1193</v>
      </c>
      <c r="H1312" s="390">
        <v>2</v>
      </c>
      <c r="I1312" s="390">
        <v>2</v>
      </c>
      <c r="J1312" s="390"/>
      <c r="K1312" s="398">
        <f>_xlfn.IFNA(VLOOKUP(A1312,numbering!$K$3:$L$92,2,0),0)</f>
        <v>1</v>
      </c>
    </row>
    <row r="1313" spans="1:11" ht="45" hidden="1" x14ac:dyDescent="0.2">
      <c r="A1313" s="390">
        <v>369</v>
      </c>
      <c r="B1313" s="390" t="s">
        <v>492</v>
      </c>
      <c r="C1313" s="390">
        <f>VLOOKUP(B1313,numbering!$N$18:$O$30,2,0)</f>
        <v>6</v>
      </c>
      <c r="D1313" s="390" t="s">
        <v>518</v>
      </c>
      <c r="E1313" s="403">
        <f t="shared" si="30"/>
        <v>6</v>
      </c>
      <c r="F1313" s="424" t="s">
        <v>1337</v>
      </c>
      <c r="G1313" s="388" t="s">
        <v>1194</v>
      </c>
      <c r="H1313" s="390">
        <v>3</v>
      </c>
      <c r="I1313" s="390">
        <v>3</v>
      </c>
      <c r="J1313" s="390"/>
      <c r="K1313" s="398">
        <f>_xlfn.IFNA(VLOOKUP(A1313,numbering!$K$3:$L$92,2,0),0)</f>
        <v>1</v>
      </c>
    </row>
    <row r="1314" spans="1:11" ht="45" hidden="1" x14ac:dyDescent="0.2">
      <c r="A1314" s="390">
        <v>369</v>
      </c>
      <c r="B1314" s="390" t="s">
        <v>492</v>
      </c>
      <c r="C1314" s="390">
        <f>VLOOKUP(B1314,numbering!$N$18:$O$30,2,0)</f>
        <v>6</v>
      </c>
      <c r="D1314" s="390" t="s">
        <v>518</v>
      </c>
      <c r="E1314" s="403">
        <f t="shared" si="30"/>
        <v>6</v>
      </c>
      <c r="F1314" s="424" t="s">
        <v>1337</v>
      </c>
      <c r="G1314" s="388" t="s">
        <v>1195</v>
      </c>
      <c r="H1314" s="390">
        <v>4</v>
      </c>
      <c r="I1314" s="390">
        <v>4</v>
      </c>
      <c r="J1314" s="390"/>
      <c r="K1314" s="398">
        <f>_xlfn.IFNA(VLOOKUP(A1314,numbering!$K$3:$L$92,2,0),0)</f>
        <v>1</v>
      </c>
    </row>
    <row r="1315" spans="1:11" ht="45" hidden="1" x14ac:dyDescent="0.2">
      <c r="A1315" s="390">
        <v>370</v>
      </c>
      <c r="B1315" s="390" t="s">
        <v>492</v>
      </c>
      <c r="C1315" s="390">
        <f>VLOOKUP(B1315,numbering!$N$18:$O$30,2,0)</f>
        <v>6</v>
      </c>
      <c r="D1315" s="390" t="s">
        <v>518</v>
      </c>
      <c r="E1315" s="403">
        <f t="shared" si="30"/>
        <v>6</v>
      </c>
      <c r="F1315" s="424" t="s">
        <v>1338</v>
      </c>
      <c r="G1315" s="388" t="s">
        <v>1192</v>
      </c>
      <c r="H1315" s="390">
        <v>1</v>
      </c>
      <c r="I1315" s="390">
        <v>1</v>
      </c>
      <c r="J1315" s="390"/>
      <c r="K1315" s="398">
        <f>_xlfn.IFNA(VLOOKUP(A1315,numbering!$K$3:$L$92,2,0),0)</f>
        <v>1</v>
      </c>
    </row>
    <row r="1316" spans="1:11" ht="45" hidden="1" x14ac:dyDescent="0.2">
      <c r="A1316" s="390">
        <v>370</v>
      </c>
      <c r="B1316" s="390" t="s">
        <v>492</v>
      </c>
      <c r="C1316" s="390">
        <f>VLOOKUP(B1316,numbering!$N$18:$O$30,2,0)</f>
        <v>6</v>
      </c>
      <c r="D1316" s="390" t="s">
        <v>518</v>
      </c>
      <c r="E1316" s="403">
        <f t="shared" si="30"/>
        <v>6</v>
      </c>
      <c r="F1316" s="424" t="s">
        <v>1338</v>
      </c>
      <c r="G1316" s="388" t="s">
        <v>1193</v>
      </c>
      <c r="H1316" s="390">
        <v>2</v>
      </c>
      <c r="I1316" s="390">
        <v>2</v>
      </c>
      <c r="J1316" s="390"/>
      <c r="K1316" s="398">
        <f>_xlfn.IFNA(VLOOKUP(A1316,numbering!$K$3:$L$92,2,0),0)</f>
        <v>1</v>
      </c>
    </row>
    <row r="1317" spans="1:11" ht="45" hidden="1" x14ac:dyDescent="0.2">
      <c r="A1317" s="390">
        <v>370</v>
      </c>
      <c r="B1317" s="390" t="s">
        <v>492</v>
      </c>
      <c r="C1317" s="390">
        <f>VLOOKUP(B1317,numbering!$N$18:$O$30,2,0)</f>
        <v>6</v>
      </c>
      <c r="D1317" s="390" t="s">
        <v>518</v>
      </c>
      <c r="E1317" s="403">
        <f t="shared" si="30"/>
        <v>6</v>
      </c>
      <c r="F1317" s="424" t="s">
        <v>1338</v>
      </c>
      <c r="G1317" s="388" t="s">
        <v>1194</v>
      </c>
      <c r="H1317" s="390">
        <v>3</v>
      </c>
      <c r="I1317" s="390">
        <v>3</v>
      </c>
      <c r="J1317" s="390"/>
      <c r="K1317" s="398">
        <f>_xlfn.IFNA(VLOOKUP(A1317,numbering!$K$3:$L$92,2,0),0)</f>
        <v>1</v>
      </c>
    </row>
    <row r="1318" spans="1:11" ht="45" hidden="1" x14ac:dyDescent="0.2">
      <c r="A1318" s="390">
        <v>370</v>
      </c>
      <c r="B1318" s="390" t="s">
        <v>492</v>
      </c>
      <c r="C1318" s="390">
        <f>VLOOKUP(B1318,numbering!$N$18:$O$30,2,0)</f>
        <v>6</v>
      </c>
      <c r="D1318" s="390" t="s">
        <v>518</v>
      </c>
      <c r="E1318" s="403">
        <f t="shared" si="30"/>
        <v>6</v>
      </c>
      <c r="F1318" s="424" t="s">
        <v>1338</v>
      </c>
      <c r="G1318" s="388" t="s">
        <v>1195</v>
      </c>
      <c r="H1318" s="390">
        <v>4</v>
      </c>
      <c r="I1318" s="390">
        <v>4</v>
      </c>
      <c r="J1318" s="390"/>
      <c r="K1318" s="398">
        <f>_xlfn.IFNA(VLOOKUP(A1318,numbering!$K$3:$L$92,2,0),0)</f>
        <v>1</v>
      </c>
    </row>
    <row r="1319" spans="1:11" ht="30" hidden="1" x14ac:dyDescent="0.2">
      <c r="A1319" s="390">
        <v>371</v>
      </c>
      <c r="B1319" s="390" t="s">
        <v>492</v>
      </c>
      <c r="C1319" s="390">
        <f>VLOOKUP(B1319,numbering!$N$18:$O$30,2,0)</f>
        <v>6</v>
      </c>
      <c r="D1319" s="390" t="s">
        <v>523</v>
      </c>
      <c r="E1319" s="403">
        <f>IF(C1319&lt;&gt;C1326,1,IF(D1319&lt;&gt;D1326,E1326+1,E1326))</f>
        <v>8</v>
      </c>
      <c r="F1319" s="424" t="s">
        <v>524</v>
      </c>
      <c r="G1319" s="388" t="s">
        <v>8</v>
      </c>
      <c r="H1319" s="390">
        <v>1</v>
      </c>
      <c r="I1319" s="390">
        <v>1</v>
      </c>
      <c r="J1319" s="390"/>
      <c r="K1319" s="398">
        <f>_xlfn.IFNA(VLOOKUP(A1319,numbering!$K$3:$L$92,2,0),0)</f>
        <v>0</v>
      </c>
    </row>
    <row r="1320" spans="1:11" ht="30" hidden="1" x14ac:dyDescent="0.2">
      <c r="A1320" s="390">
        <v>371</v>
      </c>
      <c r="B1320" s="390" t="s">
        <v>492</v>
      </c>
      <c r="C1320" s="390">
        <f>VLOOKUP(B1320,numbering!$N$18:$O$30,2,0)</f>
        <v>6</v>
      </c>
      <c r="D1320" s="390" t="s">
        <v>523</v>
      </c>
      <c r="E1320" s="403">
        <f>IF(C1320&lt;&gt;C1319,1,IF(D1320&lt;&gt;D1319,E1319+1,E1319))</f>
        <v>8</v>
      </c>
      <c r="F1320" s="424" t="s">
        <v>524</v>
      </c>
      <c r="G1320" s="388" t="s">
        <v>7</v>
      </c>
      <c r="H1320" s="390">
        <v>4</v>
      </c>
      <c r="I1320" s="390">
        <v>4</v>
      </c>
      <c r="J1320" s="390"/>
      <c r="K1320" s="398">
        <f>_xlfn.IFNA(VLOOKUP(A1320,numbering!$K$3:$L$92,2,0),0)</f>
        <v>0</v>
      </c>
    </row>
    <row r="1321" spans="1:11" ht="60" hidden="1" x14ac:dyDescent="0.2">
      <c r="A1321" s="390">
        <v>372</v>
      </c>
      <c r="B1321" s="390" t="s">
        <v>492</v>
      </c>
      <c r="C1321" s="390">
        <f>VLOOKUP(B1321,numbering!$N$18:$O$30,2,0)</f>
        <v>6</v>
      </c>
      <c r="D1321" s="390" t="s">
        <v>525</v>
      </c>
      <c r="E1321" s="403">
        <f>IF(C1321&lt;&gt;C1318,1,IF(D1321&lt;&gt;D1318,E1318+1,E1318))</f>
        <v>7</v>
      </c>
      <c r="F1321" s="422" t="s">
        <v>526</v>
      </c>
      <c r="G1321" s="388" t="s">
        <v>1192</v>
      </c>
      <c r="H1321" s="390">
        <v>1</v>
      </c>
      <c r="I1321" s="390">
        <v>1</v>
      </c>
      <c r="J1321" s="390"/>
      <c r="K1321" s="398">
        <f>_xlfn.IFNA(VLOOKUP(A1321,numbering!$K$3:$L$92,2,0),0)</f>
        <v>1</v>
      </c>
    </row>
    <row r="1322" spans="1:11" ht="60" hidden="1" x14ac:dyDescent="0.2">
      <c r="A1322" s="390">
        <v>372</v>
      </c>
      <c r="B1322" s="390" t="s">
        <v>492</v>
      </c>
      <c r="C1322" s="390">
        <f>VLOOKUP(B1322,numbering!$N$18:$O$30,2,0)</f>
        <v>6</v>
      </c>
      <c r="D1322" s="390" t="s">
        <v>525</v>
      </c>
      <c r="E1322" s="403">
        <f>IF(C1322&lt;&gt;C1321,1,IF(D1322&lt;&gt;D1321,E1321+1,E1321))</f>
        <v>7</v>
      </c>
      <c r="F1322" s="422" t="str">
        <f>F1321</f>
        <v>Is there documented evidence that foundation pore pressure data was collected and reviewed appropriately and at the minimum required frequencies to achieve the objective of determining if the pore pressures are in line with the expected performance of the structure?</v>
      </c>
      <c r="G1322" s="388" t="s">
        <v>1193</v>
      </c>
      <c r="H1322" s="390">
        <v>2</v>
      </c>
      <c r="I1322" s="390">
        <v>2</v>
      </c>
      <c r="J1322" s="390"/>
      <c r="K1322" s="398">
        <f>_xlfn.IFNA(VLOOKUP(A1322,numbering!$K$3:$L$92,2,0),0)</f>
        <v>1</v>
      </c>
    </row>
    <row r="1323" spans="1:11" ht="60" hidden="1" x14ac:dyDescent="0.2">
      <c r="A1323" s="390">
        <v>372</v>
      </c>
      <c r="B1323" s="390" t="s">
        <v>492</v>
      </c>
      <c r="C1323" s="390">
        <f>VLOOKUP(B1323,numbering!$N$18:$O$30,2,0)</f>
        <v>6</v>
      </c>
      <c r="D1323" s="390" t="s">
        <v>525</v>
      </c>
      <c r="E1323" s="403">
        <f>IF(C1323&lt;&gt;C1322,1,IF(D1323&lt;&gt;D1322,E1322+1,E1322))</f>
        <v>7</v>
      </c>
      <c r="F1323" s="422" t="str">
        <f>F1322</f>
        <v>Is there documented evidence that foundation pore pressure data was collected and reviewed appropriately and at the minimum required frequencies to achieve the objective of determining if the pore pressures are in line with the expected performance of the structure?</v>
      </c>
      <c r="G1323" s="388" t="s">
        <v>1194</v>
      </c>
      <c r="H1323" s="390">
        <v>3</v>
      </c>
      <c r="I1323" s="390">
        <v>3</v>
      </c>
      <c r="J1323" s="390"/>
      <c r="K1323" s="398">
        <f>_xlfn.IFNA(VLOOKUP(A1323,numbering!$K$3:$L$92,2,0),0)</f>
        <v>1</v>
      </c>
    </row>
    <row r="1324" spans="1:11" ht="60" hidden="1" x14ac:dyDescent="0.2">
      <c r="A1324" s="390">
        <v>372</v>
      </c>
      <c r="B1324" s="390" t="s">
        <v>492</v>
      </c>
      <c r="C1324" s="390">
        <f>VLOOKUP(B1324,numbering!$N$18:$O$30,2,0)</f>
        <v>6</v>
      </c>
      <c r="D1324" s="390" t="s">
        <v>525</v>
      </c>
      <c r="E1324" s="403">
        <f>IF(C1324&lt;&gt;C1323,1,IF(D1324&lt;&gt;D1323,E1323+1,E1323))</f>
        <v>7</v>
      </c>
      <c r="F1324" s="422" t="str">
        <f>F1323</f>
        <v>Is there documented evidence that foundation pore pressure data was collected and reviewed appropriately and at the minimum required frequencies to achieve the objective of determining if the pore pressures are in line with the expected performance of the structure?</v>
      </c>
      <c r="G1324" s="388" t="s">
        <v>1195</v>
      </c>
      <c r="H1324" s="390">
        <v>4</v>
      </c>
      <c r="I1324" s="390">
        <v>4</v>
      </c>
      <c r="J1324" s="390"/>
      <c r="K1324" s="398">
        <f>_xlfn.IFNA(VLOOKUP(A1324,numbering!$K$3:$L$92,2,0),0)</f>
        <v>1</v>
      </c>
    </row>
    <row r="1325" spans="1:11" ht="60" hidden="1" x14ac:dyDescent="0.2">
      <c r="A1325" s="390">
        <v>373</v>
      </c>
      <c r="B1325" s="390" t="s">
        <v>492</v>
      </c>
      <c r="C1325" s="390">
        <f>VLOOKUP(B1325,numbering!$N$18:$O$30,2,0)</f>
        <v>6</v>
      </c>
      <c r="D1325" s="390" t="s">
        <v>525</v>
      </c>
      <c r="E1325" s="403">
        <f>IF(C1325&lt;&gt;C1324,1,IF(D1325&lt;&gt;D1324,E1324+1,E1324))</f>
        <v>7</v>
      </c>
      <c r="F1325" s="422" t="s">
        <v>1314</v>
      </c>
      <c r="G1325" s="388" t="s">
        <v>1192</v>
      </c>
      <c r="H1325" s="390">
        <v>1</v>
      </c>
      <c r="I1325" s="390">
        <v>1</v>
      </c>
      <c r="J1325" s="390">
        <v>0.8</v>
      </c>
      <c r="K1325" s="398">
        <f>_xlfn.IFNA(VLOOKUP(A1325,numbering!$K$3:$L$92,2,0),0)</f>
        <v>1</v>
      </c>
    </row>
    <row r="1326" spans="1:11" ht="60" hidden="1" x14ac:dyDescent="0.2">
      <c r="A1326" s="390">
        <v>373</v>
      </c>
      <c r="B1326" s="390" t="s">
        <v>492</v>
      </c>
      <c r="C1326" s="390">
        <f>VLOOKUP(B1326,numbering!$N$18:$O$30,2,0)</f>
        <v>6</v>
      </c>
      <c r="D1326" s="390" t="s">
        <v>525</v>
      </c>
      <c r="E1326" s="403">
        <f>IF(C1326&lt;&gt;C1325,1,IF(D1326&lt;&gt;D1325,E1325+1,E1325))</f>
        <v>7</v>
      </c>
      <c r="F1326" s="422" t="s">
        <v>1314</v>
      </c>
      <c r="G1326" s="388" t="s">
        <v>1193</v>
      </c>
      <c r="H1326" s="390">
        <v>2</v>
      </c>
      <c r="I1326" s="390">
        <v>2</v>
      </c>
      <c r="J1326" s="390">
        <v>1</v>
      </c>
      <c r="K1326" s="398">
        <f>_xlfn.IFNA(VLOOKUP(A1326,numbering!$K$3:$L$92,2,0),0)</f>
        <v>1</v>
      </c>
    </row>
    <row r="1327" spans="1:11" ht="60" hidden="1" x14ac:dyDescent="0.2">
      <c r="A1327" s="390">
        <v>373</v>
      </c>
      <c r="B1327" s="390" t="s">
        <v>492</v>
      </c>
      <c r="C1327" s="390">
        <f>VLOOKUP(B1327,numbering!$N$18:$O$30,2,0)</f>
        <v>6</v>
      </c>
      <c r="D1327" s="390" t="s">
        <v>525</v>
      </c>
      <c r="E1327" s="403">
        <f t="shared" ref="E1327:E1328" si="31">IF(C1327&lt;&gt;C1326,1,IF(D1327&lt;&gt;D1326,E1326+1,E1326))</f>
        <v>7</v>
      </c>
      <c r="F1327" s="422" t="s">
        <v>1314</v>
      </c>
      <c r="G1327" s="388" t="s">
        <v>1194</v>
      </c>
      <c r="H1327" s="390">
        <v>3</v>
      </c>
      <c r="I1327" s="390">
        <v>3</v>
      </c>
      <c r="J1327" s="390">
        <v>2</v>
      </c>
      <c r="K1327" s="398">
        <f>_xlfn.IFNA(VLOOKUP(A1327,numbering!$K$3:$L$92,2,0),0)</f>
        <v>1</v>
      </c>
    </row>
    <row r="1328" spans="1:11" ht="60" hidden="1" x14ac:dyDescent="0.2">
      <c r="A1328" s="390">
        <v>373</v>
      </c>
      <c r="B1328" s="390" t="s">
        <v>492</v>
      </c>
      <c r="C1328" s="390">
        <f>VLOOKUP(B1328,numbering!$N$18:$O$30,2,0)</f>
        <v>6</v>
      </c>
      <c r="D1328" s="390" t="s">
        <v>525</v>
      </c>
      <c r="E1328" s="403">
        <f t="shared" si="31"/>
        <v>7</v>
      </c>
      <c r="F1328" s="422" t="s">
        <v>1314</v>
      </c>
      <c r="G1328" s="388" t="s">
        <v>1195</v>
      </c>
      <c r="H1328" s="390">
        <v>4</v>
      </c>
      <c r="I1328" s="390">
        <v>4</v>
      </c>
      <c r="J1328" s="390">
        <v>10</v>
      </c>
      <c r="K1328" s="398">
        <f>_xlfn.IFNA(VLOOKUP(A1328,numbering!$K$3:$L$92,2,0),0)</f>
        <v>1</v>
      </c>
    </row>
    <row r="1329" spans="1:11" ht="32" hidden="1" x14ac:dyDescent="0.2">
      <c r="A1329" s="390">
        <v>374</v>
      </c>
      <c r="B1329" s="390" t="s">
        <v>492</v>
      </c>
      <c r="C1329" s="390">
        <f>VLOOKUP(B1329,numbering!$N$18:$O$30,2,0)</f>
        <v>6</v>
      </c>
      <c r="D1329" s="390" t="s">
        <v>525</v>
      </c>
      <c r="E1329" s="403">
        <f t="shared" ref="E1329:E1360" si="32">IF(C1329&lt;&gt;C1328,1,IF(D1329&lt;&gt;D1328,E1328+1,E1328))</f>
        <v>7</v>
      </c>
      <c r="F1329" s="424" t="s">
        <v>528</v>
      </c>
      <c r="G1329" s="388" t="s">
        <v>8</v>
      </c>
      <c r="H1329" s="390">
        <v>1</v>
      </c>
      <c r="I1329" s="390">
        <v>1</v>
      </c>
      <c r="J1329" s="390"/>
      <c r="K1329" s="398">
        <f>_xlfn.IFNA(VLOOKUP(A1329,numbering!$K$3:$L$92,2,0),0)</f>
        <v>1</v>
      </c>
    </row>
    <row r="1330" spans="1:11" ht="32" hidden="1" x14ac:dyDescent="0.2">
      <c r="A1330" s="390">
        <v>374</v>
      </c>
      <c r="B1330" s="390" t="s">
        <v>492</v>
      </c>
      <c r="C1330" s="390">
        <f>VLOOKUP(B1330,numbering!$N$18:$O$30,2,0)</f>
        <v>6</v>
      </c>
      <c r="D1330" s="390" t="s">
        <v>525</v>
      </c>
      <c r="E1330" s="403">
        <f t="shared" si="32"/>
        <v>7</v>
      </c>
      <c r="F1330" s="424" t="str">
        <f>F1329</f>
        <v>Does the foundation piezometer pore pressure data indicate that pore pressures have exceeded set trigger levels since it was last reviewed?</v>
      </c>
      <c r="G1330" s="388" t="s">
        <v>7</v>
      </c>
      <c r="H1330" s="390">
        <v>4</v>
      </c>
      <c r="I1330" s="390">
        <v>4</v>
      </c>
      <c r="J1330" s="390"/>
      <c r="K1330" s="398">
        <f>_xlfn.IFNA(VLOOKUP(A1330,numbering!$K$3:$L$92,2,0),0)</f>
        <v>1</v>
      </c>
    </row>
    <row r="1331" spans="1:11" ht="60" hidden="1" x14ac:dyDescent="0.2">
      <c r="A1331" s="390">
        <v>375</v>
      </c>
      <c r="B1331" s="390" t="s">
        <v>492</v>
      </c>
      <c r="C1331" s="390">
        <f>VLOOKUP(B1331,numbering!$N$18:$O$30,2,0)</f>
        <v>6</v>
      </c>
      <c r="D1331" s="390" t="s">
        <v>529</v>
      </c>
      <c r="E1331" s="403">
        <f t="shared" si="32"/>
        <v>8</v>
      </c>
      <c r="F1331" s="422" t="s">
        <v>530</v>
      </c>
      <c r="G1331" s="388" t="s">
        <v>1192</v>
      </c>
      <c r="H1331" s="390">
        <v>1</v>
      </c>
      <c r="I1331" s="390">
        <v>1</v>
      </c>
      <c r="J1331" s="390"/>
      <c r="K1331" s="398">
        <f>_xlfn.IFNA(VLOOKUP(A1331,numbering!$K$3:$L$92,2,0),0)</f>
        <v>1</v>
      </c>
    </row>
    <row r="1332" spans="1:11" ht="60" hidden="1" x14ac:dyDescent="0.2">
      <c r="A1332" s="390">
        <v>375</v>
      </c>
      <c r="B1332" s="390" t="s">
        <v>492</v>
      </c>
      <c r="C1332" s="390">
        <f>VLOOKUP(B1332,numbering!$N$18:$O$30,2,0)</f>
        <v>6</v>
      </c>
      <c r="D1332" s="390" t="s">
        <v>529</v>
      </c>
      <c r="E1332" s="403">
        <f t="shared" si="32"/>
        <v>8</v>
      </c>
      <c r="F1332" s="422" t="str">
        <f>F1331</f>
        <v>Is there documented evidence that embankment pore pressure data was collected and reviewed appropriately and at the minimum required frequencies to achieve the objective of determining if the pore pressures are in line with the expected performance of the structure?</v>
      </c>
      <c r="G1332" s="388" t="s">
        <v>1193</v>
      </c>
      <c r="H1332" s="390">
        <v>2</v>
      </c>
      <c r="I1332" s="390">
        <v>2</v>
      </c>
      <c r="J1332" s="390"/>
      <c r="K1332" s="398">
        <f>_xlfn.IFNA(VLOOKUP(A1332,numbering!$K$3:$L$92,2,0),0)</f>
        <v>1</v>
      </c>
    </row>
    <row r="1333" spans="1:11" ht="60" hidden="1" x14ac:dyDescent="0.2">
      <c r="A1333" s="390">
        <v>375</v>
      </c>
      <c r="B1333" s="390" t="s">
        <v>492</v>
      </c>
      <c r="C1333" s="390">
        <f>VLOOKUP(B1333,numbering!$N$18:$O$30,2,0)</f>
        <v>6</v>
      </c>
      <c r="D1333" s="390" t="s">
        <v>529</v>
      </c>
      <c r="E1333" s="403">
        <f t="shared" si="32"/>
        <v>8</v>
      </c>
      <c r="F1333" s="422" t="str">
        <f>F1332</f>
        <v>Is there documented evidence that embankment pore pressure data was collected and reviewed appropriately and at the minimum required frequencies to achieve the objective of determining if the pore pressures are in line with the expected performance of the structure?</v>
      </c>
      <c r="G1333" s="388" t="s">
        <v>1194</v>
      </c>
      <c r="H1333" s="390">
        <v>3</v>
      </c>
      <c r="I1333" s="390">
        <v>3</v>
      </c>
      <c r="J1333" s="390"/>
      <c r="K1333" s="398">
        <f>_xlfn.IFNA(VLOOKUP(A1333,numbering!$K$3:$L$92,2,0),0)</f>
        <v>1</v>
      </c>
    </row>
    <row r="1334" spans="1:11" ht="60" hidden="1" x14ac:dyDescent="0.2">
      <c r="A1334" s="390">
        <v>375</v>
      </c>
      <c r="B1334" s="390" t="s">
        <v>492</v>
      </c>
      <c r="C1334" s="390">
        <f>VLOOKUP(B1334,numbering!$N$18:$O$30,2,0)</f>
        <v>6</v>
      </c>
      <c r="D1334" s="390" t="s">
        <v>529</v>
      </c>
      <c r="E1334" s="403">
        <f t="shared" si="32"/>
        <v>8</v>
      </c>
      <c r="F1334" s="422" t="str">
        <f>F1333</f>
        <v>Is there documented evidence that embankment pore pressure data was collected and reviewed appropriately and at the minimum required frequencies to achieve the objective of determining if the pore pressures are in line with the expected performance of the structure?</v>
      </c>
      <c r="G1334" s="388" t="s">
        <v>1195</v>
      </c>
      <c r="H1334" s="390">
        <v>4</v>
      </c>
      <c r="I1334" s="390">
        <v>4</v>
      </c>
      <c r="J1334" s="390"/>
      <c r="K1334" s="398">
        <f>_xlfn.IFNA(VLOOKUP(A1334,numbering!$K$3:$L$92,2,0),0)</f>
        <v>1</v>
      </c>
    </row>
    <row r="1335" spans="1:11" ht="32" hidden="1" x14ac:dyDescent="0.2">
      <c r="A1335" s="390">
        <v>376</v>
      </c>
      <c r="B1335" s="390" t="s">
        <v>492</v>
      </c>
      <c r="C1335" s="390">
        <f>VLOOKUP(B1335,numbering!$N$18:$O$30,2,0)</f>
        <v>6</v>
      </c>
      <c r="D1335" s="390" t="s">
        <v>529</v>
      </c>
      <c r="E1335" s="403">
        <f t="shared" si="32"/>
        <v>8</v>
      </c>
      <c r="F1335" s="422" t="s">
        <v>1341</v>
      </c>
      <c r="G1335" s="388" t="s">
        <v>1345</v>
      </c>
      <c r="H1335" s="390">
        <v>1</v>
      </c>
      <c r="I1335" s="390">
        <v>1</v>
      </c>
      <c r="J1335" s="390"/>
      <c r="K1335" s="398">
        <f>_xlfn.IFNA(VLOOKUP(A1335,numbering!$K$3:$L$92,2,0),0)</f>
        <v>1</v>
      </c>
    </row>
    <row r="1336" spans="1:11" ht="32" hidden="1" x14ac:dyDescent="0.2">
      <c r="A1336" s="390">
        <v>376</v>
      </c>
      <c r="B1336" s="390" t="s">
        <v>492</v>
      </c>
      <c r="C1336" s="390">
        <f>VLOOKUP(B1336,numbering!$N$18:$O$30,2,0)</f>
        <v>6</v>
      </c>
      <c r="D1336" s="390" t="s">
        <v>529</v>
      </c>
      <c r="E1336" s="403">
        <f t="shared" si="32"/>
        <v>8</v>
      </c>
      <c r="F1336" s="422" t="s">
        <v>1341</v>
      </c>
      <c r="G1336" s="388" t="s">
        <v>1342</v>
      </c>
      <c r="H1336" s="390">
        <v>2</v>
      </c>
      <c r="I1336" s="390">
        <v>2</v>
      </c>
      <c r="J1336" s="390"/>
      <c r="K1336" s="398">
        <f>_xlfn.IFNA(VLOOKUP(A1336,numbering!$K$3:$L$92,2,0),0)</f>
        <v>1</v>
      </c>
    </row>
    <row r="1337" spans="1:11" ht="32" hidden="1" x14ac:dyDescent="0.2">
      <c r="A1337" s="390">
        <v>376</v>
      </c>
      <c r="B1337" s="390" t="s">
        <v>492</v>
      </c>
      <c r="C1337" s="390">
        <f>VLOOKUP(B1337,numbering!$N$18:$O$30,2,0)</f>
        <v>6</v>
      </c>
      <c r="D1337" s="390" t="s">
        <v>529</v>
      </c>
      <c r="E1337" s="403">
        <f t="shared" si="32"/>
        <v>8</v>
      </c>
      <c r="F1337" s="422" t="s">
        <v>1341</v>
      </c>
      <c r="G1337" s="388" t="s">
        <v>1343</v>
      </c>
      <c r="H1337" s="390">
        <v>3</v>
      </c>
      <c r="I1337" s="390">
        <v>3</v>
      </c>
      <c r="J1337" s="390"/>
      <c r="K1337" s="398">
        <f>_xlfn.IFNA(VLOOKUP(A1337,numbering!$K$3:$L$92,2,0),0)</f>
        <v>1</v>
      </c>
    </row>
    <row r="1338" spans="1:11" ht="32" hidden="1" x14ac:dyDescent="0.2">
      <c r="A1338" s="390">
        <v>376</v>
      </c>
      <c r="B1338" s="390" t="s">
        <v>492</v>
      </c>
      <c r="C1338" s="390">
        <f>VLOOKUP(B1338,numbering!$N$18:$O$30,2,0)</f>
        <v>6</v>
      </c>
      <c r="D1338" s="390" t="s">
        <v>529</v>
      </c>
      <c r="E1338" s="403">
        <f t="shared" si="32"/>
        <v>8</v>
      </c>
      <c r="F1338" s="422" t="s">
        <v>1341</v>
      </c>
      <c r="G1338" s="388" t="s">
        <v>1344</v>
      </c>
      <c r="H1338" s="390">
        <v>4</v>
      </c>
      <c r="I1338" s="390">
        <v>4</v>
      </c>
      <c r="J1338" s="390"/>
      <c r="K1338" s="398">
        <f>_xlfn.IFNA(VLOOKUP(A1338,numbering!$K$3:$L$92,2,0),0)</f>
        <v>1</v>
      </c>
    </row>
    <row r="1339" spans="1:11" ht="32" hidden="1" x14ac:dyDescent="0.2">
      <c r="A1339" s="390">
        <v>377</v>
      </c>
      <c r="B1339" s="390" t="s">
        <v>492</v>
      </c>
      <c r="C1339" s="390">
        <f>VLOOKUP(B1339,numbering!$N$18:$O$30,2,0)</f>
        <v>6</v>
      </c>
      <c r="D1339" s="390" t="s">
        <v>529</v>
      </c>
      <c r="E1339" s="403">
        <f t="shared" si="32"/>
        <v>8</v>
      </c>
      <c r="F1339" s="424" t="s">
        <v>532</v>
      </c>
      <c r="G1339" s="388" t="s">
        <v>8</v>
      </c>
      <c r="H1339" s="390">
        <v>1</v>
      </c>
      <c r="I1339" s="390">
        <v>1</v>
      </c>
      <c r="J1339" s="390"/>
      <c r="K1339" s="398">
        <f>_xlfn.IFNA(VLOOKUP(A1339,numbering!$K$3:$L$92,2,0),0)</f>
        <v>1</v>
      </c>
    </row>
    <row r="1340" spans="1:11" ht="32" hidden="1" x14ac:dyDescent="0.2">
      <c r="A1340" s="390">
        <v>377</v>
      </c>
      <c r="B1340" s="390" t="s">
        <v>492</v>
      </c>
      <c r="C1340" s="390">
        <f>VLOOKUP(B1340,numbering!$N$18:$O$30,2,0)</f>
        <v>6</v>
      </c>
      <c r="D1340" s="390" t="s">
        <v>529</v>
      </c>
      <c r="E1340" s="403">
        <f t="shared" si="32"/>
        <v>8</v>
      </c>
      <c r="F1340" s="424" t="str">
        <f>F1339</f>
        <v>Does the embankment piezometer pore pressure data indicate that pore pressures have exceeded set trigger levels since it was last reviewed?</v>
      </c>
      <c r="G1340" s="388" t="s">
        <v>7</v>
      </c>
      <c r="H1340" s="390">
        <v>4</v>
      </c>
      <c r="I1340" s="390">
        <v>4</v>
      </c>
      <c r="J1340" s="390"/>
      <c r="K1340" s="398">
        <f>_xlfn.IFNA(VLOOKUP(A1340,numbering!$K$3:$L$92,2,0),0)</f>
        <v>1</v>
      </c>
    </row>
    <row r="1341" spans="1:11" ht="60" hidden="1" x14ac:dyDescent="0.2">
      <c r="A1341" s="390">
        <v>378</v>
      </c>
      <c r="B1341" s="390" t="s">
        <v>492</v>
      </c>
      <c r="C1341" s="390">
        <f>VLOOKUP(B1341,numbering!$N$18:$O$30,2,0)</f>
        <v>6</v>
      </c>
      <c r="D1341" s="390" t="s">
        <v>533</v>
      </c>
      <c r="E1341" s="403">
        <f t="shared" si="32"/>
        <v>9</v>
      </c>
      <c r="F1341" s="422" t="s">
        <v>1302</v>
      </c>
      <c r="G1341" s="388" t="s">
        <v>1192</v>
      </c>
      <c r="H1341" s="390">
        <v>1</v>
      </c>
      <c r="I1341" s="390">
        <v>1</v>
      </c>
      <c r="J1341" s="390"/>
      <c r="K1341" s="398">
        <f>_xlfn.IFNA(VLOOKUP(A1341,numbering!$K$3:$L$92,2,0),0)</f>
        <v>1</v>
      </c>
    </row>
    <row r="1342" spans="1:11" ht="60" hidden="1" x14ac:dyDescent="0.2">
      <c r="A1342" s="390">
        <v>378</v>
      </c>
      <c r="B1342" s="390" t="s">
        <v>492</v>
      </c>
      <c r="C1342" s="390">
        <f>VLOOKUP(B1342,numbering!$N$18:$O$30,2,0)</f>
        <v>6</v>
      </c>
      <c r="D1342" s="390" t="s">
        <v>533</v>
      </c>
      <c r="E1342" s="403">
        <f t="shared" si="32"/>
        <v>9</v>
      </c>
      <c r="F1342" s="422" t="s">
        <v>1302</v>
      </c>
      <c r="G1342" s="388" t="s">
        <v>1193</v>
      </c>
      <c r="H1342" s="390">
        <v>2</v>
      </c>
      <c r="I1342" s="390">
        <v>2</v>
      </c>
      <c r="J1342" s="390"/>
      <c r="K1342" s="398">
        <f>_xlfn.IFNA(VLOOKUP(A1342,numbering!$K$3:$L$92,2,0),0)</f>
        <v>1</v>
      </c>
    </row>
    <row r="1343" spans="1:11" ht="60" hidden="1" x14ac:dyDescent="0.2">
      <c r="A1343" s="390">
        <v>378</v>
      </c>
      <c r="B1343" s="390" t="s">
        <v>492</v>
      </c>
      <c r="C1343" s="390">
        <f>VLOOKUP(B1343,numbering!$N$18:$O$30,2,0)</f>
        <v>6</v>
      </c>
      <c r="D1343" s="390" t="s">
        <v>533</v>
      </c>
      <c r="E1343" s="403">
        <f t="shared" si="32"/>
        <v>9</v>
      </c>
      <c r="F1343" s="422" t="s">
        <v>1302</v>
      </c>
      <c r="G1343" s="388" t="s">
        <v>1194</v>
      </c>
      <c r="H1343" s="390">
        <v>3</v>
      </c>
      <c r="I1343" s="390">
        <v>3</v>
      </c>
      <c r="J1343" s="390"/>
      <c r="K1343" s="398">
        <f>_xlfn.IFNA(VLOOKUP(A1343,numbering!$K$3:$L$92,2,0),0)</f>
        <v>1</v>
      </c>
    </row>
    <row r="1344" spans="1:11" ht="60" hidden="1" x14ac:dyDescent="0.2">
      <c r="A1344" s="390">
        <v>378</v>
      </c>
      <c r="B1344" s="390" t="s">
        <v>492</v>
      </c>
      <c r="C1344" s="390">
        <f>VLOOKUP(B1344,numbering!$N$18:$O$30,2,0)</f>
        <v>6</v>
      </c>
      <c r="D1344" s="390" t="s">
        <v>533</v>
      </c>
      <c r="E1344" s="403">
        <f t="shared" si="32"/>
        <v>9</v>
      </c>
      <c r="F1344" s="422" t="s">
        <v>1302</v>
      </c>
      <c r="G1344" s="388" t="s">
        <v>1195</v>
      </c>
      <c r="H1344" s="390">
        <v>4</v>
      </c>
      <c r="I1344" s="390">
        <v>4</v>
      </c>
      <c r="J1344" s="390"/>
      <c r="K1344" s="398">
        <f>_xlfn.IFNA(VLOOKUP(A1344,numbering!$K$3:$L$92,2,0),0)</f>
        <v>1</v>
      </c>
    </row>
    <row r="1345" spans="1:11" ht="45" hidden="1" x14ac:dyDescent="0.2">
      <c r="A1345" s="390">
        <v>379</v>
      </c>
      <c r="B1345" s="390" t="s">
        <v>492</v>
      </c>
      <c r="C1345" s="390">
        <f>VLOOKUP(B1345,numbering!$N$18:$O$30,2,0)</f>
        <v>6</v>
      </c>
      <c r="D1345" s="390" t="s">
        <v>533</v>
      </c>
      <c r="E1345" s="403">
        <f t="shared" si="32"/>
        <v>9</v>
      </c>
      <c r="F1345" s="424" t="s">
        <v>1339</v>
      </c>
      <c r="G1345" s="388" t="s">
        <v>7</v>
      </c>
      <c r="H1345" s="390">
        <v>1</v>
      </c>
      <c r="I1345" s="390">
        <v>1</v>
      </c>
      <c r="J1345" s="390"/>
      <c r="K1345" s="398">
        <f>_xlfn.IFNA(VLOOKUP(A1345,numbering!$K$3:$L$92,2,0),0)</f>
        <v>1</v>
      </c>
    </row>
    <row r="1346" spans="1:11" ht="45" hidden="1" x14ac:dyDescent="0.2">
      <c r="A1346" s="390">
        <v>379</v>
      </c>
      <c r="B1346" s="390" t="s">
        <v>492</v>
      </c>
      <c r="C1346" s="390">
        <f>VLOOKUP(B1346,numbering!$N$18:$O$30,2,0)</f>
        <v>6</v>
      </c>
      <c r="D1346" s="390" t="s">
        <v>533</v>
      </c>
      <c r="E1346" s="403">
        <f t="shared" si="32"/>
        <v>9</v>
      </c>
      <c r="F1346" s="424" t="s">
        <v>1339</v>
      </c>
      <c r="G1346" s="388" t="s">
        <v>8</v>
      </c>
      <c r="H1346" s="390">
        <v>4</v>
      </c>
      <c r="I1346" s="390">
        <v>4</v>
      </c>
      <c r="J1346" s="390"/>
      <c r="K1346" s="398">
        <f>_xlfn.IFNA(VLOOKUP(A1346,numbering!$K$3:$L$92,2,0),0)</f>
        <v>1</v>
      </c>
    </row>
    <row r="1347" spans="1:11" ht="60" hidden="1" x14ac:dyDescent="0.2">
      <c r="A1347" s="390">
        <v>381</v>
      </c>
      <c r="B1347" s="390" t="s">
        <v>492</v>
      </c>
      <c r="C1347" s="390">
        <f>VLOOKUP(B1347,numbering!$N$18:$O$30,2,0)</f>
        <v>6</v>
      </c>
      <c r="D1347" s="390" t="s">
        <v>534</v>
      </c>
      <c r="E1347" s="403">
        <f t="shared" si="32"/>
        <v>10</v>
      </c>
      <c r="F1347" s="424" t="s">
        <v>535</v>
      </c>
      <c r="G1347" s="388" t="s">
        <v>1192</v>
      </c>
      <c r="H1347" s="390">
        <v>1</v>
      </c>
      <c r="I1347" s="390">
        <v>1</v>
      </c>
      <c r="J1347" s="390"/>
      <c r="K1347" s="398">
        <f>_xlfn.IFNA(VLOOKUP(A1347,numbering!$K$3:$L$92,2,0),0)</f>
        <v>1</v>
      </c>
    </row>
    <row r="1348" spans="1:11" ht="60" hidden="1" x14ac:dyDescent="0.2">
      <c r="A1348" s="390">
        <v>381</v>
      </c>
      <c r="B1348" s="390" t="s">
        <v>492</v>
      </c>
      <c r="C1348" s="390">
        <f>VLOOKUP(B1348,numbering!$N$18:$O$30,2,0)</f>
        <v>6</v>
      </c>
      <c r="D1348" s="390" t="s">
        <v>534</v>
      </c>
      <c r="E1348" s="403">
        <f t="shared" si="32"/>
        <v>10</v>
      </c>
      <c r="F1348" s="424" t="str">
        <f>F1347</f>
        <v>Is there documented evidence that internal movement data was collected and reviewed appropriately and at the minimum required frequencies to achieve the objective determining if the movements are in line with the expected performance of the structure?</v>
      </c>
      <c r="G1348" s="388" t="s">
        <v>1193</v>
      </c>
      <c r="H1348" s="390">
        <v>2</v>
      </c>
      <c r="I1348" s="390">
        <v>2</v>
      </c>
      <c r="J1348" s="390"/>
      <c r="K1348" s="398">
        <f>_xlfn.IFNA(VLOOKUP(A1348,numbering!$K$3:$L$92,2,0),0)</f>
        <v>1</v>
      </c>
    </row>
    <row r="1349" spans="1:11" ht="60" hidden="1" x14ac:dyDescent="0.2">
      <c r="A1349" s="390">
        <v>381</v>
      </c>
      <c r="B1349" s="390" t="s">
        <v>492</v>
      </c>
      <c r="C1349" s="390">
        <f>VLOOKUP(B1349,numbering!$N$18:$O$30,2,0)</f>
        <v>6</v>
      </c>
      <c r="D1349" s="390" t="s">
        <v>534</v>
      </c>
      <c r="E1349" s="403">
        <f t="shared" si="32"/>
        <v>10</v>
      </c>
      <c r="F1349" s="424" t="str">
        <f>F1348</f>
        <v>Is there documented evidence that internal movement data was collected and reviewed appropriately and at the minimum required frequencies to achieve the objective determining if the movements are in line with the expected performance of the structure?</v>
      </c>
      <c r="G1349" s="388" t="s">
        <v>1194</v>
      </c>
      <c r="H1349" s="390">
        <v>3</v>
      </c>
      <c r="I1349" s="390">
        <v>3</v>
      </c>
      <c r="J1349" s="390"/>
      <c r="K1349" s="398">
        <f>_xlfn.IFNA(VLOOKUP(A1349,numbering!$K$3:$L$92,2,0),0)</f>
        <v>1</v>
      </c>
    </row>
    <row r="1350" spans="1:11" ht="60" hidden="1" x14ac:dyDescent="0.2">
      <c r="A1350" s="390">
        <v>381</v>
      </c>
      <c r="B1350" s="390" t="s">
        <v>492</v>
      </c>
      <c r="C1350" s="390">
        <f>VLOOKUP(B1350,numbering!$N$18:$O$30,2,0)</f>
        <v>6</v>
      </c>
      <c r="D1350" s="390" t="s">
        <v>534</v>
      </c>
      <c r="E1350" s="403">
        <f t="shared" si="32"/>
        <v>10</v>
      </c>
      <c r="F1350" s="424" t="str">
        <f>F1349</f>
        <v>Is there documented evidence that internal movement data was collected and reviewed appropriately and at the minimum required frequencies to achieve the objective determining if the movements are in line with the expected performance of the structure?</v>
      </c>
      <c r="G1350" s="388" t="s">
        <v>1195</v>
      </c>
      <c r="H1350" s="390">
        <v>4</v>
      </c>
      <c r="I1350" s="390">
        <v>4</v>
      </c>
      <c r="J1350" s="390"/>
      <c r="K1350" s="398">
        <f>_xlfn.IFNA(VLOOKUP(A1350,numbering!$K$3:$L$92,2,0),0)</f>
        <v>1</v>
      </c>
    </row>
    <row r="1351" spans="1:11" ht="30" hidden="1" x14ac:dyDescent="0.2">
      <c r="A1351" s="390">
        <v>382</v>
      </c>
      <c r="B1351" s="390" t="s">
        <v>492</v>
      </c>
      <c r="C1351" s="390">
        <f>VLOOKUP(B1351,numbering!$N$18:$O$30,2,0)</f>
        <v>6</v>
      </c>
      <c r="D1351" s="390" t="s">
        <v>534</v>
      </c>
      <c r="E1351" s="403">
        <f t="shared" si="32"/>
        <v>10</v>
      </c>
      <c r="F1351" s="424" t="s">
        <v>1346</v>
      </c>
      <c r="G1351" s="388" t="s">
        <v>7</v>
      </c>
      <c r="H1351" s="390">
        <v>1</v>
      </c>
      <c r="I1351" s="390">
        <v>1</v>
      </c>
      <c r="J1351" s="390"/>
      <c r="K1351" s="398">
        <f>_xlfn.IFNA(VLOOKUP(A1351,numbering!$K$3:$L$92,2,0),0)</f>
        <v>1</v>
      </c>
    </row>
    <row r="1352" spans="1:11" ht="30" hidden="1" x14ac:dyDescent="0.2">
      <c r="A1352" s="390">
        <v>382</v>
      </c>
      <c r="B1352" s="390" t="s">
        <v>492</v>
      </c>
      <c r="C1352" s="390">
        <f>VLOOKUP(B1352,numbering!$N$18:$O$30,2,0)</f>
        <v>6</v>
      </c>
      <c r="D1352" s="390" t="s">
        <v>534</v>
      </c>
      <c r="E1352" s="403">
        <f t="shared" si="32"/>
        <v>10</v>
      </c>
      <c r="F1352" s="424" t="s">
        <v>1346</v>
      </c>
      <c r="G1352" s="388" t="s">
        <v>8</v>
      </c>
      <c r="H1352" s="390">
        <v>4</v>
      </c>
      <c r="I1352" s="390">
        <v>4</v>
      </c>
      <c r="J1352" s="390"/>
      <c r="K1352" s="398">
        <f>_xlfn.IFNA(VLOOKUP(A1352,numbering!$K$3:$L$92,2,0),0)</f>
        <v>1</v>
      </c>
    </row>
    <row r="1353" spans="1:11" ht="30" hidden="1" x14ac:dyDescent="0.2">
      <c r="A1353" s="390">
        <v>383</v>
      </c>
      <c r="B1353" s="390" t="s">
        <v>492</v>
      </c>
      <c r="C1353" s="390">
        <f>VLOOKUP(B1353,numbering!$N$18:$O$30,2,0)</f>
        <v>6</v>
      </c>
      <c r="D1353" s="390" t="s">
        <v>534</v>
      </c>
      <c r="E1353" s="403">
        <f t="shared" si="32"/>
        <v>10</v>
      </c>
      <c r="F1353" s="424" t="s">
        <v>536</v>
      </c>
      <c r="G1353" s="388" t="s">
        <v>8</v>
      </c>
      <c r="H1353" s="390">
        <v>1</v>
      </c>
      <c r="I1353" s="390">
        <v>1</v>
      </c>
      <c r="J1353" s="390"/>
      <c r="K1353" s="398">
        <f>_xlfn.IFNA(VLOOKUP(A1353,numbering!$K$3:$L$92,2,0),0)</f>
        <v>1</v>
      </c>
    </row>
    <row r="1354" spans="1:11" ht="30" hidden="1" x14ac:dyDescent="0.2">
      <c r="A1354" s="390">
        <v>383</v>
      </c>
      <c r="B1354" s="390" t="s">
        <v>492</v>
      </c>
      <c r="C1354" s="390">
        <f>VLOOKUP(B1354,numbering!$N$18:$O$30,2,0)</f>
        <v>6</v>
      </c>
      <c r="D1354" s="390" t="s">
        <v>534</v>
      </c>
      <c r="E1354" s="403">
        <f t="shared" si="32"/>
        <v>10</v>
      </c>
      <c r="F1354" s="424" t="str">
        <f>F1353</f>
        <v>Does the internal movement data indicate that movements have exceeded set trigger levels since it was last reviewed?</v>
      </c>
      <c r="G1354" s="388" t="s">
        <v>7</v>
      </c>
      <c r="H1354" s="390">
        <v>4</v>
      </c>
      <c r="I1354" s="390">
        <v>4</v>
      </c>
      <c r="J1354" s="390"/>
      <c r="K1354" s="398">
        <f>_xlfn.IFNA(VLOOKUP(A1354,numbering!$K$3:$L$92,2,0),0)</f>
        <v>1</v>
      </c>
    </row>
    <row r="1355" spans="1:11" ht="60" hidden="1" x14ac:dyDescent="0.2">
      <c r="A1355" s="390">
        <v>384</v>
      </c>
      <c r="B1355" s="390" t="s">
        <v>492</v>
      </c>
      <c r="C1355" s="390">
        <f>VLOOKUP(B1355,numbering!$N$18:$O$30,2,0)</f>
        <v>6</v>
      </c>
      <c r="D1355" s="390" t="s">
        <v>537</v>
      </c>
      <c r="E1355" s="403">
        <f t="shared" si="32"/>
        <v>11</v>
      </c>
      <c r="F1355" s="422" t="s">
        <v>538</v>
      </c>
      <c r="G1355" s="388" t="s">
        <v>1192</v>
      </c>
      <c r="H1355" s="390">
        <v>1</v>
      </c>
      <c r="I1355" s="390">
        <v>1</v>
      </c>
      <c r="J1355" s="390"/>
      <c r="K1355" s="398">
        <f>_xlfn.IFNA(VLOOKUP(A1355,numbering!$K$3:$L$92,2,0),0)</f>
        <v>1</v>
      </c>
    </row>
    <row r="1356" spans="1:11" ht="60" hidden="1" x14ac:dyDescent="0.2">
      <c r="A1356" s="390">
        <v>384</v>
      </c>
      <c r="B1356" s="390" t="s">
        <v>492</v>
      </c>
      <c r="C1356" s="390">
        <f>VLOOKUP(B1356,numbering!$N$18:$O$30,2,0)</f>
        <v>6</v>
      </c>
      <c r="D1356" s="390" t="s">
        <v>537</v>
      </c>
      <c r="E1356" s="403">
        <f t="shared" si="32"/>
        <v>11</v>
      </c>
      <c r="F1356" s="422" t="str">
        <f>F1355</f>
        <v>Is there documented evidence that seepage data was collected and reviewed appropriately and at the minimum required frequencies to achieve the objective determining if the seepage volumes and rates are in line with the expected performance of the structure?</v>
      </c>
      <c r="G1356" s="388" t="s">
        <v>1193</v>
      </c>
      <c r="H1356" s="390">
        <v>2</v>
      </c>
      <c r="I1356" s="390">
        <v>2</v>
      </c>
      <c r="J1356" s="390"/>
      <c r="K1356" s="398">
        <f>_xlfn.IFNA(VLOOKUP(A1356,numbering!$K$3:$L$92,2,0),0)</f>
        <v>1</v>
      </c>
    </row>
    <row r="1357" spans="1:11" ht="60" hidden="1" x14ac:dyDescent="0.2">
      <c r="A1357" s="390">
        <v>384</v>
      </c>
      <c r="B1357" s="390" t="s">
        <v>492</v>
      </c>
      <c r="C1357" s="390">
        <f>VLOOKUP(B1357,numbering!$N$18:$O$30,2,0)</f>
        <v>6</v>
      </c>
      <c r="D1357" s="390" t="s">
        <v>537</v>
      </c>
      <c r="E1357" s="403">
        <f t="shared" si="32"/>
        <v>11</v>
      </c>
      <c r="F1357" s="422" t="str">
        <f>F1356</f>
        <v>Is there documented evidence that seepage data was collected and reviewed appropriately and at the minimum required frequencies to achieve the objective determining if the seepage volumes and rates are in line with the expected performance of the structure?</v>
      </c>
      <c r="G1357" s="388" t="s">
        <v>1194</v>
      </c>
      <c r="H1357" s="390">
        <v>3</v>
      </c>
      <c r="I1357" s="390">
        <v>3</v>
      </c>
      <c r="J1357" s="390"/>
      <c r="K1357" s="398">
        <f>_xlfn.IFNA(VLOOKUP(A1357,numbering!$K$3:$L$92,2,0),0)</f>
        <v>1</v>
      </c>
    </row>
    <row r="1358" spans="1:11" ht="60" hidden="1" x14ac:dyDescent="0.2">
      <c r="A1358" s="390">
        <v>384</v>
      </c>
      <c r="B1358" s="390" t="s">
        <v>492</v>
      </c>
      <c r="C1358" s="390">
        <f>VLOOKUP(B1358,numbering!$N$18:$O$30,2,0)</f>
        <v>6</v>
      </c>
      <c r="D1358" s="390" t="s">
        <v>537</v>
      </c>
      <c r="E1358" s="403">
        <f t="shared" si="32"/>
        <v>11</v>
      </c>
      <c r="F1358" s="422" t="str">
        <f>F1357</f>
        <v>Is there documented evidence that seepage data was collected and reviewed appropriately and at the minimum required frequencies to achieve the objective determining if the seepage volumes and rates are in line with the expected performance of the structure?</v>
      </c>
      <c r="G1358" s="388" t="s">
        <v>1195</v>
      </c>
      <c r="H1358" s="390">
        <v>4</v>
      </c>
      <c r="I1358" s="390">
        <v>4</v>
      </c>
      <c r="J1358" s="390"/>
      <c r="K1358" s="398">
        <f>_xlfn.IFNA(VLOOKUP(A1358,numbering!$K$3:$L$92,2,0),0)</f>
        <v>1</v>
      </c>
    </row>
    <row r="1359" spans="1:11" ht="30" hidden="1" x14ac:dyDescent="0.2">
      <c r="A1359" s="390">
        <v>385</v>
      </c>
      <c r="B1359" s="390" t="s">
        <v>492</v>
      </c>
      <c r="C1359" s="390">
        <f>VLOOKUP(B1359,numbering!$N$18:$O$30,2,0)</f>
        <v>6</v>
      </c>
      <c r="D1359" s="390" t="s">
        <v>537</v>
      </c>
      <c r="E1359" s="403">
        <f t="shared" si="32"/>
        <v>11</v>
      </c>
      <c r="F1359" s="424" t="s">
        <v>1347</v>
      </c>
      <c r="G1359" s="388" t="s">
        <v>7</v>
      </c>
      <c r="H1359" s="390">
        <v>1</v>
      </c>
      <c r="I1359" s="390">
        <v>1</v>
      </c>
      <c r="J1359" s="390"/>
      <c r="K1359" s="398">
        <f>_xlfn.IFNA(VLOOKUP(A1359,numbering!$K$3:$L$92,2,0),0)</f>
        <v>1</v>
      </c>
    </row>
    <row r="1360" spans="1:11" ht="30" hidden="1" x14ac:dyDescent="0.2">
      <c r="A1360" s="390">
        <v>385</v>
      </c>
      <c r="B1360" s="390" t="s">
        <v>492</v>
      </c>
      <c r="C1360" s="390">
        <f>VLOOKUP(B1360,numbering!$N$18:$O$30,2,0)</f>
        <v>6</v>
      </c>
      <c r="D1360" s="390" t="s">
        <v>537</v>
      </c>
      <c r="E1360" s="403">
        <f t="shared" si="32"/>
        <v>11</v>
      </c>
      <c r="F1360" s="424" t="str">
        <f>F1359</f>
        <v>Does the assessment of the seepage data shows that seepage rates are in line with the expected performance?</v>
      </c>
      <c r="G1360" s="388" t="s">
        <v>8</v>
      </c>
      <c r="H1360" s="390">
        <v>4</v>
      </c>
      <c r="I1360" s="390">
        <v>4</v>
      </c>
      <c r="J1360" s="390"/>
      <c r="K1360" s="398">
        <f>_xlfn.IFNA(VLOOKUP(A1360,numbering!$K$3:$L$92,2,0),0)</f>
        <v>1</v>
      </c>
    </row>
    <row r="1361" spans="1:11" ht="30" hidden="1" x14ac:dyDescent="0.2">
      <c r="A1361" s="390">
        <v>386</v>
      </c>
      <c r="B1361" s="390" t="s">
        <v>492</v>
      </c>
      <c r="C1361" s="390">
        <f>VLOOKUP(B1361,numbering!$N$18:$O$30,2,0)</f>
        <v>6</v>
      </c>
      <c r="D1361" s="390" t="s">
        <v>537</v>
      </c>
      <c r="E1361" s="403">
        <f t="shared" ref="E1361:E1382" si="33">IF(C1361&lt;&gt;C1360,1,IF(D1361&lt;&gt;D1360,E1360+1,E1360))</f>
        <v>11</v>
      </c>
      <c r="F1361" s="424" t="s">
        <v>539</v>
      </c>
      <c r="G1361" s="388" t="s">
        <v>8</v>
      </c>
      <c r="H1361" s="390">
        <v>1</v>
      </c>
      <c r="I1361" s="390">
        <v>1</v>
      </c>
      <c r="J1361" s="390"/>
      <c r="K1361" s="398">
        <f>_xlfn.IFNA(VLOOKUP(A1361,numbering!$K$3:$L$92,2,0),0)</f>
        <v>1</v>
      </c>
    </row>
    <row r="1362" spans="1:11" ht="30" hidden="1" x14ac:dyDescent="0.2">
      <c r="A1362" s="390">
        <v>386</v>
      </c>
      <c r="B1362" s="390" t="s">
        <v>492</v>
      </c>
      <c r="C1362" s="390">
        <f>VLOOKUP(B1362,numbering!$N$18:$O$30,2,0)</f>
        <v>6</v>
      </c>
      <c r="D1362" s="390" t="s">
        <v>537</v>
      </c>
      <c r="E1362" s="403">
        <f t="shared" si="33"/>
        <v>11</v>
      </c>
      <c r="F1362" s="424" t="str">
        <f>F1361</f>
        <v>Does the seepage data indicate that seepage rates have exceeded set trigger levels since it was last reviewed?</v>
      </c>
      <c r="G1362" s="388" t="s">
        <v>7</v>
      </c>
      <c r="H1362" s="390">
        <v>4</v>
      </c>
      <c r="I1362" s="390">
        <v>4</v>
      </c>
      <c r="J1362" s="390"/>
      <c r="K1362" s="398">
        <f>_xlfn.IFNA(VLOOKUP(A1362,numbering!$K$3:$L$92,2,0),0)</f>
        <v>1</v>
      </c>
    </row>
    <row r="1363" spans="1:11" ht="45" hidden="1" x14ac:dyDescent="0.2">
      <c r="A1363" s="390">
        <v>387</v>
      </c>
      <c r="B1363" s="390" t="s">
        <v>492</v>
      </c>
      <c r="C1363" s="390">
        <f>VLOOKUP(B1363,numbering!$N$18:$O$30,2,0)</f>
        <v>6</v>
      </c>
      <c r="D1363" s="390" t="s">
        <v>540</v>
      </c>
      <c r="E1363" s="403">
        <f t="shared" si="33"/>
        <v>12</v>
      </c>
      <c r="F1363" s="422" t="s">
        <v>1301</v>
      </c>
      <c r="G1363" s="388" t="s">
        <v>8</v>
      </c>
      <c r="H1363" s="390">
        <v>1</v>
      </c>
      <c r="I1363" s="390">
        <v>1</v>
      </c>
      <c r="J1363" s="390"/>
      <c r="K1363" s="398">
        <f>_xlfn.IFNA(VLOOKUP(A1363,numbering!$K$3:$L$92,2,0),0)</f>
        <v>1</v>
      </c>
    </row>
    <row r="1364" spans="1:11" ht="45" hidden="1" x14ac:dyDescent="0.2">
      <c r="A1364" s="390">
        <v>387</v>
      </c>
      <c r="B1364" s="390" t="s">
        <v>492</v>
      </c>
      <c r="C1364" s="390">
        <f>VLOOKUP(B1364,numbering!$N$18:$O$30,2,0)</f>
        <v>6</v>
      </c>
      <c r="D1364" s="390" t="s">
        <v>540</v>
      </c>
      <c r="E1364" s="403">
        <f t="shared" si="33"/>
        <v>12</v>
      </c>
      <c r="F1364" s="422" t="s">
        <v>1301</v>
      </c>
      <c r="G1364" s="388" t="s">
        <v>7</v>
      </c>
      <c r="H1364" s="390">
        <v>4</v>
      </c>
      <c r="I1364" s="390">
        <v>4</v>
      </c>
      <c r="J1364" s="390"/>
      <c r="K1364" s="398">
        <f>_xlfn.IFNA(VLOOKUP(A1364,numbering!$K$3:$L$92,2,0),0)</f>
        <v>1</v>
      </c>
    </row>
    <row r="1365" spans="1:11" ht="60" hidden="1" x14ac:dyDescent="0.2">
      <c r="A1365" s="390">
        <v>388</v>
      </c>
      <c r="B1365" s="390" t="s">
        <v>492</v>
      </c>
      <c r="C1365" s="390">
        <f>VLOOKUP(B1365,numbering!$N$18:$O$30,2,0)</f>
        <v>6</v>
      </c>
      <c r="D1365" s="390" t="s">
        <v>540</v>
      </c>
      <c r="E1365" s="403">
        <f t="shared" si="33"/>
        <v>12</v>
      </c>
      <c r="F1365" s="422" t="s">
        <v>1324</v>
      </c>
      <c r="G1365" s="388" t="s">
        <v>1192</v>
      </c>
      <c r="H1365" s="390">
        <v>1</v>
      </c>
      <c r="I1365" s="390">
        <v>1</v>
      </c>
      <c r="J1365" s="390"/>
      <c r="K1365" s="398">
        <f>_xlfn.IFNA(VLOOKUP(A1365,numbering!$K$3:$L$92,2,0),0)</f>
        <v>1</v>
      </c>
    </row>
    <row r="1366" spans="1:11" ht="60" hidden="1" x14ac:dyDescent="0.2">
      <c r="A1366" s="390">
        <v>388</v>
      </c>
      <c r="B1366" s="390" t="s">
        <v>492</v>
      </c>
      <c r="C1366" s="390">
        <f>VLOOKUP(B1366,numbering!$N$18:$O$30,2,0)</f>
        <v>6</v>
      </c>
      <c r="D1366" s="390" t="s">
        <v>540</v>
      </c>
      <c r="E1366" s="403">
        <f t="shared" ref="E1366" si="34">IF(C1366&lt;&gt;C1365,1,IF(D1366&lt;&gt;D1365,E1365+1,E1365))</f>
        <v>12</v>
      </c>
      <c r="F1366" s="422" t="s">
        <v>1324</v>
      </c>
      <c r="G1366" s="388" t="s">
        <v>1193</v>
      </c>
      <c r="H1366" s="390">
        <v>2</v>
      </c>
      <c r="I1366" s="390">
        <v>2</v>
      </c>
      <c r="J1366" s="390"/>
      <c r="K1366" s="398">
        <f>_xlfn.IFNA(VLOOKUP(A1366,numbering!$K$3:$L$92,2,0),0)</f>
        <v>1</v>
      </c>
    </row>
    <row r="1367" spans="1:11" ht="60" hidden="1" x14ac:dyDescent="0.2">
      <c r="A1367" s="390">
        <v>388</v>
      </c>
      <c r="B1367" s="390" t="s">
        <v>492</v>
      </c>
      <c r="C1367" s="390">
        <f>VLOOKUP(B1367,numbering!$N$18:$O$30,2,0)</f>
        <v>6</v>
      </c>
      <c r="D1367" s="390" t="s">
        <v>540</v>
      </c>
      <c r="E1367" s="403">
        <f>IF(C1367&lt;&gt;C1364,1,IF(D1367&lt;&gt;D1364,E1364+1,E1364))</f>
        <v>12</v>
      </c>
      <c r="F1367" s="422" t="s">
        <v>1324</v>
      </c>
      <c r="G1367" s="388" t="s">
        <v>1194</v>
      </c>
      <c r="H1367" s="390">
        <v>3</v>
      </c>
      <c r="I1367" s="390">
        <v>3</v>
      </c>
      <c r="J1367" s="390"/>
      <c r="K1367" s="398">
        <f>_xlfn.IFNA(VLOOKUP(A1367,numbering!$K$3:$L$92,2,0),0)</f>
        <v>1</v>
      </c>
    </row>
    <row r="1368" spans="1:11" ht="60" hidden="1" x14ac:dyDescent="0.2">
      <c r="A1368" s="390">
        <v>388</v>
      </c>
      <c r="B1368" s="390" t="s">
        <v>492</v>
      </c>
      <c r="C1368" s="390">
        <f>VLOOKUP(B1368,numbering!$N$18:$O$30,2,0)</f>
        <v>6</v>
      </c>
      <c r="D1368" s="390" t="s">
        <v>540</v>
      </c>
      <c r="E1368" s="403">
        <f>IF(C1368&lt;&gt;C1365,1,IF(D1368&lt;&gt;D1365,E1365+1,E1365))</f>
        <v>12</v>
      </c>
      <c r="F1368" s="422" t="s">
        <v>1324</v>
      </c>
      <c r="G1368" s="388" t="s">
        <v>1195</v>
      </c>
      <c r="H1368" s="390">
        <v>4</v>
      </c>
      <c r="I1368" s="390">
        <v>4</v>
      </c>
      <c r="J1368" s="390"/>
      <c r="K1368" s="398">
        <f>_xlfn.IFNA(VLOOKUP(A1368,numbering!$K$3:$L$92,2,0),0)</f>
        <v>1</v>
      </c>
    </row>
    <row r="1369" spans="1:11" ht="30" hidden="1" x14ac:dyDescent="0.2">
      <c r="A1369" s="390">
        <v>389</v>
      </c>
      <c r="B1369" s="390" t="s">
        <v>492</v>
      </c>
      <c r="C1369" s="390">
        <f>VLOOKUP(B1369,numbering!$N$18:$O$30,2,0)</f>
        <v>6</v>
      </c>
      <c r="D1369" s="390" t="s">
        <v>541</v>
      </c>
      <c r="E1369" s="403">
        <f t="shared" si="33"/>
        <v>13</v>
      </c>
      <c r="F1369" s="422" t="s">
        <v>1300</v>
      </c>
      <c r="G1369" s="388" t="s">
        <v>542</v>
      </c>
      <c r="H1369" s="390">
        <v>1</v>
      </c>
      <c r="I1369" s="390">
        <v>1</v>
      </c>
      <c r="J1369" s="390"/>
      <c r="K1369" s="398">
        <f>_xlfn.IFNA(VLOOKUP(A1369,numbering!$K$3:$L$92,2,0),0)</f>
        <v>1</v>
      </c>
    </row>
    <row r="1370" spans="1:11" ht="32" hidden="1" x14ac:dyDescent="0.2">
      <c r="A1370" s="390">
        <v>389</v>
      </c>
      <c r="B1370" s="390" t="s">
        <v>492</v>
      </c>
      <c r="C1370" s="390">
        <f>VLOOKUP(B1370,numbering!$N$18:$O$30,2,0)</f>
        <v>6</v>
      </c>
      <c r="D1370" s="390" t="s">
        <v>541</v>
      </c>
      <c r="E1370" s="403">
        <f t="shared" si="33"/>
        <v>13</v>
      </c>
      <c r="F1370" s="422" t="s">
        <v>1300</v>
      </c>
      <c r="G1370" s="388" t="s">
        <v>1176</v>
      </c>
      <c r="H1370" s="390">
        <v>2</v>
      </c>
      <c r="I1370" s="390">
        <v>2</v>
      </c>
      <c r="J1370" s="390"/>
      <c r="K1370" s="398">
        <f>_xlfn.IFNA(VLOOKUP(A1370,numbering!$K$3:$L$92,2,0),0)</f>
        <v>1</v>
      </c>
    </row>
    <row r="1371" spans="1:11" ht="32" hidden="1" x14ac:dyDescent="0.2">
      <c r="A1371" s="390">
        <v>389</v>
      </c>
      <c r="B1371" s="390" t="s">
        <v>492</v>
      </c>
      <c r="C1371" s="390">
        <f>VLOOKUP(B1371,numbering!$N$18:$O$30,2,0)</f>
        <v>6</v>
      </c>
      <c r="D1371" s="390" t="s">
        <v>541</v>
      </c>
      <c r="E1371" s="403">
        <f t="shared" si="33"/>
        <v>13</v>
      </c>
      <c r="F1371" s="422" t="s">
        <v>1300</v>
      </c>
      <c r="G1371" s="388" t="s">
        <v>1177</v>
      </c>
      <c r="H1371" s="390">
        <v>3</v>
      </c>
      <c r="I1371" s="390">
        <v>3</v>
      </c>
      <c r="J1371" s="390"/>
      <c r="K1371" s="398">
        <f>_xlfn.IFNA(VLOOKUP(A1371,numbering!$K$3:$L$92,2,0),0)</f>
        <v>1</v>
      </c>
    </row>
    <row r="1372" spans="1:11" ht="48" hidden="1" x14ac:dyDescent="0.2">
      <c r="A1372" s="390">
        <v>389</v>
      </c>
      <c r="B1372" s="390" t="s">
        <v>492</v>
      </c>
      <c r="C1372" s="390">
        <f>VLOOKUP(B1372,numbering!$N$18:$O$30,2,0)</f>
        <v>6</v>
      </c>
      <c r="D1372" s="390" t="s">
        <v>541</v>
      </c>
      <c r="E1372" s="403">
        <f t="shared" si="33"/>
        <v>13</v>
      </c>
      <c r="F1372" s="422" t="s">
        <v>1300</v>
      </c>
      <c r="G1372" s="388" t="s">
        <v>1178</v>
      </c>
      <c r="H1372" s="390">
        <v>4</v>
      </c>
      <c r="I1372" s="390">
        <v>4</v>
      </c>
      <c r="J1372" s="390"/>
      <c r="K1372" s="398">
        <f>_xlfn.IFNA(VLOOKUP(A1372,numbering!$K$3:$L$92,2,0),0)</f>
        <v>1</v>
      </c>
    </row>
    <row r="1373" spans="1:11" ht="16" hidden="1" x14ac:dyDescent="0.2">
      <c r="A1373" s="390">
        <v>390</v>
      </c>
      <c r="B1373" s="390" t="s">
        <v>492</v>
      </c>
      <c r="C1373" s="390">
        <f>VLOOKUP(B1373,numbering!$N$18:$O$30,2,0)</f>
        <v>6</v>
      </c>
      <c r="D1373" s="390" t="s">
        <v>541</v>
      </c>
      <c r="E1373" s="403">
        <f t="shared" si="33"/>
        <v>13</v>
      </c>
      <c r="F1373" s="422" t="s">
        <v>1263</v>
      </c>
      <c r="G1373" s="388" t="s">
        <v>1201</v>
      </c>
      <c r="H1373" s="390">
        <v>1</v>
      </c>
      <c r="I1373" s="390">
        <v>1</v>
      </c>
      <c r="J1373" s="390">
        <v>0.5</v>
      </c>
      <c r="K1373" s="398">
        <f>_xlfn.IFNA(VLOOKUP(A1373,numbering!$K$3:$L$92,2,0),0)</f>
        <v>1</v>
      </c>
    </row>
    <row r="1374" spans="1:11" ht="16" hidden="1" x14ac:dyDescent="0.2">
      <c r="A1374" s="390">
        <v>390</v>
      </c>
      <c r="B1374" s="390" t="s">
        <v>492</v>
      </c>
      <c r="C1374" s="390">
        <f>VLOOKUP(B1374,numbering!$N$18:$O$30,2,0)</f>
        <v>6</v>
      </c>
      <c r="D1374" s="390" t="s">
        <v>541</v>
      </c>
      <c r="E1374" s="403">
        <f t="shared" si="33"/>
        <v>13</v>
      </c>
      <c r="F1374" s="422" t="s">
        <v>1263</v>
      </c>
      <c r="G1374" s="388" t="s">
        <v>1203</v>
      </c>
      <c r="H1374" s="390">
        <v>2</v>
      </c>
      <c r="I1374" s="390">
        <v>2</v>
      </c>
      <c r="J1374" s="390">
        <v>2</v>
      </c>
      <c r="K1374" s="398">
        <f>_xlfn.IFNA(VLOOKUP(A1374,numbering!$K$3:$L$92,2,0),0)</f>
        <v>1</v>
      </c>
    </row>
    <row r="1375" spans="1:11" ht="32" hidden="1" x14ac:dyDescent="0.2">
      <c r="A1375" s="390">
        <v>390</v>
      </c>
      <c r="B1375" s="390" t="s">
        <v>492</v>
      </c>
      <c r="C1375" s="390">
        <f>VLOOKUP(B1375,numbering!$N$18:$O$30,2,0)</f>
        <v>6</v>
      </c>
      <c r="D1375" s="390" t="s">
        <v>541</v>
      </c>
      <c r="E1375" s="403">
        <f t="shared" si="33"/>
        <v>13</v>
      </c>
      <c r="F1375" s="422" t="s">
        <v>1263</v>
      </c>
      <c r="G1375" s="388" t="s">
        <v>1202</v>
      </c>
      <c r="H1375" s="390">
        <v>3</v>
      </c>
      <c r="I1375" s="390">
        <v>3</v>
      </c>
      <c r="J1375" s="390">
        <v>3</v>
      </c>
      <c r="K1375" s="398">
        <f>_xlfn.IFNA(VLOOKUP(A1375,numbering!$K$3:$L$92,2,0),0)</f>
        <v>1</v>
      </c>
    </row>
    <row r="1376" spans="1:11" ht="16" hidden="1" x14ac:dyDescent="0.2">
      <c r="A1376" s="390">
        <v>390</v>
      </c>
      <c r="B1376" s="390" t="s">
        <v>492</v>
      </c>
      <c r="C1376" s="390">
        <f>VLOOKUP(B1376,numbering!$N$18:$O$30,2,0)</f>
        <v>6</v>
      </c>
      <c r="D1376" s="390" t="s">
        <v>541</v>
      </c>
      <c r="E1376" s="403">
        <f t="shared" si="33"/>
        <v>13</v>
      </c>
      <c r="F1376" s="422" t="s">
        <v>1263</v>
      </c>
      <c r="G1376" s="388" t="s">
        <v>1204</v>
      </c>
      <c r="H1376" s="390">
        <v>4</v>
      </c>
      <c r="I1376" s="390">
        <v>4</v>
      </c>
      <c r="J1376" s="390">
        <v>10</v>
      </c>
      <c r="K1376" s="398">
        <f>_xlfn.IFNA(VLOOKUP(A1376,numbering!$K$3:$L$92,2,0),0)</f>
        <v>1</v>
      </c>
    </row>
    <row r="1377" spans="1:11" ht="16" hidden="1" x14ac:dyDescent="0.2">
      <c r="A1377" s="390">
        <v>391</v>
      </c>
      <c r="B1377" s="390" t="s">
        <v>492</v>
      </c>
      <c r="C1377" s="390">
        <f>VLOOKUP(B1377,numbering!$N$18:$O$30,2,0)</f>
        <v>6</v>
      </c>
      <c r="D1377" s="390" t="s">
        <v>541</v>
      </c>
      <c r="E1377" s="403">
        <f t="shared" si="33"/>
        <v>13</v>
      </c>
      <c r="F1377" s="422" t="s">
        <v>1264</v>
      </c>
      <c r="G1377" s="388" t="s">
        <v>1201</v>
      </c>
      <c r="H1377" s="390">
        <v>1</v>
      </c>
      <c r="I1377" s="390">
        <v>1</v>
      </c>
      <c r="J1377" s="390">
        <v>0.5</v>
      </c>
      <c r="K1377" s="398">
        <f>_xlfn.IFNA(VLOOKUP(A1377,numbering!$K$3:$L$92,2,0),0)</f>
        <v>1</v>
      </c>
    </row>
    <row r="1378" spans="1:11" ht="16" hidden="1" x14ac:dyDescent="0.2">
      <c r="A1378" s="390">
        <v>391</v>
      </c>
      <c r="B1378" s="390" t="s">
        <v>492</v>
      </c>
      <c r="C1378" s="390">
        <f>VLOOKUP(B1378,numbering!$N$18:$O$30,2,0)</f>
        <v>6</v>
      </c>
      <c r="D1378" s="390" t="s">
        <v>541</v>
      </c>
      <c r="E1378" s="403">
        <f t="shared" si="33"/>
        <v>13</v>
      </c>
      <c r="F1378" s="422" t="s">
        <v>1264</v>
      </c>
      <c r="G1378" s="388" t="s">
        <v>1203</v>
      </c>
      <c r="H1378" s="390">
        <v>2</v>
      </c>
      <c r="I1378" s="390">
        <v>2</v>
      </c>
      <c r="J1378" s="390">
        <v>1</v>
      </c>
      <c r="K1378" s="398">
        <f>_xlfn.IFNA(VLOOKUP(A1378,numbering!$K$3:$L$92,2,0),0)</f>
        <v>1</v>
      </c>
    </row>
    <row r="1379" spans="1:11" ht="32" hidden="1" x14ac:dyDescent="0.2">
      <c r="A1379" s="390">
        <v>391</v>
      </c>
      <c r="B1379" s="390" t="s">
        <v>492</v>
      </c>
      <c r="C1379" s="390">
        <f>VLOOKUP(B1379,numbering!$N$18:$O$30,2,0)</f>
        <v>6</v>
      </c>
      <c r="D1379" s="390" t="s">
        <v>541</v>
      </c>
      <c r="E1379" s="403">
        <f t="shared" si="33"/>
        <v>13</v>
      </c>
      <c r="F1379" s="422" t="s">
        <v>1264</v>
      </c>
      <c r="G1379" s="388" t="s">
        <v>1235</v>
      </c>
      <c r="H1379" s="390">
        <v>3</v>
      </c>
      <c r="I1379" s="390">
        <v>3</v>
      </c>
      <c r="J1379" s="390">
        <v>2</v>
      </c>
      <c r="K1379" s="398">
        <f>_xlfn.IFNA(VLOOKUP(A1379,numbering!$K$3:$L$92,2,0),0)</f>
        <v>1</v>
      </c>
    </row>
    <row r="1380" spans="1:11" ht="16" hidden="1" x14ac:dyDescent="0.2">
      <c r="A1380" s="390">
        <v>391</v>
      </c>
      <c r="B1380" s="390" t="s">
        <v>492</v>
      </c>
      <c r="C1380" s="390">
        <f>VLOOKUP(B1380,numbering!$N$18:$O$30,2,0)</f>
        <v>6</v>
      </c>
      <c r="D1380" s="390" t="s">
        <v>541</v>
      </c>
      <c r="E1380" s="403">
        <f t="shared" si="33"/>
        <v>13</v>
      </c>
      <c r="F1380" s="422" t="s">
        <v>1264</v>
      </c>
      <c r="G1380" s="388" t="s">
        <v>1204</v>
      </c>
      <c r="H1380" s="390">
        <v>4</v>
      </c>
      <c r="I1380" s="390">
        <v>4</v>
      </c>
      <c r="J1380" s="390">
        <v>10</v>
      </c>
      <c r="K1380" s="398">
        <f>_xlfn.IFNA(VLOOKUP(A1380,numbering!$K$3:$L$92,2,0),0)</f>
        <v>1</v>
      </c>
    </row>
    <row r="1381" spans="1:11" ht="30" hidden="1" x14ac:dyDescent="0.2">
      <c r="A1381" s="390">
        <v>392</v>
      </c>
      <c r="B1381" s="390" t="s">
        <v>492</v>
      </c>
      <c r="C1381" s="390">
        <f>VLOOKUP(B1381,numbering!$N$18:$O$30,2,0)</f>
        <v>6</v>
      </c>
      <c r="D1381" s="390" t="s">
        <v>541</v>
      </c>
      <c r="E1381" s="403">
        <f t="shared" si="33"/>
        <v>13</v>
      </c>
      <c r="F1381" s="432" t="s">
        <v>543</v>
      </c>
      <c r="G1381" s="388" t="s">
        <v>542</v>
      </c>
      <c r="H1381" s="390">
        <v>1</v>
      </c>
      <c r="I1381" s="390">
        <v>1</v>
      </c>
      <c r="J1381" s="390"/>
      <c r="K1381" s="398">
        <f>_xlfn.IFNA(VLOOKUP(A1381,numbering!$K$3:$L$92,2,0),0)</f>
        <v>0</v>
      </c>
    </row>
    <row r="1382" spans="1:11" ht="30" hidden="1" x14ac:dyDescent="0.2">
      <c r="A1382" s="390">
        <v>392</v>
      </c>
      <c r="B1382" s="390" t="s">
        <v>492</v>
      </c>
      <c r="C1382" s="390">
        <f>VLOOKUP(B1382,numbering!$N$18:$O$30,2,0)</f>
        <v>6</v>
      </c>
      <c r="D1382" s="390" t="s">
        <v>541</v>
      </c>
      <c r="E1382" s="403">
        <f t="shared" si="33"/>
        <v>13</v>
      </c>
      <c r="F1382" s="432" t="s">
        <v>543</v>
      </c>
      <c r="G1382" s="388" t="s">
        <v>1179</v>
      </c>
      <c r="H1382" s="390">
        <v>2</v>
      </c>
      <c r="I1382" s="390">
        <v>2</v>
      </c>
      <c r="J1382" s="390"/>
      <c r="K1382" s="398">
        <f>_xlfn.IFNA(VLOOKUP(A1382,numbering!$K$3:$L$92,2,0),0)</f>
        <v>0</v>
      </c>
    </row>
    <row r="1383" spans="1:11" ht="30" hidden="1" x14ac:dyDescent="0.2">
      <c r="A1383" s="390">
        <v>392</v>
      </c>
      <c r="B1383" s="390" t="s">
        <v>492</v>
      </c>
      <c r="C1383" s="390">
        <f>VLOOKUP(B1383,numbering!$N$18:$O$30,2,0)</f>
        <v>6</v>
      </c>
      <c r="D1383" s="390" t="s">
        <v>541</v>
      </c>
      <c r="E1383" s="403">
        <f>IF(C1383&lt;&gt;C760,1,IF(D1383&lt;&gt;D760,E760+1,E760))</f>
        <v>1</v>
      </c>
      <c r="F1383" s="432" t="s">
        <v>543</v>
      </c>
      <c r="G1383" s="388" t="s">
        <v>1180</v>
      </c>
      <c r="H1383" s="390">
        <v>3</v>
      </c>
      <c r="I1383" s="390">
        <v>3</v>
      </c>
      <c r="J1383" s="390"/>
      <c r="K1383" s="398">
        <f>_xlfn.IFNA(VLOOKUP(A1383,numbering!$K$3:$L$92,2,0),0)</f>
        <v>0</v>
      </c>
    </row>
    <row r="1384" spans="1:11" ht="32" hidden="1" x14ac:dyDescent="0.2">
      <c r="A1384" s="390">
        <v>392</v>
      </c>
      <c r="B1384" s="390" t="s">
        <v>492</v>
      </c>
      <c r="C1384" s="390">
        <f>VLOOKUP(B1384,numbering!$N$18:$O$30,2,0)</f>
        <v>6</v>
      </c>
      <c r="D1384" s="390" t="s">
        <v>541</v>
      </c>
      <c r="E1384" s="403">
        <f t="shared" ref="E1384:E1447" si="35">IF(C1384&lt;&gt;C1383,1,IF(D1384&lt;&gt;D1383,E1383+1,E1383))</f>
        <v>1</v>
      </c>
      <c r="F1384" s="432" t="s">
        <v>543</v>
      </c>
      <c r="G1384" s="388" t="s">
        <v>1181</v>
      </c>
      <c r="H1384" s="390">
        <v>4</v>
      </c>
      <c r="I1384" s="390">
        <v>4</v>
      </c>
      <c r="J1384" s="390"/>
      <c r="K1384" s="398">
        <f>_xlfn.IFNA(VLOOKUP(A1384,numbering!$K$3:$L$92,2,0),0)</f>
        <v>0</v>
      </c>
    </row>
    <row r="1385" spans="1:11" ht="16" hidden="1" x14ac:dyDescent="0.2">
      <c r="A1385" s="390">
        <v>393</v>
      </c>
      <c r="B1385" s="390" t="s">
        <v>492</v>
      </c>
      <c r="C1385" s="390">
        <f>VLOOKUP(B1385,numbering!$N$18:$O$30,2,0)</f>
        <v>6</v>
      </c>
      <c r="D1385" s="390" t="s">
        <v>541</v>
      </c>
      <c r="E1385" s="403">
        <f t="shared" si="35"/>
        <v>1</v>
      </c>
      <c r="F1385" s="432" t="s">
        <v>544</v>
      </c>
      <c r="G1385" s="388" t="s">
        <v>542</v>
      </c>
      <c r="H1385" s="390">
        <v>1</v>
      </c>
      <c r="I1385" s="390">
        <v>1</v>
      </c>
      <c r="J1385" s="390"/>
      <c r="K1385" s="398">
        <f>_xlfn.IFNA(VLOOKUP(A1385,numbering!$K$3:$L$92,2,0),0)</f>
        <v>0</v>
      </c>
    </row>
    <row r="1386" spans="1:11" ht="16" hidden="1" x14ac:dyDescent="0.2">
      <c r="A1386" s="390">
        <v>393</v>
      </c>
      <c r="B1386" s="390" t="s">
        <v>492</v>
      </c>
      <c r="C1386" s="390">
        <f>VLOOKUP(B1386,numbering!$N$18:$O$30,2,0)</f>
        <v>6</v>
      </c>
      <c r="D1386" s="390" t="s">
        <v>541</v>
      </c>
      <c r="E1386" s="403">
        <f t="shared" si="35"/>
        <v>1</v>
      </c>
      <c r="F1386" s="432" t="s">
        <v>544</v>
      </c>
      <c r="G1386" s="388" t="s">
        <v>1182</v>
      </c>
      <c r="H1386" s="390">
        <v>2</v>
      </c>
      <c r="I1386" s="390">
        <v>2</v>
      </c>
      <c r="J1386" s="390"/>
      <c r="K1386" s="398">
        <f>_xlfn.IFNA(VLOOKUP(A1386,numbering!$K$3:$L$92,2,0),0)</f>
        <v>0</v>
      </c>
    </row>
    <row r="1387" spans="1:11" ht="16" hidden="1" x14ac:dyDescent="0.2">
      <c r="A1387" s="390">
        <v>393</v>
      </c>
      <c r="B1387" s="390" t="s">
        <v>492</v>
      </c>
      <c r="C1387" s="390">
        <f>VLOOKUP(B1387,numbering!$N$18:$O$30,2,0)</f>
        <v>6</v>
      </c>
      <c r="D1387" s="390" t="s">
        <v>541</v>
      </c>
      <c r="E1387" s="403">
        <f t="shared" si="35"/>
        <v>1</v>
      </c>
      <c r="F1387" s="432" t="s">
        <v>544</v>
      </c>
      <c r="G1387" s="388" t="s">
        <v>1183</v>
      </c>
      <c r="H1387" s="390">
        <v>3</v>
      </c>
      <c r="I1387" s="390">
        <v>3</v>
      </c>
      <c r="J1387" s="390"/>
      <c r="K1387" s="398">
        <f>_xlfn.IFNA(VLOOKUP(A1387,numbering!$K$3:$L$92,2,0),0)</f>
        <v>0</v>
      </c>
    </row>
    <row r="1388" spans="1:11" ht="16" hidden="1" x14ac:dyDescent="0.2">
      <c r="A1388" s="390">
        <v>393</v>
      </c>
      <c r="B1388" s="390" t="s">
        <v>492</v>
      </c>
      <c r="C1388" s="390">
        <f>VLOOKUP(B1388,numbering!$N$18:$O$30,2,0)</f>
        <v>6</v>
      </c>
      <c r="D1388" s="390" t="s">
        <v>541</v>
      </c>
      <c r="E1388" s="403">
        <f t="shared" si="35"/>
        <v>1</v>
      </c>
      <c r="F1388" s="432" t="s">
        <v>544</v>
      </c>
      <c r="G1388" s="388" t="s">
        <v>1184</v>
      </c>
      <c r="H1388" s="390">
        <v>4</v>
      </c>
      <c r="I1388" s="390">
        <v>4</v>
      </c>
      <c r="J1388" s="390"/>
      <c r="K1388" s="398">
        <f>_xlfn.IFNA(VLOOKUP(A1388,numbering!$K$3:$L$92,2,0),0)</f>
        <v>0</v>
      </c>
    </row>
    <row r="1389" spans="1:11" ht="30" hidden="1" x14ac:dyDescent="0.2">
      <c r="A1389" s="390">
        <v>394</v>
      </c>
      <c r="B1389" s="390" t="s">
        <v>492</v>
      </c>
      <c r="C1389" s="390">
        <f>VLOOKUP(B1389,numbering!$N$18:$O$30,2,0)</f>
        <v>6</v>
      </c>
      <c r="D1389" s="390" t="s">
        <v>541</v>
      </c>
      <c r="E1389" s="403">
        <f t="shared" si="35"/>
        <v>1</v>
      </c>
      <c r="F1389" s="432" t="s">
        <v>545</v>
      </c>
      <c r="G1389" s="388" t="s">
        <v>1185</v>
      </c>
      <c r="H1389" s="390">
        <v>1</v>
      </c>
      <c r="I1389" s="390">
        <v>1</v>
      </c>
      <c r="J1389" s="390"/>
      <c r="K1389" s="398">
        <f>_xlfn.IFNA(VLOOKUP(A1389,numbering!$K$3:$L$92,2,0),0)</f>
        <v>0</v>
      </c>
    </row>
    <row r="1390" spans="1:11" ht="30" hidden="1" x14ac:dyDescent="0.2">
      <c r="A1390" s="390">
        <v>394</v>
      </c>
      <c r="B1390" s="390" t="s">
        <v>492</v>
      </c>
      <c r="C1390" s="390">
        <f>VLOOKUP(B1390,numbering!$N$18:$O$30,2,0)</f>
        <v>6</v>
      </c>
      <c r="D1390" s="390" t="s">
        <v>541</v>
      </c>
      <c r="E1390" s="403">
        <f t="shared" si="35"/>
        <v>1</v>
      </c>
      <c r="F1390" s="432" t="str">
        <f>F1389</f>
        <v>Is there documented evidence that the underdrainage has been functioning as intended?</v>
      </c>
      <c r="G1390" s="388" t="s">
        <v>546</v>
      </c>
      <c r="H1390" s="390">
        <v>2</v>
      </c>
      <c r="I1390" s="390">
        <v>2</v>
      </c>
      <c r="J1390" s="390"/>
      <c r="K1390" s="398">
        <f>_xlfn.IFNA(VLOOKUP(A1390,numbering!$K$3:$L$92,2,0),0)</f>
        <v>0</v>
      </c>
    </row>
    <row r="1391" spans="1:11" ht="30" hidden="1" x14ac:dyDescent="0.2">
      <c r="A1391" s="390">
        <v>394</v>
      </c>
      <c r="B1391" s="390" t="s">
        <v>492</v>
      </c>
      <c r="C1391" s="390">
        <f>VLOOKUP(B1391,numbering!$N$18:$O$30,2,0)</f>
        <v>6</v>
      </c>
      <c r="D1391" s="390" t="s">
        <v>541</v>
      </c>
      <c r="E1391" s="403">
        <f t="shared" si="35"/>
        <v>1</v>
      </c>
      <c r="F1391" s="432" t="str">
        <f>F1390</f>
        <v>Is there documented evidence that the underdrainage has been functioning as intended?</v>
      </c>
      <c r="G1391" s="388" t="s">
        <v>1186</v>
      </c>
      <c r="H1391" s="390">
        <v>3</v>
      </c>
      <c r="I1391" s="390">
        <v>3</v>
      </c>
      <c r="J1391" s="390"/>
      <c r="K1391" s="398">
        <f>_xlfn.IFNA(VLOOKUP(A1391,numbering!$K$3:$L$92,2,0),0)</f>
        <v>0</v>
      </c>
    </row>
    <row r="1392" spans="1:11" ht="30" hidden="1" x14ac:dyDescent="0.2">
      <c r="A1392" s="390">
        <v>394</v>
      </c>
      <c r="B1392" s="390" t="s">
        <v>492</v>
      </c>
      <c r="C1392" s="390">
        <f>VLOOKUP(B1392,numbering!$N$18:$O$30,2,0)</f>
        <v>6</v>
      </c>
      <c r="D1392" s="390" t="s">
        <v>541</v>
      </c>
      <c r="E1392" s="403">
        <f t="shared" si="35"/>
        <v>1</v>
      </c>
      <c r="F1392" s="432" t="str">
        <f>F1391</f>
        <v>Is there documented evidence that the underdrainage has been functioning as intended?</v>
      </c>
      <c r="G1392" s="388" t="s">
        <v>8</v>
      </c>
      <c r="H1392" s="390">
        <v>4</v>
      </c>
      <c r="I1392" s="390">
        <v>4</v>
      </c>
      <c r="J1392" s="390"/>
      <c r="K1392" s="398">
        <f>_xlfn.IFNA(VLOOKUP(A1392,numbering!$K$3:$L$92,2,0),0)</f>
        <v>0</v>
      </c>
    </row>
    <row r="1393" spans="1:11" ht="60" hidden="1" x14ac:dyDescent="0.2">
      <c r="A1393" s="390">
        <v>395</v>
      </c>
      <c r="B1393" s="390" t="s">
        <v>547</v>
      </c>
      <c r="C1393" s="390">
        <f>VLOOKUP(B1393,numbering!$N$18:$O$30,2,0)</f>
        <v>7</v>
      </c>
      <c r="D1393" s="390" t="s">
        <v>547</v>
      </c>
      <c r="E1393" s="403">
        <f t="shared" si="35"/>
        <v>1</v>
      </c>
      <c r="F1393" s="432" t="s">
        <v>1187</v>
      </c>
      <c r="G1393" s="388" t="s">
        <v>1192</v>
      </c>
      <c r="H1393" s="390">
        <v>1</v>
      </c>
      <c r="I1393" s="390">
        <v>1</v>
      </c>
      <c r="J1393" s="390"/>
      <c r="K1393" s="398">
        <f>_xlfn.IFNA(VLOOKUP(A1393,numbering!$K$3:$L$92,2,0),0)</f>
        <v>0</v>
      </c>
    </row>
    <row r="1394" spans="1:11" ht="60" hidden="1" x14ac:dyDescent="0.2">
      <c r="A1394" s="390">
        <v>395</v>
      </c>
      <c r="B1394" s="390" t="s">
        <v>547</v>
      </c>
      <c r="C1394" s="390">
        <f>VLOOKUP(B1394,numbering!$N$18:$O$30,2,0)</f>
        <v>7</v>
      </c>
      <c r="D1394" s="390" t="s">
        <v>547</v>
      </c>
      <c r="E1394" s="403">
        <f t="shared" si="35"/>
        <v>1</v>
      </c>
      <c r="F1394" s="432" t="str">
        <f>F1393</f>
        <v xml:space="preserve">Is there documented evidence that the Engineer of Record has been informed of monitoring and surveillance data reviews (specifically the status of triggers being exceeded) to achieve the objective of Engineer of Record being informed of the performance of the facility? </v>
      </c>
      <c r="G1394" s="388" t="s">
        <v>1193</v>
      </c>
      <c r="H1394" s="390">
        <v>2</v>
      </c>
      <c r="I1394" s="390">
        <v>2</v>
      </c>
      <c r="J1394" s="390"/>
      <c r="K1394" s="398">
        <f>_xlfn.IFNA(VLOOKUP(A1394,numbering!$K$3:$L$92,2,0),0)</f>
        <v>0</v>
      </c>
    </row>
    <row r="1395" spans="1:11" ht="60" hidden="1" x14ac:dyDescent="0.2">
      <c r="A1395" s="390">
        <v>395</v>
      </c>
      <c r="B1395" s="390" t="s">
        <v>547</v>
      </c>
      <c r="C1395" s="390">
        <f>VLOOKUP(B1395,numbering!$N$18:$O$30,2,0)</f>
        <v>7</v>
      </c>
      <c r="D1395" s="390" t="s">
        <v>547</v>
      </c>
      <c r="E1395" s="403">
        <f t="shared" si="35"/>
        <v>1</v>
      </c>
      <c r="F1395" s="432" t="str">
        <f>F1394</f>
        <v xml:space="preserve">Is there documented evidence that the Engineer of Record has been informed of monitoring and surveillance data reviews (specifically the status of triggers being exceeded) to achieve the objective of Engineer of Record being informed of the performance of the facility? </v>
      </c>
      <c r="G1395" s="388" t="s">
        <v>1194</v>
      </c>
      <c r="H1395" s="390">
        <v>3</v>
      </c>
      <c r="I1395" s="390">
        <v>3</v>
      </c>
      <c r="J1395" s="390"/>
      <c r="K1395" s="398">
        <f>_xlfn.IFNA(VLOOKUP(A1395,numbering!$K$3:$L$92,2,0),0)</f>
        <v>0</v>
      </c>
    </row>
    <row r="1396" spans="1:11" ht="60" hidden="1" x14ac:dyDescent="0.2">
      <c r="A1396" s="390">
        <v>395</v>
      </c>
      <c r="B1396" s="390" t="s">
        <v>547</v>
      </c>
      <c r="C1396" s="390">
        <f>VLOOKUP(B1396,numbering!$N$18:$O$30,2,0)</f>
        <v>7</v>
      </c>
      <c r="D1396" s="390" t="s">
        <v>547</v>
      </c>
      <c r="E1396" s="403">
        <f t="shared" si="35"/>
        <v>1</v>
      </c>
      <c r="F1396" s="432" t="str">
        <f>F1395</f>
        <v xml:space="preserve">Is there documented evidence that the Engineer of Record has been informed of monitoring and surveillance data reviews (specifically the status of triggers being exceeded) to achieve the objective of Engineer of Record being informed of the performance of the facility? </v>
      </c>
      <c r="G1396" s="388" t="s">
        <v>1195</v>
      </c>
      <c r="H1396" s="390">
        <v>4</v>
      </c>
      <c r="I1396" s="390">
        <v>4</v>
      </c>
      <c r="J1396" s="390"/>
      <c r="K1396" s="398">
        <f>_xlfn.IFNA(VLOOKUP(A1396,numbering!$K$3:$L$92,2,0),0)</f>
        <v>0</v>
      </c>
    </row>
    <row r="1397" spans="1:11" ht="60" hidden="1" x14ac:dyDescent="0.2">
      <c r="A1397" s="390">
        <v>396</v>
      </c>
      <c r="B1397" s="390" t="s">
        <v>547</v>
      </c>
      <c r="C1397" s="390">
        <f>VLOOKUP(B1397,numbering!$N$18:$O$30,2,0)</f>
        <v>7</v>
      </c>
      <c r="D1397" s="390" t="s">
        <v>547</v>
      </c>
      <c r="E1397" s="403">
        <f t="shared" si="35"/>
        <v>1</v>
      </c>
      <c r="F1397" s="432" t="s">
        <v>548</v>
      </c>
      <c r="G1397" s="388" t="s">
        <v>1192</v>
      </c>
      <c r="H1397" s="390">
        <v>1</v>
      </c>
      <c r="I1397" s="390">
        <v>1</v>
      </c>
      <c r="J1397" s="390"/>
      <c r="K1397" s="398">
        <f>_xlfn.IFNA(VLOOKUP(A1397,numbering!$K$3:$L$92,2,0),0)</f>
        <v>0</v>
      </c>
    </row>
    <row r="1398" spans="1:11" ht="60" hidden="1" x14ac:dyDescent="0.2">
      <c r="A1398" s="390">
        <v>396</v>
      </c>
      <c r="B1398" s="390" t="s">
        <v>547</v>
      </c>
      <c r="C1398" s="390">
        <f>VLOOKUP(B1398,numbering!$N$18:$O$30,2,0)</f>
        <v>7</v>
      </c>
      <c r="D1398" s="390" t="s">
        <v>547</v>
      </c>
      <c r="E1398" s="403">
        <f t="shared" si="35"/>
        <v>1</v>
      </c>
      <c r="F1398" s="432" t="str">
        <f>F1397</f>
        <v>Is the documented evidence that in the instance of monitoring and surveillance triggers being exceeded the Engineer of Record has provided prompt action to achieve the objective of further identifying or mitigating the potential resulting increase in risk presented by the facility?</v>
      </c>
      <c r="G1398" s="388" t="s">
        <v>1193</v>
      </c>
      <c r="H1398" s="390">
        <v>2</v>
      </c>
      <c r="I1398" s="390">
        <v>2</v>
      </c>
      <c r="J1398" s="390"/>
      <c r="K1398" s="398">
        <f>_xlfn.IFNA(VLOOKUP(A1398,numbering!$K$3:$L$92,2,0),0)</f>
        <v>0</v>
      </c>
    </row>
    <row r="1399" spans="1:11" ht="60" hidden="1" x14ac:dyDescent="0.2">
      <c r="A1399" s="390">
        <v>396</v>
      </c>
      <c r="B1399" s="390" t="s">
        <v>547</v>
      </c>
      <c r="C1399" s="390">
        <f>VLOOKUP(B1399,numbering!$N$18:$O$30,2,0)</f>
        <v>7</v>
      </c>
      <c r="D1399" s="390" t="s">
        <v>547</v>
      </c>
      <c r="E1399" s="403">
        <f t="shared" si="35"/>
        <v>1</v>
      </c>
      <c r="F1399" s="432" t="str">
        <f>F1398</f>
        <v>Is the documented evidence that in the instance of monitoring and surveillance triggers being exceeded the Engineer of Record has provided prompt action to achieve the objective of further identifying or mitigating the potential resulting increase in risk presented by the facility?</v>
      </c>
      <c r="G1399" s="388" t="s">
        <v>1194</v>
      </c>
      <c r="H1399" s="390">
        <v>3</v>
      </c>
      <c r="I1399" s="390">
        <v>3</v>
      </c>
      <c r="J1399" s="390"/>
      <c r="K1399" s="398">
        <f>_xlfn.IFNA(VLOOKUP(A1399,numbering!$K$3:$L$92,2,0),0)</f>
        <v>0</v>
      </c>
    </row>
    <row r="1400" spans="1:11" ht="60" hidden="1" x14ac:dyDescent="0.2">
      <c r="A1400" s="390">
        <v>396</v>
      </c>
      <c r="B1400" s="390" t="s">
        <v>547</v>
      </c>
      <c r="C1400" s="390">
        <f>VLOOKUP(B1400,numbering!$N$18:$O$30,2,0)</f>
        <v>7</v>
      </c>
      <c r="D1400" s="390" t="s">
        <v>547</v>
      </c>
      <c r="E1400" s="403">
        <f t="shared" si="35"/>
        <v>1</v>
      </c>
      <c r="F1400" s="432" t="str">
        <f>F1399</f>
        <v>Is the documented evidence that in the instance of monitoring and surveillance triggers being exceeded the Engineer of Record has provided prompt action to achieve the objective of further identifying or mitigating the potential resulting increase in risk presented by the facility?</v>
      </c>
      <c r="G1400" s="388" t="s">
        <v>1195</v>
      </c>
      <c r="H1400" s="390">
        <v>4</v>
      </c>
      <c r="I1400" s="390">
        <v>4</v>
      </c>
      <c r="J1400" s="390"/>
      <c r="K1400" s="398">
        <f>_xlfn.IFNA(VLOOKUP(A1400,numbering!$K$3:$L$92,2,0),0)</f>
        <v>0</v>
      </c>
    </row>
    <row r="1401" spans="1:11" ht="45" hidden="1" x14ac:dyDescent="0.2">
      <c r="A1401" s="390">
        <v>397</v>
      </c>
      <c r="B1401" s="390" t="s">
        <v>547</v>
      </c>
      <c r="C1401" s="390">
        <f>VLOOKUP(B1401,numbering!$N$18:$O$30,2,0)</f>
        <v>7</v>
      </c>
      <c r="D1401" s="390" t="s">
        <v>547</v>
      </c>
      <c r="E1401" s="403">
        <f t="shared" si="35"/>
        <v>1</v>
      </c>
      <c r="F1401" s="432" t="s">
        <v>549</v>
      </c>
      <c r="G1401" s="388" t="s">
        <v>1192</v>
      </c>
      <c r="H1401" s="390">
        <v>1</v>
      </c>
      <c r="I1401" s="390">
        <v>1</v>
      </c>
      <c r="J1401" s="390"/>
      <c r="K1401" s="398">
        <f>_xlfn.IFNA(VLOOKUP(A1401,numbering!$K$3:$L$92,2,0),0)</f>
        <v>0</v>
      </c>
    </row>
    <row r="1402" spans="1:11" ht="45" hidden="1" x14ac:dyDescent="0.2">
      <c r="A1402" s="390">
        <v>397</v>
      </c>
      <c r="B1402" s="390" t="s">
        <v>547</v>
      </c>
      <c r="C1402" s="390">
        <f>VLOOKUP(B1402,numbering!$N$18:$O$30,2,0)</f>
        <v>7</v>
      </c>
      <c r="D1402" s="390" t="s">
        <v>547</v>
      </c>
      <c r="E1402" s="403">
        <f t="shared" si="35"/>
        <v>1</v>
      </c>
      <c r="F1402" s="432" t="str">
        <f>F1401</f>
        <v>Is there documented evidence of recommended actions and responses being undertaken in the event of triggers being exceeded to achieve the objective of the reducing or eliminating the indicated increased risk of failure?</v>
      </c>
      <c r="G1402" s="388" t="s">
        <v>1193</v>
      </c>
      <c r="H1402" s="390">
        <v>2</v>
      </c>
      <c r="I1402" s="390">
        <v>2</v>
      </c>
      <c r="J1402" s="390"/>
      <c r="K1402" s="398">
        <f>_xlfn.IFNA(VLOOKUP(A1402,numbering!$K$3:$L$92,2,0),0)</f>
        <v>0</v>
      </c>
    </row>
    <row r="1403" spans="1:11" ht="45" hidden="1" x14ac:dyDescent="0.2">
      <c r="A1403" s="390">
        <v>397</v>
      </c>
      <c r="B1403" s="390" t="s">
        <v>547</v>
      </c>
      <c r="C1403" s="390">
        <f>VLOOKUP(B1403,numbering!$N$18:$O$30,2,0)</f>
        <v>7</v>
      </c>
      <c r="D1403" s="390" t="s">
        <v>547</v>
      </c>
      <c r="E1403" s="403">
        <f t="shared" si="35"/>
        <v>1</v>
      </c>
      <c r="F1403" s="432" t="str">
        <f>F1402</f>
        <v>Is there documented evidence of recommended actions and responses being undertaken in the event of triggers being exceeded to achieve the objective of the reducing or eliminating the indicated increased risk of failure?</v>
      </c>
      <c r="G1403" s="388" t="s">
        <v>1194</v>
      </c>
      <c r="H1403" s="390">
        <v>3</v>
      </c>
      <c r="I1403" s="390">
        <v>3</v>
      </c>
      <c r="J1403" s="390"/>
      <c r="K1403" s="398">
        <f>_xlfn.IFNA(VLOOKUP(A1403,numbering!$K$3:$L$92,2,0),0)</f>
        <v>0</v>
      </c>
    </row>
    <row r="1404" spans="1:11" ht="45" hidden="1" x14ac:dyDescent="0.2">
      <c r="A1404" s="390">
        <v>397</v>
      </c>
      <c r="B1404" s="390" t="s">
        <v>547</v>
      </c>
      <c r="C1404" s="390">
        <f>VLOOKUP(B1404,numbering!$N$18:$O$30,2,0)</f>
        <v>7</v>
      </c>
      <c r="D1404" s="390" t="s">
        <v>547</v>
      </c>
      <c r="E1404" s="403">
        <f t="shared" si="35"/>
        <v>1</v>
      </c>
      <c r="F1404" s="432" t="str">
        <f>F1403</f>
        <v>Is there documented evidence of recommended actions and responses being undertaken in the event of triggers being exceeded to achieve the objective of the reducing or eliminating the indicated increased risk of failure?</v>
      </c>
      <c r="G1404" s="388" t="s">
        <v>1195</v>
      </c>
      <c r="H1404" s="390">
        <v>4</v>
      </c>
      <c r="I1404" s="390">
        <v>4</v>
      </c>
      <c r="J1404" s="390"/>
      <c r="K1404" s="398">
        <f>_xlfn.IFNA(VLOOKUP(A1404,numbering!$K$3:$L$92,2,0),0)</f>
        <v>0</v>
      </c>
    </row>
    <row r="1405" spans="1:11" ht="45" hidden="1" x14ac:dyDescent="0.2">
      <c r="A1405" s="390">
        <v>398</v>
      </c>
      <c r="B1405" s="390" t="s">
        <v>547</v>
      </c>
      <c r="C1405" s="390">
        <f>VLOOKUP(B1405,numbering!$N$18:$O$30,2,0)</f>
        <v>7</v>
      </c>
      <c r="D1405" s="390" t="s">
        <v>547</v>
      </c>
      <c r="E1405" s="403">
        <f t="shared" si="35"/>
        <v>1</v>
      </c>
      <c r="F1405" s="432" t="s">
        <v>1188</v>
      </c>
      <c r="G1405" s="388" t="s">
        <v>1192</v>
      </c>
      <c r="H1405" s="390">
        <v>1</v>
      </c>
      <c r="I1405" s="390">
        <v>1</v>
      </c>
      <c r="J1405" s="390"/>
      <c r="K1405" s="398">
        <f>_xlfn.IFNA(VLOOKUP(A1405,numbering!$K$3:$L$92,2,0),0)</f>
        <v>0</v>
      </c>
    </row>
    <row r="1406" spans="1:11" ht="45" hidden="1" x14ac:dyDescent="0.2">
      <c r="A1406" s="390">
        <v>398</v>
      </c>
      <c r="B1406" s="390" t="s">
        <v>547</v>
      </c>
      <c r="C1406" s="390">
        <f>VLOOKUP(B1406,numbering!$N$18:$O$30,2,0)</f>
        <v>7</v>
      </c>
      <c r="D1406" s="390" t="s">
        <v>547</v>
      </c>
      <c r="E1406" s="403">
        <f t="shared" si="35"/>
        <v>1</v>
      </c>
      <c r="F1406" s="432" t="str">
        <f>F1405</f>
        <v xml:space="preserve">Is there documented evidence that a monitoring program report is produced at least annually to achieve the objective of documenting and detailing the instrumentation and monitoring program and results? </v>
      </c>
      <c r="G1406" s="388" t="s">
        <v>1193</v>
      </c>
      <c r="H1406" s="390">
        <v>2</v>
      </c>
      <c r="I1406" s="390">
        <v>2</v>
      </c>
      <c r="J1406" s="390"/>
      <c r="K1406" s="398">
        <f>_xlfn.IFNA(VLOOKUP(A1406,numbering!$K$3:$L$92,2,0),0)</f>
        <v>0</v>
      </c>
    </row>
    <row r="1407" spans="1:11" ht="45" hidden="1" x14ac:dyDescent="0.2">
      <c r="A1407" s="390">
        <v>398</v>
      </c>
      <c r="B1407" s="390" t="s">
        <v>547</v>
      </c>
      <c r="C1407" s="390">
        <f>VLOOKUP(B1407,numbering!$N$18:$O$30,2,0)</f>
        <v>7</v>
      </c>
      <c r="D1407" s="390" t="s">
        <v>547</v>
      </c>
      <c r="E1407" s="403">
        <f t="shared" si="35"/>
        <v>1</v>
      </c>
      <c r="F1407" s="432" t="str">
        <f>F1406</f>
        <v xml:space="preserve">Is there documented evidence that a monitoring program report is produced at least annually to achieve the objective of documenting and detailing the instrumentation and monitoring program and results? </v>
      </c>
      <c r="G1407" s="388" t="s">
        <v>1194</v>
      </c>
      <c r="H1407" s="390">
        <v>3</v>
      </c>
      <c r="I1407" s="390">
        <v>3</v>
      </c>
      <c r="J1407" s="390"/>
      <c r="K1407" s="398">
        <f>_xlfn.IFNA(VLOOKUP(A1407,numbering!$K$3:$L$92,2,0),0)</f>
        <v>0</v>
      </c>
    </row>
    <row r="1408" spans="1:11" ht="45" hidden="1" x14ac:dyDescent="0.2">
      <c r="A1408" s="390">
        <v>398</v>
      </c>
      <c r="B1408" s="390" t="s">
        <v>547</v>
      </c>
      <c r="C1408" s="390">
        <f>VLOOKUP(B1408,numbering!$N$18:$O$30,2,0)</f>
        <v>7</v>
      </c>
      <c r="D1408" s="390" t="s">
        <v>547</v>
      </c>
      <c r="E1408" s="403">
        <f t="shared" si="35"/>
        <v>1</v>
      </c>
      <c r="F1408" s="432" t="str">
        <f>F1407</f>
        <v xml:space="preserve">Is there documented evidence that a monitoring program report is produced at least annually to achieve the objective of documenting and detailing the instrumentation and monitoring program and results? </v>
      </c>
      <c r="G1408" s="388" t="s">
        <v>1195</v>
      </c>
      <c r="H1408" s="390">
        <v>4</v>
      </c>
      <c r="I1408" s="390">
        <v>4</v>
      </c>
      <c r="J1408" s="390"/>
      <c r="K1408" s="398">
        <f>_xlfn.IFNA(VLOOKUP(A1408,numbering!$K$3:$L$92,2,0),0)</f>
        <v>0</v>
      </c>
    </row>
    <row r="1409" spans="1:11" ht="60" hidden="1" x14ac:dyDescent="0.2">
      <c r="A1409" s="390">
        <v>399</v>
      </c>
      <c r="B1409" s="390" t="s">
        <v>547</v>
      </c>
      <c r="C1409" s="390">
        <f>VLOOKUP(B1409,numbering!$N$18:$O$30,2,0)</f>
        <v>7</v>
      </c>
      <c r="D1409" s="390" t="s">
        <v>547</v>
      </c>
      <c r="E1409" s="403">
        <f t="shared" si="35"/>
        <v>1</v>
      </c>
      <c r="F1409" s="432" t="s">
        <v>550</v>
      </c>
      <c r="G1409" s="388" t="s">
        <v>1192</v>
      </c>
      <c r="H1409" s="390">
        <v>1</v>
      </c>
      <c r="I1409" s="390">
        <v>1</v>
      </c>
      <c r="J1409" s="390"/>
      <c r="K1409" s="398">
        <f>_xlfn.IFNA(VLOOKUP(A1409,numbering!$K$3:$L$92,2,0),0)</f>
        <v>0</v>
      </c>
    </row>
    <row r="1410" spans="1:11" ht="60" hidden="1" x14ac:dyDescent="0.2">
      <c r="A1410" s="390">
        <v>399</v>
      </c>
      <c r="B1410" s="390" t="s">
        <v>547</v>
      </c>
      <c r="C1410" s="390">
        <f>VLOOKUP(B1410,numbering!$N$18:$O$30,2,0)</f>
        <v>7</v>
      </c>
      <c r="D1410" s="390" t="s">
        <v>547</v>
      </c>
      <c r="E1410" s="403">
        <f t="shared" si="35"/>
        <v>1</v>
      </c>
      <c r="F1410" s="432" t="str">
        <f>F1409</f>
        <v>Is there documented evidence that the monitoring program reports were reviewed and approved by the Responsible Facility Engineer or Engineer of Record to achieve the objective of a suitably qualified and experienced person reviewing the performance of the facility?</v>
      </c>
      <c r="G1410" s="388" t="s">
        <v>1193</v>
      </c>
      <c r="H1410" s="390">
        <v>2</v>
      </c>
      <c r="I1410" s="390">
        <v>2</v>
      </c>
      <c r="J1410" s="390"/>
      <c r="K1410" s="398">
        <f>_xlfn.IFNA(VLOOKUP(A1410,numbering!$K$3:$L$92,2,0),0)</f>
        <v>0</v>
      </c>
    </row>
    <row r="1411" spans="1:11" ht="60" hidden="1" x14ac:dyDescent="0.2">
      <c r="A1411" s="390">
        <v>399</v>
      </c>
      <c r="B1411" s="390" t="s">
        <v>547</v>
      </c>
      <c r="C1411" s="390">
        <f>VLOOKUP(B1411,numbering!$N$18:$O$30,2,0)</f>
        <v>7</v>
      </c>
      <c r="D1411" s="390" t="s">
        <v>547</v>
      </c>
      <c r="E1411" s="403">
        <f t="shared" si="35"/>
        <v>1</v>
      </c>
      <c r="F1411" s="432" t="str">
        <f>F1410</f>
        <v>Is there documented evidence that the monitoring program reports were reviewed and approved by the Responsible Facility Engineer or Engineer of Record to achieve the objective of a suitably qualified and experienced person reviewing the performance of the facility?</v>
      </c>
      <c r="G1411" s="388" t="s">
        <v>1194</v>
      </c>
      <c r="H1411" s="390">
        <v>3</v>
      </c>
      <c r="I1411" s="390">
        <v>3</v>
      </c>
      <c r="J1411" s="390"/>
      <c r="K1411" s="398">
        <f>_xlfn.IFNA(VLOOKUP(A1411,numbering!$K$3:$L$92,2,0),0)</f>
        <v>0</v>
      </c>
    </row>
    <row r="1412" spans="1:11" ht="60" hidden="1" x14ac:dyDescent="0.2">
      <c r="A1412" s="390">
        <v>399</v>
      </c>
      <c r="B1412" s="390" t="s">
        <v>547</v>
      </c>
      <c r="C1412" s="390">
        <f>VLOOKUP(B1412,numbering!$N$18:$O$30,2,0)</f>
        <v>7</v>
      </c>
      <c r="D1412" s="390" t="s">
        <v>547</v>
      </c>
      <c r="E1412" s="403">
        <f t="shared" si="35"/>
        <v>1</v>
      </c>
      <c r="F1412" s="432" t="str">
        <f>F1411</f>
        <v>Is there documented evidence that the monitoring program reports were reviewed and approved by the Responsible Facility Engineer or Engineer of Record to achieve the objective of a suitably qualified and experienced person reviewing the performance of the facility?</v>
      </c>
      <c r="G1412" s="388" t="s">
        <v>1195</v>
      </c>
      <c r="H1412" s="390">
        <v>4</v>
      </c>
      <c r="I1412" s="390">
        <v>4</v>
      </c>
      <c r="J1412" s="390"/>
      <c r="K1412" s="398">
        <f>_xlfn.IFNA(VLOOKUP(A1412,numbering!$K$3:$L$92,2,0),0)</f>
        <v>0</v>
      </c>
    </row>
    <row r="1413" spans="1:11" ht="32" hidden="1" x14ac:dyDescent="0.2">
      <c r="A1413" s="390">
        <v>400</v>
      </c>
      <c r="B1413" s="390" t="s">
        <v>551</v>
      </c>
      <c r="C1413" s="390">
        <f>VLOOKUP(B1413,numbering!$N$18:$O$30,2,0)</f>
        <v>12</v>
      </c>
      <c r="D1413" s="390" t="s">
        <v>552</v>
      </c>
      <c r="E1413" s="403">
        <f t="shared" si="35"/>
        <v>1</v>
      </c>
      <c r="F1413" s="432" t="s">
        <v>553</v>
      </c>
      <c r="G1413" s="388" t="s">
        <v>7</v>
      </c>
      <c r="H1413" s="390"/>
      <c r="I1413" s="390">
        <v>2</v>
      </c>
      <c r="J1413" s="390"/>
      <c r="K1413" s="398">
        <f>_xlfn.IFNA(VLOOKUP(A1413,numbering!$K$3:$L$92,2,0),0)</f>
        <v>0</v>
      </c>
    </row>
    <row r="1414" spans="1:11" ht="32" hidden="1" x14ac:dyDescent="0.2">
      <c r="A1414" s="390">
        <v>400</v>
      </c>
      <c r="B1414" s="390" t="s">
        <v>551</v>
      </c>
      <c r="C1414" s="390">
        <f>VLOOKUP(B1414,numbering!$N$18:$O$30,2,0)</f>
        <v>12</v>
      </c>
      <c r="D1414" s="390" t="s">
        <v>552</v>
      </c>
      <c r="E1414" s="403">
        <f t="shared" si="35"/>
        <v>1</v>
      </c>
      <c r="F1414" s="432" t="s">
        <v>553</v>
      </c>
      <c r="G1414" s="388" t="s">
        <v>8</v>
      </c>
      <c r="H1414" s="390"/>
      <c r="I1414" s="390">
        <v>4</v>
      </c>
      <c r="J1414" s="390"/>
      <c r="K1414" s="398">
        <f>_xlfn.IFNA(VLOOKUP(A1414,numbering!$K$3:$L$92,2,0),0)</f>
        <v>0</v>
      </c>
    </row>
    <row r="1415" spans="1:11" ht="60" hidden="1" x14ac:dyDescent="0.2">
      <c r="A1415" s="390">
        <v>401</v>
      </c>
      <c r="B1415" s="390" t="s">
        <v>551</v>
      </c>
      <c r="C1415" s="390">
        <f>VLOOKUP(B1415,numbering!$N$18:$O$30,2,0)</f>
        <v>12</v>
      </c>
      <c r="D1415" s="390" t="s">
        <v>552</v>
      </c>
      <c r="E1415" s="403">
        <f t="shared" si="35"/>
        <v>1</v>
      </c>
      <c r="F1415" s="432" t="s">
        <v>554</v>
      </c>
      <c r="G1415" s="388" t="s">
        <v>1192</v>
      </c>
      <c r="H1415" s="390">
        <v>1</v>
      </c>
      <c r="I1415" s="390">
        <v>1</v>
      </c>
      <c r="J1415" s="390"/>
      <c r="K1415" s="398">
        <f>_xlfn.IFNA(VLOOKUP(A1415,numbering!$K$3:$L$92,2,0),0)</f>
        <v>0</v>
      </c>
    </row>
    <row r="1416" spans="1:11" ht="60" hidden="1" x14ac:dyDescent="0.2">
      <c r="A1416" s="390">
        <v>401</v>
      </c>
      <c r="B1416" s="390" t="s">
        <v>551</v>
      </c>
      <c r="C1416" s="390">
        <f>VLOOKUP(B1416,numbering!$N$18:$O$30,2,0)</f>
        <v>12</v>
      </c>
      <c r="D1416" s="390" t="s">
        <v>552</v>
      </c>
      <c r="E1416" s="403">
        <f t="shared" si="35"/>
        <v>1</v>
      </c>
      <c r="F1416" s="432" t="str">
        <f>F1415</f>
        <v>Are relevant clauses/requirements in the licence and/or operating conditions available or documented in operating or management documents to achieve the objective of all pertinent operating requirements being clearly documented for operation and management personnel?</v>
      </c>
      <c r="G1416" s="388" t="s">
        <v>1193</v>
      </c>
      <c r="H1416" s="390">
        <v>2</v>
      </c>
      <c r="I1416" s="390">
        <v>2</v>
      </c>
      <c r="J1416" s="390"/>
      <c r="K1416" s="398">
        <f>_xlfn.IFNA(VLOOKUP(A1416,numbering!$K$3:$L$92,2,0),0)</f>
        <v>0</v>
      </c>
    </row>
    <row r="1417" spans="1:11" ht="60" hidden="1" x14ac:dyDescent="0.2">
      <c r="A1417" s="390">
        <v>401</v>
      </c>
      <c r="B1417" s="390" t="s">
        <v>551</v>
      </c>
      <c r="C1417" s="390">
        <f>VLOOKUP(B1417,numbering!$N$18:$O$30,2,0)</f>
        <v>12</v>
      </c>
      <c r="D1417" s="390" t="s">
        <v>552</v>
      </c>
      <c r="E1417" s="403">
        <f t="shared" si="35"/>
        <v>1</v>
      </c>
      <c r="F1417" s="432" t="str">
        <f>F1416</f>
        <v>Are relevant clauses/requirements in the licence and/or operating conditions available or documented in operating or management documents to achieve the objective of all pertinent operating requirements being clearly documented for operation and management personnel?</v>
      </c>
      <c r="G1417" s="388" t="s">
        <v>1194</v>
      </c>
      <c r="H1417" s="390">
        <v>3</v>
      </c>
      <c r="I1417" s="390">
        <v>3</v>
      </c>
      <c r="J1417" s="390"/>
      <c r="K1417" s="398">
        <f>_xlfn.IFNA(VLOOKUP(A1417,numbering!$K$3:$L$92,2,0),0)</f>
        <v>0</v>
      </c>
    </row>
    <row r="1418" spans="1:11" ht="60" hidden="1" x14ac:dyDescent="0.2">
      <c r="A1418" s="390">
        <v>401</v>
      </c>
      <c r="B1418" s="390" t="s">
        <v>551</v>
      </c>
      <c r="C1418" s="390">
        <f>VLOOKUP(B1418,numbering!$N$18:$O$30,2,0)</f>
        <v>12</v>
      </c>
      <c r="D1418" s="390" t="s">
        <v>552</v>
      </c>
      <c r="E1418" s="403">
        <f t="shared" si="35"/>
        <v>1</v>
      </c>
      <c r="F1418" s="432" t="str">
        <f>F1417</f>
        <v>Are relevant clauses/requirements in the licence and/or operating conditions available or documented in operating or management documents to achieve the objective of all pertinent operating requirements being clearly documented for operation and management personnel?</v>
      </c>
      <c r="G1418" s="388" t="s">
        <v>1195</v>
      </c>
      <c r="H1418" s="390">
        <v>4</v>
      </c>
      <c r="I1418" s="390">
        <v>4</v>
      </c>
      <c r="J1418" s="390"/>
      <c r="K1418" s="398">
        <f>_xlfn.IFNA(VLOOKUP(A1418,numbering!$K$3:$L$92,2,0),0)</f>
        <v>0</v>
      </c>
    </row>
    <row r="1419" spans="1:11" ht="45" hidden="1" x14ac:dyDescent="0.2">
      <c r="A1419" s="390">
        <v>402</v>
      </c>
      <c r="B1419" s="390" t="s">
        <v>551</v>
      </c>
      <c r="C1419" s="390">
        <f>VLOOKUP(B1419,numbering!$N$18:$O$30,2,0)</f>
        <v>12</v>
      </c>
      <c r="D1419" s="390" t="s">
        <v>552</v>
      </c>
      <c r="E1419" s="403">
        <f t="shared" si="35"/>
        <v>1</v>
      </c>
      <c r="F1419" s="432" t="s">
        <v>555</v>
      </c>
      <c r="G1419" s="388" t="s">
        <v>1192</v>
      </c>
      <c r="H1419" s="390">
        <v>1</v>
      </c>
      <c r="I1419" s="390">
        <v>1</v>
      </c>
      <c r="J1419" s="390"/>
      <c r="K1419" s="398">
        <f>_xlfn.IFNA(VLOOKUP(A1419,numbering!$K$3:$L$92,2,0),0)</f>
        <v>0</v>
      </c>
    </row>
    <row r="1420" spans="1:11" ht="45" hidden="1" x14ac:dyDescent="0.2">
      <c r="A1420" s="390">
        <v>402</v>
      </c>
      <c r="B1420" s="390" t="s">
        <v>551</v>
      </c>
      <c r="C1420" s="390">
        <f>VLOOKUP(B1420,numbering!$N$18:$O$30,2,0)</f>
        <v>12</v>
      </c>
      <c r="D1420" s="390" t="s">
        <v>552</v>
      </c>
      <c r="E1420" s="403">
        <f t="shared" si="35"/>
        <v>1</v>
      </c>
      <c r="F1420" s="432" t="str">
        <f>F1419</f>
        <v>Is there documented evidence of operating procedures or requirements related to the facility's licencing and/or operating requirements to achieve the objective of demonstrating that the licence and/or operating conditions are being adhered to?</v>
      </c>
      <c r="G1420" s="388" t="s">
        <v>1193</v>
      </c>
      <c r="H1420" s="390">
        <v>2</v>
      </c>
      <c r="I1420" s="390">
        <v>2</v>
      </c>
      <c r="J1420" s="390"/>
      <c r="K1420" s="398">
        <f>_xlfn.IFNA(VLOOKUP(A1420,numbering!$K$3:$L$92,2,0),0)</f>
        <v>0</v>
      </c>
    </row>
    <row r="1421" spans="1:11" ht="45" hidden="1" x14ac:dyDescent="0.2">
      <c r="A1421" s="390">
        <v>402</v>
      </c>
      <c r="B1421" s="390" t="s">
        <v>551</v>
      </c>
      <c r="C1421" s="390">
        <f>VLOOKUP(B1421,numbering!$N$18:$O$30,2,0)</f>
        <v>12</v>
      </c>
      <c r="D1421" s="390" t="s">
        <v>552</v>
      </c>
      <c r="E1421" s="403">
        <f t="shared" si="35"/>
        <v>1</v>
      </c>
      <c r="F1421" s="432" t="str">
        <f>F1420</f>
        <v>Is there documented evidence of operating procedures or requirements related to the facility's licencing and/or operating requirements to achieve the objective of demonstrating that the licence and/or operating conditions are being adhered to?</v>
      </c>
      <c r="G1421" s="388" t="s">
        <v>1194</v>
      </c>
      <c r="H1421" s="390">
        <v>3</v>
      </c>
      <c r="I1421" s="390">
        <v>3</v>
      </c>
      <c r="J1421" s="390"/>
      <c r="K1421" s="398">
        <f>_xlfn.IFNA(VLOOKUP(A1421,numbering!$K$3:$L$92,2,0),0)</f>
        <v>0</v>
      </c>
    </row>
    <row r="1422" spans="1:11" ht="45" hidden="1" x14ac:dyDescent="0.2">
      <c r="A1422" s="390">
        <v>402</v>
      </c>
      <c r="B1422" s="390" t="s">
        <v>551</v>
      </c>
      <c r="C1422" s="390">
        <f>VLOOKUP(B1422,numbering!$N$18:$O$30,2,0)</f>
        <v>12</v>
      </c>
      <c r="D1422" s="390" t="s">
        <v>552</v>
      </c>
      <c r="E1422" s="403">
        <f t="shared" si="35"/>
        <v>1</v>
      </c>
      <c r="F1422" s="432" t="str">
        <f>F1421</f>
        <v>Is there documented evidence of operating procedures or requirements related to the facility's licencing and/or operating requirements to achieve the objective of demonstrating that the licence and/or operating conditions are being adhered to?</v>
      </c>
      <c r="G1422" s="388" t="s">
        <v>1195</v>
      </c>
      <c r="H1422" s="390">
        <v>4</v>
      </c>
      <c r="I1422" s="390">
        <v>4</v>
      </c>
      <c r="J1422" s="390"/>
      <c r="K1422" s="398">
        <f>_xlfn.IFNA(VLOOKUP(A1422,numbering!$K$3:$L$92,2,0),0)</f>
        <v>0</v>
      </c>
    </row>
    <row r="1423" spans="1:11" ht="42" hidden="1" x14ac:dyDescent="0.2">
      <c r="A1423" s="398">
        <v>403</v>
      </c>
      <c r="B1423" s="390" t="s">
        <v>551</v>
      </c>
      <c r="C1423" s="390">
        <f>VLOOKUP(B1423,numbering!$N$18:$O$30,2,0)</f>
        <v>12</v>
      </c>
      <c r="D1423" s="398" t="s">
        <v>556</v>
      </c>
      <c r="E1423" s="403">
        <f t="shared" si="35"/>
        <v>2</v>
      </c>
      <c r="F1423" s="433" t="s">
        <v>557</v>
      </c>
      <c r="G1423" s="388" t="s">
        <v>1192</v>
      </c>
      <c r="H1423" s="390">
        <v>1</v>
      </c>
      <c r="I1423" s="390">
        <v>1</v>
      </c>
      <c r="J1423" s="390"/>
      <c r="K1423" s="398">
        <f>_xlfn.IFNA(VLOOKUP(A1423,numbering!$K$3:$L$92,2,0),0)</f>
        <v>0</v>
      </c>
    </row>
    <row r="1424" spans="1:11" ht="42" hidden="1" x14ac:dyDescent="0.2">
      <c r="A1424" s="398">
        <v>403</v>
      </c>
      <c r="B1424" s="390" t="s">
        <v>551</v>
      </c>
      <c r="C1424" s="390">
        <f>VLOOKUP(B1424,numbering!$N$18:$O$30,2,0)</f>
        <v>12</v>
      </c>
      <c r="D1424" s="398" t="s">
        <v>556</v>
      </c>
      <c r="E1424" s="403">
        <f t="shared" si="35"/>
        <v>2</v>
      </c>
      <c r="F1424" s="433" t="str">
        <f>F1423</f>
        <v>Is there documented evidence that environmental quality monitoring devices have been installed to achieve the objective of appropriately recording required environmental monitoring data related to the facility?</v>
      </c>
      <c r="G1424" s="388" t="s">
        <v>1193</v>
      </c>
      <c r="H1424" s="390">
        <v>2</v>
      </c>
      <c r="I1424" s="390">
        <v>2</v>
      </c>
      <c r="J1424" s="390"/>
      <c r="K1424" s="398">
        <f>_xlfn.IFNA(VLOOKUP(A1424,numbering!$K$3:$L$92,2,0),0)</f>
        <v>0</v>
      </c>
    </row>
    <row r="1425" spans="1:11" ht="42" hidden="1" x14ac:dyDescent="0.2">
      <c r="A1425" s="398">
        <v>403</v>
      </c>
      <c r="B1425" s="390" t="s">
        <v>551</v>
      </c>
      <c r="C1425" s="390">
        <f>VLOOKUP(B1425,numbering!$N$18:$O$30,2,0)</f>
        <v>12</v>
      </c>
      <c r="D1425" s="398" t="s">
        <v>556</v>
      </c>
      <c r="E1425" s="403">
        <f t="shared" si="35"/>
        <v>2</v>
      </c>
      <c r="F1425" s="433" t="str">
        <f>F1424</f>
        <v>Is there documented evidence that environmental quality monitoring devices have been installed to achieve the objective of appropriately recording required environmental monitoring data related to the facility?</v>
      </c>
      <c r="G1425" s="388" t="s">
        <v>1194</v>
      </c>
      <c r="H1425" s="390">
        <v>3</v>
      </c>
      <c r="I1425" s="390">
        <v>3</v>
      </c>
      <c r="J1425" s="390"/>
      <c r="K1425" s="398">
        <f>_xlfn.IFNA(VLOOKUP(A1425,numbering!$K$3:$L$92,2,0),0)</f>
        <v>0</v>
      </c>
    </row>
    <row r="1426" spans="1:11" ht="42" hidden="1" x14ac:dyDescent="0.2">
      <c r="A1426" s="398">
        <v>403</v>
      </c>
      <c r="B1426" s="390" t="s">
        <v>551</v>
      </c>
      <c r="C1426" s="390">
        <f>VLOOKUP(B1426,numbering!$N$18:$O$30,2,0)</f>
        <v>12</v>
      </c>
      <c r="D1426" s="398" t="s">
        <v>556</v>
      </c>
      <c r="E1426" s="403">
        <f t="shared" si="35"/>
        <v>2</v>
      </c>
      <c r="F1426" s="433" t="str">
        <f>F1425</f>
        <v>Is there documented evidence that environmental quality monitoring devices have been installed to achieve the objective of appropriately recording required environmental monitoring data related to the facility?</v>
      </c>
      <c r="G1426" s="388" t="s">
        <v>1195</v>
      </c>
      <c r="H1426" s="390">
        <v>4</v>
      </c>
      <c r="I1426" s="390">
        <v>4</v>
      </c>
      <c r="J1426" s="390"/>
      <c r="K1426" s="398">
        <f>_xlfn.IFNA(VLOOKUP(A1426,numbering!$K$3:$L$92,2,0),0)</f>
        <v>0</v>
      </c>
    </row>
    <row r="1427" spans="1:11" ht="56" hidden="1" x14ac:dyDescent="0.2">
      <c r="A1427" s="398">
        <v>404</v>
      </c>
      <c r="B1427" s="390" t="s">
        <v>551</v>
      </c>
      <c r="C1427" s="390">
        <f>VLOOKUP(B1427,numbering!$N$18:$O$30,2,0)</f>
        <v>12</v>
      </c>
      <c r="D1427" s="398" t="s">
        <v>556</v>
      </c>
      <c r="E1427" s="403">
        <f t="shared" si="35"/>
        <v>2</v>
      </c>
      <c r="F1427" s="433" t="s">
        <v>558</v>
      </c>
      <c r="G1427" s="388" t="s">
        <v>1192</v>
      </c>
      <c r="H1427" s="390">
        <v>1</v>
      </c>
      <c r="I1427" s="390">
        <v>1</v>
      </c>
      <c r="J1427" s="390"/>
      <c r="K1427" s="398">
        <f>_xlfn.IFNA(VLOOKUP(A1427,numbering!$K$3:$L$92,2,0),0)</f>
        <v>0</v>
      </c>
    </row>
    <row r="1428" spans="1:11" ht="56" hidden="1" x14ac:dyDescent="0.2">
      <c r="A1428" s="398">
        <v>404</v>
      </c>
      <c r="B1428" s="390" t="s">
        <v>551</v>
      </c>
      <c r="C1428" s="390">
        <f>VLOOKUP(B1428,numbering!$N$18:$O$30,2,0)</f>
        <v>12</v>
      </c>
      <c r="D1428" s="398" t="s">
        <v>556</v>
      </c>
      <c r="E1428" s="403">
        <f t="shared" si="35"/>
        <v>2</v>
      </c>
      <c r="F1428" s="433" t="str">
        <f>F1427</f>
        <v>Is there documented evidence that the amount of environmental quality monitoring devices, their location and the data they capture achieves the objective of providing a clear indication of whether the facilities' operation is compliant with current permits, regulations and site licence conditions?</v>
      </c>
      <c r="G1428" s="388" t="s">
        <v>1193</v>
      </c>
      <c r="H1428" s="390">
        <v>2</v>
      </c>
      <c r="I1428" s="390">
        <v>2</v>
      </c>
      <c r="J1428" s="390"/>
      <c r="K1428" s="398">
        <f>_xlfn.IFNA(VLOOKUP(A1428,numbering!$K$3:$L$92,2,0),0)</f>
        <v>0</v>
      </c>
    </row>
    <row r="1429" spans="1:11" ht="56" hidden="1" x14ac:dyDescent="0.2">
      <c r="A1429" s="398">
        <v>404</v>
      </c>
      <c r="B1429" s="390" t="s">
        <v>551</v>
      </c>
      <c r="C1429" s="390">
        <f>VLOOKUP(B1429,numbering!$N$18:$O$30,2,0)</f>
        <v>12</v>
      </c>
      <c r="D1429" s="398" t="s">
        <v>556</v>
      </c>
      <c r="E1429" s="403">
        <f t="shared" si="35"/>
        <v>2</v>
      </c>
      <c r="F1429" s="433" t="str">
        <f>F1428</f>
        <v>Is there documented evidence that the amount of environmental quality monitoring devices, their location and the data they capture achieves the objective of providing a clear indication of whether the facilities' operation is compliant with current permits, regulations and site licence conditions?</v>
      </c>
      <c r="G1429" s="388" t="s">
        <v>1194</v>
      </c>
      <c r="H1429" s="390">
        <v>3</v>
      </c>
      <c r="I1429" s="390">
        <v>3</v>
      </c>
      <c r="J1429" s="390"/>
      <c r="K1429" s="398">
        <f>_xlfn.IFNA(VLOOKUP(A1429,numbering!$K$3:$L$92,2,0),0)</f>
        <v>0</v>
      </c>
    </row>
    <row r="1430" spans="1:11" ht="56" hidden="1" x14ac:dyDescent="0.2">
      <c r="A1430" s="398">
        <v>404</v>
      </c>
      <c r="B1430" s="390" t="s">
        <v>551</v>
      </c>
      <c r="C1430" s="390">
        <f>VLOOKUP(B1430,numbering!$N$18:$O$30,2,0)</f>
        <v>12</v>
      </c>
      <c r="D1430" s="398" t="s">
        <v>556</v>
      </c>
      <c r="E1430" s="403">
        <f t="shared" si="35"/>
        <v>2</v>
      </c>
      <c r="F1430" s="433" t="str">
        <f>F1429</f>
        <v>Is there documented evidence that the amount of environmental quality monitoring devices, their location and the data they capture achieves the objective of providing a clear indication of whether the facilities' operation is compliant with current permits, regulations and site licence conditions?</v>
      </c>
      <c r="G1430" s="388" t="s">
        <v>1195</v>
      </c>
      <c r="H1430" s="390">
        <v>4</v>
      </c>
      <c r="I1430" s="390">
        <v>4</v>
      </c>
      <c r="J1430" s="390"/>
      <c r="K1430" s="398">
        <f>_xlfn.IFNA(VLOOKUP(A1430,numbering!$K$3:$L$92,2,0),0)</f>
        <v>0</v>
      </c>
    </row>
    <row r="1431" spans="1:11" ht="56" hidden="1" x14ac:dyDescent="0.2">
      <c r="A1431" s="398">
        <v>405</v>
      </c>
      <c r="B1431" s="390" t="s">
        <v>551</v>
      </c>
      <c r="C1431" s="390">
        <f>VLOOKUP(B1431,numbering!$N$18:$O$30,2,0)</f>
        <v>12</v>
      </c>
      <c r="D1431" s="398" t="s">
        <v>556</v>
      </c>
      <c r="E1431" s="403">
        <f t="shared" si="35"/>
        <v>2</v>
      </c>
      <c r="F1431" s="433" t="s">
        <v>559</v>
      </c>
      <c r="G1431" s="388" t="s">
        <v>1192</v>
      </c>
      <c r="H1431" s="390">
        <v>1</v>
      </c>
      <c r="I1431" s="390">
        <v>1</v>
      </c>
      <c r="J1431" s="390"/>
      <c r="K1431" s="398">
        <f>_xlfn.IFNA(VLOOKUP(A1431,numbering!$K$3:$L$92,2,0),0)</f>
        <v>0</v>
      </c>
    </row>
    <row r="1432" spans="1:11" ht="56" hidden="1" x14ac:dyDescent="0.2">
      <c r="A1432" s="398">
        <v>405</v>
      </c>
      <c r="B1432" s="390" t="s">
        <v>551</v>
      </c>
      <c r="C1432" s="390">
        <f>VLOOKUP(B1432,numbering!$N$18:$O$30,2,0)</f>
        <v>12</v>
      </c>
      <c r="D1432" s="398" t="s">
        <v>556</v>
      </c>
      <c r="E1432" s="403">
        <f t="shared" si="35"/>
        <v>2</v>
      </c>
      <c r="F1432" s="433" t="str">
        <f>F1431</f>
        <v>Is there documented evidence that environmental quality monitoring data was collected and reviewed appropriately and at the minimum required frequencies to achieve the objective determining if the environmental impacts of the facility are in line stipulated requirements?</v>
      </c>
      <c r="G1432" s="388" t="s">
        <v>1193</v>
      </c>
      <c r="H1432" s="390">
        <v>2</v>
      </c>
      <c r="I1432" s="390">
        <v>2</v>
      </c>
      <c r="J1432" s="390"/>
      <c r="K1432" s="398">
        <f>_xlfn.IFNA(VLOOKUP(A1432,numbering!$K$3:$L$92,2,0),0)</f>
        <v>0</v>
      </c>
    </row>
    <row r="1433" spans="1:11" ht="56" hidden="1" x14ac:dyDescent="0.2">
      <c r="A1433" s="398">
        <v>405</v>
      </c>
      <c r="B1433" s="390" t="s">
        <v>551</v>
      </c>
      <c r="C1433" s="390">
        <f>VLOOKUP(B1433,numbering!$N$18:$O$30,2,0)</f>
        <v>12</v>
      </c>
      <c r="D1433" s="398" t="s">
        <v>556</v>
      </c>
      <c r="E1433" s="403">
        <f t="shared" si="35"/>
        <v>2</v>
      </c>
      <c r="F1433" s="433" t="str">
        <f>F1432</f>
        <v>Is there documented evidence that environmental quality monitoring data was collected and reviewed appropriately and at the minimum required frequencies to achieve the objective determining if the environmental impacts of the facility are in line stipulated requirements?</v>
      </c>
      <c r="G1433" s="388" t="s">
        <v>1194</v>
      </c>
      <c r="H1433" s="390">
        <v>3</v>
      </c>
      <c r="I1433" s="390">
        <v>3</v>
      </c>
      <c r="J1433" s="390"/>
      <c r="K1433" s="398">
        <f>_xlfn.IFNA(VLOOKUP(A1433,numbering!$K$3:$L$92,2,0),0)</f>
        <v>0</v>
      </c>
    </row>
    <row r="1434" spans="1:11" ht="56" hidden="1" x14ac:dyDescent="0.2">
      <c r="A1434" s="398">
        <v>405</v>
      </c>
      <c r="B1434" s="390" t="s">
        <v>551</v>
      </c>
      <c r="C1434" s="390">
        <f>VLOOKUP(B1434,numbering!$N$18:$O$30,2,0)</f>
        <v>12</v>
      </c>
      <c r="D1434" s="398" t="s">
        <v>556</v>
      </c>
      <c r="E1434" s="403">
        <f t="shared" si="35"/>
        <v>2</v>
      </c>
      <c r="F1434" s="433" t="str">
        <f>F1433</f>
        <v>Is there documented evidence that environmental quality monitoring data was collected and reviewed appropriately and at the minimum required frequencies to achieve the objective determining if the environmental impacts of the facility are in line stipulated requirements?</v>
      </c>
      <c r="G1434" s="388" t="s">
        <v>1195</v>
      </c>
      <c r="H1434" s="390">
        <v>4</v>
      </c>
      <c r="I1434" s="390">
        <v>4</v>
      </c>
      <c r="J1434" s="390"/>
      <c r="K1434" s="398">
        <f>_xlfn.IFNA(VLOOKUP(A1434,numbering!$K$3:$L$92,2,0),0)</f>
        <v>0</v>
      </c>
    </row>
    <row r="1435" spans="1:11" ht="42" hidden="1" x14ac:dyDescent="0.2">
      <c r="A1435" s="398">
        <v>406</v>
      </c>
      <c r="B1435" s="390" t="s">
        <v>551</v>
      </c>
      <c r="C1435" s="390">
        <f>VLOOKUP(B1435,numbering!$N$18:$O$30,2,0)</f>
        <v>12</v>
      </c>
      <c r="D1435" s="398" t="s">
        <v>556</v>
      </c>
      <c r="E1435" s="403">
        <f t="shared" si="35"/>
        <v>2</v>
      </c>
      <c r="F1435" s="433" t="s">
        <v>560</v>
      </c>
      <c r="G1435" s="388" t="s">
        <v>8</v>
      </c>
      <c r="H1435" s="390"/>
      <c r="I1435" s="390">
        <v>1</v>
      </c>
      <c r="J1435" s="390"/>
      <c r="K1435" s="398">
        <f>_xlfn.IFNA(VLOOKUP(A1435,numbering!$K$3:$L$92,2,0),0)</f>
        <v>0</v>
      </c>
    </row>
    <row r="1436" spans="1:11" ht="42" hidden="1" x14ac:dyDescent="0.2">
      <c r="A1436" s="398">
        <v>406</v>
      </c>
      <c r="B1436" s="390" t="s">
        <v>551</v>
      </c>
      <c r="C1436" s="390">
        <f>VLOOKUP(B1436,numbering!$N$18:$O$30,2,0)</f>
        <v>12</v>
      </c>
      <c r="D1436" s="398" t="s">
        <v>556</v>
      </c>
      <c r="E1436" s="403">
        <f t="shared" si="35"/>
        <v>2</v>
      </c>
      <c r="F1436" s="433" t="str">
        <f>F1435</f>
        <v>Does the environmental monitoring data indicate that licence and operating condition environmental limits have been exceeded since it was last reviewed?</v>
      </c>
      <c r="G1436" s="388" t="s">
        <v>7</v>
      </c>
      <c r="H1436" s="390"/>
      <c r="I1436" s="390">
        <v>4</v>
      </c>
      <c r="J1436" s="390"/>
      <c r="K1436" s="398">
        <f>_xlfn.IFNA(VLOOKUP(A1436,numbering!$K$3:$L$92,2,0),0)</f>
        <v>0</v>
      </c>
    </row>
    <row r="1437" spans="1:11" ht="84" hidden="1" x14ac:dyDescent="0.2">
      <c r="A1437" s="390">
        <v>407</v>
      </c>
      <c r="B1437" s="390" t="s">
        <v>561</v>
      </c>
      <c r="C1437" s="390">
        <f>VLOOKUP(B1437,numbering!$N$18:$O$30,2,0)</f>
        <v>10</v>
      </c>
      <c r="D1437" s="390" t="s">
        <v>562</v>
      </c>
      <c r="E1437" s="403">
        <f t="shared" si="35"/>
        <v>1</v>
      </c>
      <c r="F1437" s="433" t="s">
        <v>563</v>
      </c>
      <c r="G1437" s="388" t="s">
        <v>1192</v>
      </c>
      <c r="H1437" s="390">
        <v>1</v>
      </c>
      <c r="I1437" s="390">
        <v>1</v>
      </c>
      <c r="J1437" s="390"/>
      <c r="K1437" s="398">
        <f>_xlfn.IFNA(VLOOKUP(A1437,numbering!$K$3:$L$92,2,0),0)</f>
        <v>0</v>
      </c>
    </row>
    <row r="1438" spans="1:11" ht="84" hidden="1" x14ac:dyDescent="0.2">
      <c r="A1438" s="390">
        <v>407</v>
      </c>
      <c r="B1438" s="390" t="s">
        <v>561</v>
      </c>
      <c r="C1438" s="390">
        <f>VLOOKUP(B1438,numbering!$N$18:$O$30,2,0)</f>
        <v>10</v>
      </c>
      <c r="D1438" s="390" t="s">
        <v>562</v>
      </c>
      <c r="E1438" s="403">
        <f t="shared" si="35"/>
        <v>1</v>
      </c>
      <c r="F1438" s="433" t="str">
        <f>F1437</f>
        <v>Is a Dam Safety Emergency Plan/ Emergency Response Plan document available which details the actions to be undertaken by the owner's management and responsible personnel and emergency services in the event of an emergency to achieve the objective of mitigating the consequences of failure? (e.g. evacuation actions, location of muster points, emergency coordination, etc.)</v>
      </c>
      <c r="G1438" s="388" t="s">
        <v>1193</v>
      </c>
      <c r="H1438" s="390">
        <v>2</v>
      </c>
      <c r="I1438" s="390">
        <v>2</v>
      </c>
      <c r="J1438" s="390"/>
      <c r="K1438" s="398">
        <f>_xlfn.IFNA(VLOOKUP(A1438,numbering!$K$3:$L$92,2,0),0)</f>
        <v>0</v>
      </c>
    </row>
    <row r="1439" spans="1:11" ht="84" hidden="1" x14ac:dyDescent="0.2">
      <c r="A1439" s="390">
        <v>407</v>
      </c>
      <c r="B1439" s="390" t="s">
        <v>561</v>
      </c>
      <c r="C1439" s="390">
        <f>VLOOKUP(B1439,numbering!$N$18:$O$30,2,0)</f>
        <v>10</v>
      </c>
      <c r="D1439" s="390" t="s">
        <v>562</v>
      </c>
      <c r="E1439" s="403">
        <f t="shared" si="35"/>
        <v>1</v>
      </c>
      <c r="F1439" s="433" t="str">
        <f>F1438</f>
        <v>Is a Dam Safety Emergency Plan/ Emergency Response Plan document available which details the actions to be undertaken by the owner's management and responsible personnel and emergency services in the event of an emergency to achieve the objective of mitigating the consequences of failure? (e.g. evacuation actions, location of muster points, emergency coordination, etc.)</v>
      </c>
      <c r="G1439" s="388" t="s">
        <v>1194</v>
      </c>
      <c r="H1439" s="390">
        <v>3</v>
      </c>
      <c r="I1439" s="390">
        <v>3</v>
      </c>
      <c r="J1439" s="390"/>
      <c r="K1439" s="398">
        <f>_xlfn.IFNA(VLOOKUP(A1439,numbering!$K$3:$L$92,2,0),0)</f>
        <v>0</v>
      </c>
    </row>
    <row r="1440" spans="1:11" ht="84" hidden="1" x14ac:dyDescent="0.2">
      <c r="A1440" s="390">
        <v>407</v>
      </c>
      <c r="B1440" s="390" t="s">
        <v>561</v>
      </c>
      <c r="C1440" s="390">
        <f>VLOOKUP(B1440,numbering!$N$18:$O$30,2,0)</f>
        <v>10</v>
      </c>
      <c r="D1440" s="390" t="s">
        <v>562</v>
      </c>
      <c r="E1440" s="403">
        <f t="shared" si="35"/>
        <v>1</v>
      </c>
      <c r="F1440" s="433" t="str">
        <f>F1439</f>
        <v>Is a Dam Safety Emergency Plan/ Emergency Response Plan document available which details the actions to be undertaken by the owner's management and responsible personnel and emergency services in the event of an emergency to achieve the objective of mitigating the consequences of failure? (e.g. evacuation actions, location of muster points, emergency coordination, etc.)</v>
      </c>
      <c r="G1440" s="388" t="s">
        <v>1195</v>
      </c>
      <c r="H1440" s="390">
        <v>4</v>
      </c>
      <c r="I1440" s="390">
        <v>4</v>
      </c>
      <c r="J1440" s="390"/>
      <c r="K1440" s="398">
        <f>_xlfn.IFNA(VLOOKUP(A1440,numbering!$K$3:$L$92,2,0),0)</f>
        <v>0</v>
      </c>
    </row>
    <row r="1441" spans="1:11" ht="84" hidden="1" x14ac:dyDescent="0.2">
      <c r="A1441" s="390">
        <v>408</v>
      </c>
      <c r="B1441" s="390" t="s">
        <v>561</v>
      </c>
      <c r="C1441" s="390">
        <f>VLOOKUP(B1441,numbering!$N$18:$O$30,2,0)</f>
        <v>10</v>
      </c>
      <c r="D1441" s="390" t="s">
        <v>562</v>
      </c>
      <c r="E1441" s="403">
        <f t="shared" si="35"/>
        <v>1</v>
      </c>
      <c r="F1441" s="433" t="s">
        <v>564</v>
      </c>
      <c r="G1441" s="388" t="s">
        <v>1192</v>
      </c>
      <c r="H1441" s="390">
        <v>1</v>
      </c>
      <c r="I1441" s="390">
        <v>1</v>
      </c>
      <c r="J1441" s="390"/>
      <c r="K1441" s="398">
        <f>_xlfn.IFNA(VLOOKUP(A1441,numbering!$K$3:$L$92,2,0),0)</f>
        <v>0</v>
      </c>
    </row>
    <row r="1442" spans="1:11" ht="84" hidden="1" x14ac:dyDescent="0.2">
      <c r="A1442" s="390">
        <v>408</v>
      </c>
      <c r="B1442" s="390" t="s">
        <v>561</v>
      </c>
      <c r="C1442" s="390">
        <f>VLOOKUP(B1442,numbering!$N$18:$O$30,2,0)</f>
        <v>10</v>
      </c>
      <c r="D1442" s="390" t="s">
        <v>562</v>
      </c>
      <c r="E1442" s="403">
        <f t="shared" si="35"/>
        <v>1</v>
      </c>
      <c r="F1442" s="433" t="str">
        <f>F1441</f>
        <v>Does the Dam Safety Emergency Plan/ Emergency Response Plan include an up-to-date list of all relevant contacts of responsible personnel in the event of a dam safety emergency, as well as contacts for local emergency authorities and local and State governments as required by the escalation procedures which achieved the objective of providing a clear method and means to contact the relevant parties in an emergency?</v>
      </c>
      <c r="G1442" s="388" t="s">
        <v>1193</v>
      </c>
      <c r="H1442" s="390">
        <v>2</v>
      </c>
      <c r="I1442" s="390">
        <v>2</v>
      </c>
      <c r="J1442" s="390"/>
      <c r="K1442" s="398">
        <f>_xlfn.IFNA(VLOOKUP(A1442,numbering!$K$3:$L$92,2,0),0)</f>
        <v>0</v>
      </c>
    </row>
    <row r="1443" spans="1:11" ht="84" hidden="1" x14ac:dyDescent="0.2">
      <c r="A1443" s="390">
        <v>408</v>
      </c>
      <c r="B1443" s="390" t="s">
        <v>561</v>
      </c>
      <c r="C1443" s="390">
        <f>VLOOKUP(B1443,numbering!$N$18:$O$30,2,0)</f>
        <v>10</v>
      </c>
      <c r="D1443" s="390" t="s">
        <v>562</v>
      </c>
      <c r="E1443" s="403">
        <f t="shared" si="35"/>
        <v>1</v>
      </c>
      <c r="F1443" s="433" t="str">
        <f>F1442</f>
        <v>Does the Dam Safety Emergency Plan/ Emergency Response Plan include an up-to-date list of all relevant contacts of responsible personnel in the event of a dam safety emergency, as well as contacts for local emergency authorities and local and State governments as required by the escalation procedures which achieved the objective of providing a clear method and means to contact the relevant parties in an emergency?</v>
      </c>
      <c r="G1443" s="388" t="s">
        <v>1194</v>
      </c>
      <c r="H1443" s="390">
        <v>3</v>
      </c>
      <c r="I1443" s="390">
        <v>3</v>
      </c>
      <c r="J1443" s="390"/>
      <c r="K1443" s="398">
        <f>_xlfn.IFNA(VLOOKUP(A1443,numbering!$K$3:$L$92,2,0),0)</f>
        <v>0</v>
      </c>
    </row>
    <row r="1444" spans="1:11" ht="84" hidden="1" x14ac:dyDescent="0.2">
      <c r="A1444" s="390">
        <v>408</v>
      </c>
      <c r="B1444" s="390" t="s">
        <v>561</v>
      </c>
      <c r="C1444" s="390">
        <f>VLOOKUP(B1444,numbering!$N$18:$O$30,2,0)</f>
        <v>10</v>
      </c>
      <c r="D1444" s="390" t="s">
        <v>562</v>
      </c>
      <c r="E1444" s="403">
        <f t="shared" si="35"/>
        <v>1</v>
      </c>
      <c r="F1444" s="433" t="str">
        <f>F1443</f>
        <v>Does the Dam Safety Emergency Plan/ Emergency Response Plan include an up-to-date list of all relevant contacts of responsible personnel in the event of a dam safety emergency, as well as contacts for local emergency authorities and local and State governments as required by the escalation procedures which achieved the objective of providing a clear method and means to contact the relevant parties in an emergency?</v>
      </c>
      <c r="G1444" s="388" t="s">
        <v>1195</v>
      </c>
      <c r="H1444" s="390">
        <v>4</v>
      </c>
      <c r="I1444" s="390">
        <v>4</v>
      </c>
      <c r="J1444" s="390"/>
      <c r="K1444" s="398">
        <f>_xlfn.IFNA(VLOOKUP(A1444,numbering!$K$3:$L$92,2,0),0)</f>
        <v>0</v>
      </c>
    </row>
    <row r="1445" spans="1:11" ht="70" hidden="1" x14ac:dyDescent="0.2">
      <c r="A1445" s="390">
        <v>409</v>
      </c>
      <c r="B1445" s="390" t="s">
        <v>561</v>
      </c>
      <c r="C1445" s="390">
        <f>VLOOKUP(B1445,numbering!$N$18:$O$30,2,0)</f>
        <v>10</v>
      </c>
      <c r="D1445" s="390" t="s">
        <v>562</v>
      </c>
      <c r="E1445" s="403">
        <f t="shared" si="35"/>
        <v>1</v>
      </c>
      <c r="F1445" s="433" t="s">
        <v>565</v>
      </c>
      <c r="G1445" s="388" t="s">
        <v>1192</v>
      </c>
      <c r="H1445" s="390">
        <v>1</v>
      </c>
      <c r="I1445" s="390">
        <v>1</v>
      </c>
      <c r="J1445" s="390"/>
      <c r="K1445" s="398">
        <f>_xlfn.IFNA(VLOOKUP(A1445,numbering!$K$3:$L$92,2,0),0)</f>
        <v>0</v>
      </c>
    </row>
    <row r="1446" spans="1:11" ht="70" hidden="1" x14ac:dyDescent="0.2">
      <c r="A1446" s="390">
        <v>409</v>
      </c>
      <c r="B1446" s="390" t="s">
        <v>561</v>
      </c>
      <c r="C1446" s="390">
        <f>VLOOKUP(B1446,numbering!$N$18:$O$30,2,0)</f>
        <v>10</v>
      </c>
      <c r="D1446" s="390" t="s">
        <v>562</v>
      </c>
      <c r="E1446" s="403">
        <f t="shared" si="35"/>
        <v>1</v>
      </c>
      <c r="F1446" s="433" t="str">
        <f>F1445</f>
        <v>Is there documented evidence that the content of the Dam Safety Emergency Plan/ Emergency Response Plan document was based on site and facility specific conditions, including potential failure modes and dam break assessments to achieve the objective of the indicated impacted areas being as accurate as practicable?</v>
      </c>
      <c r="G1446" s="388" t="s">
        <v>1193</v>
      </c>
      <c r="H1446" s="390">
        <v>2</v>
      </c>
      <c r="I1446" s="390">
        <v>2</v>
      </c>
      <c r="J1446" s="390"/>
      <c r="K1446" s="398">
        <f>_xlfn.IFNA(VLOOKUP(A1446,numbering!$K$3:$L$92,2,0),0)</f>
        <v>0</v>
      </c>
    </row>
    <row r="1447" spans="1:11" ht="70" hidden="1" x14ac:dyDescent="0.2">
      <c r="A1447" s="390">
        <v>409</v>
      </c>
      <c r="B1447" s="390" t="s">
        <v>561</v>
      </c>
      <c r="C1447" s="390">
        <f>VLOOKUP(B1447,numbering!$N$18:$O$30,2,0)</f>
        <v>10</v>
      </c>
      <c r="D1447" s="390" t="s">
        <v>562</v>
      </c>
      <c r="E1447" s="403">
        <f t="shared" si="35"/>
        <v>1</v>
      </c>
      <c r="F1447" s="433" t="str">
        <f>F1446</f>
        <v>Is there documented evidence that the content of the Dam Safety Emergency Plan/ Emergency Response Plan document was based on site and facility specific conditions, including potential failure modes and dam break assessments to achieve the objective of the indicated impacted areas being as accurate as practicable?</v>
      </c>
      <c r="G1447" s="388" t="s">
        <v>1194</v>
      </c>
      <c r="H1447" s="390">
        <v>3</v>
      </c>
      <c r="I1447" s="390">
        <v>3</v>
      </c>
      <c r="J1447" s="390"/>
      <c r="K1447" s="398">
        <f>_xlfn.IFNA(VLOOKUP(A1447,numbering!$K$3:$L$92,2,0),0)</f>
        <v>0</v>
      </c>
    </row>
    <row r="1448" spans="1:11" ht="70" hidden="1" x14ac:dyDescent="0.2">
      <c r="A1448" s="390">
        <v>409</v>
      </c>
      <c r="B1448" s="390" t="s">
        <v>561</v>
      </c>
      <c r="C1448" s="390">
        <f>VLOOKUP(B1448,numbering!$N$18:$O$30,2,0)</f>
        <v>10</v>
      </c>
      <c r="D1448" s="390" t="s">
        <v>562</v>
      </c>
      <c r="E1448" s="403">
        <f t="shared" ref="E1448:E1511" si="36">IF(C1448&lt;&gt;C1447,1,IF(D1448&lt;&gt;D1447,E1447+1,E1447))</f>
        <v>1</v>
      </c>
      <c r="F1448" s="433" t="str">
        <f>F1447</f>
        <v>Is there documented evidence that the content of the Dam Safety Emergency Plan/ Emergency Response Plan document was based on site and facility specific conditions, including potential failure modes and dam break assessments to achieve the objective of the indicated impacted areas being as accurate as practicable?</v>
      </c>
      <c r="G1448" s="388" t="s">
        <v>1195</v>
      </c>
      <c r="H1448" s="390">
        <v>4</v>
      </c>
      <c r="I1448" s="390">
        <v>4</v>
      </c>
      <c r="J1448" s="390"/>
      <c r="K1448" s="398">
        <f>_xlfn.IFNA(VLOOKUP(A1448,numbering!$K$3:$L$92,2,0),0)</f>
        <v>0</v>
      </c>
    </row>
    <row r="1449" spans="1:11" ht="70" hidden="1" x14ac:dyDescent="0.2">
      <c r="A1449" s="390">
        <v>410</v>
      </c>
      <c r="B1449" s="390" t="s">
        <v>561</v>
      </c>
      <c r="C1449" s="390">
        <f>VLOOKUP(B1449,numbering!$N$18:$O$30,2,0)</f>
        <v>10</v>
      </c>
      <c r="D1449" s="390" t="s">
        <v>562</v>
      </c>
      <c r="E1449" s="403">
        <f t="shared" si="36"/>
        <v>1</v>
      </c>
      <c r="F1449" s="433" t="s">
        <v>566</v>
      </c>
      <c r="G1449" s="388" t="s">
        <v>1192</v>
      </c>
      <c r="H1449" s="390">
        <v>1</v>
      </c>
      <c r="I1449" s="390">
        <v>1</v>
      </c>
      <c r="J1449" s="390"/>
      <c r="K1449" s="398">
        <f>_xlfn.IFNA(VLOOKUP(A1449,numbering!$K$3:$L$92,2,0),0)</f>
        <v>0</v>
      </c>
    </row>
    <row r="1450" spans="1:11" ht="70" hidden="1" x14ac:dyDescent="0.2">
      <c r="A1450" s="390">
        <v>410</v>
      </c>
      <c r="B1450" s="390" t="s">
        <v>561</v>
      </c>
      <c r="C1450" s="390">
        <f>VLOOKUP(B1450,numbering!$N$18:$O$30,2,0)</f>
        <v>10</v>
      </c>
      <c r="D1450" s="390" t="s">
        <v>562</v>
      </c>
      <c r="E1450" s="403">
        <f t="shared" si="36"/>
        <v>1</v>
      </c>
      <c r="F1450" s="433" t="str">
        <f>F1449</f>
        <v>Is there documented evidence that the Dam Safety Emergency Plan/ Emergency Response Plan document was reviewed and revised for technical, operational and contextual currency at the required frequency or more frequently if required to achieve the objective of the document being as correct and accurate as practicable?</v>
      </c>
      <c r="G1450" s="388" t="s">
        <v>1193</v>
      </c>
      <c r="H1450" s="390">
        <v>2</v>
      </c>
      <c r="I1450" s="390">
        <v>2</v>
      </c>
      <c r="J1450" s="390"/>
      <c r="K1450" s="398">
        <f>_xlfn.IFNA(VLOOKUP(A1450,numbering!$K$3:$L$92,2,0),0)</f>
        <v>0</v>
      </c>
    </row>
    <row r="1451" spans="1:11" ht="70" hidden="1" x14ac:dyDescent="0.2">
      <c r="A1451" s="390">
        <v>410</v>
      </c>
      <c r="B1451" s="390" t="s">
        <v>561</v>
      </c>
      <c r="C1451" s="390">
        <f>VLOOKUP(B1451,numbering!$N$18:$O$30,2,0)</f>
        <v>10</v>
      </c>
      <c r="D1451" s="390" t="s">
        <v>562</v>
      </c>
      <c r="E1451" s="403">
        <f t="shared" si="36"/>
        <v>1</v>
      </c>
      <c r="F1451" s="433" t="str">
        <f>F1450</f>
        <v>Is there documented evidence that the Dam Safety Emergency Plan/ Emergency Response Plan document was reviewed and revised for technical, operational and contextual currency at the required frequency or more frequently if required to achieve the objective of the document being as correct and accurate as practicable?</v>
      </c>
      <c r="G1451" s="388" t="s">
        <v>1194</v>
      </c>
      <c r="H1451" s="390">
        <v>3</v>
      </c>
      <c r="I1451" s="390">
        <v>3</v>
      </c>
      <c r="J1451" s="390"/>
      <c r="K1451" s="398">
        <f>_xlfn.IFNA(VLOOKUP(A1451,numbering!$K$3:$L$92,2,0),0)</f>
        <v>0</v>
      </c>
    </row>
    <row r="1452" spans="1:11" ht="70" hidden="1" x14ac:dyDescent="0.2">
      <c r="A1452" s="390">
        <v>410</v>
      </c>
      <c r="B1452" s="390" t="s">
        <v>561</v>
      </c>
      <c r="C1452" s="390">
        <f>VLOOKUP(B1452,numbering!$N$18:$O$30,2,0)</f>
        <v>10</v>
      </c>
      <c r="D1452" s="390" t="s">
        <v>562</v>
      </c>
      <c r="E1452" s="403">
        <f t="shared" si="36"/>
        <v>1</v>
      </c>
      <c r="F1452" s="433" t="str">
        <f>F1451</f>
        <v>Is there documented evidence that the Dam Safety Emergency Plan/ Emergency Response Plan document was reviewed and revised for technical, operational and contextual currency at the required frequency or more frequently if required to achieve the objective of the document being as correct and accurate as practicable?</v>
      </c>
      <c r="G1452" s="388" t="s">
        <v>1195</v>
      </c>
      <c r="H1452" s="390">
        <v>4</v>
      </c>
      <c r="I1452" s="390">
        <v>4</v>
      </c>
      <c r="J1452" s="390"/>
      <c r="K1452" s="398">
        <f>_xlfn.IFNA(VLOOKUP(A1452,numbering!$K$3:$L$92,2,0),0)</f>
        <v>0</v>
      </c>
    </row>
    <row r="1453" spans="1:11" ht="70" hidden="1" x14ac:dyDescent="0.2">
      <c r="A1453" s="390">
        <v>411</v>
      </c>
      <c r="B1453" s="390" t="s">
        <v>561</v>
      </c>
      <c r="C1453" s="390">
        <f>VLOOKUP(B1453,numbering!$N$18:$O$30,2,0)</f>
        <v>10</v>
      </c>
      <c r="D1453" s="390" t="s">
        <v>562</v>
      </c>
      <c r="E1453" s="403">
        <f t="shared" si="36"/>
        <v>1</v>
      </c>
      <c r="F1453" s="433" t="s">
        <v>567</v>
      </c>
      <c r="G1453" s="388" t="s">
        <v>1192</v>
      </c>
      <c r="H1453" s="390">
        <v>1</v>
      </c>
      <c r="I1453" s="390">
        <v>1</v>
      </c>
      <c r="J1453" s="390"/>
      <c r="K1453" s="398">
        <f>_xlfn.IFNA(VLOOKUP(A1453,numbering!$K$3:$L$92,2,0),0)</f>
        <v>0</v>
      </c>
    </row>
    <row r="1454" spans="1:11" ht="70" hidden="1" x14ac:dyDescent="0.2">
      <c r="A1454" s="390">
        <v>411</v>
      </c>
      <c r="B1454" s="390" t="s">
        <v>561</v>
      </c>
      <c r="C1454" s="390">
        <f>VLOOKUP(B1454,numbering!$N$18:$O$30,2,0)</f>
        <v>10</v>
      </c>
      <c r="D1454" s="390" t="s">
        <v>562</v>
      </c>
      <c r="E1454" s="403">
        <f t="shared" si="36"/>
        <v>1</v>
      </c>
      <c r="F1454" s="433" t="str">
        <f>F1453</f>
        <v>Is there documented evidence that relevant personnel and stakeholders were engaged during the production, review and updates of the Dam Safety Emergency Plan/ Emergency Response Plan to achieve the objective of the document being reflecting all pertinent aspects required for emergency planning and response?</v>
      </c>
      <c r="G1454" s="388" t="s">
        <v>1193</v>
      </c>
      <c r="H1454" s="390">
        <v>2</v>
      </c>
      <c r="I1454" s="390">
        <v>2</v>
      </c>
      <c r="J1454" s="390"/>
      <c r="K1454" s="398">
        <f>_xlfn.IFNA(VLOOKUP(A1454,numbering!$K$3:$L$92,2,0),0)</f>
        <v>0</v>
      </c>
    </row>
    <row r="1455" spans="1:11" ht="70" hidden="1" x14ac:dyDescent="0.2">
      <c r="A1455" s="390">
        <v>411</v>
      </c>
      <c r="B1455" s="390" t="s">
        <v>561</v>
      </c>
      <c r="C1455" s="390">
        <f>VLOOKUP(B1455,numbering!$N$18:$O$30,2,0)</f>
        <v>10</v>
      </c>
      <c r="D1455" s="390" t="s">
        <v>562</v>
      </c>
      <c r="E1455" s="403">
        <f t="shared" si="36"/>
        <v>1</v>
      </c>
      <c r="F1455" s="433" t="str">
        <f>F1454</f>
        <v>Is there documented evidence that relevant personnel and stakeholders were engaged during the production, review and updates of the Dam Safety Emergency Plan/ Emergency Response Plan to achieve the objective of the document being reflecting all pertinent aspects required for emergency planning and response?</v>
      </c>
      <c r="G1455" s="388" t="s">
        <v>1194</v>
      </c>
      <c r="H1455" s="390">
        <v>3</v>
      </c>
      <c r="I1455" s="390">
        <v>3</v>
      </c>
      <c r="J1455" s="390"/>
      <c r="K1455" s="398">
        <f>_xlfn.IFNA(VLOOKUP(A1455,numbering!$K$3:$L$92,2,0),0)</f>
        <v>0</v>
      </c>
    </row>
    <row r="1456" spans="1:11" ht="70" hidden="1" x14ac:dyDescent="0.2">
      <c r="A1456" s="390">
        <v>411</v>
      </c>
      <c r="B1456" s="390" t="s">
        <v>561</v>
      </c>
      <c r="C1456" s="390">
        <f>VLOOKUP(B1456,numbering!$N$18:$O$30,2,0)</f>
        <v>10</v>
      </c>
      <c r="D1456" s="390" t="s">
        <v>562</v>
      </c>
      <c r="E1456" s="403">
        <f t="shared" si="36"/>
        <v>1</v>
      </c>
      <c r="F1456" s="433" t="str">
        <f>F1455</f>
        <v>Is there documented evidence that relevant personnel and stakeholders were engaged during the production, review and updates of the Dam Safety Emergency Plan/ Emergency Response Plan to achieve the objective of the document being reflecting all pertinent aspects required for emergency planning and response?</v>
      </c>
      <c r="G1456" s="388" t="s">
        <v>1195</v>
      </c>
      <c r="H1456" s="390">
        <v>4</v>
      </c>
      <c r="I1456" s="390">
        <v>4</v>
      </c>
      <c r="J1456" s="390"/>
      <c r="K1456" s="398">
        <f>_xlfn.IFNA(VLOOKUP(A1456,numbering!$K$3:$L$92,2,0),0)</f>
        <v>0</v>
      </c>
    </row>
    <row r="1457" spans="1:11" ht="84" hidden="1" x14ac:dyDescent="0.2">
      <c r="A1457" s="390">
        <v>412</v>
      </c>
      <c r="B1457" s="390" t="s">
        <v>561</v>
      </c>
      <c r="C1457" s="390">
        <f>VLOOKUP(B1457,numbering!$N$18:$O$30,2,0)</f>
        <v>10</v>
      </c>
      <c r="D1457" s="390" t="s">
        <v>562</v>
      </c>
      <c r="E1457" s="403">
        <f t="shared" si="36"/>
        <v>1</v>
      </c>
      <c r="F1457" s="433" t="s">
        <v>568</v>
      </c>
      <c r="G1457" s="388" t="s">
        <v>1192</v>
      </c>
      <c r="H1457" s="390">
        <v>1</v>
      </c>
      <c r="I1457" s="390">
        <v>1</v>
      </c>
      <c r="J1457" s="390"/>
      <c r="K1457" s="398">
        <f>_xlfn.IFNA(VLOOKUP(A1457,numbering!$K$3:$L$92,2,0),0)</f>
        <v>0</v>
      </c>
    </row>
    <row r="1458" spans="1:11" ht="84" hidden="1" x14ac:dyDescent="0.2">
      <c r="A1458" s="390">
        <v>412</v>
      </c>
      <c r="B1458" s="390" t="s">
        <v>561</v>
      </c>
      <c r="C1458" s="390">
        <f>VLOOKUP(B1458,numbering!$N$18:$O$30,2,0)</f>
        <v>10</v>
      </c>
      <c r="D1458" s="390" t="s">
        <v>562</v>
      </c>
      <c r="E1458" s="403">
        <f t="shared" si="36"/>
        <v>1</v>
      </c>
      <c r="F1458" s="433" t="str">
        <f>F1457</f>
        <v>Is there documented evidence that trials of the Dam Safety Emergency Plan/ Emergency Response Plan, including personnel's understanding and access to required plant and equipment, were undertaken at the required trial frequency to achieve the objective of ensuring all relevant parties are aware of the details in the plan and to identify if improvements to the plan can be made?</v>
      </c>
      <c r="G1458" s="388" t="s">
        <v>1193</v>
      </c>
      <c r="H1458" s="390">
        <v>2</v>
      </c>
      <c r="I1458" s="390">
        <v>2</v>
      </c>
      <c r="J1458" s="390"/>
      <c r="K1458" s="398">
        <f>_xlfn.IFNA(VLOOKUP(A1458,numbering!$K$3:$L$92,2,0),0)</f>
        <v>0</v>
      </c>
    </row>
    <row r="1459" spans="1:11" ht="84" hidden="1" x14ac:dyDescent="0.2">
      <c r="A1459" s="390">
        <v>412</v>
      </c>
      <c r="B1459" s="390" t="s">
        <v>561</v>
      </c>
      <c r="C1459" s="390">
        <f>VLOOKUP(B1459,numbering!$N$18:$O$30,2,0)</f>
        <v>10</v>
      </c>
      <c r="D1459" s="390" t="s">
        <v>562</v>
      </c>
      <c r="E1459" s="403">
        <f t="shared" si="36"/>
        <v>1</v>
      </c>
      <c r="F1459" s="433" t="str">
        <f>F1458</f>
        <v>Is there documented evidence that trials of the Dam Safety Emergency Plan/ Emergency Response Plan, including personnel's understanding and access to required plant and equipment, were undertaken at the required trial frequency to achieve the objective of ensuring all relevant parties are aware of the details in the plan and to identify if improvements to the plan can be made?</v>
      </c>
      <c r="G1459" s="388" t="s">
        <v>1194</v>
      </c>
      <c r="H1459" s="390">
        <v>3</v>
      </c>
      <c r="I1459" s="390">
        <v>3</v>
      </c>
      <c r="J1459" s="390"/>
      <c r="K1459" s="398">
        <f>_xlfn.IFNA(VLOOKUP(A1459,numbering!$K$3:$L$92,2,0),0)</f>
        <v>0</v>
      </c>
    </row>
    <row r="1460" spans="1:11" ht="84" hidden="1" x14ac:dyDescent="0.2">
      <c r="A1460" s="390">
        <v>412</v>
      </c>
      <c r="B1460" s="390" t="s">
        <v>561</v>
      </c>
      <c r="C1460" s="390">
        <f>VLOOKUP(B1460,numbering!$N$18:$O$30,2,0)</f>
        <v>10</v>
      </c>
      <c r="D1460" s="390" t="s">
        <v>562</v>
      </c>
      <c r="E1460" s="403">
        <f t="shared" si="36"/>
        <v>1</v>
      </c>
      <c r="F1460" s="433" t="str">
        <f>F1459</f>
        <v>Is there documented evidence that trials of the Dam Safety Emergency Plan/ Emergency Response Plan, including personnel's understanding and access to required plant and equipment, were undertaken at the required trial frequency to achieve the objective of ensuring all relevant parties are aware of the details in the plan and to identify if improvements to the plan can be made?</v>
      </c>
      <c r="G1460" s="388" t="s">
        <v>1195</v>
      </c>
      <c r="H1460" s="390">
        <v>4</v>
      </c>
      <c r="I1460" s="390">
        <v>4</v>
      </c>
      <c r="J1460" s="390"/>
      <c r="K1460" s="398">
        <f>_xlfn.IFNA(VLOOKUP(A1460,numbering!$K$3:$L$92,2,0),0)</f>
        <v>0</v>
      </c>
    </row>
    <row r="1461" spans="1:11" ht="98" hidden="1" x14ac:dyDescent="0.2">
      <c r="A1461" s="390">
        <v>413</v>
      </c>
      <c r="B1461" s="390" t="s">
        <v>561</v>
      </c>
      <c r="C1461" s="390">
        <f>VLOOKUP(B1461,numbering!$N$18:$O$30,2,0)</f>
        <v>10</v>
      </c>
      <c r="D1461" s="390" t="s">
        <v>562</v>
      </c>
      <c r="E1461" s="403">
        <f t="shared" si="36"/>
        <v>1</v>
      </c>
      <c r="F1461" s="433" t="s">
        <v>569</v>
      </c>
      <c r="G1461" s="388" t="s">
        <v>1192</v>
      </c>
      <c r="H1461" s="390">
        <v>1</v>
      </c>
      <c r="I1461" s="390">
        <v>1</v>
      </c>
      <c r="J1461" s="390"/>
      <c r="K1461" s="398">
        <f>_xlfn.IFNA(VLOOKUP(A1461,numbering!$K$3:$L$92,2,0),0)</f>
        <v>0</v>
      </c>
    </row>
    <row r="1462" spans="1:11" ht="98" hidden="1" x14ac:dyDescent="0.2">
      <c r="A1462" s="390">
        <v>413</v>
      </c>
      <c r="B1462" s="390" t="s">
        <v>561</v>
      </c>
      <c r="C1462" s="390">
        <f>VLOOKUP(B1462,numbering!$N$18:$O$30,2,0)</f>
        <v>10</v>
      </c>
      <c r="D1462" s="390" t="s">
        <v>562</v>
      </c>
      <c r="E1462" s="403">
        <f t="shared" si="36"/>
        <v>1</v>
      </c>
      <c r="F1462" s="433" t="str">
        <f>F1461</f>
        <v>Is there content in the Dam Safety Emergency Plan/ Emergency Response Plan related to community-focussed emergency preparedness measures of project affected people, with documented evidence that downstream communities were engaged during production of the Dam Safety Emergency Plan/Emergency Response Plan to achieve the objective of affected populations being made aware of how the plan affects/incorporates them?</v>
      </c>
      <c r="G1462" s="388" t="s">
        <v>1193</v>
      </c>
      <c r="H1462" s="390">
        <v>2</v>
      </c>
      <c r="I1462" s="390">
        <v>2</v>
      </c>
      <c r="J1462" s="390"/>
      <c r="K1462" s="398">
        <f>_xlfn.IFNA(VLOOKUP(A1462,numbering!$K$3:$L$92,2,0),0)</f>
        <v>0</v>
      </c>
    </row>
    <row r="1463" spans="1:11" ht="98" hidden="1" x14ac:dyDescent="0.2">
      <c r="A1463" s="390">
        <v>413</v>
      </c>
      <c r="B1463" s="390" t="s">
        <v>561</v>
      </c>
      <c r="C1463" s="390">
        <f>VLOOKUP(B1463,numbering!$N$18:$O$30,2,0)</f>
        <v>10</v>
      </c>
      <c r="D1463" s="390" t="s">
        <v>562</v>
      </c>
      <c r="E1463" s="403">
        <f t="shared" si="36"/>
        <v>1</v>
      </c>
      <c r="F1463" s="433" t="str">
        <f>F1462</f>
        <v>Is there content in the Dam Safety Emergency Plan/ Emergency Response Plan related to community-focussed emergency preparedness measures of project affected people, with documented evidence that downstream communities were engaged during production of the Dam Safety Emergency Plan/Emergency Response Plan to achieve the objective of affected populations being made aware of how the plan affects/incorporates them?</v>
      </c>
      <c r="G1463" s="388" t="s">
        <v>1194</v>
      </c>
      <c r="H1463" s="390">
        <v>3</v>
      </c>
      <c r="I1463" s="390">
        <v>3</v>
      </c>
      <c r="J1463" s="390"/>
      <c r="K1463" s="398">
        <f>_xlfn.IFNA(VLOOKUP(A1463,numbering!$K$3:$L$92,2,0),0)</f>
        <v>0</v>
      </c>
    </row>
    <row r="1464" spans="1:11" ht="98" hidden="1" x14ac:dyDescent="0.2">
      <c r="A1464" s="390">
        <v>413</v>
      </c>
      <c r="B1464" s="390" t="s">
        <v>561</v>
      </c>
      <c r="C1464" s="390">
        <f>VLOOKUP(B1464,numbering!$N$18:$O$30,2,0)</f>
        <v>10</v>
      </c>
      <c r="D1464" s="390" t="s">
        <v>562</v>
      </c>
      <c r="E1464" s="403">
        <f t="shared" si="36"/>
        <v>1</v>
      </c>
      <c r="F1464" s="433" t="str">
        <f>F1463</f>
        <v>Is there content in the Dam Safety Emergency Plan/ Emergency Response Plan related to community-focussed emergency preparedness measures of project affected people, with documented evidence that downstream communities were engaged during production of the Dam Safety Emergency Plan/Emergency Response Plan to achieve the objective of affected populations being made aware of how the plan affects/incorporates them?</v>
      </c>
      <c r="G1464" s="388" t="s">
        <v>1195</v>
      </c>
      <c r="H1464" s="390">
        <v>4</v>
      </c>
      <c r="I1464" s="390">
        <v>4</v>
      </c>
      <c r="J1464" s="390"/>
      <c r="K1464" s="398">
        <f>_xlfn.IFNA(VLOOKUP(A1464,numbering!$K$3:$L$92,2,0),0)</f>
        <v>0</v>
      </c>
    </row>
    <row r="1465" spans="1:11" ht="70" hidden="1" x14ac:dyDescent="0.2">
      <c r="A1465" s="390">
        <v>414</v>
      </c>
      <c r="B1465" s="390" t="s">
        <v>561</v>
      </c>
      <c r="C1465" s="390">
        <f>VLOOKUP(B1465,numbering!$N$18:$O$30,2,0)</f>
        <v>10</v>
      </c>
      <c r="D1465" s="390" t="s">
        <v>562</v>
      </c>
      <c r="E1465" s="403">
        <f t="shared" si="36"/>
        <v>1</v>
      </c>
      <c r="F1465" s="433" t="s">
        <v>570</v>
      </c>
      <c r="G1465" s="388" t="s">
        <v>1192</v>
      </c>
      <c r="H1465" s="390">
        <v>1</v>
      </c>
      <c r="I1465" s="390">
        <v>1</v>
      </c>
      <c r="J1465" s="390"/>
      <c r="K1465" s="398">
        <f>_xlfn.IFNA(VLOOKUP(A1465,numbering!$K$3:$L$92,2,0),0)</f>
        <v>0</v>
      </c>
    </row>
    <row r="1466" spans="1:11" ht="70" hidden="1" x14ac:dyDescent="0.2">
      <c r="A1466" s="390">
        <v>414</v>
      </c>
      <c r="B1466" s="390" t="s">
        <v>561</v>
      </c>
      <c r="C1466" s="390">
        <f>VLOOKUP(B1466,numbering!$N$18:$O$30,2,0)</f>
        <v>10</v>
      </c>
      <c r="D1466" s="390" t="s">
        <v>562</v>
      </c>
      <c r="E1466" s="403">
        <f t="shared" si="36"/>
        <v>1</v>
      </c>
      <c r="F1466" s="433" t="str">
        <f>F1465</f>
        <v>Is there documented evidence that public sector agencies, first responders, local authorities and institutions were engaged to achieve the objective of assessing the capability of the these third-parties to enact the required actions as detailed in the Dam Safety Emergency Plan/ Emergency Response Plan?</v>
      </c>
      <c r="G1466" s="388" t="s">
        <v>1193</v>
      </c>
      <c r="H1466" s="390">
        <v>2</v>
      </c>
      <c r="I1466" s="390">
        <v>2</v>
      </c>
      <c r="J1466" s="390"/>
      <c r="K1466" s="398">
        <f>_xlfn.IFNA(VLOOKUP(A1466,numbering!$K$3:$L$92,2,0),0)</f>
        <v>0</v>
      </c>
    </row>
    <row r="1467" spans="1:11" ht="70" hidden="1" x14ac:dyDescent="0.2">
      <c r="A1467" s="390">
        <v>414</v>
      </c>
      <c r="B1467" s="390" t="s">
        <v>561</v>
      </c>
      <c r="C1467" s="390">
        <f>VLOOKUP(B1467,numbering!$N$18:$O$30,2,0)</f>
        <v>10</v>
      </c>
      <c r="D1467" s="390" t="s">
        <v>562</v>
      </c>
      <c r="E1467" s="403">
        <f t="shared" si="36"/>
        <v>1</v>
      </c>
      <c r="F1467" s="433" t="str">
        <f>F1466</f>
        <v>Is there documented evidence that public sector agencies, first responders, local authorities and institutions were engaged to achieve the objective of assessing the capability of the these third-parties to enact the required actions as detailed in the Dam Safety Emergency Plan/ Emergency Response Plan?</v>
      </c>
      <c r="G1467" s="388" t="s">
        <v>1194</v>
      </c>
      <c r="H1467" s="390">
        <v>3</v>
      </c>
      <c r="I1467" s="390">
        <v>3</v>
      </c>
      <c r="J1467" s="390"/>
      <c r="K1467" s="398">
        <f>_xlfn.IFNA(VLOOKUP(A1467,numbering!$K$3:$L$92,2,0),0)</f>
        <v>0</v>
      </c>
    </row>
    <row r="1468" spans="1:11" ht="70" hidden="1" x14ac:dyDescent="0.2">
      <c r="A1468" s="390">
        <v>414</v>
      </c>
      <c r="B1468" s="390" t="s">
        <v>561</v>
      </c>
      <c r="C1468" s="390">
        <f>VLOOKUP(B1468,numbering!$N$18:$O$30,2,0)</f>
        <v>10</v>
      </c>
      <c r="D1468" s="390" t="s">
        <v>562</v>
      </c>
      <c r="E1468" s="403">
        <f t="shared" si="36"/>
        <v>1</v>
      </c>
      <c r="F1468" s="433" t="str">
        <f>F1467</f>
        <v>Is there documented evidence that public sector agencies, first responders, local authorities and institutions were engaged to achieve the objective of assessing the capability of the these third-parties to enact the required actions as detailed in the Dam Safety Emergency Plan/ Emergency Response Plan?</v>
      </c>
      <c r="G1468" s="388" t="s">
        <v>1195</v>
      </c>
      <c r="H1468" s="390">
        <v>4</v>
      </c>
      <c r="I1468" s="390">
        <v>4</v>
      </c>
      <c r="J1468" s="390"/>
      <c r="K1468" s="398">
        <f>_xlfn.IFNA(VLOOKUP(A1468,numbering!$K$3:$L$92,2,0),0)</f>
        <v>0</v>
      </c>
    </row>
    <row r="1469" spans="1:11" ht="70" hidden="1" x14ac:dyDescent="0.2">
      <c r="A1469" s="390">
        <v>415</v>
      </c>
      <c r="B1469" s="390" t="s">
        <v>561</v>
      </c>
      <c r="C1469" s="390">
        <f>VLOOKUP(B1469,numbering!$N$18:$O$30,2,0)</f>
        <v>10</v>
      </c>
      <c r="D1469" s="390" t="s">
        <v>562</v>
      </c>
      <c r="E1469" s="403">
        <f t="shared" si="36"/>
        <v>1</v>
      </c>
      <c r="F1469" s="433" t="s">
        <v>571</v>
      </c>
      <c r="G1469" s="388" t="s">
        <v>1192</v>
      </c>
      <c r="H1469" s="390">
        <v>1</v>
      </c>
      <c r="I1469" s="390">
        <v>1</v>
      </c>
      <c r="J1469" s="390"/>
      <c r="K1469" s="398">
        <f>_xlfn.IFNA(VLOOKUP(A1469,numbering!$K$3:$L$92,2,0),0)</f>
        <v>0</v>
      </c>
    </row>
    <row r="1470" spans="1:11" ht="70" hidden="1" x14ac:dyDescent="0.2">
      <c r="A1470" s="390">
        <v>415</v>
      </c>
      <c r="B1470" s="390" t="s">
        <v>561</v>
      </c>
      <c r="C1470" s="390">
        <f>VLOOKUP(B1470,numbering!$N$18:$O$30,2,0)</f>
        <v>10</v>
      </c>
      <c r="D1470" s="390" t="s">
        <v>562</v>
      </c>
      <c r="E1470" s="403">
        <f t="shared" si="36"/>
        <v>1</v>
      </c>
      <c r="F1470" s="433" t="str">
        <f>F1469</f>
        <v>Is there documented evidence that any deficiencies of the organisation and other third-parties to enact the required actions in the Dam Safety Emergency Plan/ Emergency Response Plan were identified, with required scopes to address these deficiencies to achieve the objective of all parties being operationally ready?</v>
      </c>
      <c r="G1470" s="388" t="s">
        <v>1193</v>
      </c>
      <c r="H1470" s="390">
        <v>2</v>
      </c>
      <c r="I1470" s="390">
        <v>2</v>
      </c>
      <c r="J1470" s="390"/>
      <c r="K1470" s="398">
        <f>_xlfn.IFNA(VLOOKUP(A1470,numbering!$K$3:$L$92,2,0),0)</f>
        <v>0</v>
      </c>
    </row>
    <row r="1471" spans="1:11" ht="70" hidden="1" x14ac:dyDescent="0.2">
      <c r="A1471" s="390">
        <v>415</v>
      </c>
      <c r="B1471" s="390" t="s">
        <v>561</v>
      </c>
      <c r="C1471" s="390">
        <f>VLOOKUP(B1471,numbering!$N$18:$O$30,2,0)</f>
        <v>10</v>
      </c>
      <c r="D1471" s="390" t="s">
        <v>562</v>
      </c>
      <c r="E1471" s="403">
        <f t="shared" si="36"/>
        <v>1</v>
      </c>
      <c r="F1471" s="433" t="str">
        <f>F1470</f>
        <v>Is there documented evidence that any deficiencies of the organisation and other third-parties to enact the required actions in the Dam Safety Emergency Plan/ Emergency Response Plan were identified, with required scopes to address these deficiencies to achieve the objective of all parties being operationally ready?</v>
      </c>
      <c r="G1471" s="388" t="s">
        <v>1194</v>
      </c>
      <c r="H1471" s="390">
        <v>3</v>
      </c>
      <c r="I1471" s="390">
        <v>3</v>
      </c>
      <c r="J1471" s="390"/>
      <c r="K1471" s="398">
        <f>_xlfn.IFNA(VLOOKUP(A1471,numbering!$K$3:$L$92,2,0),0)</f>
        <v>0</v>
      </c>
    </row>
    <row r="1472" spans="1:11" ht="70" hidden="1" x14ac:dyDescent="0.2">
      <c r="A1472" s="390">
        <v>415</v>
      </c>
      <c r="B1472" s="390" t="s">
        <v>561</v>
      </c>
      <c r="C1472" s="390">
        <f>VLOOKUP(B1472,numbering!$N$18:$O$30,2,0)</f>
        <v>10</v>
      </c>
      <c r="D1472" s="390" t="s">
        <v>562</v>
      </c>
      <c r="E1472" s="403">
        <f t="shared" si="36"/>
        <v>1</v>
      </c>
      <c r="F1472" s="433" t="str">
        <f>F1471</f>
        <v>Is there documented evidence that any deficiencies of the organisation and other third-parties to enact the required actions in the Dam Safety Emergency Plan/ Emergency Response Plan were identified, with required scopes to address these deficiencies to achieve the objective of all parties being operationally ready?</v>
      </c>
      <c r="G1472" s="388" t="s">
        <v>1195</v>
      </c>
      <c r="H1472" s="390">
        <v>4</v>
      </c>
      <c r="I1472" s="390">
        <v>4</v>
      </c>
      <c r="J1472" s="390"/>
      <c r="K1472" s="398">
        <f>_xlfn.IFNA(VLOOKUP(A1472,numbering!$K$3:$L$92,2,0),0)</f>
        <v>0</v>
      </c>
    </row>
    <row r="1473" spans="1:11" ht="48" hidden="1" x14ac:dyDescent="0.2">
      <c r="A1473" s="390">
        <v>416</v>
      </c>
      <c r="B1473" s="390" t="s">
        <v>561</v>
      </c>
      <c r="C1473" s="390">
        <f>VLOOKUP(B1473,numbering!$N$18:$O$30,2,0)</f>
        <v>10</v>
      </c>
      <c r="D1473" s="390" t="s">
        <v>562</v>
      </c>
      <c r="E1473" s="403">
        <f t="shared" si="36"/>
        <v>1</v>
      </c>
      <c r="F1473" s="433" t="s">
        <v>572</v>
      </c>
      <c r="G1473" s="388" t="s">
        <v>1192</v>
      </c>
      <c r="H1473" s="390">
        <v>1</v>
      </c>
      <c r="I1473" s="390">
        <v>1</v>
      </c>
      <c r="J1473" s="390"/>
      <c r="K1473" s="398">
        <f>_xlfn.IFNA(VLOOKUP(A1473,numbering!$K$3:$L$92,2,0),0)</f>
        <v>0</v>
      </c>
    </row>
    <row r="1474" spans="1:11" ht="48" hidden="1" x14ac:dyDescent="0.2">
      <c r="A1474" s="390">
        <v>416</v>
      </c>
      <c r="B1474" s="390" t="s">
        <v>561</v>
      </c>
      <c r="C1474" s="390">
        <f>VLOOKUP(B1474,numbering!$N$18:$O$30,2,0)</f>
        <v>10</v>
      </c>
      <c r="D1474" s="390" t="s">
        <v>562</v>
      </c>
      <c r="E1474" s="403">
        <f t="shared" si="36"/>
        <v>1</v>
      </c>
      <c r="F1474" s="433" t="str">
        <f>F1473</f>
        <v>Is there documented evidence that annual training and exercises are being carried out to achieve the objective of supporting a state of readiness in the event of an emergency?</v>
      </c>
      <c r="G1474" s="388" t="s">
        <v>1193</v>
      </c>
      <c r="H1474" s="390">
        <v>2</v>
      </c>
      <c r="I1474" s="390">
        <v>2</v>
      </c>
      <c r="J1474" s="390"/>
      <c r="K1474" s="398">
        <f>_xlfn.IFNA(VLOOKUP(A1474,numbering!$K$3:$L$92,2,0),0)</f>
        <v>0</v>
      </c>
    </row>
    <row r="1475" spans="1:11" ht="48" hidden="1" x14ac:dyDescent="0.2">
      <c r="A1475" s="390">
        <v>416</v>
      </c>
      <c r="B1475" s="390" t="s">
        <v>561</v>
      </c>
      <c r="C1475" s="390">
        <f>VLOOKUP(B1475,numbering!$N$18:$O$30,2,0)</f>
        <v>10</v>
      </c>
      <c r="D1475" s="390" t="s">
        <v>562</v>
      </c>
      <c r="E1475" s="403">
        <f t="shared" si="36"/>
        <v>1</v>
      </c>
      <c r="F1475" s="433" t="str">
        <f>F1474</f>
        <v>Is there documented evidence that annual training and exercises are being carried out to achieve the objective of supporting a state of readiness in the event of an emergency?</v>
      </c>
      <c r="G1475" s="388" t="s">
        <v>1194</v>
      </c>
      <c r="H1475" s="390">
        <v>3</v>
      </c>
      <c r="I1475" s="390">
        <v>3</v>
      </c>
      <c r="J1475" s="390"/>
      <c r="K1475" s="398">
        <f>_xlfn.IFNA(VLOOKUP(A1475,numbering!$K$3:$L$92,2,0),0)</f>
        <v>0</v>
      </c>
    </row>
    <row r="1476" spans="1:11" ht="48" hidden="1" x14ac:dyDescent="0.2">
      <c r="A1476" s="390">
        <v>416</v>
      </c>
      <c r="B1476" s="390" t="s">
        <v>561</v>
      </c>
      <c r="C1476" s="390">
        <f>VLOOKUP(B1476,numbering!$N$18:$O$30,2,0)</f>
        <v>10</v>
      </c>
      <c r="D1476" s="390" t="s">
        <v>562</v>
      </c>
      <c r="E1476" s="403">
        <f t="shared" si="36"/>
        <v>1</v>
      </c>
      <c r="F1476" s="433" t="str">
        <f>F1475</f>
        <v>Is there documented evidence that annual training and exercises are being carried out to achieve the objective of supporting a state of readiness in the event of an emergency?</v>
      </c>
      <c r="G1476" s="388" t="s">
        <v>1195</v>
      </c>
      <c r="H1476" s="390">
        <v>4</v>
      </c>
      <c r="I1476" s="390">
        <v>4</v>
      </c>
      <c r="J1476" s="390"/>
      <c r="K1476" s="398">
        <f>_xlfn.IFNA(VLOOKUP(A1476,numbering!$K$3:$L$92,2,0),0)</f>
        <v>0</v>
      </c>
    </row>
    <row r="1477" spans="1:11" ht="48" hidden="1" x14ac:dyDescent="0.2">
      <c r="A1477" s="390">
        <v>417</v>
      </c>
      <c r="B1477" s="390" t="s">
        <v>561</v>
      </c>
      <c r="C1477" s="390">
        <f>VLOOKUP(B1477,numbering!$N$18:$O$30,2,0)</f>
        <v>10</v>
      </c>
      <c r="D1477" s="390" t="s">
        <v>562</v>
      </c>
      <c r="E1477" s="403">
        <f t="shared" si="36"/>
        <v>1</v>
      </c>
      <c r="F1477" s="433" t="s">
        <v>573</v>
      </c>
      <c r="G1477" s="388" t="s">
        <v>1192</v>
      </c>
      <c r="H1477" s="390">
        <v>1</v>
      </c>
      <c r="I1477" s="390">
        <v>1</v>
      </c>
      <c r="J1477" s="390"/>
      <c r="K1477" s="398">
        <f>_xlfn.IFNA(VLOOKUP(A1477,numbering!$K$3:$L$92,2,0),0)</f>
        <v>0</v>
      </c>
    </row>
    <row r="1478" spans="1:11" ht="48" hidden="1" x14ac:dyDescent="0.2">
      <c r="A1478" s="390">
        <v>417</v>
      </c>
      <c r="B1478" s="390" t="s">
        <v>561</v>
      </c>
      <c r="C1478" s="390">
        <f>VLOOKUP(B1478,numbering!$N$18:$O$30,2,0)</f>
        <v>10</v>
      </c>
      <c r="D1478" s="390" t="s">
        <v>562</v>
      </c>
      <c r="E1478" s="403">
        <f t="shared" si="36"/>
        <v>1</v>
      </c>
      <c r="F1478" s="433" t="str">
        <f>F1477</f>
        <v>Is there documented evidence that resources required in the event of an emergency have been secured or that there are plans to secure them to achieve the objective of supporting a state of readiness?</v>
      </c>
      <c r="G1478" s="388" t="s">
        <v>1193</v>
      </c>
      <c r="H1478" s="390">
        <v>2</v>
      </c>
      <c r="I1478" s="390">
        <v>2</v>
      </c>
      <c r="J1478" s="390"/>
      <c r="K1478" s="398">
        <f>_xlfn.IFNA(VLOOKUP(A1478,numbering!$K$3:$L$92,2,0),0)</f>
        <v>0</v>
      </c>
    </row>
    <row r="1479" spans="1:11" ht="48" hidden="1" x14ac:dyDescent="0.2">
      <c r="A1479" s="390">
        <v>417</v>
      </c>
      <c r="B1479" s="390" t="s">
        <v>561</v>
      </c>
      <c r="C1479" s="390">
        <f>VLOOKUP(B1479,numbering!$N$18:$O$30,2,0)</f>
        <v>10</v>
      </c>
      <c r="D1479" s="390" t="s">
        <v>562</v>
      </c>
      <c r="E1479" s="403">
        <f t="shared" si="36"/>
        <v>1</v>
      </c>
      <c r="F1479" s="433" t="str">
        <f>F1478</f>
        <v>Is there documented evidence that resources required in the event of an emergency have been secured or that there are plans to secure them to achieve the objective of supporting a state of readiness?</v>
      </c>
      <c r="G1479" s="388" t="s">
        <v>1194</v>
      </c>
      <c r="H1479" s="390">
        <v>3</v>
      </c>
      <c r="I1479" s="390">
        <v>3</v>
      </c>
      <c r="J1479" s="390"/>
      <c r="K1479" s="398">
        <f>_xlfn.IFNA(VLOOKUP(A1479,numbering!$K$3:$L$92,2,0),0)</f>
        <v>0</v>
      </c>
    </row>
    <row r="1480" spans="1:11" ht="48" hidden="1" x14ac:dyDescent="0.2">
      <c r="A1480" s="390">
        <v>417</v>
      </c>
      <c r="B1480" s="390" t="s">
        <v>561</v>
      </c>
      <c r="C1480" s="390">
        <f>VLOOKUP(B1480,numbering!$N$18:$O$30,2,0)</f>
        <v>10</v>
      </c>
      <c r="D1480" s="390" t="s">
        <v>562</v>
      </c>
      <c r="E1480" s="403">
        <f t="shared" si="36"/>
        <v>1</v>
      </c>
      <c r="F1480" s="433" t="str">
        <f>F1479</f>
        <v>Is there documented evidence that resources required in the event of an emergency have been secured or that there are plans to secure them to achieve the objective of supporting a state of readiness?</v>
      </c>
      <c r="G1480" s="388" t="s">
        <v>1195</v>
      </c>
      <c r="H1480" s="390">
        <v>4</v>
      </c>
      <c r="I1480" s="390">
        <v>4</v>
      </c>
      <c r="J1480" s="390"/>
      <c r="K1480" s="398">
        <f>_xlfn.IFNA(VLOOKUP(A1480,numbering!$K$3:$L$92,2,0),0)</f>
        <v>0</v>
      </c>
    </row>
    <row r="1481" spans="1:11" ht="56" hidden="1" x14ac:dyDescent="0.2">
      <c r="A1481" s="390">
        <v>418</v>
      </c>
      <c r="B1481" s="390" t="s">
        <v>561</v>
      </c>
      <c r="C1481" s="390">
        <f>VLOOKUP(B1481,numbering!$N$18:$O$30,2,0)</f>
        <v>10</v>
      </c>
      <c r="D1481" s="390" t="s">
        <v>562</v>
      </c>
      <c r="E1481" s="403">
        <f t="shared" si="36"/>
        <v>1</v>
      </c>
      <c r="F1481" s="433" t="s">
        <v>574</v>
      </c>
      <c r="G1481" s="388" t="s">
        <v>1192</v>
      </c>
      <c r="H1481" s="390">
        <v>1</v>
      </c>
      <c r="I1481" s="390">
        <v>1</v>
      </c>
      <c r="J1481" s="390"/>
      <c r="K1481" s="398">
        <f>_xlfn.IFNA(VLOOKUP(A1481,numbering!$K$3:$L$92,2,0),0)</f>
        <v>0</v>
      </c>
    </row>
    <row r="1482" spans="1:11" ht="56" hidden="1" x14ac:dyDescent="0.2">
      <c r="A1482" s="390">
        <v>418</v>
      </c>
      <c r="B1482" s="390" t="s">
        <v>561</v>
      </c>
      <c r="C1482" s="390">
        <f>VLOOKUP(B1482,numbering!$N$18:$O$30,2,0)</f>
        <v>10</v>
      </c>
      <c r="D1482" s="390" t="s">
        <v>562</v>
      </c>
      <c r="E1482" s="403">
        <f t="shared" si="36"/>
        <v>1</v>
      </c>
      <c r="F1482" s="433" t="str">
        <f>F1481</f>
        <v>Is there documented evidence of emergency response simulations being carried out at the required frequency stated in the Dam Safety Emergency Plan/ Emergency Response Plan and at least every three years to achieve the objective of supporting a state of readiness?</v>
      </c>
      <c r="G1482" s="388" t="s">
        <v>1193</v>
      </c>
      <c r="H1482" s="390">
        <v>2</v>
      </c>
      <c r="I1482" s="390">
        <v>2</v>
      </c>
      <c r="J1482" s="390"/>
      <c r="K1482" s="398">
        <f>_xlfn.IFNA(VLOOKUP(A1482,numbering!$K$3:$L$92,2,0),0)</f>
        <v>0</v>
      </c>
    </row>
    <row r="1483" spans="1:11" ht="56" hidden="1" x14ac:dyDescent="0.2">
      <c r="A1483" s="390">
        <v>418</v>
      </c>
      <c r="B1483" s="390" t="s">
        <v>561</v>
      </c>
      <c r="C1483" s="390">
        <f>VLOOKUP(B1483,numbering!$N$18:$O$30,2,0)</f>
        <v>10</v>
      </c>
      <c r="D1483" s="390" t="s">
        <v>562</v>
      </c>
      <c r="E1483" s="403">
        <f t="shared" si="36"/>
        <v>1</v>
      </c>
      <c r="F1483" s="433" t="str">
        <f>F1482</f>
        <v>Is there documented evidence of emergency response simulations being carried out at the required frequency stated in the Dam Safety Emergency Plan/ Emergency Response Plan and at least every three years to achieve the objective of supporting a state of readiness?</v>
      </c>
      <c r="G1483" s="388" t="s">
        <v>1194</v>
      </c>
      <c r="H1483" s="390">
        <v>3</v>
      </c>
      <c r="I1483" s="390">
        <v>3</v>
      </c>
      <c r="J1483" s="390"/>
      <c r="K1483" s="398">
        <f>_xlfn.IFNA(VLOOKUP(A1483,numbering!$K$3:$L$92,2,0),0)</f>
        <v>0</v>
      </c>
    </row>
    <row r="1484" spans="1:11" ht="56" hidden="1" x14ac:dyDescent="0.2">
      <c r="A1484" s="390">
        <v>418</v>
      </c>
      <c r="B1484" s="390" t="s">
        <v>561</v>
      </c>
      <c r="C1484" s="390">
        <f>VLOOKUP(B1484,numbering!$N$18:$O$30,2,0)</f>
        <v>10</v>
      </c>
      <c r="D1484" s="390" t="s">
        <v>562</v>
      </c>
      <c r="E1484" s="403">
        <f t="shared" si="36"/>
        <v>1</v>
      </c>
      <c r="F1484" s="433" t="str">
        <f>F1483</f>
        <v>Is there documented evidence of emergency response simulations being carried out at the required frequency stated in the Dam Safety Emergency Plan/ Emergency Response Plan and at least every three years to achieve the objective of supporting a state of readiness?</v>
      </c>
      <c r="G1484" s="388" t="s">
        <v>1195</v>
      </c>
      <c r="H1484" s="390">
        <v>4</v>
      </c>
      <c r="I1484" s="390">
        <v>4</v>
      </c>
      <c r="J1484" s="390"/>
      <c r="K1484" s="398">
        <f>_xlfn.IFNA(VLOOKUP(A1484,numbering!$K$3:$L$92,2,0),0)</f>
        <v>0</v>
      </c>
    </row>
    <row r="1485" spans="1:11" ht="70" hidden="1" x14ac:dyDescent="0.2">
      <c r="A1485" s="390">
        <v>419</v>
      </c>
      <c r="B1485" s="390" t="s">
        <v>561</v>
      </c>
      <c r="C1485" s="390">
        <f>VLOOKUP(B1485,numbering!$N$18:$O$30,2,0)</f>
        <v>10</v>
      </c>
      <c r="D1485" s="390" t="s">
        <v>562</v>
      </c>
      <c r="E1485" s="403">
        <f t="shared" si="36"/>
        <v>1</v>
      </c>
      <c r="F1485" s="433" t="s">
        <v>575</v>
      </c>
      <c r="G1485" s="388" t="s">
        <v>1192</v>
      </c>
      <c r="H1485" s="390">
        <v>1</v>
      </c>
      <c r="I1485" s="390">
        <v>1</v>
      </c>
      <c r="J1485" s="390"/>
      <c r="K1485" s="398">
        <f>_xlfn.IFNA(VLOOKUP(A1485,numbering!$K$3:$L$92,2,0),0)</f>
        <v>0</v>
      </c>
    </row>
    <row r="1486" spans="1:11" ht="70" hidden="1" x14ac:dyDescent="0.2">
      <c r="A1486" s="390">
        <v>419</v>
      </c>
      <c r="B1486" s="390" t="s">
        <v>561</v>
      </c>
      <c r="C1486" s="390">
        <f>VLOOKUP(B1486,numbering!$N$18:$O$30,2,0)</f>
        <v>10</v>
      </c>
      <c r="D1486" s="390" t="s">
        <v>562</v>
      </c>
      <c r="E1486" s="403">
        <f t="shared" si="36"/>
        <v>1</v>
      </c>
      <c r="F1486" s="433" t="str">
        <f>F1485</f>
        <v>Is there documented evidence that the resources required to provide immediate response to save lives, supply humanitarian aid and minimise environmental harm are understood, with a documented commitment to supply these resources in the event of an emergency to achieve the objective of supporting effective emergency recovery?</v>
      </c>
      <c r="G1486" s="388" t="s">
        <v>1193</v>
      </c>
      <c r="H1486" s="390">
        <v>2</v>
      </c>
      <c r="I1486" s="390">
        <v>2</v>
      </c>
      <c r="J1486" s="390"/>
      <c r="K1486" s="398">
        <f>_xlfn.IFNA(VLOOKUP(A1486,numbering!$K$3:$L$92,2,0),0)</f>
        <v>0</v>
      </c>
    </row>
    <row r="1487" spans="1:11" ht="70" hidden="1" x14ac:dyDescent="0.2">
      <c r="A1487" s="390">
        <v>419</v>
      </c>
      <c r="B1487" s="390" t="s">
        <v>561</v>
      </c>
      <c r="C1487" s="390">
        <f>VLOOKUP(B1487,numbering!$N$18:$O$30,2,0)</f>
        <v>10</v>
      </c>
      <c r="D1487" s="390" t="s">
        <v>562</v>
      </c>
      <c r="E1487" s="403">
        <f t="shared" si="36"/>
        <v>1</v>
      </c>
      <c r="F1487" s="433" t="str">
        <f>F1486</f>
        <v>Is there documented evidence that the resources required to provide immediate response to save lives, supply humanitarian aid and minimise environmental harm are understood, with a documented commitment to supply these resources in the event of an emergency to achieve the objective of supporting effective emergency recovery?</v>
      </c>
      <c r="G1487" s="388" t="s">
        <v>1194</v>
      </c>
      <c r="H1487" s="390">
        <v>3</v>
      </c>
      <c r="I1487" s="390">
        <v>3</v>
      </c>
      <c r="J1487" s="390"/>
      <c r="K1487" s="398">
        <f>_xlfn.IFNA(VLOOKUP(A1487,numbering!$K$3:$L$92,2,0),0)</f>
        <v>0</v>
      </c>
    </row>
    <row r="1488" spans="1:11" ht="70" hidden="1" x14ac:dyDescent="0.2">
      <c r="A1488" s="390">
        <v>419</v>
      </c>
      <c r="B1488" s="390" t="s">
        <v>561</v>
      </c>
      <c r="C1488" s="390">
        <f>VLOOKUP(B1488,numbering!$N$18:$O$30,2,0)</f>
        <v>10</v>
      </c>
      <c r="D1488" s="390" t="s">
        <v>562</v>
      </c>
      <c r="E1488" s="403">
        <f t="shared" si="36"/>
        <v>1</v>
      </c>
      <c r="F1488" s="433" t="str">
        <f>F1487</f>
        <v>Is there documented evidence that the resources required to provide immediate response to save lives, supply humanitarian aid and minimise environmental harm are understood, with a documented commitment to supply these resources in the event of an emergency to achieve the objective of supporting effective emergency recovery?</v>
      </c>
      <c r="G1488" s="388" t="s">
        <v>1195</v>
      </c>
      <c r="H1488" s="390">
        <v>4</v>
      </c>
      <c r="I1488" s="390">
        <v>4</v>
      </c>
      <c r="J1488" s="390"/>
      <c r="K1488" s="398">
        <f>_xlfn.IFNA(VLOOKUP(A1488,numbering!$K$3:$L$92,2,0),0)</f>
        <v>0</v>
      </c>
    </row>
    <row r="1489" spans="1:11" ht="70" hidden="1" x14ac:dyDescent="0.2">
      <c r="A1489" s="390">
        <v>420</v>
      </c>
      <c r="B1489" s="390" t="s">
        <v>561</v>
      </c>
      <c r="C1489" s="390">
        <f>VLOOKUP(B1489,numbering!$N$18:$O$30,2,0)</f>
        <v>10</v>
      </c>
      <c r="D1489" s="390" t="s">
        <v>576</v>
      </c>
      <c r="E1489" s="403">
        <f t="shared" si="36"/>
        <v>2</v>
      </c>
      <c r="F1489" s="433" t="s">
        <v>577</v>
      </c>
      <c r="G1489" s="388" t="s">
        <v>1192</v>
      </c>
      <c r="H1489" s="390">
        <v>1</v>
      </c>
      <c r="I1489" s="390">
        <v>1</v>
      </c>
      <c r="J1489" s="390"/>
      <c r="K1489" s="398">
        <f>_xlfn.IFNA(VLOOKUP(A1489,numbering!$K$3:$L$92,2,0),0)</f>
        <v>0</v>
      </c>
    </row>
    <row r="1490" spans="1:11" ht="70" hidden="1" x14ac:dyDescent="0.2">
      <c r="A1490" s="390">
        <v>420</v>
      </c>
      <c r="B1490" s="390" t="s">
        <v>561</v>
      </c>
      <c r="C1490" s="390">
        <f>VLOOKUP(B1490,numbering!$N$18:$O$30,2,0)</f>
        <v>10</v>
      </c>
      <c r="D1490" s="390" t="s">
        <v>576</v>
      </c>
      <c r="E1490" s="403">
        <f t="shared" si="36"/>
        <v>2</v>
      </c>
      <c r="F1490" s="433" t="str">
        <f>F1489</f>
        <v>Is there documented evidence that public sector agencies and other organisations that would participate in medium and long-term social and environmental post-failure response strategies were meaningfully engaged to achieve the objective of informing these parties on the estimated potential consequences of failure?</v>
      </c>
      <c r="G1490" s="388" t="s">
        <v>1193</v>
      </c>
      <c r="H1490" s="390">
        <v>2</v>
      </c>
      <c r="I1490" s="390">
        <v>2</v>
      </c>
      <c r="J1490" s="390"/>
      <c r="K1490" s="398">
        <f>_xlfn.IFNA(VLOOKUP(A1490,numbering!$K$3:$L$92,2,0),0)</f>
        <v>0</v>
      </c>
    </row>
    <row r="1491" spans="1:11" ht="70" hidden="1" x14ac:dyDescent="0.2">
      <c r="A1491" s="390">
        <v>420</v>
      </c>
      <c r="B1491" s="390" t="s">
        <v>561</v>
      </c>
      <c r="C1491" s="390">
        <f>VLOOKUP(B1491,numbering!$N$18:$O$30,2,0)</f>
        <v>10</v>
      </c>
      <c r="D1491" s="390" t="s">
        <v>576</v>
      </c>
      <c r="E1491" s="403">
        <f t="shared" si="36"/>
        <v>2</v>
      </c>
      <c r="F1491" s="433" t="str">
        <f>F1490</f>
        <v>Is there documented evidence that public sector agencies and other organisations that would participate in medium and long-term social and environmental post-failure response strategies were meaningfully engaged to achieve the objective of informing these parties on the estimated potential consequences of failure?</v>
      </c>
      <c r="G1491" s="388" t="s">
        <v>1194</v>
      </c>
      <c r="H1491" s="390">
        <v>3</v>
      </c>
      <c r="I1491" s="390">
        <v>3</v>
      </c>
      <c r="J1491" s="390"/>
      <c r="K1491" s="398">
        <f>_xlfn.IFNA(VLOOKUP(A1491,numbering!$K$3:$L$92,2,0),0)</f>
        <v>0</v>
      </c>
    </row>
    <row r="1492" spans="1:11" ht="70" hidden="1" x14ac:dyDescent="0.2">
      <c r="A1492" s="390">
        <v>420</v>
      </c>
      <c r="B1492" s="390" t="s">
        <v>561</v>
      </c>
      <c r="C1492" s="390">
        <f>VLOOKUP(B1492,numbering!$N$18:$O$30,2,0)</f>
        <v>10</v>
      </c>
      <c r="D1492" s="390" t="s">
        <v>576</v>
      </c>
      <c r="E1492" s="403">
        <f t="shared" si="36"/>
        <v>2</v>
      </c>
      <c r="F1492" s="433" t="str">
        <f>F1491</f>
        <v>Is there documented evidence that public sector agencies and other organisations that would participate in medium and long-term social and environmental post-failure response strategies were meaningfully engaged to achieve the objective of informing these parties on the estimated potential consequences of failure?</v>
      </c>
      <c r="G1492" s="388" t="s">
        <v>1195</v>
      </c>
      <c r="H1492" s="390">
        <v>4</v>
      </c>
      <c r="I1492" s="390">
        <v>4</v>
      </c>
      <c r="J1492" s="390"/>
      <c r="K1492" s="398">
        <f>_xlfn.IFNA(VLOOKUP(A1492,numbering!$K$3:$L$92,2,0),0)</f>
        <v>0</v>
      </c>
    </row>
    <row r="1493" spans="1:11" ht="84" hidden="1" x14ac:dyDescent="0.2">
      <c r="A1493" s="390">
        <v>421</v>
      </c>
      <c r="B1493" s="390" t="s">
        <v>561</v>
      </c>
      <c r="C1493" s="390">
        <f>VLOOKUP(B1493,numbering!$N$18:$O$30,2,0)</f>
        <v>10</v>
      </c>
      <c r="D1493" s="390" t="s">
        <v>576</v>
      </c>
      <c r="E1493" s="403">
        <f t="shared" si="36"/>
        <v>2</v>
      </c>
      <c r="F1493" s="433" t="s">
        <v>578</v>
      </c>
      <c r="G1493" s="388" t="s">
        <v>1192</v>
      </c>
      <c r="H1493" s="390">
        <v>1</v>
      </c>
      <c r="I1493" s="390">
        <v>1</v>
      </c>
      <c r="J1493" s="390"/>
      <c r="K1493" s="398">
        <f>_xlfn.IFNA(VLOOKUP(A1493,numbering!$K$3:$L$92,2,0),0)</f>
        <v>0</v>
      </c>
    </row>
    <row r="1494" spans="1:11" ht="84" hidden="1" x14ac:dyDescent="0.2">
      <c r="A1494" s="390">
        <v>421</v>
      </c>
      <c r="B1494" s="390" t="s">
        <v>561</v>
      </c>
      <c r="C1494" s="390">
        <f>VLOOKUP(B1494,numbering!$N$18:$O$30,2,0)</f>
        <v>10</v>
      </c>
      <c r="D1494" s="390" t="s">
        <v>576</v>
      </c>
      <c r="E1494" s="403">
        <f t="shared" si="36"/>
        <v>2</v>
      </c>
      <c r="F1494" s="433" t="str">
        <f>F1493</f>
        <v>As an outcome of as a result of engagement with public sector agencies and other organisations, is there documented evidence that the objective of detailing actions, plans and required resources required to assist medium and long-term social and environmental post-failure response strategies, including plans to develop and implement reconstruction, restoration and recovery plans was achieved?</v>
      </c>
      <c r="G1494" s="388" t="s">
        <v>1193</v>
      </c>
      <c r="H1494" s="390">
        <v>2</v>
      </c>
      <c r="I1494" s="390">
        <v>2</v>
      </c>
      <c r="J1494" s="390"/>
      <c r="K1494" s="398">
        <f>_xlfn.IFNA(VLOOKUP(A1494,numbering!$K$3:$L$92,2,0),0)</f>
        <v>0</v>
      </c>
    </row>
    <row r="1495" spans="1:11" ht="84" hidden="1" x14ac:dyDescent="0.2">
      <c r="A1495" s="390">
        <v>421</v>
      </c>
      <c r="B1495" s="390" t="s">
        <v>561</v>
      </c>
      <c r="C1495" s="390">
        <f>VLOOKUP(B1495,numbering!$N$18:$O$30,2,0)</f>
        <v>10</v>
      </c>
      <c r="D1495" s="390" t="s">
        <v>576</v>
      </c>
      <c r="E1495" s="403">
        <f t="shared" si="36"/>
        <v>2</v>
      </c>
      <c r="F1495" s="433" t="str">
        <f>F1494</f>
        <v>As an outcome of as a result of engagement with public sector agencies and other organisations, is there documented evidence that the objective of detailing actions, plans and required resources required to assist medium and long-term social and environmental post-failure response strategies, including plans to develop and implement reconstruction, restoration and recovery plans was achieved?</v>
      </c>
      <c r="G1495" s="388" t="s">
        <v>1194</v>
      </c>
      <c r="H1495" s="390">
        <v>3</v>
      </c>
      <c r="I1495" s="390">
        <v>3</v>
      </c>
      <c r="J1495" s="390"/>
      <c r="K1495" s="398">
        <f>_xlfn.IFNA(VLOOKUP(A1495,numbering!$K$3:$L$92,2,0),0)</f>
        <v>0</v>
      </c>
    </row>
    <row r="1496" spans="1:11" ht="84" hidden="1" x14ac:dyDescent="0.2">
      <c r="A1496" s="390">
        <v>421</v>
      </c>
      <c r="B1496" s="390" t="s">
        <v>561</v>
      </c>
      <c r="C1496" s="390">
        <f>VLOOKUP(B1496,numbering!$N$18:$O$30,2,0)</f>
        <v>10</v>
      </c>
      <c r="D1496" s="390" t="s">
        <v>576</v>
      </c>
      <c r="E1496" s="403">
        <f t="shared" si="36"/>
        <v>2</v>
      </c>
      <c r="F1496" s="433" t="str">
        <f>F1495</f>
        <v>As an outcome of as a result of engagement with public sector agencies and other organisations, is there documented evidence that the objective of detailing actions, plans and required resources required to assist medium and long-term social and environmental post-failure response strategies, including plans to develop and implement reconstruction, restoration and recovery plans was achieved?</v>
      </c>
      <c r="G1496" s="388" t="s">
        <v>1195</v>
      </c>
      <c r="H1496" s="390">
        <v>4</v>
      </c>
      <c r="I1496" s="390">
        <v>4</v>
      </c>
      <c r="J1496" s="390"/>
      <c r="K1496" s="398">
        <f>_xlfn.IFNA(VLOOKUP(A1496,numbering!$K$3:$L$92,2,0),0)</f>
        <v>0</v>
      </c>
    </row>
    <row r="1497" spans="1:11" ht="84" hidden="1" x14ac:dyDescent="0.2">
      <c r="A1497" s="390">
        <v>422</v>
      </c>
      <c r="B1497" s="390" t="s">
        <v>561</v>
      </c>
      <c r="C1497" s="390">
        <f>VLOOKUP(B1497,numbering!$N$18:$O$30,2,0)</f>
        <v>10</v>
      </c>
      <c r="D1497" s="390" t="s">
        <v>576</v>
      </c>
      <c r="E1497" s="403">
        <f t="shared" si="36"/>
        <v>2</v>
      </c>
      <c r="F1497" s="433" t="s">
        <v>579</v>
      </c>
      <c r="G1497" s="388" t="s">
        <v>1192</v>
      </c>
      <c r="H1497" s="390">
        <v>1</v>
      </c>
      <c r="I1497" s="390">
        <v>1</v>
      </c>
      <c r="J1497" s="390"/>
      <c r="K1497" s="398">
        <f>_xlfn.IFNA(VLOOKUP(A1497,numbering!$K$3:$L$92,2,0),0)</f>
        <v>0</v>
      </c>
    </row>
    <row r="1498" spans="1:11" ht="84" hidden="1" x14ac:dyDescent="0.2">
      <c r="A1498" s="390">
        <v>422</v>
      </c>
      <c r="B1498" s="390" t="s">
        <v>561</v>
      </c>
      <c r="C1498" s="390">
        <f>VLOOKUP(B1498,numbering!$N$18:$O$30,2,0)</f>
        <v>10</v>
      </c>
      <c r="D1498" s="390" t="s">
        <v>576</v>
      </c>
      <c r="E1498" s="403">
        <f t="shared" si="36"/>
        <v>2</v>
      </c>
      <c r="F1498" s="433" t="str">
        <f>F1497</f>
        <v>As an outcome of as a result of engagement with public sector agencies and other organisations, is there documented evidence that a commitment was made to achieve the objectives of developing and implementing medium and long-term reconstruction, restoration and recovery plans and define of post-failure outcomes and thresholds in the event of a facility failure, as well as to include participation of affected people?</v>
      </c>
      <c r="G1498" s="388" t="s">
        <v>1193</v>
      </c>
      <c r="H1498" s="390">
        <v>2</v>
      </c>
      <c r="I1498" s="390">
        <v>2</v>
      </c>
      <c r="J1498" s="390"/>
      <c r="K1498" s="398">
        <f>_xlfn.IFNA(VLOOKUP(A1498,numbering!$K$3:$L$92,2,0),0)</f>
        <v>0</v>
      </c>
    </row>
    <row r="1499" spans="1:11" ht="84" hidden="1" x14ac:dyDescent="0.2">
      <c r="A1499" s="390">
        <v>422</v>
      </c>
      <c r="B1499" s="390" t="s">
        <v>561</v>
      </c>
      <c r="C1499" s="390">
        <f>VLOOKUP(B1499,numbering!$N$18:$O$30,2,0)</f>
        <v>10</v>
      </c>
      <c r="D1499" s="390" t="s">
        <v>576</v>
      </c>
      <c r="E1499" s="403">
        <f t="shared" si="36"/>
        <v>2</v>
      </c>
      <c r="F1499" s="433" t="str">
        <f>F1498</f>
        <v>As an outcome of as a result of engagement with public sector agencies and other organisations, is there documented evidence that a commitment was made to achieve the objectives of developing and implementing medium and long-term reconstruction, restoration and recovery plans and define of post-failure outcomes and thresholds in the event of a facility failure, as well as to include participation of affected people?</v>
      </c>
      <c r="G1499" s="388" t="s">
        <v>1194</v>
      </c>
      <c r="H1499" s="390">
        <v>3</v>
      </c>
      <c r="I1499" s="390">
        <v>3</v>
      </c>
      <c r="J1499" s="390"/>
      <c r="K1499" s="398">
        <f>_xlfn.IFNA(VLOOKUP(A1499,numbering!$K$3:$L$92,2,0),0)</f>
        <v>0</v>
      </c>
    </row>
    <row r="1500" spans="1:11" ht="84" hidden="1" x14ac:dyDescent="0.2">
      <c r="A1500" s="390">
        <v>422</v>
      </c>
      <c r="B1500" s="390" t="s">
        <v>561</v>
      </c>
      <c r="C1500" s="390">
        <f>VLOOKUP(B1500,numbering!$N$18:$O$30,2,0)</f>
        <v>10</v>
      </c>
      <c r="D1500" s="390" t="s">
        <v>576</v>
      </c>
      <c r="E1500" s="403">
        <f t="shared" si="36"/>
        <v>2</v>
      </c>
      <c r="F1500" s="433" t="str">
        <f>F1499</f>
        <v>As an outcome of as a result of engagement with public sector agencies and other organisations, is there documented evidence that a commitment was made to achieve the objectives of developing and implementing medium and long-term reconstruction, restoration and recovery plans and define of post-failure outcomes and thresholds in the event of a facility failure, as well as to include participation of affected people?</v>
      </c>
      <c r="G1500" s="388" t="s">
        <v>1195</v>
      </c>
      <c r="H1500" s="390">
        <v>4</v>
      </c>
      <c r="I1500" s="390">
        <v>4</v>
      </c>
      <c r="J1500" s="390"/>
      <c r="K1500" s="398">
        <f>_xlfn.IFNA(VLOOKUP(A1500,numbering!$K$3:$L$92,2,0),0)</f>
        <v>0</v>
      </c>
    </row>
    <row r="1501" spans="1:11" ht="42" hidden="1" x14ac:dyDescent="0.2">
      <c r="A1501" s="390">
        <v>423</v>
      </c>
      <c r="B1501" s="390" t="s">
        <v>561</v>
      </c>
      <c r="C1501" s="390">
        <f>VLOOKUP(B1501,numbering!$N$18:$O$30,2,0)</f>
        <v>10</v>
      </c>
      <c r="D1501" s="390" t="s">
        <v>576</v>
      </c>
      <c r="E1501" s="403">
        <f t="shared" si="36"/>
        <v>2</v>
      </c>
      <c r="F1501" s="433" t="s">
        <v>580</v>
      </c>
      <c r="G1501" s="388" t="s">
        <v>1192</v>
      </c>
      <c r="H1501" s="390">
        <v>1</v>
      </c>
      <c r="I1501" s="390">
        <v>1</v>
      </c>
      <c r="J1501" s="390"/>
      <c r="K1501" s="398">
        <f>_xlfn.IFNA(VLOOKUP(A1501,numbering!$K$3:$L$92,2,0),0)</f>
        <v>0</v>
      </c>
    </row>
    <row r="1502" spans="1:11" ht="42" hidden="1" x14ac:dyDescent="0.2">
      <c r="A1502" s="390">
        <v>423</v>
      </c>
      <c r="B1502" s="390" t="s">
        <v>561</v>
      </c>
      <c r="C1502" s="390">
        <f>VLOOKUP(B1502,numbering!$N$18:$O$30,2,0)</f>
        <v>10</v>
      </c>
      <c r="D1502" s="390" t="s">
        <v>576</v>
      </c>
      <c r="E1502" s="403">
        <f t="shared" si="36"/>
        <v>2</v>
      </c>
      <c r="F1502" s="433" t="str">
        <f>F1501</f>
        <v>Is there documented evidence of plans that achieve the objective of assessing social, environmental and local economic impacts after people are safe and short-term survival needs are met in the event of facility failure?</v>
      </c>
      <c r="G1502" s="388" t="s">
        <v>1193</v>
      </c>
      <c r="H1502" s="390">
        <v>2</v>
      </c>
      <c r="I1502" s="390">
        <v>2</v>
      </c>
      <c r="J1502" s="390"/>
      <c r="K1502" s="398">
        <f>_xlfn.IFNA(VLOOKUP(A1502,numbering!$K$3:$L$92,2,0),0)</f>
        <v>0</v>
      </c>
    </row>
    <row r="1503" spans="1:11" ht="42" hidden="1" x14ac:dyDescent="0.2">
      <c r="A1503" s="390">
        <v>423</v>
      </c>
      <c r="B1503" s="390" t="s">
        <v>561</v>
      </c>
      <c r="C1503" s="390">
        <f>VLOOKUP(B1503,numbering!$N$18:$O$30,2,0)</f>
        <v>10</v>
      </c>
      <c r="D1503" s="390" t="s">
        <v>576</v>
      </c>
      <c r="E1503" s="403">
        <f t="shared" si="36"/>
        <v>2</v>
      </c>
      <c r="F1503" s="433" t="str">
        <f>F1502</f>
        <v>Is there documented evidence of plans that achieve the objective of assessing social, environmental and local economic impacts after people are safe and short-term survival needs are met in the event of facility failure?</v>
      </c>
      <c r="G1503" s="388" t="s">
        <v>1194</v>
      </c>
      <c r="H1503" s="390">
        <v>3</v>
      </c>
      <c r="I1503" s="390">
        <v>3</v>
      </c>
      <c r="J1503" s="390"/>
      <c r="K1503" s="398">
        <f>_xlfn.IFNA(VLOOKUP(A1503,numbering!$K$3:$L$92,2,0),0)</f>
        <v>0</v>
      </c>
    </row>
    <row r="1504" spans="1:11" ht="42" hidden="1" x14ac:dyDescent="0.2">
      <c r="A1504" s="390">
        <v>423</v>
      </c>
      <c r="B1504" s="390" t="s">
        <v>561</v>
      </c>
      <c r="C1504" s="390">
        <f>VLOOKUP(B1504,numbering!$N$18:$O$30,2,0)</f>
        <v>10</v>
      </c>
      <c r="D1504" s="390" t="s">
        <v>576</v>
      </c>
      <c r="E1504" s="403">
        <f t="shared" si="36"/>
        <v>2</v>
      </c>
      <c r="F1504" s="433" t="str">
        <f>F1503</f>
        <v>Is there documented evidence of plans that achieve the objective of assessing social, environmental and local economic impacts after people are safe and short-term survival needs are met in the event of facility failure?</v>
      </c>
      <c r="G1504" s="388" t="s">
        <v>1195</v>
      </c>
      <c r="H1504" s="390">
        <v>4</v>
      </c>
      <c r="I1504" s="390">
        <v>4</v>
      </c>
      <c r="J1504" s="390"/>
      <c r="K1504" s="398">
        <f>_xlfn.IFNA(VLOOKUP(A1504,numbering!$K$3:$L$92,2,0),0)</f>
        <v>0</v>
      </c>
    </row>
    <row r="1505" spans="1:11" ht="56" hidden="1" x14ac:dyDescent="0.2">
      <c r="A1505" s="390">
        <v>424</v>
      </c>
      <c r="B1505" s="390" t="s">
        <v>561</v>
      </c>
      <c r="C1505" s="390">
        <f>VLOOKUP(B1505,numbering!$N$18:$O$30,2,0)</f>
        <v>10</v>
      </c>
      <c r="D1505" s="390" t="s">
        <v>576</v>
      </c>
      <c r="E1505" s="403">
        <f t="shared" si="36"/>
        <v>2</v>
      </c>
      <c r="F1505" s="433" t="s">
        <v>581</v>
      </c>
      <c r="G1505" s="388" t="s">
        <v>1192</v>
      </c>
      <c r="H1505" s="390">
        <v>1</v>
      </c>
      <c r="I1505" s="390">
        <v>1</v>
      </c>
      <c r="J1505" s="390"/>
      <c r="K1505" s="398">
        <f>_xlfn.IFNA(VLOOKUP(A1505,numbering!$K$3:$L$92,2,0),0)</f>
        <v>0</v>
      </c>
    </row>
    <row r="1506" spans="1:11" ht="56" hidden="1" x14ac:dyDescent="0.2">
      <c r="A1506" s="390">
        <v>424</v>
      </c>
      <c r="B1506" s="390" t="s">
        <v>561</v>
      </c>
      <c r="C1506" s="390">
        <f>VLOOKUP(B1506,numbering!$N$18:$O$30,2,0)</f>
        <v>10</v>
      </c>
      <c r="D1506" s="390" t="s">
        <v>576</v>
      </c>
      <c r="E1506" s="403">
        <f t="shared" si="36"/>
        <v>2</v>
      </c>
      <c r="F1506" s="433" t="str">
        <f>F1505</f>
        <v>Is there a documented evidence that the objective of appropriately identifying and understanding the resources required for potential monitoring and public reporting of post-failure outcomes in the event of a facility failure has been achieved?</v>
      </c>
      <c r="G1506" s="388" t="s">
        <v>1193</v>
      </c>
      <c r="H1506" s="390">
        <v>2</v>
      </c>
      <c r="I1506" s="390">
        <v>2</v>
      </c>
      <c r="J1506" s="390"/>
      <c r="K1506" s="398">
        <f>_xlfn.IFNA(VLOOKUP(A1506,numbering!$K$3:$L$92,2,0),0)</f>
        <v>0</v>
      </c>
    </row>
    <row r="1507" spans="1:11" ht="56" hidden="1" x14ac:dyDescent="0.2">
      <c r="A1507" s="390">
        <v>424</v>
      </c>
      <c r="B1507" s="390" t="s">
        <v>561</v>
      </c>
      <c r="C1507" s="390">
        <f>VLOOKUP(B1507,numbering!$N$18:$O$30,2,0)</f>
        <v>10</v>
      </c>
      <c r="D1507" s="390" t="s">
        <v>576</v>
      </c>
      <c r="E1507" s="403">
        <f t="shared" si="36"/>
        <v>2</v>
      </c>
      <c r="F1507" s="433" t="str">
        <f>F1506</f>
        <v>Is there a documented evidence that the objective of appropriately identifying and understanding the resources required for potential monitoring and public reporting of post-failure outcomes in the event of a facility failure has been achieved?</v>
      </c>
      <c r="G1507" s="388" t="s">
        <v>1194</v>
      </c>
      <c r="H1507" s="390">
        <v>3</v>
      </c>
      <c r="I1507" s="390">
        <v>3</v>
      </c>
      <c r="J1507" s="390"/>
      <c r="K1507" s="398">
        <f>_xlfn.IFNA(VLOOKUP(A1507,numbering!$K$3:$L$92,2,0),0)</f>
        <v>0</v>
      </c>
    </row>
    <row r="1508" spans="1:11" ht="56" hidden="1" x14ac:dyDescent="0.2">
      <c r="A1508" s="390">
        <v>424</v>
      </c>
      <c r="B1508" s="390" t="s">
        <v>561</v>
      </c>
      <c r="C1508" s="390">
        <f>VLOOKUP(B1508,numbering!$N$18:$O$30,2,0)</f>
        <v>10</v>
      </c>
      <c r="D1508" s="390" t="s">
        <v>576</v>
      </c>
      <c r="E1508" s="403">
        <f t="shared" si="36"/>
        <v>2</v>
      </c>
      <c r="F1508" s="433" t="str">
        <f>F1507</f>
        <v>Is there a documented evidence that the objective of appropriately identifying and understanding the resources required for potential monitoring and public reporting of post-failure outcomes in the event of a facility failure has been achieved?</v>
      </c>
      <c r="G1508" s="388" t="s">
        <v>1195</v>
      </c>
      <c r="H1508" s="390">
        <v>4</v>
      </c>
      <c r="I1508" s="390">
        <v>4</v>
      </c>
      <c r="J1508" s="390"/>
      <c r="K1508" s="398">
        <f>_xlfn.IFNA(VLOOKUP(A1508,numbering!$K$3:$L$92,2,0),0)</f>
        <v>0</v>
      </c>
    </row>
    <row r="1509" spans="1:11" ht="75" hidden="1" x14ac:dyDescent="0.2">
      <c r="A1509" s="390">
        <v>425</v>
      </c>
      <c r="B1509" s="390" t="s">
        <v>582</v>
      </c>
      <c r="C1509" s="390">
        <f>VLOOKUP(B1509,numbering!$N$18:$O$30,2,0)</f>
        <v>13</v>
      </c>
      <c r="D1509" s="390" t="s">
        <v>583</v>
      </c>
      <c r="E1509" s="403">
        <f t="shared" si="36"/>
        <v>1</v>
      </c>
      <c r="F1509" s="432" t="s">
        <v>584</v>
      </c>
      <c r="G1509" s="388" t="s">
        <v>1192</v>
      </c>
      <c r="H1509" s="390">
        <v>1</v>
      </c>
      <c r="I1509" s="390">
        <v>1</v>
      </c>
      <c r="J1509" s="390"/>
      <c r="K1509" s="398">
        <f>_xlfn.IFNA(VLOOKUP(A1509,numbering!$K$3:$L$92,2,0),0)</f>
        <v>0</v>
      </c>
    </row>
    <row r="1510" spans="1:11" ht="75" hidden="1" x14ac:dyDescent="0.2">
      <c r="A1510" s="390">
        <v>425</v>
      </c>
      <c r="B1510" s="390" t="s">
        <v>582</v>
      </c>
      <c r="C1510" s="390">
        <f>VLOOKUP(B1510,numbering!$N$18:$O$30,2,0)</f>
        <v>13</v>
      </c>
      <c r="D1510" s="390" t="s">
        <v>583</v>
      </c>
      <c r="E1510" s="403">
        <f t="shared" si="36"/>
        <v>1</v>
      </c>
      <c r="F1510" s="432" t="str">
        <f>F1509</f>
        <v>Is there documented evidence that processes and mechanisms are place to document and incorporate personnel's experience-based knowledge into planning, design and operations for all phases of the facility's life cycle to achieve the objective of incorporating all pertinent information into the facility's knowledge base?</v>
      </c>
      <c r="G1510" s="388" t="s">
        <v>1193</v>
      </c>
      <c r="H1510" s="390">
        <v>2</v>
      </c>
      <c r="I1510" s="390">
        <v>2</v>
      </c>
      <c r="J1510" s="390"/>
      <c r="K1510" s="398">
        <f>_xlfn.IFNA(VLOOKUP(A1510,numbering!$K$3:$L$92,2,0),0)</f>
        <v>0</v>
      </c>
    </row>
    <row r="1511" spans="1:11" ht="75" hidden="1" x14ac:dyDescent="0.2">
      <c r="A1511" s="390">
        <v>425</v>
      </c>
      <c r="B1511" s="390" t="s">
        <v>582</v>
      </c>
      <c r="C1511" s="390">
        <f>VLOOKUP(B1511,numbering!$N$18:$O$30,2,0)</f>
        <v>13</v>
      </c>
      <c r="D1511" s="390" t="s">
        <v>583</v>
      </c>
      <c r="E1511" s="403">
        <f t="shared" si="36"/>
        <v>1</v>
      </c>
      <c r="F1511" s="432" t="str">
        <f>F1510</f>
        <v>Is there documented evidence that processes and mechanisms are place to document and incorporate personnel's experience-based knowledge into planning, design and operations for all phases of the facility's life cycle to achieve the objective of incorporating all pertinent information into the facility's knowledge base?</v>
      </c>
      <c r="G1511" s="388" t="s">
        <v>1194</v>
      </c>
      <c r="H1511" s="390">
        <v>3</v>
      </c>
      <c r="I1511" s="390">
        <v>3</v>
      </c>
      <c r="J1511" s="390"/>
      <c r="K1511" s="398">
        <f>_xlfn.IFNA(VLOOKUP(A1511,numbering!$K$3:$L$92,2,0),0)</f>
        <v>0</v>
      </c>
    </row>
    <row r="1512" spans="1:11" ht="75" hidden="1" x14ac:dyDescent="0.2">
      <c r="A1512" s="390">
        <v>425</v>
      </c>
      <c r="B1512" s="390" t="s">
        <v>582</v>
      </c>
      <c r="C1512" s="390">
        <f>VLOOKUP(B1512,numbering!$N$18:$O$30,2,0)</f>
        <v>13</v>
      </c>
      <c r="D1512" s="390" t="s">
        <v>583</v>
      </c>
      <c r="E1512" s="403">
        <f t="shared" ref="E1512:E1575" si="37">IF(C1512&lt;&gt;C1511,1,IF(D1512&lt;&gt;D1511,E1511+1,E1511))</f>
        <v>1</v>
      </c>
      <c r="F1512" s="432" t="str">
        <f>F1511</f>
        <v>Is there documented evidence that processes and mechanisms are place to document and incorporate personnel's experience-based knowledge into planning, design and operations for all phases of the facility's life cycle to achieve the objective of incorporating all pertinent information into the facility's knowledge base?</v>
      </c>
      <c r="G1512" s="388" t="s">
        <v>1195</v>
      </c>
      <c r="H1512" s="390">
        <v>4</v>
      </c>
      <c r="I1512" s="390">
        <v>4</v>
      </c>
      <c r="J1512" s="390"/>
      <c r="K1512" s="398">
        <f>_xlfn.IFNA(VLOOKUP(A1512,numbering!$K$3:$L$92,2,0),0)</f>
        <v>0</v>
      </c>
    </row>
    <row r="1513" spans="1:11" ht="45" hidden="1" x14ac:dyDescent="0.2">
      <c r="A1513" s="390">
        <v>426</v>
      </c>
      <c r="B1513" s="390" t="s">
        <v>582</v>
      </c>
      <c r="C1513" s="390">
        <f>VLOOKUP(B1513,numbering!$N$18:$O$30,2,0)</f>
        <v>13</v>
      </c>
      <c r="D1513" s="390" t="s">
        <v>583</v>
      </c>
      <c r="E1513" s="403">
        <f t="shared" si="37"/>
        <v>1</v>
      </c>
      <c r="F1513" s="432" t="s">
        <v>585</v>
      </c>
      <c r="G1513" s="388" t="s">
        <v>1192</v>
      </c>
      <c r="H1513" s="390">
        <v>1</v>
      </c>
      <c r="I1513" s="390">
        <v>1</v>
      </c>
      <c r="J1513" s="390"/>
      <c r="K1513" s="398">
        <f>_xlfn.IFNA(VLOOKUP(A1513,numbering!$K$3:$L$92,2,0),0)</f>
        <v>0</v>
      </c>
    </row>
    <row r="1514" spans="1:11" ht="45" hidden="1" x14ac:dyDescent="0.2">
      <c r="A1514" s="390">
        <v>426</v>
      </c>
      <c r="B1514" s="390" t="s">
        <v>582</v>
      </c>
      <c r="C1514" s="390">
        <f>VLOOKUP(B1514,numbering!$N$18:$O$30,2,0)</f>
        <v>13</v>
      </c>
      <c r="D1514" s="390" t="s">
        <v>583</v>
      </c>
      <c r="E1514" s="403">
        <f t="shared" si="37"/>
        <v>1</v>
      </c>
      <c r="F1514" s="432" t="str">
        <f>F1513</f>
        <v>Is there documented evidence that personnel's experience-based knowledge was incorporated into planning, design and operation activities to achieve the objective of incorporating all pertinent information into the facility's knowledge base?</v>
      </c>
      <c r="G1514" s="388" t="s">
        <v>1193</v>
      </c>
      <c r="H1514" s="390">
        <v>2</v>
      </c>
      <c r="I1514" s="390">
        <v>2</v>
      </c>
      <c r="J1514" s="390"/>
      <c r="K1514" s="398">
        <f>_xlfn.IFNA(VLOOKUP(A1514,numbering!$K$3:$L$92,2,0),0)</f>
        <v>0</v>
      </c>
    </row>
    <row r="1515" spans="1:11" ht="45" hidden="1" x14ac:dyDescent="0.2">
      <c r="A1515" s="390">
        <v>426</v>
      </c>
      <c r="B1515" s="390" t="s">
        <v>582</v>
      </c>
      <c r="C1515" s="390">
        <f>VLOOKUP(B1515,numbering!$N$18:$O$30,2,0)</f>
        <v>13</v>
      </c>
      <c r="D1515" s="390" t="s">
        <v>583</v>
      </c>
      <c r="E1515" s="403">
        <f t="shared" si="37"/>
        <v>1</v>
      </c>
      <c r="F1515" s="432" t="str">
        <f>F1514</f>
        <v>Is there documented evidence that personnel's experience-based knowledge was incorporated into planning, design and operation activities to achieve the objective of incorporating all pertinent information into the facility's knowledge base?</v>
      </c>
      <c r="G1515" s="388" t="s">
        <v>1194</v>
      </c>
      <c r="H1515" s="390">
        <v>3</v>
      </c>
      <c r="I1515" s="390">
        <v>3</v>
      </c>
      <c r="J1515" s="390"/>
      <c r="K1515" s="398">
        <f>_xlfn.IFNA(VLOOKUP(A1515,numbering!$K$3:$L$92,2,0),0)</f>
        <v>0</v>
      </c>
    </row>
    <row r="1516" spans="1:11" ht="45" hidden="1" x14ac:dyDescent="0.2">
      <c r="A1516" s="390">
        <v>426</v>
      </c>
      <c r="B1516" s="390" t="s">
        <v>582</v>
      </c>
      <c r="C1516" s="390">
        <f>VLOOKUP(B1516,numbering!$N$18:$O$30,2,0)</f>
        <v>13</v>
      </c>
      <c r="D1516" s="390" t="s">
        <v>583</v>
      </c>
      <c r="E1516" s="403">
        <f t="shared" si="37"/>
        <v>1</v>
      </c>
      <c r="F1516" s="432" t="str">
        <f>F1515</f>
        <v>Is there documented evidence that personnel's experience-based knowledge was incorporated into planning, design and operation activities to achieve the objective of incorporating all pertinent information into the facility's knowledge base?</v>
      </c>
      <c r="G1516" s="388" t="s">
        <v>1195</v>
      </c>
      <c r="H1516" s="390">
        <v>4</v>
      </c>
      <c r="I1516" s="390">
        <v>4</v>
      </c>
      <c r="J1516" s="390"/>
      <c r="K1516" s="398">
        <f>_xlfn.IFNA(VLOOKUP(A1516,numbering!$K$3:$L$92,2,0),0)</f>
        <v>0</v>
      </c>
    </row>
    <row r="1517" spans="1:11" ht="60" hidden="1" x14ac:dyDescent="0.2">
      <c r="A1517" s="390">
        <v>427</v>
      </c>
      <c r="B1517" s="390" t="s">
        <v>582</v>
      </c>
      <c r="C1517" s="390">
        <f>VLOOKUP(B1517,numbering!$N$18:$O$30,2,0)</f>
        <v>13</v>
      </c>
      <c r="D1517" s="390" t="s">
        <v>586</v>
      </c>
      <c r="E1517" s="403">
        <f t="shared" si="37"/>
        <v>2</v>
      </c>
      <c r="F1517" s="432" t="s">
        <v>587</v>
      </c>
      <c r="G1517" s="388" t="s">
        <v>1192</v>
      </c>
      <c r="H1517" s="390">
        <v>1</v>
      </c>
      <c r="I1517" s="390">
        <v>1</v>
      </c>
      <c r="J1517" s="390"/>
      <c r="K1517" s="398">
        <f>_xlfn.IFNA(VLOOKUP(A1517,numbering!$K$3:$L$92,2,0),0)</f>
        <v>0</v>
      </c>
    </row>
    <row r="1518" spans="1:11" ht="60" hidden="1" x14ac:dyDescent="0.2">
      <c r="A1518" s="390">
        <v>427</v>
      </c>
      <c r="B1518" s="390" t="s">
        <v>582</v>
      </c>
      <c r="C1518" s="390">
        <f>VLOOKUP(B1518,numbering!$N$18:$O$30,2,0)</f>
        <v>13</v>
      </c>
      <c r="D1518" s="390" t="s">
        <v>586</v>
      </c>
      <c r="E1518" s="403">
        <f t="shared" si="37"/>
        <v>2</v>
      </c>
      <c r="F1518" s="432" t="str">
        <f>F1517</f>
        <v>Is there documented evidence that mechanisms are in place to promote cross-functional collaboration within the organisation to achieve the objective of effective data and knowledge sharing, communication and implementation of management measures?</v>
      </c>
      <c r="G1518" s="388" t="s">
        <v>1193</v>
      </c>
      <c r="H1518" s="390">
        <v>2</v>
      </c>
      <c r="I1518" s="390">
        <v>2</v>
      </c>
      <c r="J1518" s="390"/>
      <c r="K1518" s="398">
        <f>_xlfn.IFNA(VLOOKUP(A1518,numbering!$K$3:$L$92,2,0),0)</f>
        <v>0</v>
      </c>
    </row>
    <row r="1519" spans="1:11" ht="60" hidden="1" x14ac:dyDescent="0.2">
      <c r="A1519" s="390">
        <v>427</v>
      </c>
      <c r="B1519" s="390" t="s">
        <v>582</v>
      </c>
      <c r="C1519" s="390">
        <f>VLOOKUP(B1519,numbering!$N$18:$O$30,2,0)</f>
        <v>13</v>
      </c>
      <c r="D1519" s="390" t="s">
        <v>586</v>
      </c>
      <c r="E1519" s="403">
        <f t="shared" si="37"/>
        <v>2</v>
      </c>
      <c r="F1519" s="432" t="str">
        <f>F1518</f>
        <v>Is there documented evidence that mechanisms are in place to promote cross-functional collaboration within the organisation to achieve the objective of effective data and knowledge sharing, communication and implementation of management measures?</v>
      </c>
      <c r="G1519" s="388" t="s">
        <v>1194</v>
      </c>
      <c r="H1519" s="390">
        <v>3</v>
      </c>
      <c r="I1519" s="390">
        <v>3</v>
      </c>
      <c r="J1519" s="390"/>
      <c r="K1519" s="398">
        <f>_xlfn.IFNA(VLOOKUP(A1519,numbering!$K$3:$L$92,2,0),0)</f>
        <v>0</v>
      </c>
    </row>
    <row r="1520" spans="1:11" ht="60" hidden="1" x14ac:dyDescent="0.2">
      <c r="A1520" s="390">
        <v>427</v>
      </c>
      <c r="B1520" s="390" t="s">
        <v>582</v>
      </c>
      <c r="C1520" s="390">
        <f>VLOOKUP(B1520,numbering!$N$18:$O$30,2,0)</f>
        <v>13</v>
      </c>
      <c r="D1520" s="390" t="s">
        <v>586</v>
      </c>
      <c r="E1520" s="403">
        <f t="shared" si="37"/>
        <v>2</v>
      </c>
      <c r="F1520" s="432" t="str">
        <f>F1519</f>
        <v>Is there documented evidence that mechanisms are in place to promote cross-functional collaboration within the organisation to achieve the objective of effective data and knowledge sharing, communication and implementation of management measures?</v>
      </c>
      <c r="G1520" s="388" t="s">
        <v>1195</v>
      </c>
      <c r="H1520" s="390">
        <v>4</v>
      </c>
      <c r="I1520" s="390">
        <v>4</v>
      </c>
      <c r="J1520" s="390"/>
      <c r="K1520" s="398">
        <f>_xlfn.IFNA(VLOOKUP(A1520,numbering!$K$3:$L$92,2,0),0)</f>
        <v>0</v>
      </c>
    </row>
    <row r="1521" spans="1:11" ht="60" hidden="1" x14ac:dyDescent="0.2">
      <c r="A1521" s="390">
        <v>428</v>
      </c>
      <c r="B1521" s="390" t="s">
        <v>582</v>
      </c>
      <c r="C1521" s="390">
        <f>VLOOKUP(B1521,numbering!$N$18:$O$30,2,0)</f>
        <v>13</v>
      </c>
      <c r="D1521" s="390" t="s">
        <v>586</v>
      </c>
      <c r="E1521" s="403">
        <f t="shared" si="37"/>
        <v>2</v>
      </c>
      <c r="F1521" s="432" t="s">
        <v>588</v>
      </c>
      <c r="G1521" s="388" t="s">
        <v>1192</v>
      </c>
      <c r="H1521" s="390">
        <v>1</v>
      </c>
      <c r="I1521" s="390">
        <v>1</v>
      </c>
      <c r="J1521" s="390"/>
      <c r="K1521" s="398">
        <f>_xlfn.IFNA(VLOOKUP(A1521,numbering!$K$3:$L$92,2,0),0)</f>
        <v>0</v>
      </c>
    </row>
    <row r="1522" spans="1:11" ht="60" hidden="1" x14ac:dyDescent="0.2">
      <c r="A1522" s="390">
        <v>428</v>
      </c>
      <c r="B1522" s="390" t="s">
        <v>582</v>
      </c>
      <c r="C1522" s="390">
        <f>VLOOKUP(B1522,numbering!$N$18:$O$30,2,0)</f>
        <v>13</v>
      </c>
      <c r="D1522" s="390" t="s">
        <v>586</v>
      </c>
      <c r="E1522" s="403">
        <f t="shared" si="37"/>
        <v>2</v>
      </c>
      <c r="F1522" s="432" t="str">
        <f>F1521</f>
        <v>Is there documented evidence that mechanisms are in place to report internal and relevant external incidents and associated investigations and learnings to achieve the objective of effective incorporating all lessons-learned information into the facility's knowledge base?</v>
      </c>
      <c r="G1522" s="388" t="s">
        <v>1193</v>
      </c>
      <c r="H1522" s="390">
        <v>2</v>
      </c>
      <c r="I1522" s="390">
        <v>2</v>
      </c>
      <c r="J1522" s="390"/>
      <c r="K1522" s="398">
        <f>_xlfn.IFNA(VLOOKUP(A1522,numbering!$K$3:$L$92,2,0),0)</f>
        <v>0</v>
      </c>
    </row>
    <row r="1523" spans="1:11" ht="60" hidden="1" x14ac:dyDescent="0.2">
      <c r="A1523" s="390">
        <v>428</v>
      </c>
      <c r="B1523" s="390" t="s">
        <v>582</v>
      </c>
      <c r="C1523" s="390">
        <f>VLOOKUP(B1523,numbering!$N$18:$O$30,2,0)</f>
        <v>13</v>
      </c>
      <c r="D1523" s="390" t="s">
        <v>586</v>
      </c>
      <c r="E1523" s="403">
        <f t="shared" si="37"/>
        <v>2</v>
      </c>
      <c r="F1523" s="432" t="str">
        <f>F1522</f>
        <v>Is there documented evidence that mechanisms are in place to report internal and relevant external incidents and associated investigations and learnings to achieve the objective of effective incorporating all lessons-learned information into the facility's knowledge base?</v>
      </c>
      <c r="G1523" s="388" t="s">
        <v>1194</v>
      </c>
      <c r="H1523" s="390">
        <v>3</v>
      </c>
      <c r="I1523" s="390">
        <v>3</v>
      </c>
      <c r="J1523" s="390"/>
      <c r="K1523" s="398">
        <f>_xlfn.IFNA(VLOOKUP(A1523,numbering!$K$3:$L$92,2,0),0)</f>
        <v>0</v>
      </c>
    </row>
    <row r="1524" spans="1:11" ht="60" hidden="1" x14ac:dyDescent="0.2">
      <c r="A1524" s="390">
        <v>428</v>
      </c>
      <c r="B1524" s="390" t="s">
        <v>582</v>
      </c>
      <c r="C1524" s="390">
        <f>VLOOKUP(B1524,numbering!$N$18:$O$30,2,0)</f>
        <v>13</v>
      </c>
      <c r="D1524" s="390" t="s">
        <v>586</v>
      </c>
      <c r="E1524" s="403">
        <f t="shared" si="37"/>
        <v>2</v>
      </c>
      <c r="F1524" s="432" t="str">
        <f>F1523</f>
        <v>Is there documented evidence that mechanisms are in place to report internal and relevant external incidents and associated investigations and learnings to achieve the objective of effective incorporating all lessons-learned information into the facility's knowledge base?</v>
      </c>
      <c r="G1524" s="388" t="s">
        <v>1195</v>
      </c>
      <c r="H1524" s="390">
        <v>4</v>
      </c>
      <c r="I1524" s="390">
        <v>4</v>
      </c>
      <c r="J1524" s="390"/>
      <c r="K1524" s="398">
        <f>_xlfn.IFNA(VLOOKUP(A1524,numbering!$K$3:$L$92,2,0),0)</f>
        <v>0</v>
      </c>
    </row>
    <row r="1525" spans="1:11" ht="45" hidden="1" x14ac:dyDescent="0.2">
      <c r="A1525" s="390">
        <v>429</v>
      </c>
      <c r="B1525" s="390" t="s">
        <v>582</v>
      </c>
      <c r="C1525" s="390">
        <f>VLOOKUP(B1525,numbering!$N$18:$O$30,2,0)</f>
        <v>13</v>
      </c>
      <c r="D1525" s="390" t="s">
        <v>1189</v>
      </c>
      <c r="E1525" s="403">
        <f t="shared" si="37"/>
        <v>3</v>
      </c>
      <c r="F1525" s="432" t="s">
        <v>590</v>
      </c>
      <c r="G1525" s="388" t="s">
        <v>1192</v>
      </c>
      <c r="H1525" s="390">
        <v>1</v>
      </c>
      <c r="I1525" s="390">
        <v>1</v>
      </c>
      <c r="J1525" s="390"/>
      <c r="K1525" s="398">
        <f>_xlfn.IFNA(VLOOKUP(A1525,numbering!$K$3:$L$92,2,0),0)</f>
        <v>0</v>
      </c>
    </row>
    <row r="1526" spans="1:11" ht="45" hidden="1" x14ac:dyDescent="0.2">
      <c r="A1526" s="390">
        <v>429</v>
      </c>
      <c r="B1526" s="390" t="s">
        <v>582</v>
      </c>
      <c r="C1526" s="390">
        <f>VLOOKUP(B1526,numbering!$N$18:$O$30,2,0)</f>
        <v>13</v>
      </c>
      <c r="D1526" s="390" t="s">
        <v>1189</v>
      </c>
      <c r="E1526" s="403">
        <f t="shared" si="37"/>
        <v>3</v>
      </c>
      <c r="F1526" s="432" t="str">
        <f>F1525</f>
        <v>Is there documented evidence that mechanisms are in place to implement learnings from incidents to achieve the objective of incorporating all lessons-learned into the facility's knowledge base?</v>
      </c>
      <c r="G1526" s="388" t="s">
        <v>1193</v>
      </c>
      <c r="H1526" s="390">
        <v>2</v>
      </c>
      <c r="I1526" s="390">
        <v>2</v>
      </c>
      <c r="J1526" s="390"/>
      <c r="K1526" s="398">
        <f>_xlfn.IFNA(VLOOKUP(A1526,numbering!$K$3:$L$92,2,0),0)</f>
        <v>0</v>
      </c>
    </row>
    <row r="1527" spans="1:11" ht="45" hidden="1" x14ac:dyDescent="0.2">
      <c r="A1527" s="390">
        <v>429</v>
      </c>
      <c r="B1527" s="390" t="s">
        <v>582</v>
      </c>
      <c r="C1527" s="390">
        <f>VLOOKUP(B1527,numbering!$N$18:$O$30,2,0)</f>
        <v>13</v>
      </c>
      <c r="D1527" s="390" t="s">
        <v>1189</v>
      </c>
      <c r="E1527" s="403">
        <f t="shared" si="37"/>
        <v>3</v>
      </c>
      <c r="F1527" s="432" t="str">
        <f>F1526</f>
        <v>Is there documented evidence that mechanisms are in place to implement learnings from incidents to achieve the objective of incorporating all lessons-learned into the facility's knowledge base?</v>
      </c>
      <c r="G1527" s="388" t="s">
        <v>1194</v>
      </c>
      <c r="H1527" s="390">
        <v>3</v>
      </c>
      <c r="I1527" s="390">
        <v>3</v>
      </c>
      <c r="J1527" s="390"/>
      <c r="K1527" s="398">
        <f>_xlfn.IFNA(VLOOKUP(A1527,numbering!$K$3:$L$92,2,0),0)</f>
        <v>0</v>
      </c>
    </row>
    <row r="1528" spans="1:11" ht="45" hidden="1" x14ac:dyDescent="0.2">
      <c r="A1528" s="390">
        <v>429</v>
      </c>
      <c r="B1528" s="390" t="s">
        <v>582</v>
      </c>
      <c r="C1528" s="390">
        <f>VLOOKUP(B1528,numbering!$N$18:$O$30,2,0)</f>
        <v>13</v>
      </c>
      <c r="D1528" s="390" t="s">
        <v>1189</v>
      </c>
      <c r="E1528" s="403">
        <f t="shared" si="37"/>
        <v>3</v>
      </c>
      <c r="F1528" s="432" t="str">
        <f>F1527</f>
        <v>Is there documented evidence that mechanisms are in place to implement learnings from incidents to achieve the objective of incorporating all lessons-learned into the facility's knowledge base?</v>
      </c>
      <c r="G1528" s="388" t="s">
        <v>1195</v>
      </c>
      <c r="H1528" s="390">
        <v>4</v>
      </c>
      <c r="I1528" s="390">
        <v>4</v>
      </c>
      <c r="J1528" s="390"/>
      <c r="K1528" s="398">
        <f>_xlfn.IFNA(VLOOKUP(A1528,numbering!$K$3:$L$92,2,0),0)</f>
        <v>0</v>
      </c>
    </row>
    <row r="1529" spans="1:11" ht="60" hidden="1" x14ac:dyDescent="0.2">
      <c r="A1529" s="390">
        <v>430</v>
      </c>
      <c r="B1529" s="390" t="s">
        <v>582</v>
      </c>
      <c r="C1529" s="390">
        <f>VLOOKUP(B1529,numbering!$N$18:$O$30,2,0)</f>
        <v>13</v>
      </c>
      <c r="D1529" s="390" t="s">
        <v>1189</v>
      </c>
      <c r="E1529" s="403">
        <f t="shared" si="37"/>
        <v>3</v>
      </c>
      <c r="F1529" s="432" t="s">
        <v>591</v>
      </c>
      <c r="G1529" s="388" t="s">
        <v>1192</v>
      </c>
      <c r="H1529" s="390">
        <v>1</v>
      </c>
      <c r="I1529" s="390">
        <v>1</v>
      </c>
      <c r="J1529" s="390"/>
      <c r="K1529" s="398">
        <f>_xlfn.IFNA(VLOOKUP(A1529,numbering!$K$3:$L$92,2,0),0)</f>
        <v>0</v>
      </c>
    </row>
    <row r="1530" spans="1:11" ht="60" hidden="1" x14ac:dyDescent="0.2">
      <c r="A1530" s="390">
        <v>430</v>
      </c>
      <c r="B1530" s="390" t="s">
        <v>582</v>
      </c>
      <c r="C1530" s="390">
        <f>VLOOKUP(B1530,numbering!$N$18:$O$30,2,0)</f>
        <v>13</v>
      </c>
      <c r="D1530" s="390" t="s">
        <v>1189</v>
      </c>
      <c r="E1530" s="403">
        <f t="shared" si="37"/>
        <v>3</v>
      </c>
      <c r="F1530" s="432" t="str">
        <f>F1529</f>
        <v>Is there documented evidence that mechanisms in place to recognise, reward and protect personnel who report problems or identify opportunities to achieve the objective of encouraging personnel to assist with improvements tailings facility management?</v>
      </c>
      <c r="G1530" s="388" t="s">
        <v>1193</v>
      </c>
      <c r="H1530" s="390">
        <v>2</v>
      </c>
      <c r="I1530" s="390">
        <v>2</v>
      </c>
      <c r="J1530" s="390"/>
      <c r="K1530" s="398">
        <f>_xlfn.IFNA(VLOOKUP(A1530,numbering!$K$3:$L$92,2,0),0)</f>
        <v>0</v>
      </c>
    </row>
    <row r="1531" spans="1:11" ht="60" hidden="1" x14ac:dyDescent="0.2">
      <c r="A1531" s="390">
        <v>430</v>
      </c>
      <c r="B1531" s="390" t="s">
        <v>582</v>
      </c>
      <c r="C1531" s="390">
        <f>VLOOKUP(B1531,numbering!$N$18:$O$30,2,0)</f>
        <v>13</v>
      </c>
      <c r="D1531" s="390" t="s">
        <v>1189</v>
      </c>
      <c r="E1531" s="403">
        <f t="shared" si="37"/>
        <v>3</v>
      </c>
      <c r="F1531" s="432" t="str">
        <f>F1530</f>
        <v>Is there documented evidence that mechanisms in place to recognise, reward and protect personnel who report problems or identify opportunities to achieve the objective of encouraging personnel to assist with improvements tailings facility management?</v>
      </c>
      <c r="G1531" s="388" t="s">
        <v>1194</v>
      </c>
      <c r="H1531" s="390">
        <v>3</v>
      </c>
      <c r="I1531" s="390">
        <v>3</v>
      </c>
      <c r="J1531" s="390"/>
      <c r="K1531" s="398">
        <f>_xlfn.IFNA(VLOOKUP(A1531,numbering!$K$3:$L$92,2,0),0)</f>
        <v>0</v>
      </c>
    </row>
    <row r="1532" spans="1:11" ht="60" hidden="1" x14ac:dyDescent="0.2">
      <c r="A1532" s="390">
        <v>430</v>
      </c>
      <c r="B1532" s="390" t="s">
        <v>582</v>
      </c>
      <c r="C1532" s="390">
        <f>VLOOKUP(B1532,numbering!$N$18:$O$30,2,0)</f>
        <v>13</v>
      </c>
      <c r="D1532" s="390" t="s">
        <v>1189</v>
      </c>
      <c r="E1532" s="403">
        <f t="shared" si="37"/>
        <v>3</v>
      </c>
      <c r="F1532" s="432" t="str">
        <f>F1531</f>
        <v>Is there documented evidence that mechanisms in place to recognise, reward and protect personnel who report problems or identify opportunities to achieve the objective of encouraging personnel to assist with improvements tailings facility management?</v>
      </c>
      <c r="G1532" s="388" t="s">
        <v>1195</v>
      </c>
      <c r="H1532" s="390">
        <v>4</v>
      </c>
      <c r="I1532" s="390">
        <v>4</v>
      </c>
      <c r="J1532" s="390"/>
      <c r="K1532" s="398">
        <f>_xlfn.IFNA(VLOOKUP(A1532,numbering!$K$3:$L$92,2,0),0)</f>
        <v>0</v>
      </c>
    </row>
    <row r="1533" spans="1:11" ht="60" hidden="1" x14ac:dyDescent="0.2">
      <c r="A1533" s="390">
        <v>431</v>
      </c>
      <c r="B1533" s="390" t="s">
        <v>582</v>
      </c>
      <c r="C1533" s="390">
        <f>VLOOKUP(B1533,numbering!$N$18:$O$30,2,0)</f>
        <v>13</v>
      </c>
      <c r="D1533" s="390" t="s">
        <v>1189</v>
      </c>
      <c r="E1533" s="403">
        <f t="shared" si="37"/>
        <v>3</v>
      </c>
      <c r="F1533" s="432" t="s">
        <v>592</v>
      </c>
      <c r="G1533" s="388" t="s">
        <v>1192</v>
      </c>
      <c r="H1533" s="390">
        <v>1</v>
      </c>
      <c r="I1533" s="390">
        <v>1</v>
      </c>
      <c r="J1533" s="390"/>
      <c r="K1533" s="398">
        <f>_xlfn.IFNA(VLOOKUP(A1533,numbering!$K$3:$L$92,2,0),0)</f>
        <v>0</v>
      </c>
    </row>
    <row r="1534" spans="1:11" ht="60" hidden="1" x14ac:dyDescent="0.2">
      <c r="A1534" s="390">
        <v>431</v>
      </c>
      <c r="B1534" s="390" t="s">
        <v>582</v>
      </c>
      <c r="C1534" s="390">
        <f>VLOOKUP(B1534,numbering!$N$18:$O$30,2,0)</f>
        <v>13</v>
      </c>
      <c r="D1534" s="390" t="s">
        <v>1189</v>
      </c>
      <c r="E1534" s="403">
        <f t="shared" si="37"/>
        <v>3</v>
      </c>
      <c r="F1534" s="432" t="str">
        <f>F1533</f>
        <v>Is there documented evidence that mechanisms and resources in place to investigate reported problems or identified opportunities to achieve the objective of understand root causes of incidents or problems to improve tailings facility management?</v>
      </c>
      <c r="G1534" s="388" t="s">
        <v>1193</v>
      </c>
      <c r="H1534" s="390">
        <v>2</v>
      </c>
      <c r="I1534" s="390">
        <v>2</v>
      </c>
      <c r="J1534" s="390"/>
      <c r="K1534" s="398">
        <f>_xlfn.IFNA(VLOOKUP(A1534,numbering!$K$3:$L$92,2,0),0)</f>
        <v>0</v>
      </c>
    </row>
    <row r="1535" spans="1:11" ht="60" hidden="1" x14ac:dyDescent="0.2">
      <c r="A1535" s="390">
        <v>431</v>
      </c>
      <c r="B1535" s="390" t="s">
        <v>582</v>
      </c>
      <c r="C1535" s="390">
        <f>VLOOKUP(B1535,numbering!$N$18:$O$30,2,0)</f>
        <v>13</v>
      </c>
      <c r="D1535" s="390" t="s">
        <v>1189</v>
      </c>
      <c r="E1535" s="403">
        <f t="shared" si="37"/>
        <v>3</v>
      </c>
      <c r="F1535" s="432" t="str">
        <f>F1534</f>
        <v>Is there documented evidence that mechanisms and resources in place to investigate reported problems or identified opportunities to achieve the objective of understand root causes of incidents or problems to improve tailings facility management?</v>
      </c>
      <c r="G1535" s="388" t="s">
        <v>1194</v>
      </c>
      <c r="H1535" s="390">
        <v>3</v>
      </c>
      <c r="I1535" s="390">
        <v>3</v>
      </c>
      <c r="J1535" s="390"/>
      <c r="K1535" s="398">
        <f>_xlfn.IFNA(VLOOKUP(A1535,numbering!$K$3:$L$92,2,0),0)</f>
        <v>0</v>
      </c>
    </row>
    <row r="1536" spans="1:11" ht="60" hidden="1" x14ac:dyDescent="0.2">
      <c r="A1536" s="390">
        <v>431</v>
      </c>
      <c r="B1536" s="390" t="s">
        <v>582</v>
      </c>
      <c r="C1536" s="390">
        <f>VLOOKUP(B1536,numbering!$N$18:$O$30,2,0)</f>
        <v>13</v>
      </c>
      <c r="D1536" s="390" t="s">
        <v>1189</v>
      </c>
      <c r="E1536" s="403">
        <f t="shared" si="37"/>
        <v>3</v>
      </c>
      <c r="F1536" s="432" t="str">
        <f>F1535</f>
        <v>Is there documented evidence that mechanisms and resources in place to investigate reported problems or identified opportunities to achieve the objective of understand root causes of incidents or problems to improve tailings facility management?</v>
      </c>
      <c r="G1536" s="388" t="s">
        <v>1195</v>
      </c>
      <c r="H1536" s="390">
        <v>4</v>
      </c>
      <c r="I1536" s="390">
        <v>4</v>
      </c>
      <c r="J1536" s="390"/>
      <c r="K1536" s="398">
        <f>_xlfn.IFNA(VLOOKUP(A1536,numbering!$K$3:$L$92,2,0),0)</f>
        <v>0</v>
      </c>
    </row>
    <row r="1537" spans="1:11" ht="60" hidden="1" x14ac:dyDescent="0.2">
      <c r="A1537" s="390">
        <v>432</v>
      </c>
      <c r="B1537" s="390" t="s">
        <v>582</v>
      </c>
      <c r="C1537" s="390">
        <f>VLOOKUP(B1537,numbering!$N$18:$O$30,2,0)</f>
        <v>13</v>
      </c>
      <c r="D1537" s="390" t="s">
        <v>1189</v>
      </c>
      <c r="E1537" s="403">
        <f t="shared" si="37"/>
        <v>3</v>
      </c>
      <c r="F1537" s="432" t="s">
        <v>593</v>
      </c>
      <c r="G1537" s="388" t="s">
        <v>1192</v>
      </c>
      <c r="H1537" s="390">
        <v>1</v>
      </c>
      <c r="I1537" s="390">
        <v>1</v>
      </c>
      <c r="J1537" s="390"/>
      <c r="K1537" s="398">
        <f>_xlfn.IFNA(VLOOKUP(A1537,numbering!$K$3:$L$92,2,0),0)</f>
        <v>0</v>
      </c>
    </row>
    <row r="1538" spans="1:11" ht="60" hidden="1" x14ac:dyDescent="0.2">
      <c r="A1538" s="390">
        <v>432</v>
      </c>
      <c r="B1538" s="390" t="s">
        <v>582</v>
      </c>
      <c r="C1538" s="390">
        <f>VLOOKUP(B1538,numbering!$N$18:$O$30,2,0)</f>
        <v>13</v>
      </c>
      <c r="D1538" s="390" t="s">
        <v>1189</v>
      </c>
      <c r="E1538" s="403">
        <f t="shared" si="37"/>
        <v>3</v>
      </c>
      <c r="F1538" s="432" t="str">
        <f>F1537</f>
        <v>Is there documented evidence that mechanisms and resources are in place to implement and communicate outcomes from investigations into reported problems or identified opportunities to achieve the objective of incorporating lessons-learned into tailings facility management improvements?</v>
      </c>
      <c r="G1538" s="388" t="s">
        <v>1193</v>
      </c>
      <c r="H1538" s="390">
        <v>2</v>
      </c>
      <c r="I1538" s="390">
        <v>2</v>
      </c>
      <c r="J1538" s="390"/>
      <c r="K1538" s="398">
        <f>_xlfn.IFNA(VLOOKUP(A1538,numbering!$K$3:$L$92,2,0),0)</f>
        <v>0</v>
      </c>
    </row>
    <row r="1539" spans="1:11" ht="60" hidden="1" x14ac:dyDescent="0.2">
      <c r="A1539" s="390">
        <v>432</v>
      </c>
      <c r="B1539" s="390" t="s">
        <v>582</v>
      </c>
      <c r="C1539" s="390">
        <f>VLOOKUP(B1539,numbering!$N$18:$O$30,2,0)</f>
        <v>13</v>
      </c>
      <c r="D1539" s="390" t="s">
        <v>1189</v>
      </c>
      <c r="E1539" s="403">
        <f t="shared" si="37"/>
        <v>3</v>
      </c>
      <c r="F1539" s="432" t="str">
        <f>F1538</f>
        <v>Is there documented evidence that mechanisms and resources are in place to implement and communicate outcomes from investigations into reported problems or identified opportunities to achieve the objective of incorporating lessons-learned into tailings facility management improvements?</v>
      </c>
      <c r="G1539" s="388" t="s">
        <v>1194</v>
      </c>
      <c r="H1539" s="390">
        <v>3</v>
      </c>
      <c r="I1539" s="390">
        <v>3</v>
      </c>
      <c r="J1539" s="390"/>
      <c r="K1539" s="398">
        <f>_xlfn.IFNA(VLOOKUP(A1539,numbering!$K$3:$L$92,2,0),0)</f>
        <v>0</v>
      </c>
    </row>
    <row r="1540" spans="1:11" ht="60" hidden="1" x14ac:dyDescent="0.2">
      <c r="A1540" s="390">
        <v>432</v>
      </c>
      <c r="B1540" s="390" t="s">
        <v>582</v>
      </c>
      <c r="C1540" s="390">
        <f>VLOOKUP(B1540,numbering!$N$18:$O$30,2,0)</f>
        <v>13</v>
      </c>
      <c r="D1540" s="390" t="s">
        <v>1189</v>
      </c>
      <c r="E1540" s="403">
        <f t="shared" si="37"/>
        <v>3</v>
      </c>
      <c r="F1540" s="432" t="str">
        <f>F1539</f>
        <v>Is there documented evidence that mechanisms and resources are in place to implement and communicate outcomes from investigations into reported problems or identified opportunities to achieve the objective of incorporating lessons-learned into tailings facility management improvements?</v>
      </c>
      <c r="G1540" s="388" t="s">
        <v>1195</v>
      </c>
      <c r="H1540" s="390">
        <v>4</v>
      </c>
      <c r="I1540" s="390">
        <v>4</v>
      </c>
      <c r="J1540" s="390"/>
      <c r="K1540" s="398">
        <f>_xlfn.IFNA(VLOOKUP(A1540,numbering!$K$3:$L$92,2,0),0)</f>
        <v>0</v>
      </c>
    </row>
    <row r="1541" spans="1:11" ht="42" hidden="1" x14ac:dyDescent="0.2">
      <c r="A1541" s="390">
        <v>433</v>
      </c>
      <c r="B1541" s="390" t="s">
        <v>594</v>
      </c>
      <c r="C1541" s="390">
        <f>VLOOKUP(B1541,numbering!$N$18:$O$30,2,0)</f>
        <v>11</v>
      </c>
      <c r="D1541" s="390" t="s">
        <v>595</v>
      </c>
      <c r="E1541" s="403">
        <f t="shared" si="37"/>
        <v>1</v>
      </c>
      <c r="F1541" s="435" t="s">
        <v>596</v>
      </c>
      <c r="G1541" s="388" t="s">
        <v>1192</v>
      </c>
      <c r="H1541" s="390">
        <v>1</v>
      </c>
      <c r="I1541" s="390">
        <v>1</v>
      </c>
      <c r="J1541" s="390"/>
      <c r="K1541" s="398">
        <f>_xlfn.IFNA(VLOOKUP(A1541,numbering!$K$3:$L$92,2,0),0)</f>
        <v>0</v>
      </c>
    </row>
    <row r="1542" spans="1:11" ht="42" hidden="1" x14ac:dyDescent="0.2">
      <c r="A1542" s="390">
        <v>433</v>
      </c>
      <c r="B1542" s="390" t="s">
        <v>594</v>
      </c>
      <c r="C1542" s="390">
        <f>VLOOKUP(B1542,numbering!$N$18:$O$30,2,0)</f>
        <v>11</v>
      </c>
      <c r="D1542" s="390" t="s">
        <v>595</v>
      </c>
      <c r="E1542" s="403">
        <f t="shared" si="37"/>
        <v>1</v>
      </c>
      <c r="F1542" s="435" t="str">
        <f>F1541</f>
        <v>Is there documented evidence, supported by verbal confirmation, of implemented procedures which achieve the objective of securing the facility site against access from unauthorised people?</v>
      </c>
      <c r="G1542" s="388" t="s">
        <v>1193</v>
      </c>
      <c r="H1542" s="390">
        <v>2</v>
      </c>
      <c r="I1542" s="390">
        <v>2</v>
      </c>
      <c r="J1542" s="390"/>
      <c r="K1542" s="398">
        <f>_xlfn.IFNA(VLOOKUP(A1542,numbering!$K$3:$L$92,2,0),0)</f>
        <v>0</v>
      </c>
    </row>
    <row r="1543" spans="1:11" ht="42" hidden="1" x14ac:dyDescent="0.2">
      <c r="A1543" s="390">
        <v>433</v>
      </c>
      <c r="B1543" s="390" t="s">
        <v>594</v>
      </c>
      <c r="C1543" s="390">
        <f>VLOOKUP(B1543,numbering!$N$18:$O$30,2,0)</f>
        <v>11</v>
      </c>
      <c r="D1543" s="390" t="s">
        <v>595</v>
      </c>
      <c r="E1543" s="403">
        <f t="shared" si="37"/>
        <v>1</v>
      </c>
      <c r="F1543" s="435" t="str">
        <f>F1542</f>
        <v>Is there documented evidence, supported by verbal confirmation, of implemented procedures which achieve the objective of securing the facility site against access from unauthorised people?</v>
      </c>
      <c r="G1543" s="388" t="s">
        <v>1194</v>
      </c>
      <c r="H1543" s="390">
        <v>3</v>
      </c>
      <c r="I1543" s="390">
        <v>3</v>
      </c>
      <c r="J1543" s="390"/>
      <c r="K1543" s="398">
        <f>_xlfn.IFNA(VLOOKUP(A1543,numbering!$K$3:$L$92,2,0),0)</f>
        <v>0</v>
      </c>
    </row>
    <row r="1544" spans="1:11" ht="42" hidden="1" x14ac:dyDescent="0.2">
      <c r="A1544" s="390">
        <v>433</v>
      </c>
      <c r="B1544" s="390" t="s">
        <v>594</v>
      </c>
      <c r="C1544" s="390">
        <f>VLOOKUP(B1544,numbering!$N$18:$O$30,2,0)</f>
        <v>11</v>
      </c>
      <c r="D1544" s="390" t="s">
        <v>595</v>
      </c>
      <c r="E1544" s="403">
        <f t="shared" si="37"/>
        <v>1</v>
      </c>
      <c r="F1544" s="435" t="str">
        <f>F1543</f>
        <v>Is there documented evidence, supported by verbal confirmation, of implemented procedures which achieve the objective of securing the facility site against access from unauthorised people?</v>
      </c>
      <c r="G1544" s="388" t="s">
        <v>1195</v>
      </c>
      <c r="H1544" s="390">
        <v>4</v>
      </c>
      <c r="I1544" s="390">
        <v>4</v>
      </c>
      <c r="J1544" s="390"/>
      <c r="K1544" s="398">
        <f>_xlfn.IFNA(VLOOKUP(A1544,numbering!$K$3:$L$92,2,0),0)</f>
        <v>0</v>
      </c>
    </row>
    <row r="1545" spans="1:11" ht="42" hidden="1" x14ac:dyDescent="0.2">
      <c r="A1545" s="390">
        <v>434</v>
      </c>
      <c r="B1545" s="390" t="s">
        <v>594</v>
      </c>
      <c r="C1545" s="390">
        <f>VLOOKUP(B1545,numbering!$N$18:$O$30,2,0)</f>
        <v>11</v>
      </c>
      <c r="D1545" s="390" t="s">
        <v>595</v>
      </c>
      <c r="E1545" s="403">
        <f t="shared" si="37"/>
        <v>1</v>
      </c>
      <c r="F1545" s="435" t="s">
        <v>597</v>
      </c>
      <c r="G1545" s="388" t="s">
        <v>1192</v>
      </c>
      <c r="H1545" s="390">
        <v>1</v>
      </c>
      <c r="I1545" s="390">
        <v>1</v>
      </c>
      <c r="J1545" s="390"/>
      <c r="K1545" s="398">
        <f>_xlfn.IFNA(VLOOKUP(A1545,numbering!$K$3:$L$92,2,0),0)</f>
        <v>0</v>
      </c>
    </row>
    <row r="1546" spans="1:11" ht="42" hidden="1" x14ac:dyDescent="0.2">
      <c r="A1546" s="390">
        <v>434</v>
      </c>
      <c r="B1546" s="390" t="s">
        <v>594</v>
      </c>
      <c r="C1546" s="390">
        <f>VLOOKUP(B1546,numbering!$N$18:$O$30,2,0)</f>
        <v>11</v>
      </c>
      <c r="D1546" s="390" t="s">
        <v>595</v>
      </c>
      <c r="E1546" s="403">
        <f t="shared" si="37"/>
        <v>1</v>
      </c>
      <c r="F1546" s="435" t="s">
        <v>597</v>
      </c>
      <c r="G1546" s="388" t="s">
        <v>1193</v>
      </c>
      <c r="H1546" s="390">
        <v>2</v>
      </c>
      <c r="I1546" s="390">
        <v>2</v>
      </c>
      <c r="J1546" s="390"/>
      <c r="K1546" s="398">
        <f>_xlfn.IFNA(VLOOKUP(A1546,numbering!$K$3:$L$92,2,0),0)</f>
        <v>0</v>
      </c>
    </row>
    <row r="1547" spans="1:11" ht="42" hidden="1" x14ac:dyDescent="0.2">
      <c r="A1547" s="390">
        <v>434</v>
      </c>
      <c r="B1547" s="390" t="s">
        <v>594</v>
      </c>
      <c r="C1547" s="390">
        <f>VLOOKUP(B1547,numbering!$N$18:$O$30,2,0)</f>
        <v>11</v>
      </c>
      <c r="D1547" s="390" t="s">
        <v>595</v>
      </c>
      <c r="E1547" s="403">
        <f t="shared" si="37"/>
        <v>1</v>
      </c>
      <c r="F1547" s="435" t="s">
        <v>597</v>
      </c>
      <c r="G1547" s="388" t="s">
        <v>1194</v>
      </c>
      <c r="H1547" s="390">
        <v>3</v>
      </c>
      <c r="I1547" s="390">
        <v>3</v>
      </c>
      <c r="J1547" s="390"/>
      <c r="K1547" s="398">
        <f>_xlfn.IFNA(VLOOKUP(A1547,numbering!$K$3:$L$92,2,0),0)</f>
        <v>0</v>
      </c>
    </row>
    <row r="1548" spans="1:11" ht="42" hidden="1" x14ac:dyDescent="0.2">
      <c r="A1548" s="390">
        <v>434</v>
      </c>
      <c r="B1548" s="390" t="s">
        <v>594</v>
      </c>
      <c r="C1548" s="390">
        <f>VLOOKUP(B1548,numbering!$N$18:$O$30,2,0)</f>
        <v>11</v>
      </c>
      <c r="D1548" s="390" t="s">
        <v>595</v>
      </c>
      <c r="E1548" s="403">
        <f t="shared" si="37"/>
        <v>1</v>
      </c>
      <c r="F1548" s="435" t="s">
        <v>597</v>
      </c>
      <c r="G1548" s="388" t="s">
        <v>1195</v>
      </c>
      <c r="H1548" s="390">
        <v>4</v>
      </c>
      <c r="I1548" s="390">
        <v>4</v>
      </c>
      <c r="J1548" s="390"/>
      <c r="K1548" s="398">
        <f>_xlfn.IFNA(VLOOKUP(A1548,numbering!$K$3:$L$92,2,0),0)</f>
        <v>0</v>
      </c>
    </row>
    <row r="1549" spans="1:11" ht="60" hidden="1" x14ac:dyDescent="0.2">
      <c r="A1549" s="390">
        <v>435</v>
      </c>
      <c r="B1549" s="390" t="s">
        <v>594</v>
      </c>
      <c r="C1549" s="390">
        <f>VLOOKUP(B1549,numbering!$N$18:$O$30,2,0)</f>
        <v>11</v>
      </c>
      <c r="D1549" s="390" t="s">
        <v>598</v>
      </c>
      <c r="E1549" s="403">
        <f t="shared" si="37"/>
        <v>2</v>
      </c>
      <c r="F1549" s="432" t="s">
        <v>599</v>
      </c>
      <c r="G1549" s="388" t="s">
        <v>1192</v>
      </c>
      <c r="H1549" s="390">
        <v>1</v>
      </c>
      <c r="I1549" s="390">
        <v>1</v>
      </c>
      <c r="J1549" s="390"/>
      <c r="K1549" s="398">
        <f>_xlfn.IFNA(VLOOKUP(A1549,numbering!$K$3:$L$92,2,0),0)</f>
        <v>0</v>
      </c>
    </row>
    <row r="1550" spans="1:11" ht="60" hidden="1" x14ac:dyDescent="0.2">
      <c r="A1550" s="390">
        <v>435</v>
      </c>
      <c r="B1550" s="390" t="s">
        <v>594</v>
      </c>
      <c r="C1550" s="390">
        <f>VLOOKUP(B1550,numbering!$N$18:$O$30,2,0)</f>
        <v>11</v>
      </c>
      <c r="D1550" s="390" t="s">
        <v>598</v>
      </c>
      <c r="E1550" s="403">
        <f t="shared" si="37"/>
        <v>2</v>
      </c>
      <c r="F1550" s="432" t="str">
        <f>F1549</f>
        <v>Is there documented evidence that adequate life saving equipment has been provided at locations along the facility where there is deep water, including maintenance plans for this equipment, to achieve the objective of limiting the likelihood of personnel drowning at the facility?</v>
      </c>
      <c r="G1550" s="388" t="s">
        <v>1193</v>
      </c>
      <c r="H1550" s="390">
        <v>2</v>
      </c>
      <c r="I1550" s="390">
        <v>2</v>
      </c>
      <c r="J1550" s="390"/>
      <c r="K1550" s="398">
        <f>_xlfn.IFNA(VLOOKUP(A1550,numbering!$K$3:$L$92,2,0),0)</f>
        <v>0</v>
      </c>
    </row>
    <row r="1551" spans="1:11" ht="60" hidden="1" x14ac:dyDescent="0.2">
      <c r="A1551" s="390">
        <v>435</v>
      </c>
      <c r="B1551" s="390" t="s">
        <v>594</v>
      </c>
      <c r="C1551" s="390">
        <f>VLOOKUP(B1551,numbering!$N$18:$O$30,2,0)</f>
        <v>11</v>
      </c>
      <c r="D1551" s="390" t="s">
        <v>598</v>
      </c>
      <c r="E1551" s="403">
        <f t="shared" si="37"/>
        <v>2</v>
      </c>
      <c r="F1551" s="432" t="str">
        <f>F1550</f>
        <v>Is there documented evidence that adequate life saving equipment has been provided at locations along the facility where there is deep water, including maintenance plans for this equipment, to achieve the objective of limiting the likelihood of personnel drowning at the facility?</v>
      </c>
      <c r="G1551" s="388" t="s">
        <v>1194</v>
      </c>
      <c r="H1551" s="390">
        <v>3</v>
      </c>
      <c r="I1551" s="390">
        <v>3</v>
      </c>
      <c r="J1551" s="390"/>
      <c r="K1551" s="398">
        <f>_xlfn.IFNA(VLOOKUP(A1551,numbering!$K$3:$L$92,2,0),0)</f>
        <v>0</v>
      </c>
    </row>
    <row r="1552" spans="1:11" ht="60" hidden="1" x14ac:dyDescent="0.2">
      <c r="A1552" s="390">
        <v>435</v>
      </c>
      <c r="B1552" s="390" t="s">
        <v>594</v>
      </c>
      <c r="C1552" s="390">
        <f>VLOOKUP(B1552,numbering!$N$18:$O$30,2,0)</f>
        <v>11</v>
      </c>
      <c r="D1552" s="390" t="s">
        <v>598</v>
      </c>
      <c r="E1552" s="403">
        <f t="shared" si="37"/>
        <v>2</v>
      </c>
      <c r="F1552" s="432" t="str">
        <f>F1551</f>
        <v>Is there documented evidence that adequate life saving equipment has been provided at locations along the facility where there is deep water, including maintenance plans for this equipment, to achieve the objective of limiting the likelihood of personnel drowning at the facility?</v>
      </c>
      <c r="G1552" s="388" t="s">
        <v>1195</v>
      </c>
      <c r="H1552" s="390">
        <v>4</v>
      </c>
      <c r="I1552" s="390">
        <v>4</v>
      </c>
      <c r="J1552" s="390"/>
      <c r="K1552" s="398">
        <f>_xlfn.IFNA(VLOOKUP(A1552,numbering!$K$3:$L$92,2,0),0)</f>
        <v>0</v>
      </c>
    </row>
    <row r="1553" spans="1:11" ht="60" hidden="1" x14ac:dyDescent="0.2">
      <c r="A1553" s="390">
        <v>436</v>
      </c>
      <c r="B1553" s="390" t="s">
        <v>594</v>
      </c>
      <c r="C1553" s="390">
        <f>VLOOKUP(B1553,numbering!$N$18:$O$30,2,0)</f>
        <v>11</v>
      </c>
      <c r="D1553" s="390" t="s">
        <v>598</v>
      </c>
      <c r="E1553" s="403">
        <f t="shared" si="37"/>
        <v>2</v>
      </c>
      <c r="F1553" s="432" t="s">
        <v>600</v>
      </c>
      <c r="G1553" s="388" t="s">
        <v>1192</v>
      </c>
      <c r="H1553" s="390">
        <v>1</v>
      </c>
      <c r="I1553" s="390">
        <v>1</v>
      </c>
      <c r="J1553" s="390"/>
      <c r="K1553" s="398">
        <f>_xlfn.IFNA(VLOOKUP(A1553,numbering!$K$3:$L$92,2,0),0)</f>
        <v>0</v>
      </c>
    </row>
    <row r="1554" spans="1:11" ht="60" hidden="1" x14ac:dyDescent="0.2">
      <c r="A1554" s="390">
        <v>436</v>
      </c>
      <c r="B1554" s="390" t="s">
        <v>594</v>
      </c>
      <c r="C1554" s="390">
        <f>VLOOKUP(B1554,numbering!$N$18:$O$30,2,0)</f>
        <v>11</v>
      </c>
      <c r="D1554" s="390" t="s">
        <v>598</v>
      </c>
      <c r="E1554" s="403">
        <f t="shared" si="37"/>
        <v>2</v>
      </c>
      <c r="F1554" s="432" t="str">
        <f>F1553</f>
        <v>Are all life saving equipment that are stated to be present in available documentation for deep water hazards present at the facility with evidence that they are being maintained appropriately and in-line with the maintenance plan to achieve the objective of limiting the likelihood of personnel drowning at the facility?</v>
      </c>
      <c r="G1554" s="388" t="s">
        <v>1193</v>
      </c>
      <c r="H1554" s="390">
        <v>2</v>
      </c>
      <c r="I1554" s="390">
        <v>2</v>
      </c>
      <c r="J1554" s="390"/>
      <c r="K1554" s="398">
        <f>_xlfn.IFNA(VLOOKUP(A1554,numbering!$K$3:$L$92,2,0),0)</f>
        <v>0</v>
      </c>
    </row>
    <row r="1555" spans="1:11" ht="60" hidden="1" x14ac:dyDescent="0.2">
      <c r="A1555" s="390">
        <v>436</v>
      </c>
      <c r="B1555" s="390" t="s">
        <v>594</v>
      </c>
      <c r="C1555" s="390">
        <f>VLOOKUP(B1555,numbering!$N$18:$O$30,2,0)</f>
        <v>11</v>
      </c>
      <c r="D1555" s="390" t="s">
        <v>598</v>
      </c>
      <c r="E1555" s="403">
        <f t="shared" si="37"/>
        <v>2</v>
      </c>
      <c r="F1555" s="432" t="str">
        <f>F1554</f>
        <v>Are all life saving equipment that are stated to be present in available documentation for deep water hazards present at the facility with evidence that they are being maintained appropriately and in-line with the maintenance plan to achieve the objective of limiting the likelihood of personnel drowning at the facility?</v>
      </c>
      <c r="G1555" s="388" t="s">
        <v>1194</v>
      </c>
      <c r="H1555" s="390">
        <v>3</v>
      </c>
      <c r="I1555" s="390">
        <v>3</v>
      </c>
      <c r="J1555" s="390"/>
      <c r="K1555" s="398">
        <f>_xlfn.IFNA(VLOOKUP(A1555,numbering!$K$3:$L$92,2,0),0)</f>
        <v>0</v>
      </c>
    </row>
    <row r="1556" spans="1:11" ht="60" hidden="1" x14ac:dyDescent="0.2">
      <c r="A1556" s="390">
        <v>436</v>
      </c>
      <c r="B1556" s="390" t="s">
        <v>594</v>
      </c>
      <c r="C1556" s="390">
        <f>VLOOKUP(B1556,numbering!$N$18:$O$30,2,0)</f>
        <v>11</v>
      </c>
      <c r="D1556" s="390" t="s">
        <v>598</v>
      </c>
      <c r="E1556" s="403">
        <f t="shared" si="37"/>
        <v>2</v>
      </c>
      <c r="F1556" s="432" t="str">
        <f>F1555</f>
        <v>Are all life saving equipment that are stated to be present in available documentation for deep water hazards present at the facility with evidence that they are being maintained appropriately and in-line with the maintenance plan to achieve the objective of limiting the likelihood of personnel drowning at the facility?</v>
      </c>
      <c r="G1556" s="388" t="s">
        <v>1195</v>
      </c>
      <c r="H1556" s="390">
        <v>4</v>
      </c>
      <c r="I1556" s="390">
        <v>4</v>
      </c>
      <c r="J1556" s="390"/>
      <c r="K1556" s="398">
        <f>_xlfn.IFNA(VLOOKUP(A1556,numbering!$K$3:$L$92,2,0),0)</f>
        <v>0</v>
      </c>
    </row>
    <row r="1557" spans="1:11" ht="48" hidden="1" x14ac:dyDescent="0.2">
      <c r="A1557" s="390">
        <v>437</v>
      </c>
      <c r="B1557" s="390" t="s">
        <v>594</v>
      </c>
      <c r="C1557" s="390">
        <f>VLOOKUP(B1557,numbering!$N$18:$O$30,2,0)</f>
        <v>11</v>
      </c>
      <c r="D1557" s="390" t="s">
        <v>601</v>
      </c>
      <c r="E1557" s="403">
        <f t="shared" si="37"/>
        <v>3</v>
      </c>
      <c r="F1557" s="432" t="s">
        <v>602</v>
      </c>
      <c r="G1557" s="388" t="s">
        <v>1192</v>
      </c>
      <c r="H1557" s="390">
        <v>1</v>
      </c>
      <c r="I1557" s="390">
        <v>1</v>
      </c>
      <c r="J1557" s="390"/>
      <c r="K1557" s="398">
        <f>_xlfn.IFNA(VLOOKUP(A1557,numbering!$K$3:$L$92,2,0),0)</f>
        <v>0</v>
      </c>
    </row>
    <row r="1558" spans="1:11" ht="48" hidden="1" x14ac:dyDescent="0.2">
      <c r="A1558" s="390">
        <v>437</v>
      </c>
      <c r="B1558" s="390" t="s">
        <v>594</v>
      </c>
      <c r="C1558" s="390">
        <f>VLOOKUP(B1558,numbering!$N$18:$O$30,2,0)</f>
        <v>11</v>
      </c>
      <c r="D1558" s="390" t="s">
        <v>601</v>
      </c>
      <c r="E1558" s="403">
        <f t="shared" si="37"/>
        <v>3</v>
      </c>
      <c r="F1558" s="432" t="str">
        <f>F1557</f>
        <v>Is there documented evidence of due diligence studies that achieve the objective of identifying the potential impact on human rights as a result of the storage facility been appropriately and adequately carried out?</v>
      </c>
      <c r="G1558" s="388" t="s">
        <v>1193</v>
      </c>
      <c r="H1558" s="390">
        <v>2</v>
      </c>
      <c r="I1558" s="390">
        <v>2</v>
      </c>
      <c r="J1558" s="390"/>
      <c r="K1558" s="398">
        <f>_xlfn.IFNA(VLOOKUP(A1558,numbering!$K$3:$L$92,2,0),0)</f>
        <v>0</v>
      </c>
    </row>
    <row r="1559" spans="1:11" ht="48" hidden="1" x14ac:dyDescent="0.2">
      <c r="A1559" s="390">
        <v>437</v>
      </c>
      <c r="B1559" s="390" t="s">
        <v>594</v>
      </c>
      <c r="C1559" s="390">
        <f>VLOOKUP(B1559,numbering!$N$18:$O$30,2,0)</f>
        <v>11</v>
      </c>
      <c r="D1559" s="390" t="s">
        <v>601</v>
      </c>
      <c r="E1559" s="403">
        <f t="shared" si="37"/>
        <v>3</v>
      </c>
      <c r="F1559" s="432" t="str">
        <f>F1558</f>
        <v>Is there documented evidence of due diligence studies that achieve the objective of identifying the potential impact on human rights as a result of the storage facility been appropriately and adequately carried out?</v>
      </c>
      <c r="G1559" s="388" t="s">
        <v>1194</v>
      </c>
      <c r="H1559" s="390">
        <v>3</v>
      </c>
      <c r="I1559" s="390">
        <v>3</v>
      </c>
      <c r="J1559" s="390"/>
      <c r="K1559" s="398">
        <f>_xlfn.IFNA(VLOOKUP(A1559,numbering!$K$3:$L$92,2,0),0)</f>
        <v>0</v>
      </c>
    </row>
    <row r="1560" spans="1:11" ht="48" hidden="1" x14ac:dyDescent="0.2">
      <c r="A1560" s="390">
        <v>437</v>
      </c>
      <c r="B1560" s="390" t="s">
        <v>594</v>
      </c>
      <c r="C1560" s="390">
        <f>VLOOKUP(B1560,numbering!$N$18:$O$30,2,0)</f>
        <v>11</v>
      </c>
      <c r="D1560" s="390" t="s">
        <v>601</v>
      </c>
      <c r="E1560" s="403">
        <f t="shared" si="37"/>
        <v>3</v>
      </c>
      <c r="F1560" s="432" t="str">
        <f>F1559</f>
        <v>Is there documented evidence of due diligence studies that achieve the objective of identifying the potential impact on human rights as a result of the storage facility been appropriately and adequately carried out?</v>
      </c>
      <c r="G1560" s="388" t="s">
        <v>1195</v>
      </c>
      <c r="H1560" s="390">
        <v>4</v>
      </c>
      <c r="I1560" s="390">
        <v>4</v>
      </c>
      <c r="J1560" s="390"/>
      <c r="K1560" s="398">
        <f>_xlfn.IFNA(VLOOKUP(A1560,numbering!$K$3:$L$92,2,0),0)</f>
        <v>0</v>
      </c>
    </row>
    <row r="1561" spans="1:11" ht="48" hidden="1" x14ac:dyDescent="0.2">
      <c r="A1561" s="390">
        <v>438</v>
      </c>
      <c r="B1561" s="390" t="s">
        <v>594</v>
      </c>
      <c r="C1561" s="390">
        <f>VLOOKUP(B1561,numbering!$N$18:$O$30,2,0)</f>
        <v>11</v>
      </c>
      <c r="D1561" s="390" t="s">
        <v>601</v>
      </c>
      <c r="E1561" s="403">
        <f t="shared" si="37"/>
        <v>3</v>
      </c>
      <c r="F1561" s="432" t="s">
        <v>603</v>
      </c>
      <c r="G1561" s="388" t="s">
        <v>1192</v>
      </c>
      <c r="H1561" s="390">
        <v>1</v>
      </c>
      <c r="I1561" s="390">
        <v>1</v>
      </c>
      <c r="J1561" s="390"/>
      <c r="K1561" s="398">
        <f>_xlfn.IFNA(VLOOKUP(A1561,numbering!$K$3:$L$92,2,0),0)</f>
        <v>0</v>
      </c>
    </row>
    <row r="1562" spans="1:11" ht="48" hidden="1" x14ac:dyDescent="0.2">
      <c r="A1562" s="390">
        <v>438</v>
      </c>
      <c r="B1562" s="390" t="s">
        <v>594</v>
      </c>
      <c r="C1562" s="390">
        <f>VLOOKUP(B1562,numbering!$N$18:$O$30,2,0)</f>
        <v>11</v>
      </c>
      <c r="D1562" s="390" t="s">
        <v>601</v>
      </c>
      <c r="E1562" s="403">
        <f t="shared" si="37"/>
        <v>3</v>
      </c>
      <c r="F1562" s="432" t="str">
        <f>F1561</f>
        <v>Is there documented evidence that actions have been identified that achieve the objective of mitigating the likelihood or consequence of potential impacts to human rights as a result of the storage facility, along with a plan for implementation?</v>
      </c>
      <c r="G1562" s="388" t="s">
        <v>1193</v>
      </c>
      <c r="H1562" s="390">
        <v>2</v>
      </c>
      <c r="I1562" s="390">
        <v>2</v>
      </c>
      <c r="J1562" s="390"/>
      <c r="K1562" s="398">
        <f>_xlfn.IFNA(VLOOKUP(A1562,numbering!$K$3:$L$92,2,0),0)</f>
        <v>0</v>
      </c>
    </row>
    <row r="1563" spans="1:11" ht="48" hidden="1" x14ac:dyDescent="0.2">
      <c r="A1563" s="390">
        <v>438</v>
      </c>
      <c r="B1563" s="390" t="s">
        <v>594</v>
      </c>
      <c r="C1563" s="390">
        <f>VLOOKUP(B1563,numbering!$N$18:$O$30,2,0)</f>
        <v>11</v>
      </c>
      <c r="D1563" s="390" t="s">
        <v>601</v>
      </c>
      <c r="E1563" s="403">
        <f t="shared" si="37"/>
        <v>3</v>
      </c>
      <c r="F1563" s="432" t="str">
        <f>F1562</f>
        <v>Is there documented evidence that actions have been identified that achieve the objective of mitigating the likelihood or consequence of potential impacts to human rights as a result of the storage facility, along with a plan for implementation?</v>
      </c>
      <c r="G1563" s="388" t="s">
        <v>1194</v>
      </c>
      <c r="H1563" s="390">
        <v>3</v>
      </c>
      <c r="I1563" s="390">
        <v>3</v>
      </c>
      <c r="J1563" s="390"/>
      <c r="K1563" s="398">
        <f>_xlfn.IFNA(VLOOKUP(A1563,numbering!$K$3:$L$92,2,0),0)</f>
        <v>0</v>
      </c>
    </row>
    <row r="1564" spans="1:11" ht="48" hidden="1" x14ac:dyDescent="0.2">
      <c r="A1564" s="390">
        <v>438</v>
      </c>
      <c r="B1564" s="390" t="s">
        <v>594</v>
      </c>
      <c r="C1564" s="390">
        <f>VLOOKUP(B1564,numbering!$N$18:$O$30,2,0)</f>
        <v>11</v>
      </c>
      <c r="D1564" s="390" t="s">
        <v>601</v>
      </c>
      <c r="E1564" s="403">
        <f t="shared" si="37"/>
        <v>3</v>
      </c>
      <c r="F1564" s="432" t="str">
        <f>F1563</f>
        <v>Is there documented evidence that actions have been identified that achieve the objective of mitigating the likelihood or consequence of potential impacts to human rights as a result of the storage facility, along with a plan for implementation?</v>
      </c>
      <c r="G1564" s="388" t="s">
        <v>1195</v>
      </c>
      <c r="H1564" s="390">
        <v>4</v>
      </c>
      <c r="I1564" s="390">
        <v>4</v>
      </c>
      <c r="J1564" s="390"/>
      <c r="K1564" s="398">
        <f>_xlfn.IFNA(VLOOKUP(A1564,numbering!$K$3:$L$92,2,0),0)</f>
        <v>0</v>
      </c>
    </row>
    <row r="1565" spans="1:11" ht="48" hidden="1" x14ac:dyDescent="0.2">
      <c r="A1565" s="390">
        <v>439</v>
      </c>
      <c r="B1565" s="390" t="s">
        <v>594</v>
      </c>
      <c r="C1565" s="390">
        <f>VLOOKUP(B1565,numbering!$N$18:$O$30,2,0)</f>
        <v>11</v>
      </c>
      <c r="D1565" s="390" t="s">
        <v>601</v>
      </c>
      <c r="E1565" s="403">
        <f t="shared" si="37"/>
        <v>3</v>
      </c>
      <c r="F1565" s="432" t="s">
        <v>604</v>
      </c>
      <c r="G1565" s="388" t="s">
        <v>1192</v>
      </c>
      <c r="H1565" s="390">
        <v>1</v>
      </c>
      <c r="I1565" s="390">
        <v>1</v>
      </c>
      <c r="J1565" s="390"/>
      <c r="K1565" s="398">
        <f>_xlfn.IFNA(VLOOKUP(A1565,numbering!$K$3:$L$92,2,0),0)</f>
        <v>0</v>
      </c>
    </row>
    <row r="1566" spans="1:11" ht="48" hidden="1" x14ac:dyDescent="0.2">
      <c r="A1566" s="390">
        <v>439</v>
      </c>
      <c r="B1566" s="390" t="s">
        <v>594</v>
      </c>
      <c r="C1566" s="390">
        <f>VLOOKUP(B1566,numbering!$N$18:$O$30,2,0)</f>
        <v>11</v>
      </c>
      <c r="D1566" s="390" t="s">
        <v>601</v>
      </c>
      <c r="E1566" s="403">
        <f t="shared" si="37"/>
        <v>3</v>
      </c>
      <c r="F1566" s="432" t="str">
        <f>F1565</f>
        <v>For the new storage facilities, is there documented evidence that the objective of obtaining and maintaining Free Prior and Informed Consent has been achieved?</v>
      </c>
      <c r="G1566" s="388" t="s">
        <v>1193</v>
      </c>
      <c r="H1566" s="390">
        <v>2</v>
      </c>
      <c r="I1566" s="390">
        <v>2</v>
      </c>
      <c r="J1566" s="390"/>
      <c r="K1566" s="398">
        <f>_xlfn.IFNA(VLOOKUP(A1566,numbering!$K$3:$L$92,2,0),0)</f>
        <v>0</v>
      </c>
    </row>
    <row r="1567" spans="1:11" ht="48" hidden="1" x14ac:dyDescent="0.2">
      <c r="A1567" s="390">
        <v>439</v>
      </c>
      <c r="B1567" s="390" t="s">
        <v>594</v>
      </c>
      <c r="C1567" s="390">
        <f>VLOOKUP(B1567,numbering!$N$18:$O$30,2,0)</f>
        <v>11</v>
      </c>
      <c r="D1567" s="390" t="s">
        <v>601</v>
      </c>
      <c r="E1567" s="403">
        <f t="shared" si="37"/>
        <v>3</v>
      </c>
      <c r="F1567" s="432" t="str">
        <f>F1566</f>
        <v>For the new storage facilities, is there documented evidence that the objective of obtaining and maintaining Free Prior and Informed Consent has been achieved?</v>
      </c>
      <c r="G1567" s="388" t="s">
        <v>1194</v>
      </c>
      <c r="H1567" s="390">
        <v>3</v>
      </c>
      <c r="I1567" s="390">
        <v>3</v>
      </c>
      <c r="J1567" s="390"/>
      <c r="K1567" s="398">
        <f>_xlfn.IFNA(VLOOKUP(A1567,numbering!$K$3:$L$92,2,0),0)</f>
        <v>0</v>
      </c>
    </row>
    <row r="1568" spans="1:11" ht="48" hidden="1" x14ac:dyDescent="0.2">
      <c r="A1568" s="390">
        <v>439</v>
      </c>
      <c r="B1568" s="390" t="s">
        <v>594</v>
      </c>
      <c r="C1568" s="390">
        <f>VLOOKUP(B1568,numbering!$N$18:$O$30,2,0)</f>
        <v>11</v>
      </c>
      <c r="D1568" s="390" t="s">
        <v>601</v>
      </c>
      <c r="E1568" s="403">
        <f t="shared" si="37"/>
        <v>3</v>
      </c>
      <c r="F1568" s="432" t="str">
        <f>F1567</f>
        <v>For the new storage facilities, is there documented evidence that the objective of obtaining and maintaining Free Prior and Informed Consent has been achieved?</v>
      </c>
      <c r="G1568" s="388" t="s">
        <v>1195</v>
      </c>
      <c r="H1568" s="390">
        <v>4</v>
      </c>
      <c r="I1568" s="390">
        <v>4</v>
      </c>
      <c r="J1568" s="390"/>
      <c r="K1568" s="398">
        <f>_xlfn.IFNA(VLOOKUP(A1568,numbering!$K$3:$L$92,2,0),0)</f>
        <v>0</v>
      </c>
    </row>
    <row r="1569" spans="1:11" ht="48" hidden="1" x14ac:dyDescent="0.2">
      <c r="A1569" s="390">
        <v>440</v>
      </c>
      <c r="B1569" s="390" t="s">
        <v>594</v>
      </c>
      <c r="C1569" s="390">
        <f>VLOOKUP(B1569,numbering!$N$18:$O$30,2,0)</f>
        <v>11</v>
      </c>
      <c r="D1569" s="390" t="s">
        <v>601</v>
      </c>
      <c r="E1569" s="403">
        <f t="shared" si="37"/>
        <v>3</v>
      </c>
      <c r="F1569" s="432" t="s">
        <v>605</v>
      </c>
      <c r="G1569" s="388" t="s">
        <v>1192</v>
      </c>
      <c r="H1569" s="390">
        <v>1</v>
      </c>
      <c r="I1569" s="390">
        <v>1</v>
      </c>
      <c r="J1569" s="390"/>
      <c r="K1569" s="398">
        <f>_xlfn.IFNA(VLOOKUP(A1569,numbering!$K$3:$L$92,2,0),0)</f>
        <v>0</v>
      </c>
    </row>
    <row r="1570" spans="1:11" ht="48" hidden="1" x14ac:dyDescent="0.2">
      <c r="A1570" s="390">
        <v>440</v>
      </c>
      <c r="B1570" s="390" t="s">
        <v>594</v>
      </c>
      <c r="C1570" s="390">
        <f>VLOOKUP(B1570,numbering!$N$18:$O$30,2,0)</f>
        <v>11</v>
      </c>
      <c r="D1570" s="390" t="s">
        <v>601</v>
      </c>
      <c r="E1570" s="403">
        <f t="shared" si="37"/>
        <v>3</v>
      </c>
      <c r="F1570" s="432" t="str">
        <f>F1569</f>
        <v>Is there documented evidence that the objective of engaging project-affected people meaningfully and appropriately throughout the tailings facility lifecycle has been achieved?</v>
      </c>
      <c r="G1570" s="388" t="s">
        <v>1193</v>
      </c>
      <c r="H1570" s="390">
        <v>2</v>
      </c>
      <c r="I1570" s="390">
        <v>2</v>
      </c>
      <c r="J1570" s="390"/>
      <c r="K1570" s="398">
        <f>_xlfn.IFNA(VLOOKUP(A1570,numbering!$K$3:$L$92,2,0),0)</f>
        <v>0</v>
      </c>
    </row>
    <row r="1571" spans="1:11" ht="48" hidden="1" x14ac:dyDescent="0.2">
      <c r="A1571" s="390">
        <v>440</v>
      </c>
      <c r="B1571" s="390" t="s">
        <v>594</v>
      </c>
      <c r="C1571" s="390">
        <f>VLOOKUP(B1571,numbering!$N$18:$O$30,2,0)</f>
        <v>11</v>
      </c>
      <c r="D1571" s="390" t="s">
        <v>601</v>
      </c>
      <c r="E1571" s="403">
        <f t="shared" si="37"/>
        <v>3</v>
      </c>
      <c r="F1571" s="432" t="str">
        <f>F1570</f>
        <v>Is there documented evidence that the objective of engaging project-affected people meaningfully and appropriately throughout the tailings facility lifecycle has been achieved?</v>
      </c>
      <c r="G1571" s="388" t="s">
        <v>1194</v>
      </c>
      <c r="H1571" s="390">
        <v>3</v>
      </c>
      <c r="I1571" s="390">
        <v>3</v>
      </c>
      <c r="J1571" s="390"/>
      <c r="K1571" s="398">
        <f>_xlfn.IFNA(VLOOKUP(A1571,numbering!$K$3:$L$92,2,0),0)</f>
        <v>0</v>
      </c>
    </row>
    <row r="1572" spans="1:11" ht="48" hidden="1" x14ac:dyDescent="0.2">
      <c r="A1572" s="390">
        <v>440</v>
      </c>
      <c r="B1572" s="390" t="s">
        <v>594</v>
      </c>
      <c r="C1572" s="390">
        <f>VLOOKUP(B1572,numbering!$N$18:$O$30,2,0)</f>
        <v>11</v>
      </c>
      <c r="D1572" s="390" t="s">
        <v>601</v>
      </c>
      <c r="E1572" s="403">
        <f t="shared" si="37"/>
        <v>3</v>
      </c>
      <c r="F1572" s="432" t="str">
        <f>F1571</f>
        <v>Is there documented evidence that the objective of engaging project-affected people meaningfully and appropriately throughout the tailings facility lifecycle has been achieved?</v>
      </c>
      <c r="G1572" s="388" t="s">
        <v>1195</v>
      </c>
      <c r="H1572" s="390">
        <v>4</v>
      </c>
      <c r="I1572" s="390">
        <v>4</v>
      </c>
      <c r="J1572" s="390"/>
      <c r="K1572" s="398">
        <f>_xlfn.IFNA(VLOOKUP(A1572,numbering!$K$3:$L$92,2,0),0)</f>
        <v>0</v>
      </c>
    </row>
    <row r="1573" spans="1:11" ht="48" hidden="1" x14ac:dyDescent="0.2">
      <c r="A1573" s="390">
        <v>441</v>
      </c>
      <c r="B1573" s="390" t="s">
        <v>594</v>
      </c>
      <c r="C1573" s="390">
        <f>VLOOKUP(B1573,numbering!$N$18:$O$30,2,0)</f>
        <v>11</v>
      </c>
      <c r="D1573" s="390" t="s">
        <v>601</v>
      </c>
      <c r="E1573" s="403">
        <f t="shared" si="37"/>
        <v>3</v>
      </c>
      <c r="F1573" s="432" t="s">
        <v>606</v>
      </c>
      <c r="G1573" s="388" t="s">
        <v>1192</v>
      </c>
      <c r="H1573" s="390">
        <v>1</v>
      </c>
      <c r="I1573" s="390">
        <v>1</v>
      </c>
      <c r="J1573" s="390"/>
      <c r="K1573" s="398">
        <f>_xlfn.IFNA(VLOOKUP(A1573,numbering!$K$3:$L$92,2,0),0)</f>
        <v>0</v>
      </c>
    </row>
    <row r="1574" spans="1:11" ht="48" hidden="1" x14ac:dyDescent="0.2">
      <c r="A1574" s="390">
        <v>441</v>
      </c>
      <c r="B1574" s="390" t="s">
        <v>594</v>
      </c>
      <c r="C1574" s="390">
        <f>VLOOKUP(B1574,numbering!$N$18:$O$30,2,0)</f>
        <v>11</v>
      </c>
      <c r="D1574" s="390" t="s">
        <v>601</v>
      </c>
      <c r="E1574" s="403">
        <f t="shared" si="37"/>
        <v>3</v>
      </c>
      <c r="F1574" s="432" t="str">
        <f>F1573</f>
        <v>Is there documented evidence that the objective of considering the outcomes from the engagement of project affected people in the design, management and operation of the storage facility has been achieved?</v>
      </c>
      <c r="G1574" s="388" t="s">
        <v>1193</v>
      </c>
      <c r="H1574" s="390">
        <v>2</v>
      </c>
      <c r="I1574" s="390">
        <v>2</v>
      </c>
      <c r="J1574" s="390"/>
      <c r="K1574" s="398">
        <f>_xlfn.IFNA(VLOOKUP(A1574,numbering!$K$3:$L$92,2,0),0)</f>
        <v>0</v>
      </c>
    </row>
    <row r="1575" spans="1:11" ht="48" hidden="1" x14ac:dyDescent="0.2">
      <c r="A1575" s="390">
        <v>441</v>
      </c>
      <c r="B1575" s="390" t="s">
        <v>594</v>
      </c>
      <c r="C1575" s="390">
        <f>VLOOKUP(B1575,numbering!$N$18:$O$30,2,0)</f>
        <v>11</v>
      </c>
      <c r="D1575" s="390" t="s">
        <v>601</v>
      </c>
      <c r="E1575" s="403">
        <f t="shared" si="37"/>
        <v>3</v>
      </c>
      <c r="F1575" s="432" t="str">
        <f>F1574</f>
        <v>Is there documented evidence that the objective of considering the outcomes from the engagement of project affected people in the design, management and operation of the storage facility has been achieved?</v>
      </c>
      <c r="G1575" s="388" t="s">
        <v>1194</v>
      </c>
      <c r="H1575" s="390">
        <v>3</v>
      </c>
      <c r="I1575" s="390">
        <v>3</v>
      </c>
      <c r="J1575" s="390"/>
      <c r="K1575" s="398">
        <f>_xlfn.IFNA(VLOOKUP(A1575,numbering!$K$3:$L$92,2,0),0)</f>
        <v>0</v>
      </c>
    </row>
    <row r="1576" spans="1:11" ht="48" hidden="1" x14ac:dyDescent="0.2">
      <c r="A1576" s="390">
        <v>441</v>
      </c>
      <c r="B1576" s="390" t="s">
        <v>594</v>
      </c>
      <c r="C1576" s="390">
        <f>VLOOKUP(B1576,numbering!$N$18:$O$30,2,0)</f>
        <v>11</v>
      </c>
      <c r="D1576" s="390" t="s">
        <v>601</v>
      </c>
      <c r="E1576" s="403">
        <f t="shared" ref="E1576:E1628" si="38">IF(C1576&lt;&gt;C1575,1,IF(D1576&lt;&gt;D1575,E1575+1,E1575))</f>
        <v>3</v>
      </c>
      <c r="F1576" s="432" t="str">
        <f>F1575</f>
        <v>Is there documented evidence that the objective of considering the outcomes from the engagement of project affected people in the design, management and operation of the storage facility has been achieved?</v>
      </c>
      <c r="G1576" s="388" t="s">
        <v>1195</v>
      </c>
      <c r="H1576" s="390">
        <v>4</v>
      </c>
      <c r="I1576" s="390">
        <v>4</v>
      </c>
      <c r="J1576" s="390"/>
      <c r="K1576" s="398">
        <f>_xlfn.IFNA(VLOOKUP(A1576,numbering!$K$3:$L$92,2,0),0)</f>
        <v>0</v>
      </c>
    </row>
    <row r="1577" spans="1:11" ht="48" hidden="1" x14ac:dyDescent="0.2">
      <c r="A1577" s="390">
        <v>442</v>
      </c>
      <c r="B1577" s="390" t="s">
        <v>594</v>
      </c>
      <c r="C1577" s="390">
        <f>VLOOKUP(B1577,numbering!$N$18:$O$30,2,0)</f>
        <v>11</v>
      </c>
      <c r="D1577" s="390" t="s">
        <v>601</v>
      </c>
      <c r="E1577" s="403">
        <f t="shared" si="38"/>
        <v>3</v>
      </c>
      <c r="F1577" s="432" t="s">
        <v>607</v>
      </c>
      <c r="G1577" s="388" t="s">
        <v>1192</v>
      </c>
      <c r="H1577" s="390">
        <v>1</v>
      </c>
      <c r="I1577" s="390">
        <v>1</v>
      </c>
      <c r="J1577" s="390"/>
      <c r="K1577" s="398">
        <f>_xlfn.IFNA(VLOOKUP(A1577,numbering!$K$3:$L$92,2,0),0)</f>
        <v>0</v>
      </c>
    </row>
    <row r="1578" spans="1:11" ht="48" hidden="1" x14ac:dyDescent="0.2">
      <c r="A1578" s="390">
        <v>442</v>
      </c>
      <c r="B1578" s="390" t="s">
        <v>594</v>
      </c>
      <c r="C1578" s="390">
        <f>VLOOKUP(B1578,numbering!$N$18:$O$30,2,0)</f>
        <v>11</v>
      </c>
      <c r="D1578" s="390" t="s">
        <v>601</v>
      </c>
      <c r="E1578" s="403">
        <f t="shared" si="38"/>
        <v>3</v>
      </c>
      <c r="F1578" s="432" t="str">
        <f>F1577</f>
        <v>Is there documented evidence that a process has been established which achieves the objective of appropriately disseminate relevant information to project affected people as part of engagement processes?</v>
      </c>
      <c r="G1578" s="388" t="s">
        <v>1193</v>
      </c>
      <c r="H1578" s="390">
        <v>2</v>
      </c>
      <c r="I1578" s="390">
        <v>2</v>
      </c>
      <c r="J1578" s="390"/>
      <c r="K1578" s="398">
        <f>_xlfn.IFNA(VLOOKUP(A1578,numbering!$K$3:$L$92,2,0),0)</f>
        <v>0</v>
      </c>
    </row>
    <row r="1579" spans="1:11" ht="48" hidden="1" x14ac:dyDescent="0.2">
      <c r="A1579" s="390">
        <v>442</v>
      </c>
      <c r="B1579" s="390" t="s">
        <v>594</v>
      </c>
      <c r="C1579" s="390">
        <f>VLOOKUP(B1579,numbering!$N$18:$O$30,2,0)</f>
        <v>11</v>
      </c>
      <c r="D1579" s="390" t="s">
        <v>601</v>
      </c>
      <c r="E1579" s="403">
        <f t="shared" si="38"/>
        <v>3</v>
      </c>
      <c r="F1579" s="432" t="str">
        <f>F1578</f>
        <v>Is there documented evidence that a process has been established which achieves the objective of appropriately disseminate relevant information to project affected people as part of engagement processes?</v>
      </c>
      <c r="G1579" s="388" t="s">
        <v>1194</v>
      </c>
      <c r="H1579" s="390">
        <v>3</v>
      </c>
      <c r="I1579" s="390">
        <v>3</v>
      </c>
      <c r="J1579" s="390"/>
      <c r="K1579" s="398">
        <f>_xlfn.IFNA(VLOOKUP(A1579,numbering!$K$3:$L$92,2,0),0)</f>
        <v>0</v>
      </c>
    </row>
    <row r="1580" spans="1:11" ht="48" hidden="1" x14ac:dyDescent="0.2">
      <c r="A1580" s="390">
        <v>442</v>
      </c>
      <c r="B1580" s="390" t="s">
        <v>594</v>
      </c>
      <c r="C1580" s="390">
        <f>VLOOKUP(B1580,numbering!$N$18:$O$30,2,0)</f>
        <v>11</v>
      </c>
      <c r="D1580" s="390" t="s">
        <v>601</v>
      </c>
      <c r="E1580" s="403">
        <f t="shared" si="38"/>
        <v>3</v>
      </c>
      <c r="F1580" s="432" t="str">
        <f>F1579</f>
        <v>Is there documented evidence that a process has been established which achieves the objective of appropriately disseminate relevant information to project affected people as part of engagement processes?</v>
      </c>
      <c r="G1580" s="388" t="s">
        <v>1195</v>
      </c>
      <c r="H1580" s="390">
        <v>4</v>
      </c>
      <c r="I1580" s="390">
        <v>4</v>
      </c>
      <c r="J1580" s="390"/>
      <c r="K1580" s="398">
        <f>_xlfn.IFNA(VLOOKUP(A1580,numbering!$K$3:$L$92,2,0),0)</f>
        <v>0</v>
      </c>
    </row>
    <row r="1581" spans="1:11" ht="75" hidden="1" x14ac:dyDescent="0.2">
      <c r="A1581" s="390">
        <v>443</v>
      </c>
      <c r="B1581" s="390" t="s">
        <v>594</v>
      </c>
      <c r="C1581" s="390">
        <f>VLOOKUP(B1581,numbering!$N$18:$O$30,2,0)</f>
        <v>11</v>
      </c>
      <c r="D1581" s="390" t="s">
        <v>601</v>
      </c>
      <c r="E1581" s="403">
        <f t="shared" si="38"/>
        <v>3</v>
      </c>
      <c r="F1581" s="432" t="s">
        <v>608</v>
      </c>
      <c r="G1581" s="388" t="s">
        <v>1192</v>
      </c>
      <c r="H1581" s="390">
        <v>1</v>
      </c>
      <c r="I1581" s="390">
        <v>1</v>
      </c>
      <c r="J1581" s="390"/>
      <c r="K1581" s="398">
        <f>_xlfn.IFNA(VLOOKUP(A1581,numbering!$K$3:$L$92,2,0),0)</f>
        <v>0</v>
      </c>
    </row>
    <row r="1582" spans="1:11" ht="75" hidden="1" x14ac:dyDescent="0.2">
      <c r="A1582" s="390">
        <v>443</v>
      </c>
      <c r="B1582" s="390" t="s">
        <v>594</v>
      </c>
      <c r="C1582" s="390">
        <f>VLOOKUP(B1582,numbering!$N$18:$O$30,2,0)</f>
        <v>11</v>
      </c>
      <c r="D1582" s="390" t="s">
        <v>601</v>
      </c>
      <c r="E1582" s="403">
        <f t="shared" si="38"/>
        <v>3</v>
      </c>
      <c r="F1582" s="432" t="str">
        <f>F1581</f>
        <v>Is there documented evidence that a grievance mechanism has been established that appropriately achieves the following objectives:
-Records complaints and grievances from project affected people?
-Addresses complaints and grievances?
-Allows the provision of remedies?</v>
      </c>
      <c r="G1582" s="388" t="s">
        <v>1193</v>
      </c>
      <c r="H1582" s="390">
        <v>2</v>
      </c>
      <c r="I1582" s="390">
        <v>2</v>
      </c>
      <c r="J1582" s="390"/>
      <c r="K1582" s="398">
        <f>_xlfn.IFNA(VLOOKUP(A1582,numbering!$K$3:$L$92,2,0),0)</f>
        <v>0</v>
      </c>
    </row>
    <row r="1583" spans="1:11" ht="75" hidden="1" x14ac:dyDescent="0.2">
      <c r="A1583" s="390">
        <v>443</v>
      </c>
      <c r="B1583" s="390" t="s">
        <v>594</v>
      </c>
      <c r="C1583" s="390">
        <f>VLOOKUP(B1583,numbering!$N$18:$O$30,2,0)</f>
        <v>11</v>
      </c>
      <c r="D1583" s="390" t="s">
        <v>601</v>
      </c>
      <c r="E1583" s="403">
        <f t="shared" si="38"/>
        <v>3</v>
      </c>
      <c r="F1583" s="432" t="str">
        <f>F1582</f>
        <v>Is there documented evidence that a grievance mechanism has been established that appropriately achieves the following objectives:
-Records complaints and grievances from project affected people?
-Addresses complaints and grievances?
-Allows the provision of remedies?</v>
      </c>
      <c r="G1583" s="388" t="s">
        <v>1194</v>
      </c>
      <c r="H1583" s="390">
        <v>3</v>
      </c>
      <c r="I1583" s="390">
        <v>3</v>
      </c>
      <c r="J1583" s="390"/>
      <c r="K1583" s="398">
        <f>_xlfn.IFNA(VLOOKUP(A1583,numbering!$K$3:$L$92,2,0),0)</f>
        <v>0</v>
      </c>
    </row>
    <row r="1584" spans="1:11" ht="75" hidden="1" x14ac:dyDescent="0.2">
      <c r="A1584" s="390">
        <v>443</v>
      </c>
      <c r="B1584" s="390" t="s">
        <v>594</v>
      </c>
      <c r="C1584" s="390">
        <f>VLOOKUP(B1584,numbering!$N$18:$O$30,2,0)</f>
        <v>11</v>
      </c>
      <c r="D1584" s="390" t="s">
        <v>601</v>
      </c>
      <c r="E1584" s="403">
        <f t="shared" si="38"/>
        <v>3</v>
      </c>
      <c r="F1584" s="432" t="str">
        <f>F1583</f>
        <v>Is there documented evidence that a grievance mechanism has been established that appropriately achieves the following objectives:
-Records complaints and grievances from project affected people?
-Addresses complaints and grievances?
-Allows the provision of remedies?</v>
      </c>
      <c r="G1584" s="388" t="s">
        <v>1195</v>
      </c>
      <c r="H1584" s="390">
        <v>4</v>
      </c>
      <c r="I1584" s="390">
        <v>4</v>
      </c>
      <c r="J1584" s="390"/>
      <c r="K1584" s="398">
        <f>_xlfn.IFNA(VLOOKUP(A1584,numbering!$K$3:$L$92,2,0),0)</f>
        <v>0</v>
      </c>
    </row>
    <row r="1585" spans="1:11" ht="48" hidden="1" x14ac:dyDescent="0.2">
      <c r="A1585" s="390">
        <v>444</v>
      </c>
      <c r="B1585" s="390" t="s">
        <v>594</v>
      </c>
      <c r="C1585" s="390">
        <f>VLOOKUP(B1585,numbering!$N$18:$O$30,2,0)</f>
        <v>11</v>
      </c>
      <c r="D1585" s="390" t="s">
        <v>601</v>
      </c>
      <c r="E1585" s="403">
        <f t="shared" si="38"/>
        <v>3</v>
      </c>
      <c r="F1585" s="432" t="s">
        <v>609</v>
      </c>
      <c r="G1585" s="388" t="s">
        <v>1192</v>
      </c>
      <c r="H1585" s="390">
        <v>1</v>
      </c>
      <c r="I1585" s="390">
        <v>1</v>
      </c>
      <c r="J1585" s="390"/>
      <c r="K1585" s="398">
        <f>_xlfn.IFNA(VLOOKUP(A1585,numbering!$K$3:$L$92,2,0),0)</f>
        <v>0</v>
      </c>
    </row>
    <row r="1586" spans="1:11" ht="48" hidden="1" x14ac:dyDescent="0.2">
      <c r="A1586" s="390">
        <v>444</v>
      </c>
      <c r="B1586" s="390" t="s">
        <v>594</v>
      </c>
      <c r="C1586" s="390">
        <f>VLOOKUP(B1586,numbering!$N$18:$O$30,2,0)</f>
        <v>11</v>
      </c>
      <c r="D1586" s="390" t="s">
        <v>601</v>
      </c>
      <c r="E1586" s="403">
        <f t="shared" si="38"/>
        <v>3</v>
      </c>
      <c r="F1586" s="432" t="str">
        <f>F1585</f>
        <v>Is there documented evidence that the owner has achieved the objective of conforming with international standards for involuntary resettlement?</v>
      </c>
      <c r="G1586" s="388" t="s">
        <v>1193</v>
      </c>
      <c r="H1586" s="390">
        <v>2</v>
      </c>
      <c r="I1586" s="390">
        <v>2</v>
      </c>
      <c r="J1586" s="390"/>
      <c r="K1586" s="398">
        <f>_xlfn.IFNA(VLOOKUP(A1586,numbering!$K$3:$L$92,2,0),0)</f>
        <v>0</v>
      </c>
    </row>
    <row r="1587" spans="1:11" ht="48" hidden="1" x14ac:dyDescent="0.2">
      <c r="A1587" s="390">
        <v>444</v>
      </c>
      <c r="B1587" s="390" t="s">
        <v>594</v>
      </c>
      <c r="C1587" s="390">
        <f>VLOOKUP(B1587,numbering!$N$18:$O$30,2,0)</f>
        <v>11</v>
      </c>
      <c r="D1587" s="390" t="s">
        <v>601</v>
      </c>
      <c r="E1587" s="403">
        <f t="shared" si="38"/>
        <v>3</v>
      </c>
      <c r="F1587" s="432" t="str">
        <f>F1586</f>
        <v>Is there documented evidence that the owner has achieved the objective of conforming with international standards for involuntary resettlement?</v>
      </c>
      <c r="G1587" s="388" t="s">
        <v>1194</v>
      </c>
      <c r="H1587" s="390">
        <v>3</v>
      </c>
      <c r="I1587" s="390">
        <v>3</v>
      </c>
      <c r="J1587" s="390"/>
      <c r="K1587" s="398">
        <f>_xlfn.IFNA(VLOOKUP(A1587,numbering!$K$3:$L$92,2,0),0)</f>
        <v>0</v>
      </c>
    </row>
    <row r="1588" spans="1:11" ht="48" hidden="1" x14ac:dyDescent="0.2">
      <c r="A1588" s="390">
        <v>444</v>
      </c>
      <c r="B1588" s="390" t="s">
        <v>594</v>
      </c>
      <c r="C1588" s="390">
        <f>VLOOKUP(B1588,numbering!$N$18:$O$30,2,0)</f>
        <v>11</v>
      </c>
      <c r="D1588" s="390" t="s">
        <v>601</v>
      </c>
      <c r="E1588" s="403">
        <f t="shared" si="38"/>
        <v>3</v>
      </c>
      <c r="F1588" s="432" t="str">
        <f>F1587</f>
        <v>Is there documented evidence that the owner has achieved the objective of conforming with international standards for involuntary resettlement?</v>
      </c>
      <c r="G1588" s="388" t="s">
        <v>1195</v>
      </c>
      <c r="H1588" s="390">
        <v>4</v>
      </c>
      <c r="I1588" s="390">
        <v>4</v>
      </c>
      <c r="J1588" s="390"/>
      <c r="K1588" s="398">
        <f>_xlfn.IFNA(VLOOKUP(A1588,numbering!$K$3:$L$92,2,0),0)</f>
        <v>0</v>
      </c>
    </row>
    <row r="1589" spans="1:11" ht="60" hidden="1" x14ac:dyDescent="0.2">
      <c r="A1589" s="390">
        <v>445</v>
      </c>
      <c r="B1589" s="390" t="s">
        <v>594</v>
      </c>
      <c r="C1589" s="390">
        <f>VLOOKUP(B1589,numbering!$N$18:$O$30,2,0)</f>
        <v>11</v>
      </c>
      <c r="D1589" s="390" t="s">
        <v>610</v>
      </c>
      <c r="E1589" s="403">
        <f t="shared" si="38"/>
        <v>4</v>
      </c>
      <c r="F1589" s="432" t="s">
        <v>611</v>
      </c>
      <c r="G1589" s="388" t="s">
        <v>1192</v>
      </c>
      <c r="H1589" s="390">
        <v>1</v>
      </c>
      <c r="I1589" s="390">
        <v>1</v>
      </c>
      <c r="J1589" s="390"/>
      <c r="K1589" s="398">
        <f>_xlfn.IFNA(VLOOKUP(A1589,numbering!$K$3:$L$92,2,0),0)</f>
        <v>0</v>
      </c>
    </row>
    <row r="1590" spans="1:11" ht="60" hidden="1" x14ac:dyDescent="0.2">
      <c r="A1590" s="390">
        <v>445</v>
      </c>
      <c r="B1590" s="390" t="s">
        <v>594</v>
      </c>
      <c r="C1590" s="390">
        <f>VLOOKUP(B1590,numbering!$N$18:$O$30,2,0)</f>
        <v>11</v>
      </c>
      <c r="D1590" s="390" t="s">
        <v>610</v>
      </c>
      <c r="E1590" s="403">
        <f t="shared" si="38"/>
        <v>4</v>
      </c>
      <c r="F1590" s="432" t="str">
        <f>F1589</f>
        <v>Is there documented evidence that the Accountable Executive has established a formal, confidential and written process which achieves the objective of receiving concerns from personnel regarding facility safety, operating, regulatory compliance, public and environment safety concerns?</v>
      </c>
      <c r="G1590" s="388" t="s">
        <v>1193</v>
      </c>
      <c r="H1590" s="390">
        <v>2</v>
      </c>
      <c r="I1590" s="390">
        <v>2</v>
      </c>
      <c r="J1590" s="390"/>
      <c r="K1590" s="398">
        <f>_xlfn.IFNA(VLOOKUP(A1590,numbering!$K$3:$L$92,2,0),0)</f>
        <v>0</v>
      </c>
    </row>
    <row r="1591" spans="1:11" ht="60" hidden="1" x14ac:dyDescent="0.2">
      <c r="A1591" s="390">
        <v>445</v>
      </c>
      <c r="B1591" s="390" t="s">
        <v>594</v>
      </c>
      <c r="C1591" s="390">
        <f>VLOOKUP(B1591,numbering!$N$18:$O$30,2,0)</f>
        <v>11</v>
      </c>
      <c r="D1591" s="390" t="s">
        <v>610</v>
      </c>
      <c r="E1591" s="403">
        <f t="shared" si="38"/>
        <v>4</v>
      </c>
      <c r="F1591" s="432" t="str">
        <f>F1590</f>
        <v>Is there documented evidence that the Accountable Executive has established a formal, confidential and written process which achieves the objective of receiving concerns from personnel regarding facility safety, operating, regulatory compliance, public and environment safety concerns?</v>
      </c>
      <c r="G1591" s="388" t="s">
        <v>1194</v>
      </c>
      <c r="H1591" s="390">
        <v>3</v>
      </c>
      <c r="I1591" s="390">
        <v>3</v>
      </c>
      <c r="J1591" s="390"/>
      <c r="K1591" s="398">
        <f>_xlfn.IFNA(VLOOKUP(A1591,numbering!$K$3:$L$92,2,0),0)</f>
        <v>0</v>
      </c>
    </row>
    <row r="1592" spans="1:11" ht="60" hidden="1" x14ac:dyDescent="0.2">
      <c r="A1592" s="390">
        <v>445</v>
      </c>
      <c r="B1592" s="390" t="s">
        <v>594</v>
      </c>
      <c r="C1592" s="390">
        <f>VLOOKUP(B1592,numbering!$N$18:$O$30,2,0)</f>
        <v>11</v>
      </c>
      <c r="D1592" s="390" t="s">
        <v>610</v>
      </c>
      <c r="E1592" s="403">
        <f t="shared" si="38"/>
        <v>4</v>
      </c>
      <c r="F1592" s="432" t="str">
        <f>F1591</f>
        <v>Is there documented evidence that the Accountable Executive has established a formal, confidential and written process which achieves the objective of receiving concerns from personnel regarding facility safety, operating, regulatory compliance, public and environment safety concerns?</v>
      </c>
      <c r="G1592" s="388" t="s">
        <v>1195</v>
      </c>
      <c r="H1592" s="390">
        <v>4</v>
      </c>
      <c r="I1592" s="390">
        <v>4</v>
      </c>
      <c r="J1592" s="390"/>
      <c r="K1592" s="398">
        <f>_xlfn.IFNA(VLOOKUP(A1592,numbering!$K$3:$L$92,2,0),0)</f>
        <v>0</v>
      </c>
    </row>
    <row r="1593" spans="1:11" ht="60" hidden="1" x14ac:dyDescent="0.2">
      <c r="A1593" s="390">
        <v>446</v>
      </c>
      <c r="B1593" s="390" t="s">
        <v>594</v>
      </c>
      <c r="C1593" s="390">
        <f>VLOOKUP(B1593,numbering!$N$18:$O$30,2,0)</f>
        <v>11</v>
      </c>
      <c r="D1593" s="390" t="s">
        <v>610</v>
      </c>
      <c r="E1593" s="403">
        <f t="shared" si="38"/>
        <v>4</v>
      </c>
      <c r="F1593" s="432" t="s">
        <v>612</v>
      </c>
      <c r="G1593" s="388" t="s">
        <v>1192</v>
      </c>
      <c r="H1593" s="390">
        <v>1</v>
      </c>
      <c r="I1593" s="390">
        <v>1</v>
      </c>
      <c r="J1593" s="390"/>
      <c r="K1593" s="398">
        <f>_xlfn.IFNA(VLOOKUP(A1593,numbering!$K$3:$L$92,2,0),0)</f>
        <v>0</v>
      </c>
    </row>
    <row r="1594" spans="1:11" ht="60" hidden="1" x14ac:dyDescent="0.2">
      <c r="A1594" s="390">
        <v>446</v>
      </c>
      <c r="B1594" s="390" t="s">
        <v>594</v>
      </c>
      <c r="C1594" s="390">
        <f>VLOOKUP(B1594,numbering!$N$18:$O$30,2,0)</f>
        <v>11</v>
      </c>
      <c r="D1594" s="390" t="s">
        <v>610</v>
      </c>
      <c r="E1594" s="403">
        <f t="shared" si="38"/>
        <v>4</v>
      </c>
      <c r="F1594" s="432" t="str">
        <f>F1593</f>
        <v>Is there documented evidence that the Accountable Executive has established a formal process which achieves the objective of investigating reported concerns regarding facility safety, operating, regulatory compliance, public and environment safety concerns?</v>
      </c>
      <c r="G1594" s="388" t="s">
        <v>1193</v>
      </c>
      <c r="H1594" s="390">
        <v>2</v>
      </c>
      <c r="I1594" s="390">
        <v>2</v>
      </c>
      <c r="J1594" s="390"/>
      <c r="K1594" s="398">
        <f>_xlfn.IFNA(VLOOKUP(A1594,numbering!$K$3:$L$92,2,0),0)</f>
        <v>0</v>
      </c>
    </row>
    <row r="1595" spans="1:11" ht="60" hidden="1" x14ac:dyDescent="0.2">
      <c r="A1595" s="390">
        <v>446</v>
      </c>
      <c r="B1595" s="390" t="s">
        <v>594</v>
      </c>
      <c r="C1595" s="390">
        <f>VLOOKUP(B1595,numbering!$N$18:$O$30,2,0)</f>
        <v>11</v>
      </c>
      <c r="D1595" s="390" t="s">
        <v>610</v>
      </c>
      <c r="E1595" s="403">
        <f t="shared" si="38"/>
        <v>4</v>
      </c>
      <c r="F1595" s="432" t="str">
        <f>F1594</f>
        <v>Is there documented evidence that the Accountable Executive has established a formal process which achieves the objective of investigating reported concerns regarding facility safety, operating, regulatory compliance, public and environment safety concerns?</v>
      </c>
      <c r="G1595" s="388" t="s">
        <v>1194</v>
      </c>
      <c r="H1595" s="390">
        <v>3</v>
      </c>
      <c r="I1595" s="390">
        <v>3</v>
      </c>
      <c r="J1595" s="390"/>
      <c r="K1595" s="398">
        <f>_xlfn.IFNA(VLOOKUP(A1595,numbering!$K$3:$L$92,2,0),0)</f>
        <v>0</v>
      </c>
    </row>
    <row r="1596" spans="1:11" ht="60" hidden="1" x14ac:dyDescent="0.2">
      <c r="A1596" s="390">
        <v>446</v>
      </c>
      <c r="B1596" s="390" t="s">
        <v>594</v>
      </c>
      <c r="C1596" s="390">
        <f>VLOOKUP(B1596,numbering!$N$18:$O$30,2,0)</f>
        <v>11</v>
      </c>
      <c r="D1596" s="390" t="s">
        <v>610</v>
      </c>
      <c r="E1596" s="403">
        <f t="shared" si="38"/>
        <v>4</v>
      </c>
      <c r="F1596" s="432" t="str">
        <f>F1595</f>
        <v>Is there documented evidence that the Accountable Executive has established a formal process which achieves the objective of investigating reported concerns regarding facility safety, operating, regulatory compliance, public and environment safety concerns?</v>
      </c>
      <c r="G1596" s="388" t="s">
        <v>1195</v>
      </c>
      <c r="H1596" s="390">
        <v>4</v>
      </c>
      <c r="I1596" s="390">
        <v>4</v>
      </c>
      <c r="J1596" s="390"/>
      <c r="K1596" s="398">
        <f>_xlfn.IFNA(VLOOKUP(A1596,numbering!$K$3:$L$92,2,0),0)</f>
        <v>0</v>
      </c>
    </row>
    <row r="1597" spans="1:11" ht="60" hidden="1" x14ac:dyDescent="0.2">
      <c r="A1597" s="390">
        <v>447</v>
      </c>
      <c r="B1597" s="390" t="s">
        <v>594</v>
      </c>
      <c r="C1597" s="390">
        <f>VLOOKUP(B1597,numbering!$N$18:$O$30,2,0)</f>
        <v>11</v>
      </c>
      <c r="D1597" s="390" t="s">
        <v>610</v>
      </c>
      <c r="E1597" s="403">
        <f t="shared" si="38"/>
        <v>4</v>
      </c>
      <c r="F1597" s="432" t="s">
        <v>613</v>
      </c>
      <c r="G1597" s="388" t="s">
        <v>1192</v>
      </c>
      <c r="H1597" s="390">
        <v>1</v>
      </c>
      <c r="I1597" s="390">
        <v>1</v>
      </c>
      <c r="J1597" s="390"/>
      <c r="K1597" s="398">
        <f>_xlfn.IFNA(VLOOKUP(A1597,numbering!$K$3:$L$92,2,0),0)</f>
        <v>0</v>
      </c>
    </row>
    <row r="1598" spans="1:11" ht="60" hidden="1" x14ac:dyDescent="0.2">
      <c r="A1598" s="390">
        <v>447</v>
      </c>
      <c r="B1598" s="390" t="s">
        <v>594</v>
      </c>
      <c r="C1598" s="390">
        <f>VLOOKUP(B1598,numbering!$N$18:$O$30,2,0)</f>
        <v>11</v>
      </c>
      <c r="D1598" s="390" t="s">
        <v>610</v>
      </c>
      <c r="E1598" s="403">
        <f t="shared" si="38"/>
        <v>4</v>
      </c>
      <c r="F1598" s="432" t="str">
        <f>F1597</f>
        <v>Is there documented evidence that the Accountable Executive has established a formal process which achieves the objective of addressing the outcomes and findings from investigations into reported facility safety, operating, regulatory compliance, public and environment safety concerns?</v>
      </c>
      <c r="G1598" s="388" t="s">
        <v>1193</v>
      </c>
      <c r="H1598" s="390">
        <v>2</v>
      </c>
      <c r="I1598" s="390">
        <v>2</v>
      </c>
      <c r="J1598" s="390"/>
      <c r="K1598" s="398">
        <f>_xlfn.IFNA(VLOOKUP(A1598,numbering!$K$3:$L$92,2,0),0)</f>
        <v>0</v>
      </c>
    </row>
    <row r="1599" spans="1:11" ht="60" hidden="1" x14ac:dyDescent="0.2">
      <c r="A1599" s="390">
        <v>447</v>
      </c>
      <c r="B1599" s="390" t="s">
        <v>594</v>
      </c>
      <c r="C1599" s="390">
        <f>VLOOKUP(B1599,numbering!$N$18:$O$30,2,0)</f>
        <v>11</v>
      </c>
      <c r="D1599" s="390" t="s">
        <v>610</v>
      </c>
      <c r="E1599" s="403">
        <f t="shared" si="38"/>
        <v>4</v>
      </c>
      <c r="F1599" s="432" t="str">
        <f>F1598</f>
        <v>Is there documented evidence that the Accountable Executive has established a formal process which achieves the objective of addressing the outcomes and findings from investigations into reported facility safety, operating, regulatory compliance, public and environment safety concerns?</v>
      </c>
      <c r="G1599" s="388" t="s">
        <v>1194</v>
      </c>
      <c r="H1599" s="390">
        <v>3</v>
      </c>
      <c r="I1599" s="390">
        <v>3</v>
      </c>
      <c r="J1599" s="390"/>
      <c r="K1599" s="398">
        <f>_xlfn.IFNA(VLOOKUP(A1599,numbering!$K$3:$L$92,2,0),0)</f>
        <v>0</v>
      </c>
    </row>
    <row r="1600" spans="1:11" ht="60" hidden="1" x14ac:dyDescent="0.2">
      <c r="A1600" s="390">
        <v>447</v>
      </c>
      <c r="B1600" s="390" t="s">
        <v>594</v>
      </c>
      <c r="C1600" s="390">
        <f>VLOOKUP(B1600,numbering!$N$18:$O$30,2,0)</f>
        <v>11</v>
      </c>
      <c r="D1600" s="390" t="s">
        <v>610</v>
      </c>
      <c r="E1600" s="403">
        <f t="shared" si="38"/>
        <v>4</v>
      </c>
      <c r="F1600" s="432" t="str">
        <f>F1599</f>
        <v>Is there documented evidence that the Accountable Executive has established a formal process which achieves the objective of addressing the outcomes and findings from investigations into reported facility safety, operating, regulatory compliance, public and environment safety concerns?</v>
      </c>
      <c r="G1600" s="388" t="s">
        <v>1195</v>
      </c>
      <c r="H1600" s="390">
        <v>4</v>
      </c>
      <c r="I1600" s="390">
        <v>4</v>
      </c>
      <c r="J1600" s="390"/>
      <c r="K1600" s="398">
        <f>_xlfn.IFNA(VLOOKUP(A1600,numbering!$K$3:$L$92,2,0),0)</f>
        <v>0</v>
      </c>
    </row>
    <row r="1601" spans="1:11" ht="75" hidden="1" x14ac:dyDescent="0.2">
      <c r="A1601" s="390">
        <v>448</v>
      </c>
      <c r="B1601" s="390" t="s">
        <v>594</v>
      </c>
      <c r="C1601" s="390">
        <f>VLOOKUP(B1601,numbering!$N$18:$O$30,2,0)</f>
        <v>11</v>
      </c>
      <c r="D1601" s="390" t="s">
        <v>610</v>
      </c>
      <c r="E1601" s="403">
        <f t="shared" si="38"/>
        <v>4</v>
      </c>
      <c r="F1601" s="432" t="s">
        <v>614</v>
      </c>
      <c r="G1601" s="388" t="s">
        <v>1192</v>
      </c>
      <c r="H1601" s="390">
        <v>1</v>
      </c>
      <c r="I1601" s="390">
        <v>1</v>
      </c>
      <c r="J1601" s="390"/>
      <c r="K1601" s="398">
        <f>_xlfn.IFNA(VLOOKUP(A1601,numbering!$K$3:$L$92,2,0),0)</f>
        <v>0</v>
      </c>
    </row>
    <row r="1602" spans="1:11" ht="75" hidden="1" x14ac:dyDescent="0.2">
      <c r="A1602" s="390">
        <v>448</v>
      </c>
      <c r="B1602" s="390" t="s">
        <v>594</v>
      </c>
      <c r="C1602" s="390">
        <f>VLOOKUP(B1602,numbering!$N$18:$O$30,2,0)</f>
        <v>11</v>
      </c>
      <c r="D1602" s="390" t="s">
        <v>610</v>
      </c>
      <c r="E1602" s="403">
        <f t="shared" si="38"/>
        <v>4</v>
      </c>
      <c r="F1602" s="432" t="str">
        <f>F1601</f>
        <v>Is there documented evidence that a formal commitment has been produced which achieves the objective of stating that the organisation would not discharge, discriminate against, or otherwise retaliate in any way against a whistleblower who, in good faith, has reported possible permit violations or other matters relating to regulatory  compliance, public safety, tailings facility integrity or the environment.</v>
      </c>
      <c r="G1602" s="388" t="s">
        <v>1193</v>
      </c>
      <c r="H1602" s="390">
        <v>2</v>
      </c>
      <c r="I1602" s="390">
        <v>2</v>
      </c>
      <c r="J1602" s="390"/>
      <c r="K1602" s="398">
        <f>_xlfn.IFNA(VLOOKUP(A1602,numbering!$K$3:$L$92,2,0),0)</f>
        <v>0</v>
      </c>
    </row>
    <row r="1603" spans="1:11" ht="75" hidden="1" x14ac:dyDescent="0.2">
      <c r="A1603" s="390">
        <v>448</v>
      </c>
      <c r="B1603" s="390" t="s">
        <v>594</v>
      </c>
      <c r="C1603" s="390">
        <f>VLOOKUP(B1603,numbering!$N$18:$O$30,2,0)</f>
        <v>11</v>
      </c>
      <c r="D1603" s="390" t="s">
        <v>610</v>
      </c>
      <c r="E1603" s="403">
        <f t="shared" si="38"/>
        <v>4</v>
      </c>
      <c r="F1603" s="432" t="str">
        <f>F1602</f>
        <v>Is there documented evidence that a formal commitment has been produced which achieves the objective of stating that the organisation would not discharge, discriminate against, or otherwise retaliate in any way against a whistleblower who, in good faith, has reported possible permit violations or other matters relating to regulatory  compliance, public safety, tailings facility integrity or the environment.</v>
      </c>
      <c r="G1603" s="388" t="s">
        <v>1194</v>
      </c>
      <c r="H1603" s="390">
        <v>3</v>
      </c>
      <c r="I1603" s="390">
        <v>3</v>
      </c>
      <c r="J1603" s="390"/>
      <c r="K1603" s="398">
        <f>_xlfn.IFNA(VLOOKUP(A1603,numbering!$K$3:$L$92,2,0),0)</f>
        <v>0</v>
      </c>
    </row>
    <row r="1604" spans="1:11" ht="75" hidden="1" x14ac:dyDescent="0.2">
      <c r="A1604" s="390">
        <v>448</v>
      </c>
      <c r="B1604" s="390" t="s">
        <v>594</v>
      </c>
      <c r="C1604" s="390">
        <f>VLOOKUP(B1604,numbering!$N$18:$O$30,2,0)</f>
        <v>11</v>
      </c>
      <c r="D1604" s="390" t="s">
        <v>610</v>
      </c>
      <c r="E1604" s="403">
        <f t="shared" si="38"/>
        <v>4</v>
      </c>
      <c r="F1604" s="432" t="str">
        <f>F1603</f>
        <v>Is there documented evidence that a formal commitment has been produced which achieves the objective of stating that the organisation would not discharge, discriminate against, or otherwise retaliate in any way against a whistleblower who, in good faith, has reported possible permit violations or other matters relating to regulatory  compliance, public safety, tailings facility integrity or the environment.</v>
      </c>
      <c r="G1604" s="388" t="s">
        <v>1195</v>
      </c>
      <c r="H1604" s="390">
        <v>4</v>
      </c>
      <c r="I1604" s="390">
        <v>4</v>
      </c>
      <c r="J1604" s="390"/>
      <c r="K1604" s="398">
        <f>_xlfn.IFNA(VLOOKUP(A1604,numbering!$K$3:$L$92,2,0),0)</f>
        <v>0</v>
      </c>
    </row>
    <row r="1605" spans="1:11" ht="45" hidden="1" x14ac:dyDescent="0.2">
      <c r="A1605" s="390">
        <v>449</v>
      </c>
      <c r="B1605" s="390" t="s">
        <v>594</v>
      </c>
      <c r="C1605" s="390">
        <f>VLOOKUP(B1605,numbering!$N$18:$O$30,2,0)</f>
        <v>11</v>
      </c>
      <c r="D1605" s="390" t="s">
        <v>615</v>
      </c>
      <c r="E1605" s="403">
        <f t="shared" si="38"/>
        <v>5</v>
      </c>
      <c r="F1605" s="432" t="s">
        <v>616</v>
      </c>
      <c r="G1605" s="388" t="s">
        <v>1192</v>
      </c>
      <c r="H1605" s="390">
        <v>1</v>
      </c>
      <c r="I1605" s="390">
        <v>1</v>
      </c>
      <c r="J1605" s="390"/>
      <c r="K1605" s="398">
        <f>_xlfn.IFNA(VLOOKUP(A1605,numbering!$K$3:$L$92,2,0),0)</f>
        <v>0</v>
      </c>
    </row>
    <row r="1606" spans="1:11" ht="45" hidden="1" x14ac:dyDescent="0.2">
      <c r="A1606" s="390">
        <v>449</v>
      </c>
      <c r="B1606" s="390" t="s">
        <v>594</v>
      </c>
      <c r="C1606" s="390">
        <f>VLOOKUP(B1606,numbering!$N$18:$O$30,2,0)</f>
        <v>11</v>
      </c>
      <c r="D1606" s="390" t="s">
        <v>615</v>
      </c>
      <c r="E1606" s="403">
        <f t="shared" si="38"/>
        <v>5</v>
      </c>
      <c r="F1606" s="432" t="str">
        <f>F1605</f>
        <v>Is there documented evidence that process has been implemented which achieves the objective of publicly disclosing up-to-date information regarding the facility and facility safety information to the public?</v>
      </c>
      <c r="G1606" s="388" t="s">
        <v>1193</v>
      </c>
      <c r="H1606" s="390">
        <v>2</v>
      </c>
      <c r="I1606" s="390">
        <v>2</v>
      </c>
      <c r="J1606" s="390"/>
      <c r="K1606" s="398">
        <f>_xlfn.IFNA(VLOOKUP(A1606,numbering!$K$3:$L$92,2,0),0)</f>
        <v>0</v>
      </c>
    </row>
    <row r="1607" spans="1:11" ht="45" hidden="1" x14ac:dyDescent="0.2">
      <c r="A1607" s="390">
        <v>449</v>
      </c>
      <c r="B1607" s="390" t="s">
        <v>594</v>
      </c>
      <c r="C1607" s="390">
        <f>VLOOKUP(B1607,numbering!$N$18:$O$30,2,0)</f>
        <v>11</v>
      </c>
      <c r="D1607" s="390" t="s">
        <v>615</v>
      </c>
      <c r="E1607" s="403">
        <f t="shared" si="38"/>
        <v>5</v>
      </c>
      <c r="F1607" s="432" t="str">
        <f>F1606</f>
        <v>Is there documented evidence that process has been implemented which achieves the objective of publicly disclosing up-to-date information regarding the facility and facility safety information to the public?</v>
      </c>
      <c r="G1607" s="388" t="s">
        <v>1194</v>
      </c>
      <c r="H1607" s="390">
        <v>3</v>
      </c>
      <c r="I1607" s="390">
        <v>3</v>
      </c>
      <c r="J1607" s="390"/>
      <c r="K1607" s="398">
        <f>_xlfn.IFNA(VLOOKUP(A1607,numbering!$K$3:$L$92,2,0),0)</f>
        <v>0</v>
      </c>
    </row>
    <row r="1608" spans="1:11" ht="45" hidden="1" x14ac:dyDescent="0.2">
      <c r="A1608" s="390">
        <v>449</v>
      </c>
      <c r="B1608" s="390" t="s">
        <v>594</v>
      </c>
      <c r="C1608" s="390">
        <f>VLOOKUP(B1608,numbering!$N$18:$O$30,2,0)</f>
        <v>11</v>
      </c>
      <c r="D1608" s="390" t="s">
        <v>615</v>
      </c>
      <c r="E1608" s="403">
        <f t="shared" si="38"/>
        <v>5</v>
      </c>
      <c r="F1608" s="432" t="str">
        <f>F1607</f>
        <v>Is there documented evidence that process has been implemented which achieves the objective of publicly disclosing up-to-date information regarding the facility and facility safety information to the public?</v>
      </c>
      <c r="G1608" s="388" t="s">
        <v>1195</v>
      </c>
      <c r="H1608" s="390">
        <v>4</v>
      </c>
      <c r="I1608" s="390">
        <v>4</v>
      </c>
      <c r="J1608" s="390"/>
      <c r="K1608" s="398">
        <f>_xlfn.IFNA(VLOOKUP(A1608,numbering!$K$3:$L$92,2,0),0)</f>
        <v>0</v>
      </c>
    </row>
    <row r="1609" spans="1:11" ht="60" hidden="1" x14ac:dyDescent="0.2">
      <c r="A1609" s="390">
        <v>450</v>
      </c>
      <c r="B1609" s="390" t="s">
        <v>594</v>
      </c>
      <c r="C1609" s="390">
        <f>VLOOKUP(B1609,numbering!$N$18:$O$30,2,0)</f>
        <v>11</v>
      </c>
      <c r="D1609" s="390" t="s">
        <v>615</v>
      </c>
      <c r="E1609" s="403">
        <f t="shared" si="38"/>
        <v>5</v>
      </c>
      <c r="F1609" s="432" t="s">
        <v>617</v>
      </c>
      <c r="G1609" s="388" t="s">
        <v>1192</v>
      </c>
      <c r="H1609" s="390">
        <v>1</v>
      </c>
      <c r="I1609" s="390">
        <v>1</v>
      </c>
      <c r="J1609" s="390"/>
      <c r="K1609" s="398">
        <f>_xlfn.IFNA(VLOOKUP(A1609,numbering!$K$3:$L$92,2,0),0)</f>
        <v>0</v>
      </c>
    </row>
    <row r="1610" spans="1:11" ht="60" hidden="1" x14ac:dyDescent="0.2">
      <c r="A1610" s="390">
        <v>450</v>
      </c>
      <c r="B1610" s="390" t="s">
        <v>594</v>
      </c>
      <c r="C1610" s="390">
        <f>VLOOKUP(B1610,numbering!$N$18:$O$30,2,0)</f>
        <v>11</v>
      </c>
      <c r="D1610" s="390" t="s">
        <v>615</v>
      </c>
      <c r="E1610" s="403">
        <f t="shared" si="38"/>
        <v>5</v>
      </c>
      <c r="F1610" s="432" t="str">
        <f>F1609</f>
        <v>Is there documented evidence that the objective of publicly disclosing required up-to-date documents relating to facility management, governance, organisation-wide policies, standards and approaches to the design, construction, monitoring and closure of tailings facilities has been achieved?</v>
      </c>
      <c r="G1610" s="388" t="s">
        <v>1193</v>
      </c>
      <c r="H1610" s="390">
        <v>2</v>
      </c>
      <c r="I1610" s="390">
        <v>2</v>
      </c>
      <c r="J1610" s="390"/>
      <c r="K1610" s="398">
        <f>_xlfn.IFNA(VLOOKUP(A1610,numbering!$K$3:$L$92,2,0),0)</f>
        <v>0</v>
      </c>
    </row>
    <row r="1611" spans="1:11" ht="60" hidden="1" x14ac:dyDescent="0.2">
      <c r="A1611" s="390">
        <v>450</v>
      </c>
      <c r="B1611" s="390" t="s">
        <v>594</v>
      </c>
      <c r="C1611" s="390">
        <f>VLOOKUP(B1611,numbering!$N$18:$O$30,2,0)</f>
        <v>11</v>
      </c>
      <c r="D1611" s="390" t="s">
        <v>615</v>
      </c>
      <c r="E1611" s="403">
        <f t="shared" si="38"/>
        <v>5</v>
      </c>
      <c r="F1611" s="432" t="str">
        <f>F1610</f>
        <v>Is there documented evidence that the objective of publicly disclosing required up-to-date documents relating to facility management, governance, organisation-wide policies, standards and approaches to the design, construction, monitoring and closure of tailings facilities has been achieved?</v>
      </c>
      <c r="G1611" s="388" t="s">
        <v>1194</v>
      </c>
      <c r="H1611" s="390">
        <v>3</v>
      </c>
      <c r="I1611" s="390">
        <v>3</v>
      </c>
      <c r="J1611" s="390"/>
      <c r="K1611" s="398">
        <f>_xlfn.IFNA(VLOOKUP(A1611,numbering!$K$3:$L$92,2,0),0)</f>
        <v>0</v>
      </c>
    </row>
    <row r="1612" spans="1:11" ht="60" hidden="1" x14ac:dyDescent="0.2">
      <c r="A1612" s="390">
        <v>450</v>
      </c>
      <c r="B1612" s="390" t="s">
        <v>594</v>
      </c>
      <c r="C1612" s="390">
        <f>VLOOKUP(B1612,numbering!$N$18:$O$30,2,0)</f>
        <v>11</v>
      </c>
      <c r="D1612" s="390" t="s">
        <v>615</v>
      </c>
      <c r="E1612" s="403">
        <f t="shared" si="38"/>
        <v>5</v>
      </c>
      <c r="F1612" s="432" t="str">
        <f>F1611</f>
        <v>Is there documented evidence that the objective of publicly disclosing required up-to-date documents relating to facility management, governance, organisation-wide policies, standards and approaches to the design, construction, monitoring and closure of tailings facilities has been achieved?</v>
      </c>
      <c r="G1612" s="388" t="s">
        <v>1195</v>
      </c>
      <c r="H1612" s="390">
        <v>4</v>
      </c>
      <c r="I1612" s="390">
        <v>4</v>
      </c>
      <c r="J1612" s="390"/>
      <c r="K1612" s="398">
        <f>_xlfn.IFNA(VLOOKUP(A1612,numbering!$K$3:$L$92,2,0),0)</f>
        <v>0</v>
      </c>
    </row>
    <row r="1613" spans="1:11" ht="180" hidden="1" x14ac:dyDescent="0.2">
      <c r="A1613" s="390">
        <v>451</v>
      </c>
      <c r="B1613" s="390" t="s">
        <v>594</v>
      </c>
      <c r="C1613" s="390">
        <f>VLOOKUP(B1613,numbering!$N$18:$O$30,2,0)</f>
        <v>11</v>
      </c>
      <c r="D1613" s="390" t="s">
        <v>615</v>
      </c>
      <c r="E1613" s="403">
        <f t="shared" si="38"/>
        <v>5</v>
      </c>
      <c r="F1613" s="432" t="s">
        <v>618</v>
      </c>
      <c r="G1613" s="388" t="s">
        <v>1192</v>
      </c>
      <c r="H1613" s="390">
        <v>1</v>
      </c>
      <c r="I1613" s="390">
        <v>1</v>
      </c>
      <c r="J1613" s="390"/>
      <c r="K1613" s="398">
        <f>_xlfn.IFNA(VLOOKUP(A1613,numbering!$K$3:$L$92,2,0),0)</f>
        <v>0</v>
      </c>
    </row>
    <row r="1614" spans="1:11" ht="180" hidden="1" x14ac:dyDescent="0.2">
      <c r="A1614" s="390">
        <v>451</v>
      </c>
      <c r="B1614" s="390" t="s">
        <v>594</v>
      </c>
      <c r="C1614" s="390">
        <f>VLOOKUP(B1614,numbering!$N$18:$O$30,2,0)</f>
        <v>11</v>
      </c>
      <c r="D1614" s="390" t="s">
        <v>615</v>
      </c>
      <c r="E1614" s="403">
        <f t="shared" si="38"/>
        <v>5</v>
      </c>
      <c r="F1614" s="432" t="str">
        <f>F1613</f>
        <v>Is there documented evidence that the objective of disclosing the following up-to-date information to the public in alignment with United Nations Guiding Principles has been achieved?:
-Facility details
-Reviews and review findings
-Estimated consequences
-Estimated impacts
-Risks
-Summarised Emergency Action Plan 
-The Owner's financial capacity to cover closure and post-closure costs 
Refer to the GISTM for full list of required information for disclosure</v>
      </c>
      <c r="G1614" s="388" t="s">
        <v>1193</v>
      </c>
      <c r="H1614" s="390">
        <v>2</v>
      </c>
      <c r="I1614" s="390">
        <v>2</v>
      </c>
      <c r="J1614" s="390"/>
      <c r="K1614" s="398">
        <f>_xlfn.IFNA(VLOOKUP(A1614,numbering!$K$3:$L$92,2,0),0)</f>
        <v>0</v>
      </c>
    </row>
    <row r="1615" spans="1:11" ht="180" hidden="1" x14ac:dyDescent="0.2">
      <c r="A1615" s="390">
        <v>451</v>
      </c>
      <c r="B1615" s="390" t="s">
        <v>594</v>
      </c>
      <c r="C1615" s="390">
        <f>VLOOKUP(B1615,numbering!$N$18:$O$30,2,0)</f>
        <v>11</v>
      </c>
      <c r="D1615" s="390" t="s">
        <v>615</v>
      </c>
      <c r="E1615" s="403">
        <f t="shared" si="38"/>
        <v>5</v>
      </c>
      <c r="F1615" s="432" t="str">
        <f>F1614</f>
        <v>Is there documented evidence that the objective of disclosing the following up-to-date information to the public in alignment with United Nations Guiding Principles has been achieved?:
-Facility details
-Reviews and review findings
-Estimated consequences
-Estimated impacts
-Risks
-Summarised Emergency Action Plan 
-The Owner's financial capacity to cover closure and post-closure costs 
Refer to the GISTM for full list of required information for disclosure</v>
      </c>
      <c r="G1615" s="388" t="s">
        <v>1194</v>
      </c>
      <c r="H1615" s="390">
        <v>3</v>
      </c>
      <c r="I1615" s="390">
        <v>3</v>
      </c>
      <c r="J1615" s="390"/>
      <c r="K1615" s="398">
        <f>_xlfn.IFNA(VLOOKUP(A1615,numbering!$K$3:$L$92,2,0),0)</f>
        <v>0</v>
      </c>
    </row>
    <row r="1616" spans="1:11" ht="180" hidden="1" x14ac:dyDescent="0.2">
      <c r="A1616" s="390">
        <v>451</v>
      </c>
      <c r="B1616" s="390" t="s">
        <v>594</v>
      </c>
      <c r="C1616" s="390">
        <f>VLOOKUP(B1616,numbering!$N$18:$O$30,2,0)</f>
        <v>11</v>
      </c>
      <c r="D1616" s="390" t="s">
        <v>615</v>
      </c>
      <c r="E1616" s="403">
        <f t="shared" si="38"/>
        <v>5</v>
      </c>
      <c r="F1616" s="432" t="str">
        <f>F1615</f>
        <v>Is there documented evidence that the objective of disclosing the following up-to-date information to the public in alignment with United Nations Guiding Principles has been achieved?:
-Facility details
-Reviews and review findings
-Estimated consequences
-Estimated impacts
-Risks
-Summarised Emergency Action Plan 
-The Owner's financial capacity to cover closure and post-closure costs 
Refer to the GISTM for full list of required information for disclosure</v>
      </c>
      <c r="G1616" s="388" t="s">
        <v>1195</v>
      </c>
      <c r="H1616" s="390">
        <v>4</v>
      </c>
      <c r="I1616" s="390">
        <v>4</v>
      </c>
      <c r="J1616" s="390"/>
      <c r="K1616" s="398">
        <f>_xlfn.IFNA(VLOOKUP(A1616,numbering!$K$3:$L$92,2,0),0)</f>
        <v>0</v>
      </c>
    </row>
    <row r="1617" spans="1:11" ht="60" hidden="1" x14ac:dyDescent="0.2">
      <c r="A1617" s="390">
        <v>452</v>
      </c>
      <c r="B1617" s="390" t="s">
        <v>594</v>
      </c>
      <c r="C1617" s="390">
        <f>VLOOKUP(B1617,numbering!$N$18:$O$30,2,0)</f>
        <v>11</v>
      </c>
      <c r="D1617" s="390" t="s">
        <v>615</v>
      </c>
      <c r="E1617" s="403">
        <f t="shared" si="38"/>
        <v>5</v>
      </c>
      <c r="F1617" s="432" t="s">
        <v>619</v>
      </c>
      <c r="G1617" s="388" t="s">
        <v>1192</v>
      </c>
      <c r="H1617" s="390">
        <v>1</v>
      </c>
      <c r="I1617" s="390">
        <v>1</v>
      </c>
      <c r="J1617" s="390"/>
      <c r="K1617" s="398">
        <f>_xlfn.IFNA(VLOOKUP(A1617,numbering!$K$3:$L$92,2,0),0)</f>
        <v>0</v>
      </c>
    </row>
    <row r="1618" spans="1:11" ht="60" hidden="1" x14ac:dyDescent="0.2">
      <c r="A1618" s="390">
        <v>452</v>
      </c>
      <c r="B1618" s="390" t="s">
        <v>594</v>
      </c>
      <c r="C1618" s="390">
        <f>VLOOKUP(B1618,numbering!$N$18:$O$30,2,0)</f>
        <v>11</v>
      </c>
      <c r="D1618" s="390" t="s">
        <v>615</v>
      </c>
      <c r="E1618" s="403">
        <f t="shared" si="38"/>
        <v>5</v>
      </c>
      <c r="F1618" s="432" t="str">
        <f>F1617</f>
        <v>Is there documented evidence that a formal process is established which achieves the objective of allowing requests to be received from interested and affected stakeholders for additional information that is material to public safety and integrity of a facility?</v>
      </c>
      <c r="G1618" s="388" t="s">
        <v>1193</v>
      </c>
      <c r="H1618" s="390">
        <v>2</v>
      </c>
      <c r="I1618" s="390">
        <v>2</v>
      </c>
      <c r="J1618" s="390"/>
      <c r="K1618" s="398">
        <f>_xlfn.IFNA(VLOOKUP(A1618,numbering!$K$3:$L$92,2,0),0)</f>
        <v>0</v>
      </c>
    </row>
    <row r="1619" spans="1:11" ht="60" hidden="1" x14ac:dyDescent="0.2">
      <c r="A1619" s="390">
        <v>452</v>
      </c>
      <c r="B1619" s="390" t="s">
        <v>594</v>
      </c>
      <c r="C1619" s="390">
        <f>VLOOKUP(B1619,numbering!$N$18:$O$30,2,0)</f>
        <v>11</v>
      </c>
      <c r="D1619" s="390" t="s">
        <v>615</v>
      </c>
      <c r="E1619" s="403">
        <f t="shared" si="38"/>
        <v>5</v>
      </c>
      <c r="F1619" s="432" t="str">
        <f>F1618</f>
        <v>Is there documented evidence that a formal process is established which achieves the objective of allowing requests to be received from interested and affected stakeholders for additional information that is material to public safety and integrity of a facility?</v>
      </c>
      <c r="G1619" s="388" t="s">
        <v>1194</v>
      </c>
      <c r="H1619" s="390">
        <v>3</v>
      </c>
      <c r="I1619" s="390">
        <v>3</v>
      </c>
      <c r="J1619" s="390"/>
      <c r="K1619" s="398">
        <f>_xlfn.IFNA(VLOOKUP(A1619,numbering!$K$3:$L$92,2,0),0)</f>
        <v>0</v>
      </c>
    </row>
    <row r="1620" spans="1:11" ht="60" hidden="1" x14ac:dyDescent="0.2">
      <c r="A1620" s="390">
        <v>452</v>
      </c>
      <c r="B1620" s="390" t="s">
        <v>594</v>
      </c>
      <c r="C1620" s="390">
        <f>VLOOKUP(B1620,numbering!$N$18:$O$30,2,0)</f>
        <v>11</v>
      </c>
      <c r="D1620" s="390" t="s">
        <v>615</v>
      </c>
      <c r="E1620" s="403">
        <f t="shared" si="38"/>
        <v>5</v>
      </c>
      <c r="F1620" s="432" t="str">
        <f>F1619</f>
        <v>Is there documented evidence that a formal process is established which achieves the objective of allowing requests to be received from interested and affected stakeholders for additional information that is material to public safety and integrity of a facility?</v>
      </c>
      <c r="G1620" s="388" t="s">
        <v>1195</v>
      </c>
      <c r="H1620" s="390">
        <v>4</v>
      </c>
      <c r="I1620" s="390">
        <v>4</v>
      </c>
      <c r="J1620" s="390"/>
      <c r="K1620" s="398">
        <f>_xlfn.IFNA(VLOOKUP(A1620,numbering!$K$3:$L$92,2,0),0)</f>
        <v>0</v>
      </c>
    </row>
    <row r="1621" spans="1:11" ht="60" hidden="1" x14ac:dyDescent="0.2">
      <c r="A1621" s="390">
        <v>453</v>
      </c>
      <c r="B1621" s="390" t="s">
        <v>594</v>
      </c>
      <c r="C1621" s="390">
        <f>VLOOKUP(B1621,numbering!$N$18:$O$30,2,0)</f>
        <v>11</v>
      </c>
      <c r="D1621" s="390" t="s">
        <v>615</v>
      </c>
      <c r="E1621" s="403">
        <f t="shared" si="38"/>
        <v>5</v>
      </c>
      <c r="F1621" s="432" t="s">
        <v>620</v>
      </c>
      <c r="G1621" s="388" t="s">
        <v>1192</v>
      </c>
      <c r="H1621" s="390">
        <v>1</v>
      </c>
      <c r="I1621" s="390">
        <v>1</v>
      </c>
      <c r="J1621" s="390"/>
      <c r="K1621" s="398">
        <f>_xlfn.IFNA(VLOOKUP(A1621,numbering!$K$3:$L$92,2,0),0)</f>
        <v>0</v>
      </c>
    </row>
    <row r="1622" spans="1:11" ht="60" hidden="1" x14ac:dyDescent="0.2">
      <c r="A1622" s="390">
        <v>453</v>
      </c>
      <c r="B1622" s="390" t="s">
        <v>594</v>
      </c>
      <c r="C1622" s="390">
        <f>VLOOKUP(B1622,numbering!$N$18:$O$30,2,0)</f>
        <v>11</v>
      </c>
      <c r="D1622" s="390" t="s">
        <v>615</v>
      </c>
      <c r="E1622" s="403">
        <f t="shared" si="38"/>
        <v>5</v>
      </c>
      <c r="F1622" s="432" t="str">
        <f>F1621</f>
        <v>Is there documented evidence that a formal process has been established which achieves the objective of actioning and responding to requests from interested and affected stakeholders for additional information that is material to public safety and integrity of a facility?</v>
      </c>
      <c r="G1622" s="388" t="s">
        <v>1193</v>
      </c>
      <c r="H1622" s="390">
        <v>2</v>
      </c>
      <c r="I1622" s="390">
        <v>2</v>
      </c>
      <c r="J1622" s="390"/>
      <c r="K1622" s="398">
        <f>_xlfn.IFNA(VLOOKUP(A1622,numbering!$K$3:$L$92,2,0),0)</f>
        <v>0</v>
      </c>
    </row>
    <row r="1623" spans="1:11" ht="60" hidden="1" x14ac:dyDescent="0.2">
      <c r="A1623" s="390">
        <v>453</v>
      </c>
      <c r="B1623" s="390" t="s">
        <v>594</v>
      </c>
      <c r="C1623" s="390">
        <f>VLOOKUP(B1623,numbering!$N$18:$O$30,2,0)</f>
        <v>11</v>
      </c>
      <c r="D1623" s="390" t="s">
        <v>615</v>
      </c>
      <c r="E1623" s="403">
        <f t="shared" si="38"/>
        <v>5</v>
      </c>
      <c r="F1623" s="432" t="str">
        <f>F1622</f>
        <v>Is there documented evidence that a formal process has been established which achieves the objective of actioning and responding to requests from interested and affected stakeholders for additional information that is material to public safety and integrity of a facility?</v>
      </c>
      <c r="G1623" s="388" t="s">
        <v>1194</v>
      </c>
      <c r="H1623" s="390">
        <v>3</v>
      </c>
      <c r="I1623" s="390">
        <v>3</v>
      </c>
      <c r="J1623" s="390"/>
      <c r="K1623" s="398">
        <f>_xlfn.IFNA(VLOOKUP(A1623,numbering!$K$3:$L$92,2,0),0)</f>
        <v>0</v>
      </c>
    </row>
    <row r="1624" spans="1:11" ht="60" hidden="1" x14ac:dyDescent="0.2">
      <c r="A1624" s="390">
        <v>453</v>
      </c>
      <c r="B1624" s="390" t="s">
        <v>594</v>
      </c>
      <c r="C1624" s="390">
        <f>VLOOKUP(B1624,numbering!$N$18:$O$30,2,0)</f>
        <v>11</v>
      </c>
      <c r="D1624" s="390" t="s">
        <v>615</v>
      </c>
      <c r="E1624" s="403">
        <f t="shared" si="38"/>
        <v>5</v>
      </c>
      <c r="F1624" s="432" t="str">
        <f>F1623</f>
        <v>Is there documented evidence that a formal process has been established which achieves the objective of actioning and responding to requests from interested and affected stakeholders for additional information that is material to public safety and integrity of a facility?</v>
      </c>
      <c r="G1624" s="388" t="s">
        <v>1195</v>
      </c>
      <c r="H1624" s="390">
        <v>4</v>
      </c>
      <c r="I1624" s="390">
        <v>4</v>
      </c>
      <c r="J1624" s="390"/>
      <c r="K1624" s="398">
        <f>_xlfn.IFNA(VLOOKUP(A1624,numbering!$K$3:$L$92,2,0),0)</f>
        <v>0</v>
      </c>
    </row>
    <row r="1625" spans="1:11" ht="75" hidden="1" x14ac:dyDescent="0.2">
      <c r="A1625" s="390">
        <v>454</v>
      </c>
      <c r="B1625" s="390" t="s">
        <v>594</v>
      </c>
      <c r="C1625" s="390">
        <f>VLOOKUP(B1625,numbering!$N$18:$O$30,2,0)</f>
        <v>11</v>
      </c>
      <c r="D1625" s="390" t="s">
        <v>615</v>
      </c>
      <c r="E1625" s="403">
        <f t="shared" si="38"/>
        <v>5</v>
      </c>
      <c r="F1625" s="432" t="s">
        <v>621</v>
      </c>
      <c r="G1625" s="388" t="s">
        <v>1192</v>
      </c>
      <c r="H1625" s="390">
        <v>1</v>
      </c>
      <c r="I1625" s="390">
        <v>1</v>
      </c>
      <c r="J1625" s="390"/>
      <c r="K1625" s="398">
        <f>_xlfn.IFNA(VLOOKUP(A1625,numbering!$K$3:$L$92,2,0),0)</f>
        <v>0</v>
      </c>
    </row>
    <row r="1626" spans="1:11" ht="75" hidden="1" x14ac:dyDescent="0.2">
      <c r="A1626" s="390">
        <v>454</v>
      </c>
      <c r="B1626" s="390" t="s">
        <v>594</v>
      </c>
      <c r="C1626" s="390">
        <f>VLOOKUP(B1626,numbering!$N$18:$O$30,2,0)</f>
        <v>11</v>
      </c>
      <c r="D1626" s="390" t="s">
        <v>615</v>
      </c>
      <c r="E1626" s="403">
        <f t="shared" si="38"/>
        <v>5</v>
      </c>
      <c r="F1626" s="432" t="str">
        <f>F1625</f>
        <v>Is there documented evidence of a formal and stated commitment to cooperate in credible global transparency initiatives to achieve the objective of creating standardised, independent, industry-wide and publicly accessible databases, inventories or other information repositories about the safety and  integrity of tailings facilities available in any corporate policies?</v>
      </c>
      <c r="G1626" s="388" t="s">
        <v>1193</v>
      </c>
      <c r="H1626" s="390">
        <v>2</v>
      </c>
      <c r="I1626" s="390">
        <v>2</v>
      </c>
      <c r="J1626" s="390"/>
      <c r="K1626" s="398">
        <f>_xlfn.IFNA(VLOOKUP(A1626,numbering!$K$3:$L$92,2,0),0)</f>
        <v>0</v>
      </c>
    </row>
    <row r="1627" spans="1:11" ht="75" hidden="1" x14ac:dyDescent="0.2">
      <c r="A1627" s="390">
        <v>454</v>
      </c>
      <c r="B1627" s="390" t="s">
        <v>594</v>
      </c>
      <c r="C1627" s="390">
        <f>VLOOKUP(B1627,numbering!$N$18:$O$30,2,0)</f>
        <v>11</v>
      </c>
      <c r="D1627" s="390" t="s">
        <v>615</v>
      </c>
      <c r="E1627" s="403">
        <f t="shared" si="38"/>
        <v>5</v>
      </c>
      <c r="F1627" s="432" t="str">
        <f>F1626</f>
        <v>Is there documented evidence of a formal and stated commitment to cooperate in credible global transparency initiatives to achieve the objective of creating standardised, independent, industry-wide and publicly accessible databases, inventories or other information repositories about the safety and  integrity of tailings facilities available in any corporate policies?</v>
      </c>
      <c r="G1627" s="388" t="s">
        <v>1194</v>
      </c>
      <c r="H1627" s="390">
        <v>3</v>
      </c>
      <c r="I1627" s="390">
        <v>3</v>
      </c>
      <c r="J1627" s="390"/>
      <c r="K1627" s="398">
        <f>_xlfn.IFNA(VLOOKUP(A1627,numbering!$K$3:$L$92,2,0),0)</f>
        <v>0</v>
      </c>
    </row>
    <row r="1628" spans="1:11" ht="75" hidden="1" x14ac:dyDescent="0.2">
      <c r="A1628" s="390">
        <v>454</v>
      </c>
      <c r="B1628" s="390" t="s">
        <v>594</v>
      </c>
      <c r="C1628" s="390">
        <f>VLOOKUP(B1628,numbering!$N$18:$O$30,2,0)</f>
        <v>11</v>
      </c>
      <c r="D1628" s="390" t="s">
        <v>615</v>
      </c>
      <c r="E1628" s="403">
        <f t="shared" si="38"/>
        <v>5</v>
      </c>
      <c r="F1628" s="432" t="str">
        <f>F1627</f>
        <v>Is there documented evidence of a formal and stated commitment to cooperate in credible global transparency initiatives to achieve the objective of creating standardised, independent, industry-wide and publicly accessible databases, inventories or other information repositories about the safety and  integrity of tailings facilities available in any corporate policies?</v>
      </c>
      <c r="G1628" s="388" t="s">
        <v>1195</v>
      </c>
      <c r="H1628" s="390">
        <v>4</v>
      </c>
      <c r="I1628" s="390">
        <v>4</v>
      </c>
      <c r="J1628" s="390"/>
      <c r="K1628" s="398">
        <f>_xlfn.IFNA(VLOOKUP(A1628,numbering!$K$3:$L$92,2,0),0)</f>
        <v>0</v>
      </c>
    </row>
    <row r="1629" spans="1:11" ht="45" hidden="1" x14ac:dyDescent="0.2">
      <c r="A1629" s="390">
        <v>455</v>
      </c>
      <c r="B1629" s="390" t="s">
        <v>253</v>
      </c>
      <c r="C1629" s="390">
        <f>VLOOKUP(B1629,numbering!$N$18:$O$30,2,0)</f>
        <v>4</v>
      </c>
      <c r="D1629" s="390" t="s">
        <v>1305</v>
      </c>
      <c r="E1629" s="403">
        <f>IF(C1629&lt;&gt;C2246,1,IF(D1629&lt;&gt;D2246,E2246+1,E2246))</f>
        <v>1</v>
      </c>
      <c r="F1629" s="425" t="s">
        <v>1351</v>
      </c>
      <c r="G1629" s="388" t="s">
        <v>1192</v>
      </c>
      <c r="H1629" s="390">
        <v>1</v>
      </c>
      <c r="I1629" s="390">
        <v>1</v>
      </c>
      <c r="J1629" s="390"/>
      <c r="K1629" s="398">
        <f>_xlfn.IFNA(VLOOKUP(A1629,numbering!$K$3:$L$92,2,0),0)</f>
        <v>1</v>
      </c>
    </row>
    <row r="1630" spans="1:11" ht="45" hidden="1" x14ac:dyDescent="0.2">
      <c r="A1630" s="390">
        <v>455</v>
      </c>
      <c r="B1630" s="390" t="s">
        <v>253</v>
      </c>
      <c r="C1630" s="390">
        <f>VLOOKUP(B1630,numbering!$N$18:$O$30,2,0)</f>
        <v>4</v>
      </c>
      <c r="D1630" s="390" t="s">
        <v>1305</v>
      </c>
      <c r="E1630" s="403">
        <f>IF(C1630&lt;&gt;C1629,1,IF(D1630&lt;&gt;D1629,E1629+1,E1629))</f>
        <v>1</v>
      </c>
      <c r="F1630" s="425" t="s">
        <v>1351</v>
      </c>
      <c r="G1630" s="388" t="s">
        <v>1193</v>
      </c>
      <c r="H1630" s="390">
        <v>2</v>
      </c>
      <c r="I1630" s="390">
        <v>2</v>
      </c>
      <c r="J1630" s="390"/>
      <c r="K1630" s="398">
        <f>_xlfn.IFNA(VLOOKUP(A1630,numbering!$K$3:$L$92,2,0),0)</f>
        <v>1</v>
      </c>
    </row>
    <row r="1631" spans="1:11" ht="45" hidden="1" x14ac:dyDescent="0.2">
      <c r="A1631" s="390">
        <v>455</v>
      </c>
      <c r="B1631" s="390" t="s">
        <v>253</v>
      </c>
      <c r="C1631" s="390">
        <f>VLOOKUP(B1631,numbering!$N$18:$O$30,2,0)</f>
        <v>4</v>
      </c>
      <c r="D1631" s="390" t="s">
        <v>1305</v>
      </c>
      <c r="E1631" s="403">
        <f>IF(C1631&lt;&gt;C1628,1,IF(D1631&lt;&gt;D1628,E1628+1,E1628))</f>
        <v>1</v>
      </c>
      <c r="F1631" s="425" t="s">
        <v>1351</v>
      </c>
      <c r="G1631" s="388" t="s">
        <v>1194</v>
      </c>
      <c r="H1631" s="390">
        <v>3</v>
      </c>
      <c r="I1631" s="390">
        <v>3</v>
      </c>
      <c r="J1631" s="390"/>
      <c r="K1631" s="398">
        <f>_xlfn.IFNA(VLOOKUP(A1631,numbering!$K$3:$L$92,2,0),0)</f>
        <v>1</v>
      </c>
    </row>
    <row r="1632" spans="1:11" ht="45" hidden="1" x14ac:dyDescent="0.2">
      <c r="A1632" s="390">
        <v>455</v>
      </c>
      <c r="B1632" s="390" t="s">
        <v>253</v>
      </c>
      <c r="C1632" s="390">
        <f>VLOOKUP(B1632,numbering!$N$18:$O$30,2,0)</f>
        <v>4</v>
      </c>
      <c r="D1632" s="390" t="s">
        <v>1305</v>
      </c>
      <c r="E1632" s="403">
        <f t="shared" ref="E1632:E1637" si="39">IF(C1632&lt;&gt;C1631,1,IF(D1632&lt;&gt;D1631,E1631+1,E1631))</f>
        <v>1</v>
      </c>
      <c r="F1632" s="425" t="s">
        <v>1351</v>
      </c>
      <c r="G1632" s="388" t="s">
        <v>1195</v>
      </c>
      <c r="H1632" s="390">
        <v>4</v>
      </c>
      <c r="I1632" s="390">
        <v>4</v>
      </c>
      <c r="J1632" s="390"/>
      <c r="K1632" s="398">
        <f>_xlfn.IFNA(VLOOKUP(A1632,numbering!$K$3:$L$92,2,0),0)</f>
        <v>1</v>
      </c>
    </row>
    <row r="1633" spans="1:11" ht="60" hidden="1" x14ac:dyDescent="0.2">
      <c r="A1633" s="390">
        <v>458</v>
      </c>
      <c r="B1633" s="390" t="s">
        <v>450</v>
      </c>
      <c r="C1633" s="390">
        <f>VLOOKUP(B1633,numbering!$N$18:$O$30,2,0)</f>
        <v>8</v>
      </c>
      <c r="D1633" s="390" t="s">
        <v>470</v>
      </c>
      <c r="E1633" s="403">
        <f t="shared" si="39"/>
        <v>1</v>
      </c>
      <c r="F1633" s="432" t="s">
        <v>478</v>
      </c>
      <c r="G1633" s="388" t="s">
        <v>1192</v>
      </c>
      <c r="H1633" s="390">
        <v>1</v>
      </c>
      <c r="I1633" s="390">
        <v>1</v>
      </c>
      <c r="J1633" s="390"/>
      <c r="K1633" s="398">
        <f>_xlfn.IFNA(VLOOKUP(A1633,numbering!$K$3:$L$92,2,0),0)</f>
        <v>0</v>
      </c>
    </row>
    <row r="1634" spans="1:11" ht="60" hidden="1" x14ac:dyDescent="0.2">
      <c r="A1634" s="390">
        <v>458</v>
      </c>
      <c r="B1634" s="390" t="s">
        <v>450</v>
      </c>
      <c r="C1634" s="390">
        <f>VLOOKUP(B1634,numbering!$N$18:$O$30,2,0)</f>
        <v>8</v>
      </c>
      <c r="D1634" s="390" t="s">
        <v>470</v>
      </c>
      <c r="E1634" s="403">
        <f t="shared" si="39"/>
        <v>1</v>
      </c>
      <c r="F1634" s="432" t="s">
        <v>478</v>
      </c>
      <c r="G1634" s="388" t="s">
        <v>1193</v>
      </c>
      <c r="H1634" s="390">
        <v>2</v>
      </c>
      <c r="I1634" s="390">
        <v>2</v>
      </c>
      <c r="J1634" s="390"/>
      <c r="K1634" s="398">
        <f>_xlfn.IFNA(VLOOKUP(A1634,numbering!$K$3:$L$92,2,0),0)</f>
        <v>0</v>
      </c>
    </row>
    <row r="1635" spans="1:11" ht="60" hidden="1" x14ac:dyDescent="0.2">
      <c r="A1635" s="390">
        <v>458</v>
      </c>
      <c r="B1635" s="390" t="s">
        <v>450</v>
      </c>
      <c r="C1635" s="390">
        <f>VLOOKUP(B1635,numbering!$N$18:$O$30,2,0)</f>
        <v>8</v>
      </c>
      <c r="D1635" s="390" t="s">
        <v>470</v>
      </c>
      <c r="E1635" s="403">
        <f t="shared" si="39"/>
        <v>1</v>
      </c>
      <c r="F1635" s="432" t="s">
        <v>478</v>
      </c>
      <c r="G1635" s="388" t="s">
        <v>1194</v>
      </c>
      <c r="H1635" s="390">
        <v>3</v>
      </c>
      <c r="I1635" s="390">
        <v>3</v>
      </c>
      <c r="J1635" s="390"/>
      <c r="K1635" s="398">
        <f>_xlfn.IFNA(VLOOKUP(A1635,numbering!$K$3:$L$92,2,0),0)</f>
        <v>0</v>
      </c>
    </row>
    <row r="1636" spans="1:11" ht="60" hidden="1" x14ac:dyDescent="0.2">
      <c r="A1636" s="390">
        <v>458</v>
      </c>
      <c r="B1636" s="390" t="s">
        <v>450</v>
      </c>
      <c r="C1636" s="390">
        <f>VLOOKUP(B1636,numbering!$N$18:$O$30,2,0)</f>
        <v>8</v>
      </c>
      <c r="D1636" s="390" t="s">
        <v>470</v>
      </c>
      <c r="E1636" s="403">
        <f t="shared" si="39"/>
        <v>1</v>
      </c>
      <c r="F1636" s="432" t="s">
        <v>478</v>
      </c>
      <c r="G1636" s="388" t="s">
        <v>1195</v>
      </c>
      <c r="H1636" s="390">
        <v>4</v>
      </c>
      <c r="I1636" s="390">
        <v>4</v>
      </c>
      <c r="J1636" s="390"/>
      <c r="K1636" s="398">
        <f>_xlfn.IFNA(VLOOKUP(A1636,numbering!$K$3:$L$92,2,0),0)</f>
        <v>0</v>
      </c>
    </row>
    <row r="1637" spans="1:11" ht="17" hidden="1" x14ac:dyDescent="0.2">
      <c r="A1637" s="403">
        <v>459</v>
      </c>
      <c r="B1637" s="390" t="s">
        <v>131</v>
      </c>
      <c r="C1637" s="390">
        <f>VLOOKUP(B1637,numbering!$N$18:$O$30,2,0)</f>
        <v>1</v>
      </c>
      <c r="D1637" s="403" t="s">
        <v>153</v>
      </c>
      <c r="E1637" s="403">
        <f t="shared" si="39"/>
        <v>1</v>
      </c>
      <c r="F1637" s="432" t="s">
        <v>171</v>
      </c>
      <c r="G1637" s="404" t="s">
        <v>1019</v>
      </c>
      <c r="H1637" s="405"/>
      <c r="I1637" s="390"/>
      <c r="J1637" s="390"/>
      <c r="K1637" s="398">
        <f>_xlfn.IFNA(VLOOKUP(A1637,numbering!$K$3:$L$92,2,0),0)</f>
        <v>0</v>
      </c>
    </row>
    <row r="1638" spans="1:11" ht="32" hidden="1" x14ac:dyDescent="0.2">
      <c r="A1638" s="390">
        <v>460</v>
      </c>
      <c r="B1638" s="390" t="s">
        <v>174</v>
      </c>
      <c r="C1638" s="390">
        <f>VLOOKUP(B1638,numbering!$N$18:$O$30,2,0)</f>
        <v>2</v>
      </c>
      <c r="D1638" s="390" t="s">
        <v>1282</v>
      </c>
      <c r="E1638" s="403">
        <f>IF(C1638&lt;&gt;C1416,1,IF(D1638&lt;&gt;D1416,E1416+1,E1416))</f>
        <v>1</v>
      </c>
      <c r="F1638" s="432" t="s">
        <v>197</v>
      </c>
      <c r="G1638" s="388" t="s">
        <v>1079</v>
      </c>
      <c r="H1638" s="390">
        <v>1</v>
      </c>
      <c r="I1638" s="390">
        <v>1</v>
      </c>
      <c r="J1638" s="390"/>
      <c r="K1638" s="398">
        <f>_xlfn.IFNA(VLOOKUP(A1638,numbering!$K$3:$L$92,2,0),0)</f>
        <v>0</v>
      </c>
    </row>
    <row r="1639" spans="1:11" ht="32" hidden="1" x14ac:dyDescent="0.2">
      <c r="A1639" s="390">
        <v>460</v>
      </c>
      <c r="B1639" s="390" t="s">
        <v>174</v>
      </c>
      <c r="C1639" s="390">
        <f>VLOOKUP(B1639,numbering!$N$18:$O$30,2,0)</f>
        <v>2</v>
      </c>
      <c r="D1639" s="390" t="s">
        <v>1282</v>
      </c>
      <c r="E1639" s="403">
        <f>IF(C1639&lt;&gt;C1638,1,IF(D1639&lt;&gt;D1638,E1638+1,E1638))</f>
        <v>1</v>
      </c>
      <c r="F1639" s="432" t="s">
        <v>197</v>
      </c>
      <c r="G1639" s="388" t="s">
        <v>668</v>
      </c>
      <c r="H1639" s="390">
        <v>2</v>
      </c>
      <c r="I1639" s="390">
        <v>2</v>
      </c>
      <c r="J1639" s="390"/>
      <c r="K1639" s="398">
        <f>_xlfn.IFNA(VLOOKUP(A1639,numbering!$K$3:$L$92,2,0),0)</f>
        <v>0</v>
      </c>
    </row>
    <row r="1640" spans="1:11" ht="32" hidden="1" x14ac:dyDescent="0.2">
      <c r="A1640" s="390">
        <v>460</v>
      </c>
      <c r="B1640" s="390" t="s">
        <v>174</v>
      </c>
      <c r="C1640" s="390">
        <f>VLOOKUP(B1640,numbering!$N$18:$O$30,2,0)</f>
        <v>2</v>
      </c>
      <c r="D1640" s="390" t="s">
        <v>1282</v>
      </c>
      <c r="E1640" s="403">
        <f>IF(C1640&lt;&gt;C1639,1,IF(D1640&lt;&gt;D1639,E1639+1,E1639))</f>
        <v>1</v>
      </c>
      <c r="F1640" s="432" t="s">
        <v>197</v>
      </c>
      <c r="G1640" s="388" t="s">
        <v>691</v>
      </c>
      <c r="H1640" s="390">
        <v>3</v>
      </c>
      <c r="I1640" s="390">
        <v>3</v>
      </c>
      <c r="J1640" s="390"/>
      <c r="K1640" s="398">
        <f>_xlfn.IFNA(VLOOKUP(A1640,numbering!$K$3:$L$92,2,0),0)</f>
        <v>0</v>
      </c>
    </row>
    <row r="1641" spans="1:11" ht="16" hidden="1" x14ac:dyDescent="0.2">
      <c r="A1641" s="390">
        <v>461</v>
      </c>
      <c r="B1641" s="390" t="s">
        <v>174</v>
      </c>
      <c r="C1641" s="390">
        <f>VLOOKUP(B1641,numbering!$N$18:$O$30,2,0)</f>
        <v>2</v>
      </c>
      <c r="D1641" s="390" t="s">
        <v>224</v>
      </c>
      <c r="E1641" s="403">
        <f>IF(C1641&lt;&gt;C1640,1,IF(D1641&lt;&gt;D1640,E1640+1,E1640))</f>
        <v>2</v>
      </c>
      <c r="F1641" s="432" t="s">
        <v>225</v>
      </c>
      <c r="G1641" s="388" t="s">
        <v>7</v>
      </c>
      <c r="H1641" s="390"/>
      <c r="I1641" s="390"/>
      <c r="J1641" s="390"/>
      <c r="K1641" s="398">
        <f>_xlfn.IFNA(VLOOKUP(A1641,numbering!$K$3:$L$92,2,0),0)</f>
        <v>0</v>
      </c>
    </row>
    <row r="1642" spans="1:11" ht="16" hidden="1" x14ac:dyDescent="0.2">
      <c r="A1642" s="390">
        <v>461</v>
      </c>
      <c r="B1642" s="390" t="s">
        <v>174</v>
      </c>
      <c r="C1642" s="390">
        <f>VLOOKUP(B1642,numbering!$N$18:$O$30,2,0)</f>
        <v>2</v>
      </c>
      <c r="D1642" s="390" t="s">
        <v>224</v>
      </c>
      <c r="E1642" s="403">
        <f>IF(C1642&lt;&gt;C1641,1,IF(D1642&lt;&gt;D1641,E1641+1,E1641))</f>
        <v>2</v>
      </c>
      <c r="F1642" s="432" t="s">
        <v>225</v>
      </c>
      <c r="G1642" s="388" t="s">
        <v>8</v>
      </c>
      <c r="H1642" s="390"/>
      <c r="I1642" s="390"/>
      <c r="J1642" s="390"/>
      <c r="K1642" s="398">
        <f>_xlfn.IFNA(VLOOKUP(A1642,numbering!$K$3:$L$92,2,0),0)</f>
        <v>0</v>
      </c>
    </row>
    <row r="1643" spans="1:11" ht="32" hidden="1" x14ac:dyDescent="0.2">
      <c r="A1643" s="390">
        <v>462</v>
      </c>
      <c r="B1643" s="390" t="s">
        <v>174</v>
      </c>
      <c r="C1643" s="390">
        <f>VLOOKUP(B1643,numbering!$N$18:$O$30,2,0)</f>
        <v>2</v>
      </c>
      <c r="D1643" s="390" t="s">
        <v>1282</v>
      </c>
      <c r="E1643" s="403">
        <f>IF(C1643&lt;&gt;C1642,1,IF(D1643&lt;&gt;D1642,E1642+1,E1642))</f>
        <v>3</v>
      </c>
      <c r="F1643" s="432" t="s">
        <v>205</v>
      </c>
      <c r="G1643" s="413" t="s">
        <v>1019</v>
      </c>
      <c r="H1643" s="414"/>
      <c r="I1643" s="390"/>
      <c r="J1643" s="390"/>
      <c r="K1643" s="398">
        <f>_xlfn.IFNA(VLOOKUP(A1643,numbering!$K$3:$L$92,2,0),0)</f>
        <v>0</v>
      </c>
    </row>
    <row r="1644" spans="1:11" ht="17" hidden="1" x14ac:dyDescent="0.2">
      <c r="A1644" s="403">
        <v>463</v>
      </c>
      <c r="B1644" s="390" t="s">
        <v>248</v>
      </c>
      <c r="C1644" s="390">
        <f>VLOOKUP(B1644,numbering!$N$18:$O$30,2,0)</f>
        <v>3</v>
      </c>
      <c r="D1644" s="403" t="s">
        <v>147</v>
      </c>
      <c r="E1644" s="403">
        <f>IF(C1644&lt;&gt;C1643,1,IF(F1644&lt;&gt;F1643,E1643+1,E1643))</f>
        <v>1</v>
      </c>
      <c r="F1644" s="422" t="s">
        <v>150</v>
      </c>
      <c r="G1644" s="404" t="s">
        <v>1019</v>
      </c>
      <c r="H1644" s="405"/>
      <c r="I1644" s="390"/>
      <c r="J1644" s="390"/>
      <c r="K1644" s="398">
        <f>_xlfn.IFNA(VLOOKUP(A1644,numbering!$K$3:$L$92,2,0),0)</f>
        <v>1</v>
      </c>
    </row>
    <row r="1645" spans="1:11" ht="17" hidden="1" x14ac:dyDescent="0.2">
      <c r="A1645" s="403">
        <v>464</v>
      </c>
      <c r="B1645" s="390" t="s">
        <v>248</v>
      </c>
      <c r="C1645" s="390">
        <f>VLOOKUP(B1645,numbering!$N$18:$O$30,2,0)</f>
        <v>3</v>
      </c>
      <c r="D1645" s="403" t="s">
        <v>147</v>
      </c>
      <c r="E1645" s="403">
        <f>IF(C1645&lt;&gt;C1644,1,IF(F1645&lt;&gt;F1644,E1644+1,E1644))</f>
        <v>2</v>
      </c>
      <c r="F1645" s="422" t="s">
        <v>151</v>
      </c>
      <c r="G1645" s="404" t="s">
        <v>1019</v>
      </c>
      <c r="H1645" s="405"/>
      <c r="I1645" s="390"/>
      <c r="J1645" s="390"/>
      <c r="K1645" s="398">
        <f>_xlfn.IFNA(VLOOKUP(A1645,numbering!$K$3:$L$92,2,0),0)</f>
        <v>1</v>
      </c>
    </row>
    <row r="1646" spans="1:11" ht="17" hidden="1" x14ac:dyDescent="0.2">
      <c r="A1646" s="403">
        <v>465</v>
      </c>
      <c r="B1646" s="390" t="s">
        <v>131</v>
      </c>
      <c r="C1646" s="390">
        <f>VLOOKUP(B1646,numbering!$N$18:$O$30,2,0)</f>
        <v>1</v>
      </c>
      <c r="D1646" s="403" t="s">
        <v>153</v>
      </c>
      <c r="E1646" s="403">
        <f t="shared" ref="E1646:E1654" si="40">IF(C1646&lt;&gt;C1645,1,IF(D1646&lt;&gt;D1645,E1645+1,E1645))</f>
        <v>1</v>
      </c>
      <c r="F1646" s="432" t="s">
        <v>1322</v>
      </c>
      <c r="G1646" s="404" t="s">
        <v>1019</v>
      </c>
      <c r="H1646" s="405"/>
      <c r="I1646" s="390"/>
      <c r="J1646" s="390"/>
      <c r="K1646" s="398">
        <f>_xlfn.IFNA(VLOOKUP(A1646,numbering!$K$3:$L$92,2,0),0)</f>
        <v>0</v>
      </c>
    </row>
    <row r="1647" spans="1:11" ht="17" hidden="1" x14ac:dyDescent="0.2">
      <c r="A1647" s="403">
        <v>466</v>
      </c>
      <c r="B1647" s="390" t="s">
        <v>131</v>
      </c>
      <c r="C1647" s="390">
        <f>VLOOKUP(B1647,numbering!$N$18:$O$30,2,0)</f>
        <v>1</v>
      </c>
      <c r="D1647" s="403" t="s">
        <v>153</v>
      </c>
      <c r="E1647" s="403">
        <f t="shared" si="40"/>
        <v>1</v>
      </c>
      <c r="F1647" s="432" t="s">
        <v>1284</v>
      </c>
      <c r="G1647" s="404" t="s">
        <v>1019</v>
      </c>
      <c r="H1647" s="405"/>
      <c r="I1647" s="390"/>
      <c r="J1647" s="390"/>
      <c r="K1647" s="398">
        <f>_xlfn.IFNA(VLOOKUP(A1647,numbering!$K$3:$L$92,2,0),0)</f>
        <v>0</v>
      </c>
    </row>
    <row r="1648" spans="1:11" ht="17" hidden="1" x14ac:dyDescent="0.2">
      <c r="A1648" s="403">
        <v>467</v>
      </c>
      <c r="B1648" s="390" t="s">
        <v>131</v>
      </c>
      <c r="C1648" s="390">
        <f>VLOOKUP(B1648,numbering!$N$18:$O$30,2,0)</f>
        <v>1</v>
      </c>
      <c r="D1648" s="403" t="s">
        <v>153</v>
      </c>
      <c r="E1648" s="403">
        <f t="shared" si="40"/>
        <v>1</v>
      </c>
      <c r="F1648" s="432" t="s">
        <v>1037</v>
      </c>
      <c r="G1648" s="404" t="s">
        <v>1019</v>
      </c>
      <c r="H1648" s="405"/>
      <c r="I1648" s="390"/>
      <c r="J1648" s="390"/>
      <c r="K1648" s="398">
        <f>_xlfn.IFNA(VLOOKUP(A1648,numbering!$K$3:$L$92,2,0),0)</f>
        <v>0</v>
      </c>
    </row>
    <row r="1649" spans="1:11" ht="16" hidden="1" x14ac:dyDescent="0.2">
      <c r="A1649" s="390">
        <v>468</v>
      </c>
      <c r="B1649" s="390" t="s">
        <v>174</v>
      </c>
      <c r="C1649" s="390">
        <f>VLOOKUP(B1649,numbering!$N$18:$O$30,2,0)</f>
        <v>2</v>
      </c>
      <c r="D1649" s="390" t="s">
        <v>221</v>
      </c>
      <c r="E1649" s="403">
        <f t="shared" si="40"/>
        <v>1</v>
      </c>
      <c r="F1649" s="432" t="s">
        <v>1115</v>
      </c>
      <c r="G1649" s="388" t="s">
        <v>1116</v>
      </c>
      <c r="H1649" s="390"/>
      <c r="I1649" s="390"/>
      <c r="J1649" s="390"/>
      <c r="K1649" s="398">
        <f>_xlfn.IFNA(VLOOKUP(A1649,numbering!$K$3:$L$92,2,0),0)</f>
        <v>0</v>
      </c>
    </row>
    <row r="1650" spans="1:11" ht="16" hidden="1" x14ac:dyDescent="0.2">
      <c r="A1650" s="390">
        <v>468</v>
      </c>
      <c r="B1650" s="390" t="s">
        <v>174</v>
      </c>
      <c r="C1650" s="390">
        <f>VLOOKUP(B1650,numbering!$N$18:$O$30,2,0)</f>
        <v>2</v>
      </c>
      <c r="D1650" s="390" t="s">
        <v>221</v>
      </c>
      <c r="E1650" s="403">
        <f t="shared" si="40"/>
        <v>1</v>
      </c>
      <c r="F1650" s="432" t="s">
        <v>1115</v>
      </c>
      <c r="G1650" s="388" t="s">
        <v>1117</v>
      </c>
      <c r="H1650" s="390"/>
      <c r="I1650" s="390"/>
      <c r="J1650" s="390"/>
      <c r="K1650" s="398">
        <f>_xlfn.IFNA(VLOOKUP(A1650,numbering!$K$3:$L$92,2,0),0)</f>
        <v>0</v>
      </c>
    </row>
    <row r="1651" spans="1:11" ht="32" hidden="1" x14ac:dyDescent="0.2">
      <c r="A1651" s="390">
        <v>469</v>
      </c>
      <c r="B1651" s="390" t="s">
        <v>174</v>
      </c>
      <c r="C1651" s="390">
        <f>VLOOKUP(B1651,numbering!$N$18:$O$30,2,0)</f>
        <v>2</v>
      </c>
      <c r="D1651" s="390" t="s">
        <v>232</v>
      </c>
      <c r="E1651" s="403">
        <f t="shared" si="40"/>
        <v>2</v>
      </c>
      <c r="F1651" s="432" t="s">
        <v>243</v>
      </c>
      <c r="G1651" s="404" t="s">
        <v>1019</v>
      </c>
      <c r="H1651" s="405"/>
      <c r="I1651" s="390"/>
      <c r="J1651" s="390"/>
      <c r="K1651" s="398">
        <f>_xlfn.IFNA(VLOOKUP(A1651,numbering!$K$3:$L$92,2,0),0)</f>
        <v>0</v>
      </c>
    </row>
    <row r="1652" spans="1:11" ht="32" hidden="1" x14ac:dyDescent="0.2">
      <c r="A1652" s="403">
        <v>470</v>
      </c>
      <c r="B1652" s="390" t="s">
        <v>131</v>
      </c>
      <c r="C1652" s="390">
        <f>VLOOKUP(B1652,numbering!$N$18:$O$30,2,0)</f>
        <v>1</v>
      </c>
      <c r="D1652" s="403" t="s">
        <v>1283</v>
      </c>
      <c r="E1652" s="403">
        <f t="shared" si="40"/>
        <v>1</v>
      </c>
      <c r="F1652" s="432" t="s">
        <v>1285</v>
      </c>
      <c r="G1652" s="404" t="s">
        <v>1286</v>
      </c>
      <c r="H1652" s="405"/>
      <c r="I1652" s="390"/>
      <c r="J1652" s="390"/>
      <c r="K1652" s="398">
        <f>_xlfn.IFNA(VLOOKUP(A1652,numbering!$K$3:$L$92,2,0),0)</f>
        <v>0</v>
      </c>
    </row>
    <row r="1653" spans="1:11" ht="32" hidden="1" x14ac:dyDescent="0.2">
      <c r="A1653" s="403">
        <v>470</v>
      </c>
      <c r="B1653" s="390" t="s">
        <v>131</v>
      </c>
      <c r="C1653" s="390">
        <f>VLOOKUP(B1653,numbering!$N$18:$O$30,2,0)</f>
        <v>1</v>
      </c>
      <c r="D1653" s="403" t="s">
        <v>1283</v>
      </c>
      <c r="E1653" s="403">
        <f t="shared" si="40"/>
        <v>1</v>
      </c>
      <c r="F1653" s="432" t="s">
        <v>1285</v>
      </c>
      <c r="G1653" s="404" t="s">
        <v>1288</v>
      </c>
      <c r="H1653" s="405"/>
      <c r="I1653" s="390"/>
      <c r="J1653" s="390"/>
      <c r="K1653" s="398">
        <f>_xlfn.IFNA(VLOOKUP(A1653,numbering!$K$3:$L$92,2,0),0)</f>
        <v>0</v>
      </c>
    </row>
    <row r="1654" spans="1:11" ht="17" hidden="1" x14ac:dyDescent="0.2">
      <c r="A1654" s="403">
        <v>470</v>
      </c>
      <c r="B1654" s="390" t="s">
        <v>131</v>
      </c>
      <c r="C1654" s="390">
        <f>VLOOKUP(B1654,numbering!$N$18:$O$30,2,0)</f>
        <v>1</v>
      </c>
      <c r="D1654" s="403" t="s">
        <v>1283</v>
      </c>
      <c r="E1654" s="403">
        <f t="shared" si="40"/>
        <v>1</v>
      </c>
      <c r="F1654" s="432" t="s">
        <v>1285</v>
      </c>
      <c r="G1654" s="404" t="s">
        <v>1287</v>
      </c>
      <c r="H1654" s="405"/>
      <c r="I1654" s="390"/>
      <c r="J1654" s="390"/>
      <c r="K1654" s="398">
        <f>_xlfn.IFNA(VLOOKUP(A1654,numbering!$K$3:$L$92,2,0),0)</f>
        <v>0</v>
      </c>
    </row>
    <row r="1655" spans="1:11" ht="16" hidden="1" x14ac:dyDescent="0.2">
      <c r="A1655" s="391"/>
      <c r="B1655" s="391"/>
      <c r="C1655" s="390"/>
      <c r="D1655" s="391"/>
      <c r="E1655" s="403"/>
      <c r="F1655" s="434"/>
      <c r="G1655" s="396"/>
      <c r="H1655" s="391"/>
      <c r="I1655" s="391"/>
      <c r="J1655" s="391"/>
      <c r="K1655" s="398"/>
    </row>
    <row r="1656" spans="1:11" ht="16" hidden="1" x14ac:dyDescent="0.2">
      <c r="A1656" s="391"/>
      <c r="B1656" s="391"/>
      <c r="C1656" s="390"/>
      <c r="D1656" s="391"/>
      <c r="E1656" s="403"/>
      <c r="F1656" s="434"/>
      <c r="G1656" s="396"/>
      <c r="H1656" s="391"/>
      <c r="I1656" s="391"/>
      <c r="J1656" s="391"/>
      <c r="K1656" s="398"/>
    </row>
    <row r="1657" spans="1:11" ht="16" hidden="1" x14ac:dyDescent="0.2">
      <c r="A1657" s="391"/>
      <c r="B1657" s="391"/>
      <c r="C1657" s="390"/>
      <c r="D1657" s="391"/>
      <c r="E1657" s="403"/>
      <c r="F1657" s="434"/>
      <c r="G1657" s="396"/>
      <c r="H1657" s="391"/>
      <c r="I1657" s="391"/>
      <c r="J1657" s="391"/>
      <c r="K1657" s="398"/>
    </row>
    <row r="1658" spans="1:11" ht="16" hidden="1" x14ac:dyDescent="0.2">
      <c r="A1658" s="391"/>
      <c r="B1658" s="391"/>
      <c r="C1658" s="390"/>
      <c r="D1658" s="391"/>
      <c r="E1658" s="403"/>
      <c r="F1658" s="434"/>
      <c r="G1658" s="396"/>
      <c r="H1658" s="391"/>
      <c r="I1658" s="391"/>
      <c r="J1658" s="391"/>
      <c r="K1658" s="398"/>
    </row>
    <row r="1659" spans="1:11" ht="16" hidden="1" x14ac:dyDescent="0.2">
      <c r="E1659" s="403"/>
    </row>
    <row r="1660" spans="1:11" ht="16" hidden="1" x14ac:dyDescent="0.2">
      <c r="E1660" s="403"/>
    </row>
    <row r="1661" spans="1:11" ht="16" hidden="1" x14ac:dyDescent="0.2">
      <c r="E1661" s="403"/>
    </row>
    <row r="1662" spans="1:11" s="400" customFormat="1" ht="16" hidden="1" x14ac:dyDescent="0.2">
      <c r="E1662" s="403"/>
      <c r="F1662" s="439"/>
      <c r="G1662" s="415"/>
      <c r="H1662" s="416"/>
      <c r="I1662" s="416"/>
      <c r="J1662" s="416"/>
    </row>
    <row r="1663" spans="1:11" s="400" customFormat="1" ht="16" hidden="1" x14ac:dyDescent="0.2">
      <c r="E1663" s="403"/>
      <c r="F1663" s="439"/>
      <c r="G1663" s="415"/>
      <c r="H1663" s="416"/>
      <c r="I1663" s="416"/>
      <c r="J1663" s="416"/>
    </row>
    <row r="1664" spans="1:11" s="400" customFormat="1" ht="16" hidden="1" x14ac:dyDescent="0.2">
      <c r="E1664" s="403"/>
      <c r="F1664" s="439"/>
      <c r="G1664" s="415"/>
      <c r="H1664" s="416"/>
      <c r="I1664" s="416"/>
      <c r="J1664" s="416"/>
    </row>
    <row r="1665" spans="5:10" s="400" customFormat="1" ht="16" hidden="1" x14ac:dyDescent="0.2">
      <c r="E1665" s="403"/>
      <c r="F1665" s="439"/>
      <c r="G1665" s="415"/>
      <c r="H1665" s="416"/>
      <c r="I1665" s="416"/>
      <c r="J1665" s="416"/>
    </row>
    <row r="1666" spans="5:10" s="400" customFormat="1" ht="16" hidden="1" x14ac:dyDescent="0.2">
      <c r="E1666" s="403"/>
      <c r="F1666" s="439"/>
      <c r="G1666" s="415"/>
      <c r="H1666" s="416"/>
      <c r="I1666" s="416"/>
      <c r="J1666" s="416"/>
    </row>
    <row r="1667" spans="5:10" s="400" customFormat="1" ht="16" hidden="1" x14ac:dyDescent="0.2">
      <c r="E1667" s="403"/>
      <c r="F1667" s="439"/>
      <c r="G1667" s="415"/>
      <c r="H1667" s="416"/>
      <c r="I1667" s="416"/>
      <c r="J1667" s="416"/>
    </row>
    <row r="1668" spans="5:10" s="400" customFormat="1" ht="16" hidden="1" x14ac:dyDescent="0.2">
      <c r="E1668" s="403"/>
      <c r="F1668" s="439"/>
      <c r="G1668" s="415"/>
      <c r="H1668" s="416"/>
      <c r="I1668" s="416"/>
      <c r="J1668" s="416"/>
    </row>
    <row r="1669" spans="5:10" s="400" customFormat="1" ht="16" hidden="1" x14ac:dyDescent="0.2">
      <c r="E1669" s="403"/>
      <c r="F1669" s="439"/>
      <c r="G1669" s="415"/>
      <c r="H1669" s="416"/>
      <c r="I1669" s="416"/>
      <c r="J1669" s="416"/>
    </row>
    <row r="1670" spans="5:10" s="400" customFormat="1" ht="16" hidden="1" x14ac:dyDescent="0.2">
      <c r="E1670" s="403"/>
      <c r="F1670" s="439"/>
      <c r="G1670" s="415"/>
      <c r="H1670" s="416"/>
      <c r="I1670" s="416"/>
      <c r="J1670" s="416"/>
    </row>
    <row r="1671" spans="5:10" s="400" customFormat="1" ht="16" hidden="1" x14ac:dyDescent="0.2">
      <c r="E1671" s="403"/>
      <c r="F1671" s="439"/>
      <c r="G1671" s="415"/>
      <c r="H1671" s="416"/>
      <c r="I1671" s="416"/>
      <c r="J1671" s="416"/>
    </row>
    <row r="1672" spans="5:10" s="400" customFormat="1" ht="16" hidden="1" x14ac:dyDescent="0.2">
      <c r="E1672" s="403"/>
      <c r="F1672" s="439"/>
      <c r="G1672" s="415"/>
      <c r="H1672" s="416"/>
      <c r="I1672" s="416"/>
      <c r="J1672" s="416"/>
    </row>
    <row r="1673" spans="5:10" s="400" customFormat="1" ht="16" hidden="1" x14ac:dyDescent="0.2">
      <c r="E1673" s="403"/>
      <c r="F1673" s="439"/>
      <c r="G1673" s="415"/>
      <c r="H1673" s="416"/>
      <c r="I1673" s="416"/>
      <c r="J1673" s="416"/>
    </row>
    <row r="1674" spans="5:10" s="400" customFormat="1" ht="16" hidden="1" x14ac:dyDescent="0.2">
      <c r="E1674" s="403"/>
      <c r="F1674" s="439"/>
      <c r="G1674" s="415"/>
      <c r="H1674" s="416"/>
      <c r="I1674" s="416"/>
      <c r="J1674" s="416"/>
    </row>
    <row r="1675" spans="5:10" s="400" customFormat="1" ht="16" hidden="1" x14ac:dyDescent="0.2">
      <c r="E1675" s="403"/>
      <c r="F1675" s="439"/>
      <c r="G1675" s="415"/>
      <c r="H1675" s="416"/>
      <c r="I1675" s="416"/>
      <c r="J1675" s="416"/>
    </row>
    <row r="1676" spans="5:10" s="400" customFormat="1" ht="16" hidden="1" x14ac:dyDescent="0.2">
      <c r="E1676" s="403"/>
      <c r="F1676" s="439"/>
      <c r="G1676" s="415"/>
      <c r="H1676" s="416"/>
      <c r="I1676" s="416"/>
      <c r="J1676" s="416"/>
    </row>
    <row r="1677" spans="5:10" ht="16" hidden="1" x14ac:dyDescent="0.2">
      <c r="E1677" s="403"/>
    </row>
    <row r="1678" spans="5:10" ht="16" hidden="1" x14ac:dyDescent="0.2">
      <c r="E1678" s="403"/>
    </row>
    <row r="1679" spans="5:10" ht="16" hidden="1" x14ac:dyDescent="0.2">
      <c r="E1679" s="403"/>
    </row>
    <row r="1680" spans="5:10" ht="16" hidden="1" x14ac:dyDescent="0.2">
      <c r="E1680" s="403"/>
    </row>
    <row r="1681" spans="5:5" ht="16" hidden="1" x14ac:dyDescent="0.2">
      <c r="E1681" s="403"/>
    </row>
    <row r="1682" spans="5:5" ht="16" hidden="1" x14ac:dyDescent="0.2">
      <c r="E1682" s="403"/>
    </row>
    <row r="1683" spans="5:5" ht="16" hidden="1" x14ac:dyDescent="0.2">
      <c r="E1683" s="403"/>
    </row>
    <row r="1684" spans="5:5" ht="16" hidden="1" x14ac:dyDescent="0.2">
      <c r="E1684" s="403"/>
    </row>
    <row r="1685" spans="5:5" ht="16" hidden="1" x14ac:dyDescent="0.2">
      <c r="E1685" s="403"/>
    </row>
    <row r="1686" spans="5:5" ht="16" hidden="1" x14ac:dyDescent="0.2">
      <c r="E1686" s="403"/>
    </row>
    <row r="1687" spans="5:5" ht="16" hidden="1" x14ac:dyDescent="0.2">
      <c r="E1687" s="403"/>
    </row>
    <row r="1688" spans="5:5" ht="16" hidden="1" x14ac:dyDescent="0.2">
      <c r="E1688" s="403"/>
    </row>
    <row r="1689" spans="5:5" ht="16" hidden="1" x14ac:dyDescent="0.2">
      <c r="E1689" s="403"/>
    </row>
    <row r="1690" spans="5:5" ht="16" hidden="1" x14ac:dyDescent="0.2">
      <c r="E1690" s="403"/>
    </row>
    <row r="1691" spans="5:5" ht="16" hidden="1" x14ac:dyDescent="0.2">
      <c r="E1691" s="403"/>
    </row>
    <row r="1692" spans="5:5" ht="16" hidden="1" x14ac:dyDescent="0.2">
      <c r="E1692" s="403"/>
    </row>
    <row r="1693" spans="5:5" ht="16" hidden="1" x14ac:dyDescent="0.2">
      <c r="E1693" s="403"/>
    </row>
    <row r="1694" spans="5:5" ht="16" hidden="1" x14ac:dyDescent="0.2">
      <c r="E1694" s="403"/>
    </row>
    <row r="1695" spans="5:5" ht="16" hidden="1" x14ac:dyDescent="0.2">
      <c r="E1695" s="403"/>
    </row>
    <row r="1696" spans="5:5" ht="16" hidden="1" x14ac:dyDescent="0.2">
      <c r="E1696" s="403"/>
    </row>
    <row r="1697" spans="5:5" ht="16" hidden="1" x14ac:dyDescent="0.2">
      <c r="E1697" s="403"/>
    </row>
    <row r="1698" spans="5:5" ht="16" hidden="1" x14ac:dyDescent="0.2">
      <c r="E1698" s="403"/>
    </row>
    <row r="1699" spans="5:5" ht="16" hidden="1" x14ac:dyDescent="0.2">
      <c r="E1699" s="403"/>
    </row>
    <row r="1700" spans="5:5" ht="16" hidden="1" x14ac:dyDescent="0.2">
      <c r="E1700" s="403"/>
    </row>
    <row r="1701" spans="5:5" ht="16" hidden="1" x14ac:dyDescent="0.2">
      <c r="E1701" s="403"/>
    </row>
    <row r="1702" spans="5:5" ht="16" hidden="1" x14ac:dyDescent="0.2">
      <c r="E1702" s="403"/>
    </row>
    <row r="1703" spans="5:5" ht="16" hidden="1" x14ac:dyDescent="0.2">
      <c r="E1703" s="403"/>
    </row>
    <row r="1704" spans="5:5" ht="16" hidden="1" x14ac:dyDescent="0.2">
      <c r="E1704" s="403"/>
    </row>
    <row r="1705" spans="5:5" ht="16" hidden="1" x14ac:dyDescent="0.2">
      <c r="E1705" s="403"/>
    </row>
    <row r="1706" spans="5:5" ht="16" hidden="1" x14ac:dyDescent="0.2">
      <c r="E1706" s="403"/>
    </row>
    <row r="1707" spans="5:5" ht="16" hidden="1" x14ac:dyDescent="0.2">
      <c r="E1707" s="403"/>
    </row>
    <row r="1708" spans="5:5" ht="16" hidden="1" x14ac:dyDescent="0.2">
      <c r="E1708" s="403"/>
    </row>
    <row r="1709" spans="5:5" ht="16" hidden="1" x14ac:dyDescent="0.2">
      <c r="E1709" s="403"/>
    </row>
    <row r="1710" spans="5:5" ht="16" hidden="1" x14ac:dyDescent="0.2">
      <c r="E1710" s="403"/>
    </row>
    <row r="1711" spans="5:5" ht="16" hidden="1" x14ac:dyDescent="0.2">
      <c r="E1711" s="403"/>
    </row>
    <row r="1712" spans="5:5" ht="16" hidden="1" x14ac:dyDescent="0.2">
      <c r="E1712" s="403"/>
    </row>
    <row r="1713" spans="5:5" ht="16" hidden="1" x14ac:dyDescent="0.2">
      <c r="E1713" s="403"/>
    </row>
    <row r="1714" spans="5:5" ht="16" hidden="1" x14ac:dyDescent="0.2">
      <c r="E1714" s="403"/>
    </row>
    <row r="1715" spans="5:5" ht="16" hidden="1" x14ac:dyDescent="0.2">
      <c r="E1715" s="403"/>
    </row>
    <row r="1716" spans="5:5" ht="16" hidden="1" x14ac:dyDescent="0.2">
      <c r="E1716" s="403"/>
    </row>
    <row r="1717" spans="5:5" ht="16" hidden="1" x14ac:dyDescent="0.2">
      <c r="E1717" s="403"/>
    </row>
    <row r="1718" spans="5:5" ht="16" hidden="1" x14ac:dyDescent="0.2">
      <c r="E1718" s="403"/>
    </row>
    <row r="1719" spans="5:5" ht="16" hidden="1" x14ac:dyDescent="0.2">
      <c r="E1719" s="403"/>
    </row>
    <row r="1720" spans="5:5" ht="16" hidden="1" x14ac:dyDescent="0.2">
      <c r="E1720" s="403"/>
    </row>
    <row r="1721" spans="5:5" ht="16" hidden="1" x14ac:dyDescent="0.2">
      <c r="E1721" s="403"/>
    </row>
    <row r="1722" spans="5:5" ht="16" hidden="1" x14ac:dyDescent="0.2">
      <c r="E1722" s="403"/>
    </row>
    <row r="1723" spans="5:5" ht="16" hidden="1" x14ac:dyDescent="0.2">
      <c r="E1723" s="403"/>
    </row>
    <row r="1724" spans="5:5" ht="16" hidden="1" x14ac:dyDescent="0.2">
      <c r="E1724" s="403"/>
    </row>
    <row r="1725" spans="5:5" ht="16" hidden="1" x14ac:dyDescent="0.2">
      <c r="E1725" s="403"/>
    </row>
    <row r="1726" spans="5:5" ht="16" hidden="1" x14ac:dyDescent="0.2">
      <c r="E1726" s="403"/>
    </row>
    <row r="1727" spans="5:5" ht="16" hidden="1" x14ac:dyDescent="0.2">
      <c r="E1727" s="403"/>
    </row>
    <row r="1728" spans="5:5" ht="16" hidden="1" x14ac:dyDescent="0.2">
      <c r="E1728" s="403"/>
    </row>
    <row r="1729" spans="5:5" ht="16" hidden="1" x14ac:dyDescent="0.2">
      <c r="E1729" s="403"/>
    </row>
    <row r="1730" spans="5:5" ht="16" hidden="1" x14ac:dyDescent="0.2">
      <c r="E1730" s="403"/>
    </row>
    <row r="1731" spans="5:5" ht="16" hidden="1" x14ac:dyDescent="0.2">
      <c r="E1731" s="403"/>
    </row>
    <row r="1732" spans="5:5" ht="16" hidden="1" x14ac:dyDescent="0.2">
      <c r="E1732" s="403"/>
    </row>
    <row r="1733" spans="5:5" ht="16" hidden="1" x14ac:dyDescent="0.2">
      <c r="E1733" s="403"/>
    </row>
    <row r="1734" spans="5:5" ht="16" hidden="1" x14ac:dyDescent="0.2">
      <c r="E1734" s="403"/>
    </row>
    <row r="1735" spans="5:5" ht="16" hidden="1" x14ac:dyDescent="0.2">
      <c r="E1735" s="403"/>
    </row>
    <row r="1736" spans="5:5" ht="16" hidden="1" x14ac:dyDescent="0.2">
      <c r="E1736" s="403"/>
    </row>
    <row r="1737" spans="5:5" ht="16" hidden="1" x14ac:dyDescent="0.2">
      <c r="E1737" s="403"/>
    </row>
    <row r="1738" spans="5:5" ht="16" hidden="1" x14ac:dyDescent="0.2">
      <c r="E1738" s="403"/>
    </row>
    <row r="1739" spans="5:5" ht="16" hidden="1" x14ac:dyDescent="0.2">
      <c r="E1739" s="403"/>
    </row>
    <row r="1740" spans="5:5" ht="16" hidden="1" x14ac:dyDescent="0.2">
      <c r="E1740" s="403"/>
    </row>
    <row r="1741" spans="5:5" ht="16" hidden="1" x14ac:dyDescent="0.2">
      <c r="E1741" s="403"/>
    </row>
    <row r="1742" spans="5:5" ht="16" hidden="1" x14ac:dyDescent="0.2">
      <c r="E1742" s="403"/>
    </row>
    <row r="1743" spans="5:5" ht="16" hidden="1" x14ac:dyDescent="0.2">
      <c r="E1743" s="403"/>
    </row>
    <row r="1744" spans="5:5" ht="16" hidden="1" x14ac:dyDescent="0.2">
      <c r="E1744" s="403"/>
    </row>
    <row r="1745" spans="5:5" ht="16" hidden="1" x14ac:dyDescent="0.2">
      <c r="E1745" s="403"/>
    </row>
    <row r="1746" spans="5:5" ht="16" hidden="1" x14ac:dyDescent="0.2">
      <c r="E1746" s="403"/>
    </row>
    <row r="1747" spans="5:5" ht="16" hidden="1" x14ac:dyDescent="0.2">
      <c r="E1747" s="403"/>
    </row>
    <row r="1748" spans="5:5" ht="16" hidden="1" x14ac:dyDescent="0.2">
      <c r="E1748" s="403"/>
    </row>
    <row r="1749" spans="5:5" ht="16" hidden="1" x14ac:dyDescent="0.2">
      <c r="E1749" s="403"/>
    </row>
    <row r="1750" spans="5:5" ht="16" hidden="1" x14ac:dyDescent="0.2">
      <c r="E1750" s="403"/>
    </row>
    <row r="1751" spans="5:5" ht="16" hidden="1" x14ac:dyDescent="0.2">
      <c r="E1751" s="403"/>
    </row>
    <row r="1752" spans="5:5" ht="16" hidden="1" x14ac:dyDescent="0.2">
      <c r="E1752" s="403"/>
    </row>
    <row r="1753" spans="5:5" ht="16" hidden="1" x14ac:dyDescent="0.2">
      <c r="E1753" s="403"/>
    </row>
    <row r="1754" spans="5:5" ht="16" hidden="1" x14ac:dyDescent="0.2">
      <c r="E1754" s="403"/>
    </row>
    <row r="1755" spans="5:5" ht="16" hidden="1" x14ac:dyDescent="0.2">
      <c r="E1755" s="403"/>
    </row>
    <row r="1756" spans="5:5" ht="16" hidden="1" x14ac:dyDescent="0.2">
      <c r="E1756" s="403"/>
    </row>
    <row r="1757" spans="5:5" ht="16" hidden="1" x14ac:dyDescent="0.2">
      <c r="E1757" s="403"/>
    </row>
    <row r="1758" spans="5:5" ht="16" hidden="1" x14ac:dyDescent="0.2">
      <c r="E1758" s="403"/>
    </row>
    <row r="1759" spans="5:5" ht="16" hidden="1" x14ac:dyDescent="0.2">
      <c r="E1759" s="403"/>
    </row>
    <row r="1760" spans="5:5" hidden="1" x14ac:dyDescent="0.2"/>
    <row r="1761" hidden="1" x14ac:dyDescent="0.2"/>
    <row r="1762" hidden="1" x14ac:dyDescent="0.2"/>
    <row r="1763" hidden="1" x14ac:dyDescent="0.2"/>
    <row r="1764" hidden="1" x14ac:dyDescent="0.2"/>
    <row r="1765" hidden="1" x14ac:dyDescent="0.2"/>
    <row r="1766" hidden="1" x14ac:dyDescent="0.2"/>
    <row r="1767" hidden="1" x14ac:dyDescent="0.2"/>
    <row r="1768" hidden="1" x14ac:dyDescent="0.2"/>
    <row r="1769" hidden="1" x14ac:dyDescent="0.2"/>
  </sheetData>
  <autoFilter ref="A1:L1769" xr:uid="{4073F7CC-30D9-4100-89C5-D968213FEC26}">
    <filterColumn colId="0">
      <filters>
        <filter val="87"/>
      </filters>
    </filterColumn>
  </autoFilter>
  <sortState xmlns:xlrd2="http://schemas.microsoft.com/office/spreadsheetml/2017/richdata2" ref="A2:L1769">
    <sortCondition ref="A2:A1769"/>
    <sortCondition ref="F2:F1769"/>
  </sortState>
  <phoneticPr fontId="13"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1143A-4FF7-4321-BA23-DC02CD34D10D}">
  <sheetPr codeName="Sheet2">
    <tabColor theme="0" tint="-0.499984740745262"/>
  </sheetPr>
  <dimension ref="D4:K24"/>
  <sheetViews>
    <sheetView zoomScale="55" zoomScaleNormal="55" workbookViewId="0">
      <selection activeCell="H106" sqref="H106"/>
    </sheetView>
  </sheetViews>
  <sheetFormatPr baseColWidth="10" defaultColWidth="8.83203125" defaultRowHeight="15" x14ac:dyDescent="0.2"/>
  <cols>
    <col min="4" max="4" width="16.5" bestFit="1" customWidth="1"/>
    <col min="5" max="5" width="20.5" bestFit="1" customWidth="1"/>
    <col min="6" max="8" width="21" bestFit="1" customWidth="1"/>
    <col min="9" max="9" width="10.5" customWidth="1"/>
  </cols>
  <sheetData>
    <row r="4" spans="4:11" x14ac:dyDescent="0.2">
      <c r="D4" t="s">
        <v>888</v>
      </c>
      <c r="E4" t="s">
        <v>889</v>
      </c>
      <c r="F4" t="s">
        <v>890</v>
      </c>
      <c r="G4" t="s">
        <v>891</v>
      </c>
      <c r="H4" t="s">
        <v>892</v>
      </c>
    </row>
    <row r="5" spans="4:11" x14ac:dyDescent="0.2">
      <c r="E5">
        <v>1</v>
      </c>
      <c r="F5">
        <v>2</v>
      </c>
      <c r="G5">
        <v>3</v>
      </c>
      <c r="H5">
        <v>4</v>
      </c>
      <c r="K5">
        <v>2.4</v>
      </c>
    </row>
    <row r="6" spans="4:11" x14ac:dyDescent="0.2">
      <c r="D6">
        <v>0.5</v>
      </c>
      <c r="E6" s="1">
        <v>0.99</v>
      </c>
      <c r="F6" s="1">
        <v>0.99</v>
      </c>
      <c r="G6" s="1">
        <v>0.99</v>
      </c>
      <c r="H6" s="1">
        <v>0.99</v>
      </c>
      <c r="I6" s="1" cm="1">
        <f t="array" ref="I6">LinLogIntp2D1($E$5:$H$5,$D$6:$D$24,$E$6:$H$24,$K$5,D6)</f>
        <v>0.99</v>
      </c>
    </row>
    <row r="7" spans="4:11" x14ac:dyDescent="0.2">
      <c r="D7">
        <v>0.8</v>
      </c>
      <c r="E7" s="1">
        <v>0.3</v>
      </c>
      <c r="F7" s="1">
        <v>0.5</v>
      </c>
      <c r="G7" s="1">
        <v>0.8</v>
      </c>
      <c r="H7" s="1">
        <v>0.9</v>
      </c>
      <c r="I7" s="1" cm="1">
        <f t="array" ref="I7">LinLogIntp2D1($E$5:$H$5,$D$6:$D$24,$E$6:$H$24,$K$5,D7)</f>
        <v>0.60341763365451628</v>
      </c>
    </row>
    <row r="8" spans="4:11" x14ac:dyDescent="0.2">
      <c r="D8">
        <v>0.9</v>
      </c>
      <c r="E8" s="1">
        <v>0.1</v>
      </c>
      <c r="F8" s="1">
        <v>0.35</v>
      </c>
      <c r="G8" s="1">
        <v>0.6</v>
      </c>
      <c r="H8" s="1">
        <v>0.85</v>
      </c>
      <c r="I8" s="1" cm="1">
        <f t="array" ref="I8">LinLogIntp2D1($E$5:$H$5,$D$6:$D$24,$E$6:$H$24,$K$5,D8)</f>
        <v>0.43421150529413233</v>
      </c>
    </row>
    <row r="9" spans="4:11" x14ac:dyDescent="0.2">
      <c r="D9">
        <v>1</v>
      </c>
      <c r="E9" s="1">
        <v>2.3E-2</v>
      </c>
      <c r="F9" s="1">
        <v>0.14000000000000001</v>
      </c>
      <c r="G9" s="1">
        <v>0.35</v>
      </c>
      <c r="H9" s="1">
        <v>0.83</v>
      </c>
      <c r="I9" s="1" cm="1">
        <f t="array" ref="I9">LinLogIntp2D1($E$5:$H$5,$D$6:$D$24,$E$6:$H$24,$K$5,D9)</f>
        <v>0.2019779868270099</v>
      </c>
    </row>
    <row r="10" spans="4:11" x14ac:dyDescent="0.2">
      <c r="D10">
        <v>1.1000000000000001</v>
      </c>
      <c r="E10" s="1">
        <v>4.0000000000000001E-3</v>
      </c>
      <c r="F10" s="1">
        <v>0.04</v>
      </c>
      <c r="G10" s="1">
        <v>0.2</v>
      </c>
      <c r="H10" s="1">
        <v>0.72</v>
      </c>
      <c r="I10" s="1" cm="1">
        <f t="array" ref="I10">LinLogIntp2D1($E$5:$H$5,$D$6:$D$24,$E$6:$H$24,$K$5,D10)</f>
        <v>7.6146157548635129E-2</v>
      </c>
    </row>
    <row r="11" spans="4:11" x14ac:dyDescent="0.2">
      <c r="D11">
        <v>1.2</v>
      </c>
      <c r="E11" s="1">
        <v>6.9999999999999999E-4</v>
      </c>
      <c r="F11" s="1">
        <v>1.2E-2</v>
      </c>
      <c r="G11" s="1">
        <v>0.1</v>
      </c>
      <c r="H11" s="1">
        <v>0.48</v>
      </c>
      <c r="I11" s="1" cm="1">
        <f t="array" ref="I11">LinLogIntp2D1($E$5:$H$5,$D$6:$D$24,$E$6:$H$24,$K$5,D11)</f>
        <v>2.8022620647068036E-2</v>
      </c>
    </row>
    <row r="12" spans="4:11" x14ac:dyDescent="0.2">
      <c r="D12">
        <v>1.3</v>
      </c>
      <c r="E12" s="1">
        <v>1E-4</v>
      </c>
      <c r="F12" s="1">
        <v>2.8E-3</v>
      </c>
      <c r="G12" s="1">
        <v>0.05</v>
      </c>
      <c r="H12" s="1">
        <v>0.32</v>
      </c>
      <c r="I12" s="1" cm="1">
        <f t="array" ref="I12">LinLogIntp2D1($E$5:$H$5,$D$6:$D$24,$E$6:$H$24,$K$5,D12)</f>
        <v>8.8691667572652101E-3</v>
      </c>
    </row>
    <row r="13" spans="4:11" x14ac:dyDescent="0.2">
      <c r="D13">
        <v>1.4</v>
      </c>
      <c r="E13" s="1">
        <v>1.0000000000000001E-5</v>
      </c>
      <c r="F13" s="1">
        <v>5.0000000000000001E-4</v>
      </c>
      <c r="G13" s="1">
        <v>0.02</v>
      </c>
      <c r="H13" s="1">
        <v>0.18</v>
      </c>
      <c r="I13" s="1" cm="1">
        <f t="array" ref="I13">LinLogIntp2D1($E$5:$H$5,$D$6:$D$24,$E$6:$H$24,$K$5,D13)</f>
        <v>2.1867241478865543E-3</v>
      </c>
    </row>
    <row r="14" spans="4:11" x14ac:dyDescent="0.2">
      <c r="D14">
        <v>1.5</v>
      </c>
      <c r="E14" s="1">
        <v>9.9999999999999995E-7</v>
      </c>
      <c r="F14" s="1">
        <v>1E-4</v>
      </c>
      <c r="G14" s="1">
        <v>9.1000000000000004E-3</v>
      </c>
      <c r="H14" s="1">
        <v>0.105</v>
      </c>
      <c r="I14" s="1" cm="1">
        <f t="array" ref="I14">LinLogIntp2D1($E$5:$H$5,$D$6:$D$24,$E$6:$H$24,$K$5,D14)</f>
        <v>6.0759830958211634E-4</v>
      </c>
    </row>
    <row r="15" spans="4:11" x14ac:dyDescent="0.2">
      <c r="D15">
        <v>1.6</v>
      </c>
      <c r="E15" s="1">
        <v>1.9999999999999999E-7</v>
      </c>
      <c r="F15" s="1">
        <v>1.7E-5</v>
      </c>
      <c r="G15" s="1">
        <v>4.0000000000000001E-3</v>
      </c>
      <c r="H15" s="1">
        <v>5.5E-2</v>
      </c>
      <c r="I15" s="1" cm="1">
        <f t="array" ref="I15">LinLogIntp2D1($E$5:$H$5,$D$6:$D$24,$E$6:$H$24,$K$5,D15)</f>
        <v>1.5104047729883711E-4</v>
      </c>
    </row>
    <row r="16" spans="4:11" x14ac:dyDescent="0.2">
      <c r="D16">
        <v>1.7</v>
      </c>
      <c r="E16" s="1">
        <v>8.2000000000000006E-8</v>
      </c>
      <c r="F16" s="1">
        <v>4.1999999999999996E-6</v>
      </c>
      <c r="G16" s="1">
        <v>1.8E-3</v>
      </c>
      <c r="H16" s="1">
        <v>2.9000000000000001E-2</v>
      </c>
      <c r="I16" s="1" cm="1">
        <f t="array" ref="I16">LinLogIntp2D1($E$5:$H$5,$D$6:$D$24,$E$6:$H$24,$K$5,D16)</f>
        <v>4.7430595384833955E-5</v>
      </c>
    </row>
    <row r="17" spans="4:9" x14ac:dyDescent="0.2">
      <c r="D17">
        <v>1.8</v>
      </c>
      <c r="E17" s="1">
        <v>4.0000000000000001E-8</v>
      </c>
      <c r="F17" s="1">
        <v>1.3E-6</v>
      </c>
      <c r="G17" s="1">
        <v>8.1999999999999998E-4</v>
      </c>
      <c r="H17" s="1">
        <v>1.6E-2</v>
      </c>
      <c r="I17" s="1" cm="1">
        <f t="array" ref="I17">LinLogIntp2D1($E$5:$H$5,$D$6:$D$24,$E$6:$H$24,$K$5,D17)</f>
        <v>1.7135293687116636E-5</v>
      </c>
    </row>
    <row r="18" spans="4:9" x14ac:dyDescent="0.2">
      <c r="D18">
        <v>1.9</v>
      </c>
      <c r="E18" s="1">
        <v>2.7E-8</v>
      </c>
      <c r="F18" s="1">
        <v>5.9999999999999997E-7</v>
      </c>
      <c r="G18" s="1">
        <v>4.2999999999999999E-4</v>
      </c>
      <c r="H18" s="1">
        <v>1.0500000000000001E-2</v>
      </c>
      <c r="I18" s="1" cm="1">
        <f t="array" ref="I18">LinLogIntp2D1($E$5:$H$5,$D$6:$D$24,$E$6:$H$24,$K$5,D18)</f>
        <v>8.3229662290922817E-6</v>
      </c>
    </row>
    <row r="19" spans="4:9" x14ac:dyDescent="0.2">
      <c r="D19">
        <v>2</v>
      </c>
      <c r="E19" s="1">
        <v>1.8225000000000003E-8</v>
      </c>
      <c r="F19" s="1">
        <v>3.3999999999999997E-7</v>
      </c>
      <c r="G19" s="1">
        <v>2.5000000000000001E-4</v>
      </c>
      <c r="H19" s="1">
        <v>7.4999999999999997E-3</v>
      </c>
      <c r="I19" s="1" cm="1">
        <f t="array" ref="I19">LinLogIntp2D1($E$5:$H$5,$D$6:$D$24,$E$6:$H$24,$K$5,D19)</f>
        <v>4.7650049232747541E-6</v>
      </c>
    </row>
    <row r="20" spans="4:9" x14ac:dyDescent="0.2">
      <c r="D20">
        <v>2.1</v>
      </c>
      <c r="E20" s="1">
        <v>1.2301875000000003E-8</v>
      </c>
      <c r="F20" s="1">
        <v>1.9266666666666664E-7</v>
      </c>
      <c r="G20" s="1">
        <v>1.7000000000000001E-4</v>
      </c>
      <c r="H20" s="1">
        <v>5.3E-3</v>
      </c>
      <c r="I20" s="1" cm="1">
        <f t="array" ref="I20">LinLogIntp2D1($E$5:$H$5,$D$6:$D$24,$E$6:$H$24,$K$5,D20)</f>
        <v>2.9044474202628535E-6</v>
      </c>
    </row>
    <row r="21" spans="4:9" x14ac:dyDescent="0.2">
      <c r="D21">
        <v>2.2000000000000002</v>
      </c>
      <c r="E21" s="1">
        <v>9.2264062500000023E-9</v>
      </c>
      <c r="F21" s="1">
        <v>1.3486666666666664E-7</v>
      </c>
      <c r="G21" s="1">
        <v>1.2750000000000001E-4</v>
      </c>
      <c r="H21" s="1">
        <v>4.1999999999999997E-3</v>
      </c>
      <c r="I21" s="1" cm="1">
        <f t="array" ref="I21">LinLogIntp2D1($E$5:$H$5,$D$6:$D$24,$E$6:$H$24,$K$5,D21)</f>
        <v>2.0900027046973148E-6</v>
      </c>
    </row>
    <row r="22" spans="4:9" x14ac:dyDescent="0.2">
      <c r="D22">
        <v>2.2999999999999998</v>
      </c>
      <c r="E22" s="1">
        <v>7.3811250000000018E-9</v>
      </c>
      <c r="F22" s="1">
        <v>1.1059066666666665E-7</v>
      </c>
      <c r="G22" s="1">
        <v>9.5625000000000007E-5</v>
      </c>
      <c r="H22" s="1">
        <v>3.5699999999999998E-3</v>
      </c>
      <c r="I22" s="1" cm="1">
        <f t="array" ref="I22">LinLogIntp2D1($E$5:$H$5,$D$6:$D$24,$E$6:$H$24,$K$5,D22)</f>
        <v>1.6537111893034629E-6</v>
      </c>
    </row>
    <row r="23" spans="4:9" x14ac:dyDescent="0.2">
      <c r="D23">
        <v>2.4</v>
      </c>
      <c r="E23" s="1">
        <v>6.6430125000000018E-9</v>
      </c>
      <c r="F23" s="1">
        <v>9.7103999999999981E-8</v>
      </c>
      <c r="G23" s="1">
        <v>8.6062500000000012E-5</v>
      </c>
      <c r="H23" s="1">
        <v>3.0344999999999999E-3</v>
      </c>
      <c r="I23" s="1" cm="1">
        <f t="array" ref="I23">LinLogIntp2D1($E$5:$H$5,$D$6:$D$24,$E$6:$H$24,$K$5,D23)</f>
        <v>1.4664520099056266E-6</v>
      </c>
    </row>
    <row r="24" spans="4:9" x14ac:dyDescent="0.2">
      <c r="D24">
        <v>2.5</v>
      </c>
      <c r="E24" s="1">
        <v>6.6430125000000018E-9</v>
      </c>
      <c r="F24" s="1">
        <v>8.7103999999999997E-8</v>
      </c>
      <c r="G24" s="1">
        <v>8.1759375000000007E-5</v>
      </c>
      <c r="H24" s="1">
        <v>2.7310500000000001E-3</v>
      </c>
      <c r="I24" s="1" cm="1">
        <f t="array" ref="I24">LinLogIntp2D1($E$5:$H$5,$D$6:$D$24,$E$6:$H$24,$K$5,D24)</f>
        <v>1.345977762172168E-6</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98BF2-AE1E-4733-932F-EC1872743FF9}">
  <sheetPr codeName="Sheet4">
    <tabColor theme="0" tint="-0.499984740745262"/>
  </sheetPr>
  <dimension ref="A1:WVZ77"/>
  <sheetViews>
    <sheetView topLeftCell="A40" zoomScale="94" zoomScaleNormal="100" workbookViewId="0">
      <selection activeCell="M77" sqref="M77"/>
    </sheetView>
  </sheetViews>
  <sheetFormatPr baseColWidth="10" defaultColWidth="9.5" defaultRowHeight="15" x14ac:dyDescent="0.2"/>
  <cols>
    <col min="1" max="1" width="71.5" bestFit="1" customWidth="1"/>
    <col min="2" max="2" width="36.5" customWidth="1"/>
    <col min="3" max="3" width="23.5" customWidth="1"/>
    <col min="4" max="4" width="18.5" customWidth="1"/>
    <col min="5" max="5" width="15.5" bestFit="1" customWidth="1"/>
    <col min="6" max="6" width="21.5" customWidth="1"/>
    <col min="7" max="7" width="14.5" bestFit="1" customWidth="1"/>
    <col min="8" max="8" width="35.83203125" customWidth="1"/>
    <col min="9" max="9" width="15" bestFit="1" customWidth="1"/>
    <col min="10" max="10" width="16.5" customWidth="1"/>
    <col min="11" max="11" width="12.5" bestFit="1" customWidth="1"/>
    <col min="12" max="12" width="15.5" customWidth="1"/>
    <col min="14" max="14" width="7.5" customWidth="1"/>
    <col min="15" max="15" width="19.5" bestFit="1" customWidth="1"/>
    <col min="16" max="16" width="8.5" customWidth="1"/>
    <col min="17" max="17" width="36.5" customWidth="1"/>
    <col min="18" max="18" width="10.5" customWidth="1"/>
    <col min="257" max="257" width="20" customWidth="1"/>
    <col min="258" max="258" width="5" customWidth="1"/>
    <col min="259" max="259" width="10" customWidth="1"/>
    <col min="260" max="260" width="18.5" customWidth="1"/>
    <col min="261" max="261" width="9.5" hidden="1" customWidth="1"/>
    <col min="262" max="262" width="21.5" customWidth="1"/>
    <col min="263" max="263" width="9.5" hidden="1" customWidth="1"/>
    <col min="264" max="264" width="17.5" customWidth="1"/>
    <col min="265" max="265" width="9.5" hidden="1" customWidth="1"/>
    <col min="266" max="266" width="16.5" customWidth="1"/>
    <col min="267" max="267" width="9.5" hidden="1" customWidth="1"/>
    <col min="268" max="268" width="15.5" customWidth="1"/>
    <col min="269" max="274" width="9.5" hidden="1" customWidth="1"/>
    <col min="513" max="513" width="20" customWidth="1"/>
    <col min="514" max="514" width="5" customWidth="1"/>
    <col min="515" max="515" width="10" customWidth="1"/>
    <col min="516" max="516" width="18.5" customWidth="1"/>
    <col min="517" max="517" width="9.5" hidden="1" customWidth="1"/>
    <col min="518" max="518" width="21.5" customWidth="1"/>
    <col min="519" max="519" width="9.5" hidden="1" customWidth="1"/>
    <col min="520" max="520" width="17.5" customWidth="1"/>
    <col min="521" max="521" width="9.5" hidden="1" customWidth="1"/>
    <col min="522" max="522" width="16.5" customWidth="1"/>
    <col min="523" max="523" width="9.5" hidden="1" customWidth="1"/>
    <col min="524" max="524" width="15.5" customWidth="1"/>
    <col min="525" max="530" width="9.5" hidden="1" customWidth="1"/>
    <col min="769" max="769" width="20" customWidth="1"/>
    <col min="770" max="770" width="5" customWidth="1"/>
    <col min="771" max="771" width="10" customWidth="1"/>
    <col min="772" max="772" width="18.5" customWidth="1"/>
    <col min="773" max="773" width="9.5" hidden="1" customWidth="1"/>
    <col min="774" max="774" width="21.5" customWidth="1"/>
    <col min="775" max="775" width="9.5" hidden="1" customWidth="1"/>
    <col min="776" max="776" width="17.5" customWidth="1"/>
    <col min="777" max="777" width="9.5" hidden="1" customWidth="1"/>
    <col min="778" max="778" width="16.5" customWidth="1"/>
    <col min="779" max="779" width="9.5" hidden="1" customWidth="1"/>
    <col min="780" max="780" width="15.5" customWidth="1"/>
    <col min="781" max="786" width="9.5" hidden="1" customWidth="1"/>
    <col min="1025" max="1025" width="20" customWidth="1"/>
    <col min="1026" max="1026" width="5" customWidth="1"/>
    <col min="1027" max="1027" width="10" customWidth="1"/>
    <col min="1028" max="1028" width="18.5" customWidth="1"/>
    <col min="1029" max="1029" width="9.5" hidden="1" customWidth="1"/>
    <col min="1030" max="1030" width="21.5" customWidth="1"/>
    <col min="1031" max="1031" width="9.5" hidden="1" customWidth="1"/>
    <col min="1032" max="1032" width="17.5" customWidth="1"/>
    <col min="1033" max="1033" width="9.5" hidden="1" customWidth="1"/>
    <col min="1034" max="1034" width="16.5" customWidth="1"/>
    <col min="1035" max="1035" width="9.5" hidden="1" customWidth="1"/>
    <col min="1036" max="1036" width="15.5" customWidth="1"/>
    <col min="1037" max="1042" width="9.5" hidden="1" customWidth="1"/>
    <col min="1281" max="1281" width="20" customWidth="1"/>
    <col min="1282" max="1282" width="5" customWidth="1"/>
    <col min="1283" max="1283" width="10" customWidth="1"/>
    <col min="1284" max="1284" width="18.5" customWidth="1"/>
    <col min="1285" max="1285" width="9.5" hidden="1" customWidth="1"/>
    <col min="1286" max="1286" width="21.5" customWidth="1"/>
    <col min="1287" max="1287" width="9.5" hidden="1" customWidth="1"/>
    <col min="1288" max="1288" width="17.5" customWidth="1"/>
    <col min="1289" max="1289" width="9.5" hidden="1" customWidth="1"/>
    <col min="1290" max="1290" width="16.5" customWidth="1"/>
    <col min="1291" max="1291" width="9.5" hidden="1" customWidth="1"/>
    <col min="1292" max="1292" width="15.5" customWidth="1"/>
    <col min="1293" max="1298" width="9.5" hidden="1" customWidth="1"/>
    <col min="1537" max="1537" width="20" customWidth="1"/>
    <col min="1538" max="1538" width="5" customWidth="1"/>
    <col min="1539" max="1539" width="10" customWidth="1"/>
    <col min="1540" max="1540" width="18.5" customWidth="1"/>
    <col min="1541" max="1541" width="9.5" hidden="1" customWidth="1"/>
    <col min="1542" max="1542" width="21.5" customWidth="1"/>
    <col min="1543" max="1543" width="9.5" hidden="1" customWidth="1"/>
    <col min="1544" max="1544" width="17.5" customWidth="1"/>
    <col min="1545" max="1545" width="9.5" hidden="1" customWidth="1"/>
    <col min="1546" max="1546" width="16.5" customWidth="1"/>
    <col min="1547" max="1547" width="9.5" hidden="1" customWidth="1"/>
    <col min="1548" max="1548" width="15.5" customWidth="1"/>
    <col min="1549" max="1554" width="9.5" hidden="1" customWidth="1"/>
    <col min="1793" max="1793" width="20" customWidth="1"/>
    <col min="1794" max="1794" width="5" customWidth="1"/>
    <col min="1795" max="1795" width="10" customWidth="1"/>
    <col min="1796" max="1796" width="18.5" customWidth="1"/>
    <col min="1797" max="1797" width="9.5" hidden="1" customWidth="1"/>
    <col min="1798" max="1798" width="21.5" customWidth="1"/>
    <col min="1799" max="1799" width="9.5" hidden="1" customWidth="1"/>
    <col min="1800" max="1800" width="17.5" customWidth="1"/>
    <col min="1801" max="1801" width="9.5" hidden="1" customWidth="1"/>
    <col min="1802" max="1802" width="16.5" customWidth="1"/>
    <col min="1803" max="1803" width="9.5" hidden="1" customWidth="1"/>
    <col min="1804" max="1804" width="15.5" customWidth="1"/>
    <col min="1805" max="1810" width="9.5" hidden="1" customWidth="1"/>
    <col min="2049" max="2049" width="20" customWidth="1"/>
    <col min="2050" max="2050" width="5" customWidth="1"/>
    <col min="2051" max="2051" width="10" customWidth="1"/>
    <col min="2052" max="2052" width="18.5" customWidth="1"/>
    <col min="2053" max="2053" width="9.5" hidden="1" customWidth="1"/>
    <col min="2054" max="2054" width="21.5" customWidth="1"/>
    <col min="2055" max="2055" width="9.5" hidden="1" customWidth="1"/>
    <col min="2056" max="2056" width="17.5" customWidth="1"/>
    <col min="2057" max="2057" width="9.5" hidden="1" customWidth="1"/>
    <col min="2058" max="2058" width="16.5" customWidth="1"/>
    <col min="2059" max="2059" width="9.5" hidden="1" customWidth="1"/>
    <col min="2060" max="2060" width="15.5" customWidth="1"/>
    <col min="2061" max="2066" width="9.5" hidden="1" customWidth="1"/>
    <col min="2305" max="2305" width="20" customWidth="1"/>
    <col min="2306" max="2306" width="5" customWidth="1"/>
    <col min="2307" max="2307" width="10" customWidth="1"/>
    <col min="2308" max="2308" width="18.5" customWidth="1"/>
    <col min="2309" max="2309" width="9.5" hidden="1" customWidth="1"/>
    <col min="2310" max="2310" width="21.5" customWidth="1"/>
    <col min="2311" max="2311" width="9.5" hidden="1" customWidth="1"/>
    <col min="2312" max="2312" width="17.5" customWidth="1"/>
    <col min="2313" max="2313" width="9.5" hidden="1" customWidth="1"/>
    <col min="2314" max="2314" width="16.5" customWidth="1"/>
    <col min="2315" max="2315" width="9.5" hidden="1" customWidth="1"/>
    <col min="2316" max="2316" width="15.5" customWidth="1"/>
    <col min="2317" max="2322" width="9.5" hidden="1" customWidth="1"/>
    <col min="2561" max="2561" width="20" customWidth="1"/>
    <col min="2562" max="2562" width="5" customWidth="1"/>
    <col min="2563" max="2563" width="10" customWidth="1"/>
    <col min="2564" max="2564" width="18.5" customWidth="1"/>
    <col min="2565" max="2565" width="9.5" hidden="1" customWidth="1"/>
    <col min="2566" max="2566" width="21.5" customWidth="1"/>
    <col min="2567" max="2567" width="9.5" hidden="1" customWidth="1"/>
    <col min="2568" max="2568" width="17.5" customWidth="1"/>
    <col min="2569" max="2569" width="9.5" hidden="1" customWidth="1"/>
    <col min="2570" max="2570" width="16.5" customWidth="1"/>
    <col min="2571" max="2571" width="9.5" hidden="1" customWidth="1"/>
    <col min="2572" max="2572" width="15.5" customWidth="1"/>
    <col min="2573" max="2578" width="9.5" hidden="1" customWidth="1"/>
    <col min="2817" max="2817" width="20" customWidth="1"/>
    <col min="2818" max="2818" width="5" customWidth="1"/>
    <col min="2819" max="2819" width="10" customWidth="1"/>
    <col min="2820" max="2820" width="18.5" customWidth="1"/>
    <col min="2821" max="2821" width="9.5" hidden="1" customWidth="1"/>
    <col min="2822" max="2822" width="21.5" customWidth="1"/>
    <col min="2823" max="2823" width="9.5" hidden="1" customWidth="1"/>
    <col min="2824" max="2824" width="17.5" customWidth="1"/>
    <col min="2825" max="2825" width="9.5" hidden="1" customWidth="1"/>
    <col min="2826" max="2826" width="16.5" customWidth="1"/>
    <col min="2827" max="2827" width="9.5" hidden="1" customWidth="1"/>
    <col min="2828" max="2828" width="15.5" customWidth="1"/>
    <col min="2829" max="2834" width="9.5" hidden="1" customWidth="1"/>
    <col min="3073" max="3073" width="20" customWidth="1"/>
    <col min="3074" max="3074" width="5" customWidth="1"/>
    <col min="3075" max="3075" width="10" customWidth="1"/>
    <col min="3076" max="3076" width="18.5" customWidth="1"/>
    <col min="3077" max="3077" width="9.5" hidden="1" customWidth="1"/>
    <col min="3078" max="3078" width="21.5" customWidth="1"/>
    <col min="3079" max="3079" width="9.5" hidden="1" customWidth="1"/>
    <col min="3080" max="3080" width="17.5" customWidth="1"/>
    <col min="3081" max="3081" width="9.5" hidden="1" customWidth="1"/>
    <col min="3082" max="3082" width="16.5" customWidth="1"/>
    <col min="3083" max="3083" width="9.5" hidden="1" customWidth="1"/>
    <col min="3084" max="3084" width="15.5" customWidth="1"/>
    <col min="3085" max="3090" width="9.5" hidden="1" customWidth="1"/>
    <col min="3329" max="3329" width="20" customWidth="1"/>
    <col min="3330" max="3330" width="5" customWidth="1"/>
    <col min="3331" max="3331" width="10" customWidth="1"/>
    <col min="3332" max="3332" width="18.5" customWidth="1"/>
    <col min="3333" max="3333" width="9.5" hidden="1" customWidth="1"/>
    <col min="3334" max="3334" width="21.5" customWidth="1"/>
    <col min="3335" max="3335" width="9.5" hidden="1" customWidth="1"/>
    <col min="3336" max="3336" width="17.5" customWidth="1"/>
    <col min="3337" max="3337" width="9.5" hidden="1" customWidth="1"/>
    <col min="3338" max="3338" width="16.5" customWidth="1"/>
    <col min="3339" max="3339" width="9.5" hidden="1" customWidth="1"/>
    <col min="3340" max="3340" width="15.5" customWidth="1"/>
    <col min="3341" max="3346" width="9.5" hidden="1" customWidth="1"/>
    <col min="3585" max="3585" width="20" customWidth="1"/>
    <col min="3586" max="3586" width="5" customWidth="1"/>
    <col min="3587" max="3587" width="10" customWidth="1"/>
    <col min="3588" max="3588" width="18.5" customWidth="1"/>
    <col min="3589" max="3589" width="9.5" hidden="1" customWidth="1"/>
    <col min="3590" max="3590" width="21.5" customWidth="1"/>
    <col min="3591" max="3591" width="9.5" hidden="1" customWidth="1"/>
    <col min="3592" max="3592" width="17.5" customWidth="1"/>
    <col min="3593" max="3593" width="9.5" hidden="1" customWidth="1"/>
    <col min="3594" max="3594" width="16.5" customWidth="1"/>
    <col min="3595" max="3595" width="9.5" hidden="1" customWidth="1"/>
    <col min="3596" max="3596" width="15.5" customWidth="1"/>
    <col min="3597" max="3602" width="9.5" hidden="1" customWidth="1"/>
    <col min="3841" max="3841" width="20" customWidth="1"/>
    <col min="3842" max="3842" width="5" customWidth="1"/>
    <col min="3843" max="3843" width="10" customWidth="1"/>
    <col min="3844" max="3844" width="18.5" customWidth="1"/>
    <col min="3845" max="3845" width="9.5" hidden="1" customWidth="1"/>
    <col min="3846" max="3846" width="21.5" customWidth="1"/>
    <col min="3847" max="3847" width="9.5" hidden="1" customWidth="1"/>
    <col min="3848" max="3848" width="17.5" customWidth="1"/>
    <col min="3849" max="3849" width="9.5" hidden="1" customWidth="1"/>
    <col min="3850" max="3850" width="16.5" customWidth="1"/>
    <col min="3851" max="3851" width="9.5" hidden="1" customWidth="1"/>
    <col min="3852" max="3852" width="15.5" customWidth="1"/>
    <col min="3853" max="3858" width="9.5" hidden="1" customWidth="1"/>
    <col min="4097" max="4097" width="20" customWidth="1"/>
    <col min="4098" max="4098" width="5" customWidth="1"/>
    <col min="4099" max="4099" width="10" customWidth="1"/>
    <col min="4100" max="4100" width="18.5" customWidth="1"/>
    <col min="4101" max="4101" width="9.5" hidden="1" customWidth="1"/>
    <col min="4102" max="4102" width="21.5" customWidth="1"/>
    <col min="4103" max="4103" width="9.5" hidden="1" customWidth="1"/>
    <col min="4104" max="4104" width="17.5" customWidth="1"/>
    <col min="4105" max="4105" width="9.5" hidden="1" customWidth="1"/>
    <col min="4106" max="4106" width="16.5" customWidth="1"/>
    <col min="4107" max="4107" width="9.5" hidden="1" customWidth="1"/>
    <col min="4108" max="4108" width="15.5" customWidth="1"/>
    <col min="4109" max="4114" width="9.5" hidden="1" customWidth="1"/>
    <col min="4353" max="4353" width="20" customWidth="1"/>
    <col min="4354" max="4354" width="5" customWidth="1"/>
    <col min="4355" max="4355" width="10" customWidth="1"/>
    <col min="4356" max="4356" width="18.5" customWidth="1"/>
    <col min="4357" max="4357" width="9.5" hidden="1" customWidth="1"/>
    <col min="4358" max="4358" width="21.5" customWidth="1"/>
    <col min="4359" max="4359" width="9.5" hidden="1" customWidth="1"/>
    <col min="4360" max="4360" width="17.5" customWidth="1"/>
    <col min="4361" max="4361" width="9.5" hidden="1" customWidth="1"/>
    <col min="4362" max="4362" width="16.5" customWidth="1"/>
    <col min="4363" max="4363" width="9.5" hidden="1" customWidth="1"/>
    <col min="4364" max="4364" width="15.5" customWidth="1"/>
    <col min="4365" max="4370" width="9.5" hidden="1" customWidth="1"/>
    <col min="4609" max="4609" width="20" customWidth="1"/>
    <col min="4610" max="4610" width="5" customWidth="1"/>
    <col min="4611" max="4611" width="10" customWidth="1"/>
    <col min="4612" max="4612" width="18.5" customWidth="1"/>
    <col min="4613" max="4613" width="9.5" hidden="1" customWidth="1"/>
    <col min="4614" max="4614" width="21.5" customWidth="1"/>
    <col min="4615" max="4615" width="9.5" hidden="1" customWidth="1"/>
    <col min="4616" max="4616" width="17.5" customWidth="1"/>
    <col min="4617" max="4617" width="9.5" hidden="1" customWidth="1"/>
    <col min="4618" max="4618" width="16.5" customWidth="1"/>
    <col min="4619" max="4619" width="9.5" hidden="1" customWidth="1"/>
    <col min="4620" max="4620" width="15.5" customWidth="1"/>
    <col min="4621" max="4626" width="9.5" hidden="1" customWidth="1"/>
    <col min="4865" max="4865" width="20" customWidth="1"/>
    <col min="4866" max="4866" width="5" customWidth="1"/>
    <col min="4867" max="4867" width="10" customWidth="1"/>
    <col min="4868" max="4868" width="18.5" customWidth="1"/>
    <col min="4869" max="4869" width="9.5" hidden="1" customWidth="1"/>
    <col min="4870" max="4870" width="21.5" customWidth="1"/>
    <col min="4871" max="4871" width="9.5" hidden="1" customWidth="1"/>
    <col min="4872" max="4872" width="17.5" customWidth="1"/>
    <col min="4873" max="4873" width="9.5" hidden="1" customWidth="1"/>
    <col min="4874" max="4874" width="16.5" customWidth="1"/>
    <col min="4875" max="4875" width="9.5" hidden="1" customWidth="1"/>
    <col min="4876" max="4876" width="15.5" customWidth="1"/>
    <col min="4877" max="4882" width="9.5" hidden="1" customWidth="1"/>
    <col min="5121" max="5121" width="20" customWidth="1"/>
    <col min="5122" max="5122" width="5" customWidth="1"/>
    <col min="5123" max="5123" width="10" customWidth="1"/>
    <col min="5124" max="5124" width="18.5" customWidth="1"/>
    <col min="5125" max="5125" width="9.5" hidden="1" customWidth="1"/>
    <col min="5126" max="5126" width="21.5" customWidth="1"/>
    <col min="5127" max="5127" width="9.5" hidden="1" customWidth="1"/>
    <col min="5128" max="5128" width="17.5" customWidth="1"/>
    <col min="5129" max="5129" width="9.5" hidden="1" customWidth="1"/>
    <col min="5130" max="5130" width="16.5" customWidth="1"/>
    <col min="5131" max="5131" width="9.5" hidden="1" customWidth="1"/>
    <col min="5132" max="5132" width="15.5" customWidth="1"/>
    <col min="5133" max="5138" width="9.5" hidden="1" customWidth="1"/>
    <col min="5377" max="5377" width="20" customWidth="1"/>
    <col min="5378" max="5378" width="5" customWidth="1"/>
    <col min="5379" max="5379" width="10" customWidth="1"/>
    <col min="5380" max="5380" width="18.5" customWidth="1"/>
    <col min="5381" max="5381" width="9.5" hidden="1" customWidth="1"/>
    <col min="5382" max="5382" width="21.5" customWidth="1"/>
    <col min="5383" max="5383" width="9.5" hidden="1" customWidth="1"/>
    <col min="5384" max="5384" width="17.5" customWidth="1"/>
    <col min="5385" max="5385" width="9.5" hidden="1" customWidth="1"/>
    <col min="5386" max="5386" width="16.5" customWidth="1"/>
    <col min="5387" max="5387" width="9.5" hidden="1" customWidth="1"/>
    <col min="5388" max="5388" width="15.5" customWidth="1"/>
    <col min="5389" max="5394" width="9.5" hidden="1" customWidth="1"/>
    <col min="5633" max="5633" width="20" customWidth="1"/>
    <col min="5634" max="5634" width="5" customWidth="1"/>
    <col min="5635" max="5635" width="10" customWidth="1"/>
    <col min="5636" max="5636" width="18.5" customWidth="1"/>
    <col min="5637" max="5637" width="9.5" hidden="1" customWidth="1"/>
    <col min="5638" max="5638" width="21.5" customWidth="1"/>
    <col min="5639" max="5639" width="9.5" hidden="1" customWidth="1"/>
    <col min="5640" max="5640" width="17.5" customWidth="1"/>
    <col min="5641" max="5641" width="9.5" hidden="1" customWidth="1"/>
    <col min="5642" max="5642" width="16.5" customWidth="1"/>
    <col min="5643" max="5643" width="9.5" hidden="1" customWidth="1"/>
    <col min="5644" max="5644" width="15.5" customWidth="1"/>
    <col min="5645" max="5650" width="9.5" hidden="1" customWidth="1"/>
    <col min="5889" max="5889" width="20" customWidth="1"/>
    <col min="5890" max="5890" width="5" customWidth="1"/>
    <col min="5891" max="5891" width="10" customWidth="1"/>
    <col min="5892" max="5892" width="18.5" customWidth="1"/>
    <col min="5893" max="5893" width="9.5" hidden="1" customWidth="1"/>
    <col min="5894" max="5894" width="21.5" customWidth="1"/>
    <col min="5895" max="5895" width="9.5" hidden="1" customWidth="1"/>
    <col min="5896" max="5896" width="17.5" customWidth="1"/>
    <col min="5897" max="5897" width="9.5" hidden="1" customWidth="1"/>
    <col min="5898" max="5898" width="16.5" customWidth="1"/>
    <col min="5899" max="5899" width="9.5" hidden="1" customWidth="1"/>
    <col min="5900" max="5900" width="15.5" customWidth="1"/>
    <col min="5901" max="5906" width="9.5" hidden="1" customWidth="1"/>
    <col min="6145" max="6145" width="20" customWidth="1"/>
    <col min="6146" max="6146" width="5" customWidth="1"/>
    <col min="6147" max="6147" width="10" customWidth="1"/>
    <col min="6148" max="6148" width="18.5" customWidth="1"/>
    <col min="6149" max="6149" width="9.5" hidden="1" customWidth="1"/>
    <col min="6150" max="6150" width="21.5" customWidth="1"/>
    <col min="6151" max="6151" width="9.5" hidden="1" customWidth="1"/>
    <col min="6152" max="6152" width="17.5" customWidth="1"/>
    <col min="6153" max="6153" width="9.5" hidden="1" customWidth="1"/>
    <col min="6154" max="6154" width="16.5" customWidth="1"/>
    <col min="6155" max="6155" width="9.5" hidden="1" customWidth="1"/>
    <col min="6156" max="6156" width="15.5" customWidth="1"/>
    <col min="6157" max="6162" width="9.5" hidden="1" customWidth="1"/>
    <col min="6401" max="6401" width="20" customWidth="1"/>
    <col min="6402" max="6402" width="5" customWidth="1"/>
    <col min="6403" max="6403" width="10" customWidth="1"/>
    <col min="6404" max="6404" width="18.5" customWidth="1"/>
    <col min="6405" max="6405" width="9.5" hidden="1" customWidth="1"/>
    <col min="6406" max="6406" width="21.5" customWidth="1"/>
    <col min="6407" max="6407" width="9.5" hidden="1" customWidth="1"/>
    <col min="6408" max="6408" width="17.5" customWidth="1"/>
    <col min="6409" max="6409" width="9.5" hidden="1" customWidth="1"/>
    <col min="6410" max="6410" width="16.5" customWidth="1"/>
    <col min="6411" max="6411" width="9.5" hidden="1" customWidth="1"/>
    <col min="6412" max="6412" width="15.5" customWidth="1"/>
    <col min="6413" max="6418" width="9.5" hidden="1" customWidth="1"/>
    <col min="6657" max="6657" width="20" customWidth="1"/>
    <col min="6658" max="6658" width="5" customWidth="1"/>
    <col min="6659" max="6659" width="10" customWidth="1"/>
    <col min="6660" max="6660" width="18.5" customWidth="1"/>
    <col min="6661" max="6661" width="9.5" hidden="1" customWidth="1"/>
    <col min="6662" max="6662" width="21.5" customWidth="1"/>
    <col min="6663" max="6663" width="9.5" hidden="1" customWidth="1"/>
    <col min="6664" max="6664" width="17.5" customWidth="1"/>
    <col min="6665" max="6665" width="9.5" hidden="1" customWidth="1"/>
    <col min="6666" max="6666" width="16.5" customWidth="1"/>
    <col min="6667" max="6667" width="9.5" hidden="1" customWidth="1"/>
    <col min="6668" max="6668" width="15.5" customWidth="1"/>
    <col min="6669" max="6674" width="9.5" hidden="1" customWidth="1"/>
    <col min="6913" max="6913" width="20" customWidth="1"/>
    <col min="6914" max="6914" width="5" customWidth="1"/>
    <col min="6915" max="6915" width="10" customWidth="1"/>
    <col min="6916" max="6916" width="18.5" customWidth="1"/>
    <col min="6917" max="6917" width="9.5" hidden="1" customWidth="1"/>
    <col min="6918" max="6918" width="21.5" customWidth="1"/>
    <col min="6919" max="6919" width="9.5" hidden="1" customWidth="1"/>
    <col min="6920" max="6920" width="17.5" customWidth="1"/>
    <col min="6921" max="6921" width="9.5" hidden="1" customWidth="1"/>
    <col min="6922" max="6922" width="16.5" customWidth="1"/>
    <col min="6923" max="6923" width="9.5" hidden="1" customWidth="1"/>
    <col min="6924" max="6924" width="15.5" customWidth="1"/>
    <col min="6925" max="6930" width="9.5" hidden="1" customWidth="1"/>
    <col min="7169" max="7169" width="20" customWidth="1"/>
    <col min="7170" max="7170" width="5" customWidth="1"/>
    <col min="7171" max="7171" width="10" customWidth="1"/>
    <col min="7172" max="7172" width="18.5" customWidth="1"/>
    <col min="7173" max="7173" width="9.5" hidden="1" customWidth="1"/>
    <col min="7174" max="7174" width="21.5" customWidth="1"/>
    <col min="7175" max="7175" width="9.5" hidden="1" customWidth="1"/>
    <col min="7176" max="7176" width="17.5" customWidth="1"/>
    <col min="7177" max="7177" width="9.5" hidden="1" customWidth="1"/>
    <col min="7178" max="7178" width="16.5" customWidth="1"/>
    <col min="7179" max="7179" width="9.5" hidden="1" customWidth="1"/>
    <col min="7180" max="7180" width="15.5" customWidth="1"/>
    <col min="7181" max="7186" width="9.5" hidden="1" customWidth="1"/>
    <col min="7425" max="7425" width="20" customWidth="1"/>
    <col min="7426" max="7426" width="5" customWidth="1"/>
    <col min="7427" max="7427" width="10" customWidth="1"/>
    <col min="7428" max="7428" width="18.5" customWidth="1"/>
    <col min="7429" max="7429" width="9.5" hidden="1" customWidth="1"/>
    <col min="7430" max="7430" width="21.5" customWidth="1"/>
    <col min="7431" max="7431" width="9.5" hidden="1" customWidth="1"/>
    <col min="7432" max="7432" width="17.5" customWidth="1"/>
    <col min="7433" max="7433" width="9.5" hidden="1" customWidth="1"/>
    <col min="7434" max="7434" width="16.5" customWidth="1"/>
    <col min="7435" max="7435" width="9.5" hidden="1" customWidth="1"/>
    <col min="7436" max="7436" width="15.5" customWidth="1"/>
    <col min="7437" max="7442" width="9.5" hidden="1" customWidth="1"/>
    <col min="7681" max="7681" width="20" customWidth="1"/>
    <col min="7682" max="7682" width="5" customWidth="1"/>
    <col min="7683" max="7683" width="10" customWidth="1"/>
    <col min="7684" max="7684" width="18.5" customWidth="1"/>
    <col min="7685" max="7685" width="9.5" hidden="1" customWidth="1"/>
    <col min="7686" max="7686" width="21.5" customWidth="1"/>
    <col min="7687" max="7687" width="9.5" hidden="1" customWidth="1"/>
    <col min="7688" max="7688" width="17.5" customWidth="1"/>
    <col min="7689" max="7689" width="9.5" hidden="1" customWidth="1"/>
    <col min="7690" max="7690" width="16.5" customWidth="1"/>
    <col min="7691" max="7691" width="9.5" hidden="1" customWidth="1"/>
    <col min="7692" max="7692" width="15.5" customWidth="1"/>
    <col min="7693" max="7698" width="9.5" hidden="1" customWidth="1"/>
    <col min="7937" max="7937" width="20" customWidth="1"/>
    <col min="7938" max="7938" width="5" customWidth="1"/>
    <col min="7939" max="7939" width="10" customWidth="1"/>
    <col min="7940" max="7940" width="18.5" customWidth="1"/>
    <col min="7941" max="7941" width="9.5" hidden="1" customWidth="1"/>
    <col min="7942" max="7942" width="21.5" customWidth="1"/>
    <col min="7943" max="7943" width="9.5" hidden="1" customWidth="1"/>
    <col min="7944" max="7944" width="17.5" customWidth="1"/>
    <col min="7945" max="7945" width="9.5" hidden="1" customWidth="1"/>
    <col min="7946" max="7946" width="16.5" customWidth="1"/>
    <col min="7947" max="7947" width="9.5" hidden="1" customWidth="1"/>
    <col min="7948" max="7948" width="15.5" customWidth="1"/>
    <col min="7949" max="7954" width="9.5" hidden="1" customWidth="1"/>
    <col min="8193" max="8193" width="20" customWidth="1"/>
    <col min="8194" max="8194" width="5" customWidth="1"/>
    <col min="8195" max="8195" width="10" customWidth="1"/>
    <col min="8196" max="8196" width="18.5" customWidth="1"/>
    <col min="8197" max="8197" width="9.5" hidden="1" customWidth="1"/>
    <col min="8198" max="8198" width="21.5" customWidth="1"/>
    <col min="8199" max="8199" width="9.5" hidden="1" customWidth="1"/>
    <col min="8200" max="8200" width="17.5" customWidth="1"/>
    <col min="8201" max="8201" width="9.5" hidden="1" customWidth="1"/>
    <col min="8202" max="8202" width="16.5" customWidth="1"/>
    <col min="8203" max="8203" width="9.5" hidden="1" customWidth="1"/>
    <col min="8204" max="8204" width="15.5" customWidth="1"/>
    <col min="8205" max="8210" width="9.5" hidden="1" customWidth="1"/>
    <col min="8449" max="8449" width="20" customWidth="1"/>
    <col min="8450" max="8450" width="5" customWidth="1"/>
    <col min="8451" max="8451" width="10" customWidth="1"/>
    <col min="8452" max="8452" width="18.5" customWidth="1"/>
    <col min="8453" max="8453" width="9.5" hidden="1" customWidth="1"/>
    <col min="8454" max="8454" width="21.5" customWidth="1"/>
    <col min="8455" max="8455" width="9.5" hidden="1" customWidth="1"/>
    <col min="8456" max="8456" width="17.5" customWidth="1"/>
    <col min="8457" max="8457" width="9.5" hidden="1" customWidth="1"/>
    <col min="8458" max="8458" width="16.5" customWidth="1"/>
    <col min="8459" max="8459" width="9.5" hidden="1" customWidth="1"/>
    <col min="8460" max="8460" width="15.5" customWidth="1"/>
    <col min="8461" max="8466" width="9.5" hidden="1" customWidth="1"/>
    <col min="8705" max="8705" width="20" customWidth="1"/>
    <col min="8706" max="8706" width="5" customWidth="1"/>
    <col min="8707" max="8707" width="10" customWidth="1"/>
    <col min="8708" max="8708" width="18.5" customWidth="1"/>
    <col min="8709" max="8709" width="9.5" hidden="1" customWidth="1"/>
    <col min="8710" max="8710" width="21.5" customWidth="1"/>
    <col min="8711" max="8711" width="9.5" hidden="1" customWidth="1"/>
    <col min="8712" max="8712" width="17.5" customWidth="1"/>
    <col min="8713" max="8713" width="9.5" hidden="1" customWidth="1"/>
    <col min="8714" max="8714" width="16.5" customWidth="1"/>
    <col min="8715" max="8715" width="9.5" hidden="1" customWidth="1"/>
    <col min="8716" max="8716" width="15.5" customWidth="1"/>
    <col min="8717" max="8722" width="9.5" hidden="1" customWidth="1"/>
    <col min="8961" max="8961" width="20" customWidth="1"/>
    <col min="8962" max="8962" width="5" customWidth="1"/>
    <col min="8963" max="8963" width="10" customWidth="1"/>
    <col min="8964" max="8964" width="18.5" customWidth="1"/>
    <col min="8965" max="8965" width="9.5" hidden="1" customWidth="1"/>
    <col min="8966" max="8966" width="21.5" customWidth="1"/>
    <col min="8967" max="8967" width="9.5" hidden="1" customWidth="1"/>
    <col min="8968" max="8968" width="17.5" customWidth="1"/>
    <col min="8969" max="8969" width="9.5" hidden="1" customWidth="1"/>
    <col min="8970" max="8970" width="16.5" customWidth="1"/>
    <col min="8971" max="8971" width="9.5" hidden="1" customWidth="1"/>
    <col min="8972" max="8972" width="15.5" customWidth="1"/>
    <col min="8973" max="8978" width="9.5" hidden="1" customWidth="1"/>
    <col min="9217" max="9217" width="20" customWidth="1"/>
    <col min="9218" max="9218" width="5" customWidth="1"/>
    <col min="9219" max="9219" width="10" customWidth="1"/>
    <col min="9220" max="9220" width="18.5" customWidth="1"/>
    <col min="9221" max="9221" width="9.5" hidden="1" customWidth="1"/>
    <col min="9222" max="9222" width="21.5" customWidth="1"/>
    <col min="9223" max="9223" width="9.5" hidden="1" customWidth="1"/>
    <col min="9224" max="9224" width="17.5" customWidth="1"/>
    <col min="9225" max="9225" width="9.5" hidden="1" customWidth="1"/>
    <col min="9226" max="9226" width="16.5" customWidth="1"/>
    <col min="9227" max="9227" width="9.5" hidden="1" customWidth="1"/>
    <col min="9228" max="9228" width="15.5" customWidth="1"/>
    <col min="9229" max="9234" width="9.5" hidden="1" customWidth="1"/>
    <col min="9473" max="9473" width="20" customWidth="1"/>
    <col min="9474" max="9474" width="5" customWidth="1"/>
    <col min="9475" max="9475" width="10" customWidth="1"/>
    <col min="9476" max="9476" width="18.5" customWidth="1"/>
    <col min="9477" max="9477" width="9.5" hidden="1" customWidth="1"/>
    <col min="9478" max="9478" width="21.5" customWidth="1"/>
    <col min="9479" max="9479" width="9.5" hidden="1" customWidth="1"/>
    <col min="9480" max="9480" width="17.5" customWidth="1"/>
    <col min="9481" max="9481" width="9.5" hidden="1" customWidth="1"/>
    <col min="9482" max="9482" width="16.5" customWidth="1"/>
    <col min="9483" max="9483" width="9.5" hidden="1" customWidth="1"/>
    <col min="9484" max="9484" width="15.5" customWidth="1"/>
    <col min="9485" max="9490" width="9.5" hidden="1" customWidth="1"/>
    <col min="9729" max="9729" width="20" customWidth="1"/>
    <col min="9730" max="9730" width="5" customWidth="1"/>
    <col min="9731" max="9731" width="10" customWidth="1"/>
    <col min="9732" max="9732" width="18.5" customWidth="1"/>
    <col min="9733" max="9733" width="9.5" hidden="1" customWidth="1"/>
    <col min="9734" max="9734" width="21.5" customWidth="1"/>
    <col min="9735" max="9735" width="9.5" hidden="1" customWidth="1"/>
    <col min="9736" max="9736" width="17.5" customWidth="1"/>
    <col min="9737" max="9737" width="9.5" hidden="1" customWidth="1"/>
    <col min="9738" max="9738" width="16.5" customWidth="1"/>
    <col min="9739" max="9739" width="9.5" hidden="1" customWidth="1"/>
    <col min="9740" max="9740" width="15.5" customWidth="1"/>
    <col min="9741" max="9746" width="9.5" hidden="1" customWidth="1"/>
    <col min="9985" max="9985" width="20" customWidth="1"/>
    <col min="9986" max="9986" width="5" customWidth="1"/>
    <col min="9987" max="9987" width="10" customWidth="1"/>
    <col min="9988" max="9988" width="18.5" customWidth="1"/>
    <col min="9989" max="9989" width="9.5" hidden="1" customWidth="1"/>
    <col min="9990" max="9990" width="21.5" customWidth="1"/>
    <col min="9991" max="9991" width="9.5" hidden="1" customWidth="1"/>
    <col min="9992" max="9992" width="17.5" customWidth="1"/>
    <col min="9993" max="9993" width="9.5" hidden="1" customWidth="1"/>
    <col min="9994" max="9994" width="16.5" customWidth="1"/>
    <col min="9995" max="9995" width="9.5" hidden="1" customWidth="1"/>
    <col min="9996" max="9996" width="15.5" customWidth="1"/>
    <col min="9997" max="10002" width="9.5" hidden="1" customWidth="1"/>
    <col min="10241" max="10241" width="20" customWidth="1"/>
    <col min="10242" max="10242" width="5" customWidth="1"/>
    <col min="10243" max="10243" width="10" customWidth="1"/>
    <col min="10244" max="10244" width="18.5" customWidth="1"/>
    <col min="10245" max="10245" width="9.5" hidden="1" customWidth="1"/>
    <col min="10246" max="10246" width="21.5" customWidth="1"/>
    <col min="10247" max="10247" width="9.5" hidden="1" customWidth="1"/>
    <col min="10248" max="10248" width="17.5" customWidth="1"/>
    <col min="10249" max="10249" width="9.5" hidden="1" customWidth="1"/>
    <col min="10250" max="10250" width="16.5" customWidth="1"/>
    <col min="10251" max="10251" width="9.5" hidden="1" customWidth="1"/>
    <col min="10252" max="10252" width="15.5" customWidth="1"/>
    <col min="10253" max="10258" width="9.5" hidden="1" customWidth="1"/>
    <col min="10497" max="10497" width="20" customWidth="1"/>
    <col min="10498" max="10498" width="5" customWidth="1"/>
    <col min="10499" max="10499" width="10" customWidth="1"/>
    <col min="10500" max="10500" width="18.5" customWidth="1"/>
    <col min="10501" max="10501" width="9.5" hidden="1" customWidth="1"/>
    <col min="10502" max="10502" width="21.5" customWidth="1"/>
    <col min="10503" max="10503" width="9.5" hidden="1" customWidth="1"/>
    <col min="10504" max="10504" width="17.5" customWidth="1"/>
    <col min="10505" max="10505" width="9.5" hidden="1" customWidth="1"/>
    <col min="10506" max="10506" width="16.5" customWidth="1"/>
    <col min="10507" max="10507" width="9.5" hidden="1" customWidth="1"/>
    <col min="10508" max="10508" width="15.5" customWidth="1"/>
    <col min="10509" max="10514" width="9.5" hidden="1" customWidth="1"/>
    <col min="10753" max="10753" width="20" customWidth="1"/>
    <col min="10754" max="10754" width="5" customWidth="1"/>
    <col min="10755" max="10755" width="10" customWidth="1"/>
    <col min="10756" max="10756" width="18.5" customWidth="1"/>
    <col min="10757" max="10757" width="9.5" hidden="1" customWidth="1"/>
    <col min="10758" max="10758" width="21.5" customWidth="1"/>
    <col min="10759" max="10759" width="9.5" hidden="1" customWidth="1"/>
    <col min="10760" max="10760" width="17.5" customWidth="1"/>
    <col min="10761" max="10761" width="9.5" hidden="1" customWidth="1"/>
    <col min="10762" max="10762" width="16.5" customWidth="1"/>
    <col min="10763" max="10763" width="9.5" hidden="1" customWidth="1"/>
    <col min="10764" max="10764" width="15.5" customWidth="1"/>
    <col min="10765" max="10770" width="9.5" hidden="1" customWidth="1"/>
    <col min="11009" max="11009" width="20" customWidth="1"/>
    <col min="11010" max="11010" width="5" customWidth="1"/>
    <col min="11011" max="11011" width="10" customWidth="1"/>
    <col min="11012" max="11012" width="18.5" customWidth="1"/>
    <col min="11013" max="11013" width="9.5" hidden="1" customWidth="1"/>
    <col min="11014" max="11014" width="21.5" customWidth="1"/>
    <col min="11015" max="11015" width="9.5" hidden="1" customWidth="1"/>
    <col min="11016" max="11016" width="17.5" customWidth="1"/>
    <col min="11017" max="11017" width="9.5" hidden="1" customWidth="1"/>
    <col min="11018" max="11018" width="16.5" customWidth="1"/>
    <col min="11019" max="11019" width="9.5" hidden="1" customWidth="1"/>
    <col min="11020" max="11020" width="15.5" customWidth="1"/>
    <col min="11021" max="11026" width="9.5" hidden="1" customWidth="1"/>
    <col min="11265" max="11265" width="20" customWidth="1"/>
    <col min="11266" max="11266" width="5" customWidth="1"/>
    <col min="11267" max="11267" width="10" customWidth="1"/>
    <col min="11268" max="11268" width="18.5" customWidth="1"/>
    <col min="11269" max="11269" width="9.5" hidden="1" customWidth="1"/>
    <col min="11270" max="11270" width="21.5" customWidth="1"/>
    <col min="11271" max="11271" width="9.5" hidden="1" customWidth="1"/>
    <col min="11272" max="11272" width="17.5" customWidth="1"/>
    <col min="11273" max="11273" width="9.5" hidden="1" customWidth="1"/>
    <col min="11274" max="11274" width="16.5" customWidth="1"/>
    <col min="11275" max="11275" width="9.5" hidden="1" customWidth="1"/>
    <col min="11276" max="11276" width="15.5" customWidth="1"/>
    <col min="11277" max="11282" width="9.5" hidden="1" customWidth="1"/>
    <col min="11521" max="11521" width="20" customWidth="1"/>
    <col min="11522" max="11522" width="5" customWidth="1"/>
    <col min="11523" max="11523" width="10" customWidth="1"/>
    <col min="11524" max="11524" width="18.5" customWidth="1"/>
    <col min="11525" max="11525" width="9.5" hidden="1" customWidth="1"/>
    <col min="11526" max="11526" width="21.5" customWidth="1"/>
    <col min="11527" max="11527" width="9.5" hidden="1" customWidth="1"/>
    <col min="11528" max="11528" width="17.5" customWidth="1"/>
    <col min="11529" max="11529" width="9.5" hidden="1" customWidth="1"/>
    <col min="11530" max="11530" width="16.5" customWidth="1"/>
    <col min="11531" max="11531" width="9.5" hidden="1" customWidth="1"/>
    <col min="11532" max="11532" width="15.5" customWidth="1"/>
    <col min="11533" max="11538" width="9.5" hidden="1" customWidth="1"/>
    <col min="11777" max="11777" width="20" customWidth="1"/>
    <col min="11778" max="11778" width="5" customWidth="1"/>
    <col min="11779" max="11779" width="10" customWidth="1"/>
    <col min="11780" max="11780" width="18.5" customWidth="1"/>
    <col min="11781" max="11781" width="9.5" hidden="1" customWidth="1"/>
    <col min="11782" max="11782" width="21.5" customWidth="1"/>
    <col min="11783" max="11783" width="9.5" hidden="1" customWidth="1"/>
    <col min="11784" max="11784" width="17.5" customWidth="1"/>
    <col min="11785" max="11785" width="9.5" hidden="1" customWidth="1"/>
    <col min="11786" max="11786" width="16.5" customWidth="1"/>
    <col min="11787" max="11787" width="9.5" hidden="1" customWidth="1"/>
    <col min="11788" max="11788" width="15.5" customWidth="1"/>
    <col min="11789" max="11794" width="9.5" hidden="1" customWidth="1"/>
    <col min="12033" max="12033" width="20" customWidth="1"/>
    <col min="12034" max="12034" width="5" customWidth="1"/>
    <col min="12035" max="12035" width="10" customWidth="1"/>
    <col min="12036" max="12036" width="18.5" customWidth="1"/>
    <col min="12037" max="12037" width="9.5" hidden="1" customWidth="1"/>
    <col min="12038" max="12038" width="21.5" customWidth="1"/>
    <col min="12039" max="12039" width="9.5" hidden="1" customWidth="1"/>
    <col min="12040" max="12040" width="17.5" customWidth="1"/>
    <col min="12041" max="12041" width="9.5" hidden="1" customWidth="1"/>
    <col min="12042" max="12042" width="16.5" customWidth="1"/>
    <col min="12043" max="12043" width="9.5" hidden="1" customWidth="1"/>
    <col min="12044" max="12044" width="15.5" customWidth="1"/>
    <col min="12045" max="12050" width="9.5" hidden="1" customWidth="1"/>
    <col min="12289" max="12289" width="20" customWidth="1"/>
    <col min="12290" max="12290" width="5" customWidth="1"/>
    <col min="12291" max="12291" width="10" customWidth="1"/>
    <col min="12292" max="12292" width="18.5" customWidth="1"/>
    <col min="12293" max="12293" width="9.5" hidden="1" customWidth="1"/>
    <col min="12294" max="12294" width="21.5" customWidth="1"/>
    <col min="12295" max="12295" width="9.5" hidden="1" customWidth="1"/>
    <col min="12296" max="12296" width="17.5" customWidth="1"/>
    <col min="12297" max="12297" width="9.5" hidden="1" customWidth="1"/>
    <col min="12298" max="12298" width="16.5" customWidth="1"/>
    <col min="12299" max="12299" width="9.5" hidden="1" customWidth="1"/>
    <col min="12300" max="12300" width="15.5" customWidth="1"/>
    <col min="12301" max="12306" width="9.5" hidden="1" customWidth="1"/>
    <col min="12545" max="12545" width="20" customWidth="1"/>
    <col min="12546" max="12546" width="5" customWidth="1"/>
    <col min="12547" max="12547" width="10" customWidth="1"/>
    <col min="12548" max="12548" width="18.5" customWidth="1"/>
    <col min="12549" max="12549" width="9.5" hidden="1" customWidth="1"/>
    <col min="12550" max="12550" width="21.5" customWidth="1"/>
    <col min="12551" max="12551" width="9.5" hidden="1" customWidth="1"/>
    <col min="12552" max="12552" width="17.5" customWidth="1"/>
    <col min="12553" max="12553" width="9.5" hidden="1" customWidth="1"/>
    <col min="12554" max="12554" width="16.5" customWidth="1"/>
    <col min="12555" max="12555" width="9.5" hidden="1" customWidth="1"/>
    <col min="12556" max="12556" width="15.5" customWidth="1"/>
    <col min="12557" max="12562" width="9.5" hidden="1" customWidth="1"/>
    <col min="12801" max="12801" width="20" customWidth="1"/>
    <col min="12802" max="12802" width="5" customWidth="1"/>
    <col min="12803" max="12803" width="10" customWidth="1"/>
    <col min="12804" max="12804" width="18.5" customWidth="1"/>
    <col min="12805" max="12805" width="9.5" hidden="1" customWidth="1"/>
    <col min="12806" max="12806" width="21.5" customWidth="1"/>
    <col min="12807" max="12807" width="9.5" hidden="1" customWidth="1"/>
    <col min="12808" max="12808" width="17.5" customWidth="1"/>
    <col min="12809" max="12809" width="9.5" hidden="1" customWidth="1"/>
    <col min="12810" max="12810" width="16.5" customWidth="1"/>
    <col min="12811" max="12811" width="9.5" hidden="1" customWidth="1"/>
    <col min="12812" max="12812" width="15.5" customWidth="1"/>
    <col min="12813" max="12818" width="9.5" hidden="1" customWidth="1"/>
    <col min="13057" max="13057" width="20" customWidth="1"/>
    <col min="13058" max="13058" width="5" customWidth="1"/>
    <col min="13059" max="13059" width="10" customWidth="1"/>
    <col min="13060" max="13060" width="18.5" customWidth="1"/>
    <col min="13061" max="13061" width="9.5" hidden="1" customWidth="1"/>
    <col min="13062" max="13062" width="21.5" customWidth="1"/>
    <col min="13063" max="13063" width="9.5" hidden="1" customWidth="1"/>
    <col min="13064" max="13064" width="17.5" customWidth="1"/>
    <col min="13065" max="13065" width="9.5" hidden="1" customWidth="1"/>
    <col min="13066" max="13066" width="16.5" customWidth="1"/>
    <col min="13067" max="13067" width="9.5" hidden="1" customWidth="1"/>
    <col min="13068" max="13068" width="15.5" customWidth="1"/>
    <col min="13069" max="13074" width="9.5" hidden="1" customWidth="1"/>
    <col min="13313" max="13313" width="20" customWidth="1"/>
    <col min="13314" max="13314" width="5" customWidth="1"/>
    <col min="13315" max="13315" width="10" customWidth="1"/>
    <col min="13316" max="13316" width="18.5" customWidth="1"/>
    <col min="13317" max="13317" width="9.5" hidden="1" customWidth="1"/>
    <col min="13318" max="13318" width="21.5" customWidth="1"/>
    <col min="13319" max="13319" width="9.5" hidden="1" customWidth="1"/>
    <col min="13320" max="13320" width="17.5" customWidth="1"/>
    <col min="13321" max="13321" width="9.5" hidden="1" customWidth="1"/>
    <col min="13322" max="13322" width="16.5" customWidth="1"/>
    <col min="13323" max="13323" width="9.5" hidden="1" customWidth="1"/>
    <col min="13324" max="13324" width="15.5" customWidth="1"/>
    <col min="13325" max="13330" width="9.5" hidden="1" customWidth="1"/>
    <col min="13569" max="13569" width="20" customWidth="1"/>
    <col min="13570" max="13570" width="5" customWidth="1"/>
    <col min="13571" max="13571" width="10" customWidth="1"/>
    <col min="13572" max="13572" width="18.5" customWidth="1"/>
    <col min="13573" max="13573" width="9.5" hidden="1" customWidth="1"/>
    <col min="13574" max="13574" width="21.5" customWidth="1"/>
    <col min="13575" max="13575" width="9.5" hidden="1" customWidth="1"/>
    <col min="13576" max="13576" width="17.5" customWidth="1"/>
    <col min="13577" max="13577" width="9.5" hidden="1" customWidth="1"/>
    <col min="13578" max="13578" width="16.5" customWidth="1"/>
    <col min="13579" max="13579" width="9.5" hidden="1" customWidth="1"/>
    <col min="13580" max="13580" width="15.5" customWidth="1"/>
    <col min="13581" max="13586" width="9.5" hidden="1" customWidth="1"/>
    <col min="13825" max="13825" width="20" customWidth="1"/>
    <col min="13826" max="13826" width="5" customWidth="1"/>
    <col min="13827" max="13827" width="10" customWidth="1"/>
    <col min="13828" max="13828" width="18.5" customWidth="1"/>
    <col min="13829" max="13829" width="9.5" hidden="1" customWidth="1"/>
    <col min="13830" max="13830" width="21.5" customWidth="1"/>
    <col min="13831" max="13831" width="9.5" hidden="1" customWidth="1"/>
    <col min="13832" max="13832" width="17.5" customWidth="1"/>
    <col min="13833" max="13833" width="9.5" hidden="1" customWidth="1"/>
    <col min="13834" max="13834" width="16.5" customWidth="1"/>
    <col min="13835" max="13835" width="9.5" hidden="1" customWidth="1"/>
    <col min="13836" max="13836" width="15.5" customWidth="1"/>
    <col min="13837" max="13842" width="9.5" hidden="1" customWidth="1"/>
    <col min="14081" max="14081" width="20" customWidth="1"/>
    <col min="14082" max="14082" width="5" customWidth="1"/>
    <col min="14083" max="14083" width="10" customWidth="1"/>
    <col min="14084" max="14084" width="18.5" customWidth="1"/>
    <col min="14085" max="14085" width="9.5" hidden="1" customWidth="1"/>
    <col min="14086" max="14086" width="21.5" customWidth="1"/>
    <col min="14087" max="14087" width="9.5" hidden="1" customWidth="1"/>
    <col min="14088" max="14088" width="17.5" customWidth="1"/>
    <col min="14089" max="14089" width="9.5" hidden="1" customWidth="1"/>
    <col min="14090" max="14090" width="16.5" customWidth="1"/>
    <col min="14091" max="14091" width="9.5" hidden="1" customWidth="1"/>
    <col min="14092" max="14092" width="15.5" customWidth="1"/>
    <col min="14093" max="14098" width="9.5" hidden="1" customWidth="1"/>
    <col min="14337" max="14337" width="20" customWidth="1"/>
    <col min="14338" max="14338" width="5" customWidth="1"/>
    <col min="14339" max="14339" width="10" customWidth="1"/>
    <col min="14340" max="14340" width="18.5" customWidth="1"/>
    <col min="14341" max="14341" width="9.5" hidden="1" customWidth="1"/>
    <col min="14342" max="14342" width="21.5" customWidth="1"/>
    <col min="14343" max="14343" width="9.5" hidden="1" customWidth="1"/>
    <col min="14344" max="14344" width="17.5" customWidth="1"/>
    <col min="14345" max="14345" width="9.5" hidden="1" customWidth="1"/>
    <col min="14346" max="14346" width="16.5" customWidth="1"/>
    <col min="14347" max="14347" width="9.5" hidden="1" customWidth="1"/>
    <col min="14348" max="14348" width="15.5" customWidth="1"/>
    <col min="14349" max="14354" width="9.5" hidden="1" customWidth="1"/>
    <col min="14593" max="14593" width="20" customWidth="1"/>
    <col min="14594" max="14594" width="5" customWidth="1"/>
    <col min="14595" max="14595" width="10" customWidth="1"/>
    <col min="14596" max="14596" width="18.5" customWidth="1"/>
    <col min="14597" max="14597" width="9.5" hidden="1" customWidth="1"/>
    <col min="14598" max="14598" width="21.5" customWidth="1"/>
    <col min="14599" max="14599" width="9.5" hidden="1" customWidth="1"/>
    <col min="14600" max="14600" width="17.5" customWidth="1"/>
    <col min="14601" max="14601" width="9.5" hidden="1" customWidth="1"/>
    <col min="14602" max="14602" width="16.5" customWidth="1"/>
    <col min="14603" max="14603" width="9.5" hidden="1" customWidth="1"/>
    <col min="14604" max="14604" width="15.5" customWidth="1"/>
    <col min="14605" max="14610" width="9.5" hidden="1" customWidth="1"/>
    <col min="14849" max="14849" width="20" customWidth="1"/>
    <col min="14850" max="14850" width="5" customWidth="1"/>
    <col min="14851" max="14851" width="10" customWidth="1"/>
    <col min="14852" max="14852" width="18.5" customWidth="1"/>
    <col min="14853" max="14853" width="9.5" hidden="1" customWidth="1"/>
    <col min="14854" max="14854" width="21.5" customWidth="1"/>
    <col min="14855" max="14855" width="9.5" hidden="1" customWidth="1"/>
    <col min="14856" max="14856" width="17.5" customWidth="1"/>
    <col min="14857" max="14857" width="9.5" hidden="1" customWidth="1"/>
    <col min="14858" max="14858" width="16.5" customWidth="1"/>
    <col min="14859" max="14859" width="9.5" hidden="1" customWidth="1"/>
    <col min="14860" max="14860" width="15.5" customWidth="1"/>
    <col min="14861" max="14866" width="9.5" hidden="1" customWidth="1"/>
    <col min="15105" max="15105" width="20" customWidth="1"/>
    <col min="15106" max="15106" width="5" customWidth="1"/>
    <col min="15107" max="15107" width="10" customWidth="1"/>
    <col min="15108" max="15108" width="18.5" customWidth="1"/>
    <col min="15109" max="15109" width="9.5" hidden="1" customWidth="1"/>
    <col min="15110" max="15110" width="21.5" customWidth="1"/>
    <col min="15111" max="15111" width="9.5" hidden="1" customWidth="1"/>
    <col min="15112" max="15112" width="17.5" customWidth="1"/>
    <col min="15113" max="15113" width="9.5" hidden="1" customWidth="1"/>
    <col min="15114" max="15114" width="16.5" customWidth="1"/>
    <col min="15115" max="15115" width="9.5" hidden="1" customWidth="1"/>
    <col min="15116" max="15116" width="15.5" customWidth="1"/>
    <col min="15117" max="15122" width="9.5" hidden="1" customWidth="1"/>
    <col min="15361" max="15361" width="20" customWidth="1"/>
    <col min="15362" max="15362" width="5" customWidth="1"/>
    <col min="15363" max="15363" width="10" customWidth="1"/>
    <col min="15364" max="15364" width="18.5" customWidth="1"/>
    <col min="15365" max="15365" width="9.5" hidden="1" customWidth="1"/>
    <col min="15366" max="15366" width="21.5" customWidth="1"/>
    <col min="15367" max="15367" width="9.5" hidden="1" customWidth="1"/>
    <col min="15368" max="15368" width="17.5" customWidth="1"/>
    <col min="15369" max="15369" width="9.5" hidden="1" customWidth="1"/>
    <col min="15370" max="15370" width="16.5" customWidth="1"/>
    <col min="15371" max="15371" width="9.5" hidden="1" customWidth="1"/>
    <col min="15372" max="15372" width="15.5" customWidth="1"/>
    <col min="15373" max="15378" width="9.5" hidden="1" customWidth="1"/>
    <col min="15617" max="15617" width="20" customWidth="1"/>
    <col min="15618" max="15618" width="5" customWidth="1"/>
    <col min="15619" max="15619" width="10" customWidth="1"/>
    <col min="15620" max="15620" width="18.5" customWidth="1"/>
    <col min="15621" max="15621" width="9.5" hidden="1" customWidth="1"/>
    <col min="15622" max="15622" width="21.5" customWidth="1"/>
    <col min="15623" max="15623" width="9.5" hidden="1" customWidth="1"/>
    <col min="15624" max="15624" width="17.5" customWidth="1"/>
    <col min="15625" max="15625" width="9.5" hidden="1" customWidth="1"/>
    <col min="15626" max="15626" width="16.5" customWidth="1"/>
    <col min="15627" max="15627" width="9.5" hidden="1" customWidth="1"/>
    <col min="15628" max="15628" width="15.5" customWidth="1"/>
    <col min="15629" max="15634" width="9.5" hidden="1" customWidth="1"/>
    <col min="15873" max="15873" width="20" customWidth="1"/>
    <col min="15874" max="15874" width="5" customWidth="1"/>
    <col min="15875" max="15875" width="10" customWidth="1"/>
    <col min="15876" max="15876" width="18.5" customWidth="1"/>
    <col min="15877" max="15877" width="9.5" hidden="1" customWidth="1"/>
    <col min="15878" max="15878" width="21.5" customWidth="1"/>
    <col min="15879" max="15879" width="9.5" hidden="1" customWidth="1"/>
    <col min="15880" max="15880" width="17.5" customWidth="1"/>
    <col min="15881" max="15881" width="9.5" hidden="1" customWidth="1"/>
    <col min="15882" max="15882" width="16.5" customWidth="1"/>
    <col min="15883" max="15883" width="9.5" hidden="1" customWidth="1"/>
    <col min="15884" max="15884" width="15.5" customWidth="1"/>
    <col min="15885" max="15890" width="9.5" hidden="1" customWidth="1"/>
    <col min="16129" max="16129" width="20" customWidth="1"/>
    <col min="16130" max="16130" width="5" customWidth="1"/>
    <col min="16131" max="16131" width="10" customWidth="1"/>
    <col min="16132" max="16132" width="18.5" customWidth="1"/>
    <col min="16133" max="16133" width="9.5" hidden="1" customWidth="1"/>
    <col min="16134" max="16134" width="21.5" customWidth="1"/>
    <col min="16135" max="16135" width="9.5" hidden="1" customWidth="1"/>
    <col min="16136" max="16136" width="17.5" customWidth="1"/>
    <col min="16137" max="16137" width="9.5" hidden="1" customWidth="1"/>
    <col min="16138" max="16138" width="16.5" customWidth="1"/>
    <col min="16139" max="16139" width="9.5" hidden="1" customWidth="1"/>
    <col min="16140" max="16140" width="15.5" customWidth="1"/>
    <col min="16141" max="16146" width="9.5" hidden="1" customWidth="1"/>
  </cols>
  <sheetData>
    <row r="1" spans="1:15" x14ac:dyDescent="0.2">
      <c r="A1" t="s">
        <v>712</v>
      </c>
    </row>
    <row r="3" spans="1:15" x14ac:dyDescent="0.2">
      <c r="A3" t="s">
        <v>713</v>
      </c>
    </row>
    <row r="4" spans="1:15" ht="16" thickBot="1" x14ac:dyDescent="0.25"/>
    <row r="5" spans="1:15" ht="16" thickBot="1" x14ac:dyDescent="0.25">
      <c r="A5" s="487" t="s">
        <v>714</v>
      </c>
      <c r="B5" s="488"/>
      <c r="C5" s="488"/>
      <c r="D5" s="488"/>
      <c r="E5" s="488"/>
      <c r="F5" s="488"/>
      <c r="G5" s="488"/>
      <c r="H5" s="488"/>
      <c r="I5" s="488"/>
      <c r="J5" s="488"/>
      <c r="K5" s="488"/>
      <c r="L5" s="489"/>
    </row>
    <row r="6" spans="1:15" x14ac:dyDescent="0.2">
      <c r="A6" s="63" t="s">
        <v>715</v>
      </c>
      <c r="B6" s="64"/>
      <c r="C6" s="490" t="s">
        <v>716</v>
      </c>
      <c r="D6" s="491"/>
      <c r="E6" s="490" t="s">
        <v>717</v>
      </c>
      <c r="F6" s="491"/>
      <c r="G6" s="490" t="s">
        <v>718</v>
      </c>
      <c r="H6" s="491"/>
      <c r="I6" s="490" t="s">
        <v>719</v>
      </c>
      <c r="J6" s="491"/>
      <c r="K6" s="492" t="s">
        <v>720</v>
      </c>
      <c r="L6" s="493"/>
    </row>
    <row r="7" spans="1:15" x14ac:dyDescent="0.2">
      <c r="A7" s="172" t="s">
        <v>721</v>
      </c>
      <c r="B7" s="65" t="s">
        <v>722</v>
      </c>
      <c r="C7" s="480" t="s">
        <v>723</v>
      </c>
      <c r="D7" s="481"/>
      <c r="E7" s="481"/>
      <c r="F7" s="481"/>
      <c r="G7" s="481"/>
      <c r="H7" s="481"/>
      <c r="I7" s="481"/>
      <c r="J7" s="481"/>
      <c r="K7" s="481"/>
      <c r="L7" s="482"/>
    </row>
    <row r="8" spans="1:15" ht="16" thickBot="1" x14ac:dyDescent="0.25">
      <c r="A8" s="66" t="s">
        <v>724</v>
      </c>
      <c r="B8" s="67"/>
      <c r="C8" s="483">
        <v>1</v>
      </c>
      <c r="D8" s="484"/>
      <c r="E8" s="483">
        <v>2</v>
      </c>
      <c r="F8" s="484"/>
      <c r="G8" s="483">
        <v>3</v>
      </c>
      <c r="H8" s="484"/>
      <c r="I8" s="483">
        <v>4</v>
      </c>
      <c r="J8" s="484"/>
      <c r="K8" s="485">
        <v>5</v>
      </c>
      <c r="L8" s="486"/>
    </row>
    <row r="9" spans="1:15" ht="38.75" customHeight="1" thickBot="1" x14ac:dyDescent="0.25">
      <c r="A9" s="9" t="s">
        <v>725</v>
      </c>
      <c r="B9" s="68"/>
      <c r="C9" s="69"/>
      <c r="D9" s="11">
        <v>1</v>
      </c>
      <c r="E9" s="10" t="s">
        <v>726</v>
      </c>
      <c r="F9" s="11">
        <v>1.2</v>
      </c>
      <c r="G9" s="10" t="s">
        <v>727</v>
      </c>
      <c r="H9" s="12">
        <v>1</v>
      </c>
      <c r="I9" s="10" t="s">
        <v>728</v>
      </c>
      <c r="J9" s="12">
        <v>0.8</v>
      </c>
      <c r="K9" s="10"/>
      <c r="L9" s="174">
        <v>1</v>
      </c>
    </row>
    <row r="10" spans="1:15" ht="37" thickBot="1" x14ac:dyDescent="0.25">
      <c r="A10" s="9" t="s">
        <v>729</v>
      </c>
      <c r="B10" s="68"/>
      <c r="C10" s="69" t="s">
        <v>671</v>
      </c>
      <c r="D10" s="12">
        <v>5</v>
      </c>
      <c r="E10" s="10"/>
      <c r="F10" s="12">
        <v>1</v>
      </c>
      <c r="G10" s="10" t="s">
        <v>699</v>
      </c>
      <c r="H10" s="12">
        <v>1</v>
      </c>
      <c r="I10" s="10"/>
      <c r="J10" s="11">
        <v>1</v>
      </c>
      <c r="K10" s="10" t="s">
        <v>709</v>
      </c>
      <c r="L10" s="174">
        <v>0.05</v>
      </c>
    </row>
    <row r="11" spans="1:15" ht="50.75" customHeight="1" thickBot="1" x14ac:dyDescent="0.25">
      <c r="A11" s="9" t="s">
        <v>730</v>
      </c>
      <c r="B11" s="68" t="s">
        <v>731</v>
      </c>
      <c r="C11" s="69"/>
      <c r="D11" s="12">
        <v>1</v>
      </c>
      <c r="E11" s="10" t="s">
        <v>673</v>
      </c>
      <c r="F11" s="12">
        <v>1.2</v>
      </c>
      <c r="G11" s="10" t="s">
        <v>711</v>
      </c>
      <c r="H11" s="12">
        <v>1</v>
      </c>
      <c r="I11" s="10" t="s">
        <v>694</v>
      </c>
      <c r="J11" s="12">
        <v>0.8</v>
      </c>
      <c r="K11" s="10" t="s">
        <v>732</v>
      </c>
      <c r="L11" s="174">
        <v>0.7</v>
      </c>
    </row>
    <row r="12" spans="1:15" ht="25" thickBot="1" x14ac:dyDescent="0.25">
      <c r="A12" s="9" t="s">
        <v>708</v>
      </c>
      <c r="B12" s="68"/>
      <c r="C12" s="69" t="s">
        <v>733</v>
      </c>
      <c r="D12" s="12">
        <v>3</v>
      </c>
      <c r="E12" s="10" t="s">
        <v>734</v>
      </c>
      <c r="F12" s="12">
        <v>1.5</v>
      </c>
      <c r="G12" s="10" t="s">
        <v>701</v>
      </c>
      <c r="H12" s="12">
        <v>1</v>
      </c>
      <c r="I12" s="10" t="s">
        <v>735</v>
      </c>
      <c r="J12" s="12">
        <v>0.9</v>
      </c>
      <c r="K12" s="10"/>
      <c r="L12" s="174">
        <v>1</v>
      </c>
      <c r="O12" s="70"/>
    </row>
    <row r="13" spans="1:15" ht="25" thickBot="1" x14ac:dyDescent="0.25">
      <c r="A13" s="9" t="s">
        <v>736</v>
      </c>
      <c r="B13" s="68" t="s">
        <v>731</v>
      </c>
      <c r="C13" s="69" t="s">
        <v>737</v>
      </c>
      <c r="D13" s="12">
        <v>5</v>
      </c>
      <c r="E13" s="10" t="s">
        <v>738</v>
      </c>
      <c r="F13" s="12">
        <v>1.2</v>
      </c>
      <c r="G13" s="10" t="s">
        <v>739</v>
      </c>
      <c r="H13" s="12">
        <v>1</v>
      </c>
      <c r="I13" s="10" t="s">
        <v>669</v>
      </c>
      <c r="J13" s="11">
        <v>0.9</v>
      </c>
      <c r="K13" s="10" t="s">
        <v>740</v>
      </c>
      <c r="L13" s="174">
        <v>0.5</v>
      </c>
      <c r="O13" s="70"/>
    </row>
    <row r="14" spans="1:15" ht="48" x14ac:dyDescent="0.2">
      <c r="A14" s="14" t="s">
        <v>741</v>
      </c>
      <c r="B14" s="71"/>
      <c r="C14" s="72" t="s">
        <v>742</v>
      </c>
      <c r="D14" s="16">
        <v>3</v>
      </c>
      <c r="E14" s="15" t="s">
        <v>743</v>
      </c>
      <c r="F14" s="16">
        <v>1.5</v>
      </c>
      <c r="G14" s="15"/>
      <c r="H14" s="16">
        <v>1</v>
      </c>
      <c r="I14" s="15" t="s">
        <v>744</v>
      </c>
      <c r="J14" s="16">
        <v>0.7</v>
      </c>
      <c r="K14" s="15" t="s">
        <v>745</v>
      </c>
      <c r="L14" s="17">
        <v>0.5</v>
      </c>
    </row>
    <row r="15" spans="1:15" ht="25" thickBot="1" x14ac:dyDescent="0.25">
      <c r="A15" s="22" t="s">
        <v>746</v>
      </c>
      <c r="B15" s="73"/>
      <c r="C15" s="74" t="s">
        <v>747</v>
      </c>
      <c r="D15" s="24">
        <v>5</v>
      </c>
      <c r="E15" s="23" t="s">
        <v>748</v>
      </c>
      <c r="F15" s="24">
        <v>2</v>
      </c>
      <c r="G15" s="23"/>
      <c r="H15" s="24">
        <v>1</v>
      </c>
      <c r="I15" s="23" t="s">
        <v>749</v>
      </c>
      <c r="J15" s="24">
        <v>0.8</v>
      </c>
      <c r="K15" s="23" t="s">
        <v>750</v>
      </c>
      <c r="L15" s="75">
        <v>0.2</v>
      </c>
    </row>
    <row r="16" spans="1:15" ht="37" thickBot="1" x14ac:dyDescent="0.25">
      <c r="A16" s="9" t="s">
        <v>751</v>
      </c>
      <c r="B16" s="68" t="s">
        <v>731</v>
      </c>
      <c r="C16" s="69" t="s">
        <v>752</v>
      </c>
      <c r="D16" s="12">
        <v>10</v>
      </c>
      <c r="E16" s="10" t="s">
        <v>753</v>
      </c>
      <c r="F16" s="12">
        <v>2</v>
      </c>
      <c r="G16" s="10" t="s">
        <v>754</v>
      </c>
      <c r="H16" s="11">
        <v>1</v>
      </c>
      <c r="I16" s="23" t="s">
        <v>755</v>
      </c>
      <c r="J16" s="76">
        <v>0.7</v>
      </c>
      <c r="K16" s="77" t="s">
        <v>756</v>
      </c>
      <c r="L16" s="27">
        <v>0.5</v>
      </c>
    </row>
    <row r="17" spans="1:15" ht="25" thickBot="1" x14ac:dyDescent="0.25">
      <c r="A17" s="9" t="s">
        <v>757</v>
      </c>
      <c r="B17" s="68"/>
      <c r="C17" s="69" t="s">
        <v>758</v>
      </c>
      <c r="D17" s="12">
        <v>10</v>
      </c>
      <c r="E17" s="77" t="s">
        <v>759</v>
      </c>
      <c r="F17" s="12">
        <v>2</v>
      </c>
      <c r="G17" s="10" t="s">
        <v>703</v>
      </c>
      <c r="H17" s="12">
        <v>1</v>
      </c>
      <c r="I17" s="10"/>
      <c r="J17" s="12">
        <v>1</v>
      </c>
      <c r="K17" s="10" t="s">
        <v>527</v>
      </c>
      <c r="L17" s="174">
        <v>0.8</v>
      </c>
    </row>
    <row r="18" spans="1:15" ht="37" thickBot="1" x14ac:dyDescent="0.25">
      <c r="A18" s="9" t="s">
        <v>760</v>
      </c>
      <c r="B18" s="68"/>
      <c r="C18" s="69" t="s">
        <v>761</v>
      </c>
      <c r="D18" s="12">
        <v>2</v>
      </c>
      <c r="E18" s="10" t="s">
        <v>762</v>
      </c>
      <c r="F18" s="12">
        <v>1.2</v>
      </c>
      <c r="G18" s="10" t="s">
        <v>763</v>
      </c>
      <c r="H18" s="12">
        <v>1</v>
      </c>
      <c r="I18" s="10" t="s">
        <v>764</v>
      </c>
      <c r="J18" s="12">
        <v>0.8</v>
      </c>
      <c r="K18" s="10" t="s">
        <v>765</v>
      </c>
      <c r="L18" s="174">
        <v>0.5</v>
      </c>
    </row>
    <row r="22" spans="1:15" ht="16" thickBot="1" x14ac:dyDescent="0.25"/>
    <row r="23" spans="1:15" x14ac:dyDescent="0.2">
      <c r="A23" s="78" t="s">
        <v>715</v>
      </c>
      <c r="B23" s="79" t="s">
        <v>705</v>
      </c>
      <c r="C23" s="80" t="s">
        <v>715</v>
      </c>
      <c r="G23" s="1"/>
    </row>
    <row r="24" spans="1:15" x14ac:dyDescent="0.2">
      <c r="A24" s="475" t="s">
        <v>766</v>
      </c>
      <c r="B24" s="81">
        <v>1</v>
      </c>
      <c r="C24" s="82">
        <v>0.8</v>
      </c>
      <c r="D24" s="169">
        <v>1</v>
      </c>
      <c r="E24" s="169">
        <v>0.8</v>
      </c>
    </row>
    <row r="25" spans="1:15" x14ac:dyDescent="0.2">
      <c r="A25" s="476"/>
      <c r="B25" s="81">
        <v>2</v>
      </c>
      <c r="C25" s="82">
        <v>1</v>
      </c>
      <c r="D25" s="169">
        <v>4</v>
      </c>
      <c r="E25" s="169">
        <v>1</v>
      </c>
    </row>
    <row r="26" spans="1:15" x14ac:dyDescent="0.2">
      <c r="A26" s="476"/>
      <c r="B26" s="81">
        <v>3</v>
      </c>
      <c r="C26" s="82">
        <v>1.2</v>
      </c>
      <c r="D26" s="169">
        <v>1</v>
      </c>
      <c r="E26" s="169">
        <v>0.8</v>
      </c>
    </row>
    <row r="27" spans="1:15" x14ac:dyDescent="0.2">
      <c r="A27" s="477"/>
      <c r="B27" s="81">
        <v>4</v>
      </c>
      <c r="C27" s="82">
        <v>1.2</v>
      </c>
      <c r="D27" s="169">
        <v>4</v>
      </c>
      <c r="E27" s="169">
        <v>1.2</v>
      </c>
    </row>
    <row r="28" spans="1:15" x14ac:dyDescent="0.2">
      <c r="A28" s="475" t="s">
        <v>767</v>
      </c>
      <c r="B28" s="81">
        <v>1</v>
      </c>
      <c r="C28" s="82">
        <v>0.05</v>
      </c>
      <c r="H28" t="s">
        <v>1219</v>
      </c>
      <c r="I28" t="s">
        <v>1211</v>
      </c>
    </row>
    <row r="29" spans="1:15" x14ac:dyDescent="0.2">
      <c r="A29" s="476"/>
      <c r="B29" s="81">
        <v>2</v>
      </c>
      <c r="C29" s="82">
        <v>1</v>
      </c>
    </row>
    <row r="30" spans="1:15" ht="16" thickBot="1" x14ac:dyDescent="0.25">
      <c r="A30" s="477"/>
      <c r="B30" s="81">
        <v>3</v>
      </c>
      <c r="C30" s="82">
        <v>5</v>
      </c>
      <c r="H30" t="s">
        <v>1219</v>
      </c>
      <c r="I30" s="357">
        <v>1</v>
      </c>
      <c r="J30" s="357">
        <v>4</v>
      </c>
      <c r="K30" s="357" t="s">
        <v>1225</v>
      </c>
      <c r="L30" s="357" t="s">
        <v>1224</v>
      </c>
    </row>
    <row r="31" spans="1:15" ht="33" thickTop="1" x14ac:dyDescent="0.2">
      <c r="A31" s="475" t="s">
        <v>730</v>
      </c>
      <c r="B31" s="81">
        <v>1</v>
      </c>
      <c r="C31" s="82">
        <v>0.7</v>
      </c>
      <c r="D31" s="161" t="s">
        <v>1207</v>
      </c>
      <c r="E31" s="162" t="s">
        <v>1209</v>
      </c>
      <c r="F31" s="163"/>
      <c r="H31" s="358" t="s">
        <v>1222</v>
      </c>
      <c r="I31" s="359">
        <v>0.7</v>
      </c>
      <c r="J31" s="360">
        <v>1</v>
      </c>
      <c r="K31" s="368">
        <f t="shared" ref="K31:K40" si="0">INTERCEPT(I31:J31,$I$30:$J$30)</f>
        <v>0.59999999999999987</v>
      </c>
      <c r="L31" s="368">
        <f t="shared" ref="L31:L40" si="1">SLOPE(I31:J31,$I$30:$J$30)</f>
        <v>0.10000000000000002</v>
      </c>
      <c r="O31" s="367"/>
    </row>
    <row r="32" spans="1:15" ht="32" x14ac:dyDescent="0.2">
      <c r="A32" s="476"/>
      <c r="B32" s="81">
        <v>2</v>
      </c>
      <c r="C32" s="82">
        <v>0.8</v>
      </c>
      <c r="D32" s="159" t="s">
        <v>1207</v>
      </c>
      <c r="E32" s="158" t="s">
        <v>1213</v>
      </c>
      <c r="F32" s="160"/>
      <c r="H32" s="361" t="s">
        <v>1216</v>
      </c>
      <c r="I32" s="356">
        <v>0.8</v>
      </c>
      <c r="J32" s="362">
        <v>1</v>
      </c>
      <c r="K32" s="369">
        <f t="shared" si="0"/>
        <v>0.73333333333333339</v>
      </c>
      <c r="L32" s="369">
        <f t="shared" si="1"/>
        <v>6.6666666666666652E-2</v>
      </c>
      <c r="O32" s="367"/>
    </row>
    <row r="33" spans="1:15" ht="32" x14ac:dyDescent="0.2">
      <c r="A33" s="476"/>
      <c r="B33" s="81">
        <v>3</v>
      </c>
      <c r="C33" s="82"/>
      <c r="D33" s="159" t="s">
        <v>1207</v>
      </c>
      <c r="E33" s="158" t="s">
        <v>1214</v>
      </c>
      <c r="F33" s="160"/>
      <c r="H33" s="361" t="s">
        <v>1215</v>
      </c>
      <c r="I33" s="356">
        <v>0.8</v>
      </c>
      <c r="J33" s="362">
        <v>1</v>
      </c>
      <c r="K33" s="369">
        <f t="shared" si="0"/>
        <v>0.73333333333333339</v>
      </c>
      <c r="L33" s="369">
        <f t="shared" si="1"/>
        <v>6.6666666666666652E-2</v>
      </c>
      <c r="O33" s="367"/>
    </row>
    <row r="34" spans="1:15" ht="32" x14ac:dyDescent="0.2">
      <c r="A34" s="476"/>
      <c r="B34" s="81">
        <v>4</v>
      </c>
      <c r="C34" s="82">
        <v>1</v>
      </c>
      <c r="D34" s="159" t="s">
        <v>1207</v>
      </c>
      <c r="E34" s="158" t="s">
        <v>1212</v>
      </c>
      <c r="F34" s="160"/>
      <c r="H34" s="361" t="s">
        <v>1217</v>
      </c>
      <c r="I34" s="356">
        <v>1</v>
      </c>
      <c r="J34" s="362">
        <v>1.1000000000000001</v>
      </c>
      <c r="K34" s="369">
        <f>INTERCEPT(I34:J34,$I$30:$J$30)</f>
        <v>0.96666666666666667</v>
      </c>
      <c r="L34" s="369">
        <f t="shared" si="1"/>
        <v>3.3333333333333361E-2</v>
      </c>
      <c r="O34" s="367"/>
    </row>
    <row r="35" spans="1:15" ht="33" thickBot="1" x14ac:dyDescent="0.25">
      <c r="A35" s="477"/>
      <c r="B35" s="81">
        <v>5</v>
      </c>
      <c r="C35" s="82">
        <v>1.2</v>
      </c>
      <c r="D35" s="164" t="s">
        <v>1207</v>
      </c>
      <c r="E35" s="165" t="s">
        <v>673</v>
      </c>
      <c r="F35" s="166"/>
      <c r="H35" s="364" t="s">
        <v>1223</v>
      </c>
      <c r="I35" s="365">
        <v>1.2</v>
      </c>
      <c r="J35" s="366">
        <v>1.2</v>
      </c>
      <c r="K35" s="370">
        <f t="shared" si="0"/>
        <v>1.2</v>
      </c>
      <c r="L35" s="370">
        <f t="shared" si="1"/>
        <v>0</v>
      </c>
      <c r="O35" s="367"/>
    </row>
    <row r="36" spans="1:15" ht="33" thickTop="1" x14ac:dyDescent="0.2">
      <c r="A36" s="475" t="s">
        <v>708</v>
      </c>
      <c r="B36" s="81">
        <v>6</v>
      </c>
      <c r="C36" s="82">
        <v>0.9</v>
      </c>
      <c r="D36" s="161" t="s">
        <v>1208</v>
      </c>
      <c r="E36" s="158" t="s">
        <v>1209</v>
      </c>
      <c r="F36" s="160"/>
      <c r="H36" s="358" t="s">
        <v>1220</v>
      </c>
      <c r="I36" s="359">
        <v>0.9</v>
      </c>
      <c r="J36" s="360">
        <v>1.2</v>
      </c>
      <c r="K36" s="368">
        <f t="shared" si="0"/>
        <v>0.8</v>
      </c>
      <c r="L36" s="368">
        <f t="shared" si="1"/>
        <v>9.9999999999999978E-2</v>
      </c>
      <c r="O36" s="367"/>
    </row>
    <row r="37" spans="1:15" ht="16" x14ac:dyDescent="0.2">
      <c r="A37" s="476"/>
      <c r="B37" s="81">
        <v>7</v>
      </c>
      <c r="C37" s="82"/>
      <c r="D37" s="352"/>
      <c r="E37" s="158" t="s">
        <v>1214</v>
      </c>
      <c r="F37" s="160"/>
      <c r="H37" s="361" t="s">
        <v>1221</v>
      </c>
      <c r="I37" s="356">
        <v>1</v>
      </c>
      <c r="J37" s="362">
        <v>1</v>
      </c>
      <c r="K37" s="369">
        <f t="shared" si="0"/>
        <v>1</v>
      </c>
      <c r="L37" s="369">
        <f t="shared" si="1"/>
        <v>0</v>
      </c>
      <c r="O37" s="367"/>
    </row>
    <row r="38" spans="1:15" ht="32" x14ac:dyDescent="0.2">
      <c r="A38" s="476"/>
      <c r="B38" s="81">
        <v>8</v>
      </c>
      <c r="C38" s="82">
        <v>1.5</v>
      </c>
      <c r="D38" s="159" t="s">
        <v>1208</v>
      </c>
      <c r="E38" s="158" t="s">
        <v>1210</v>
      </c>
      <c r="F38" s="160"/>
      <c r="H38" s="363" t="s">
        <v>1210</v>
      </c>
      <c r="I38" s="356">
        <v>1.5</v>
      </c>
      <c r="J38" s="362">
        <v>3</v>
      </c>
      <c r="K38" s="369">
        <f t="shared" si="0"/>
        <v>1</v>
      </c>
      <c r="L38" s="369">
        <f t="shared" si="1"/>
        <v>0.5</v>
      </c>
      <c r="O38" s="367"/>
    </row>
    <row r="39" spans="1:15" ht="33" thickBot="1" x14ac:dyDescent="0.25">
      <c r="A39" s="477"/>
      <c r="B39" s="81">
        <v>9</v>
      </c>
      <c r="C39" s="82">
        <v>3</v>
      </c>
      <c r="D39" s="164" t="s">
        <v>1208</v>
      </c>
      <c r="E39" s="158" t="s">
        <v>1212</v>
      </c>
      <c r="F39" s="160"/>
      <c r="H39" s="361" t="s">
        <v>1217</v>
      </c>
      <c r="I39" s="356">
        <v>3</v>
      </c>
      <c r="J39" s="362">
        <v>3</v>
      </c>
      <c r="K39" s="369">
        <f t="shared" si="0"/>
        <v>3</v>
      </c>
      <c r="L39" s="369">
        <f t="shared" si="1"/>
        <v>0</v>
      </c>
      <c r="O39" s="367"/>
    </row>
    <row r="40" spans="1:15" ht="16" thickBot="1" x14ac:dyDescent="0.25">
      <c r="H40" s="364" t="s">
        <v>1218</v>
      </c>
      <c r="I40" s="365">
        <v>1</v>
      </c>
      <c r="J40" s="366">
        <v>1</v>
      </c>
      <c r="K40" s="370">
        <f t="shared" si="0"/>
        <v>1</v>
      </c>
      <c r="L40" s="370">
        <f t="shared" si="1"/>
        <v>0</v>
      </c>
      <c r="O40" s="367"/>
    </row>
    <row r="41" spans="1:15" ht="16" thickTop="1" x14ac:dyDescent="0.2">
      <c r="A41" s="83" t="s">
        <v>768</v>
      </c>
      <c r="B41" s="478" t="s">
        <v>769</v>
      </c>
      <c r="C41" s="479"/>
    </row>
    <row r="42" spans="1:15" x14ac:dyDescent="0.2">
      <c r="A42" s="243" t="s">
        <v>751</v>
      </c>
      <c r="B42" s="84">
        <v>1</v>
      </c>
      <c r="C42" s="85">
        <v>0.5</v>
      </c>
    </row>
    <row r="43" spans="1:15" x14ac:dyDescent="0.2">
      <c r="A43" s="244"/>
      <c r="B43" s="84">
        <v>2</v>
      </c>
      <c r="C43" s="85">
        <v>1</v>
      </c>
    </row>
    <row r="44" spans="1:15" x14ac:dyDescent="0.2">
      <c r="A44" s="244"/>
      <c r="B44" s="84">
        <v>3</v>
      </c>
      <c r="C44" s="85">
        <v>2</v>
      </c>
    </row>
    <row r="45" spans="1:15" x14ac:dyDescent="0.2">
      <c r="A45" s="245"/>
      <c r="B45" s="84">
        <v>4</v>
      </c>
      <c r="C45" s="85">
        <v>10</v>
      </c>
    </row>
    <row r="46" spans="1:15" x14ac:dyDescent="0.2">
      <c r="A46" s="243" t="s">
        <v>757</v>
      </c>
      <c r="B46" s="81">
        <v>1</v>
      </c>
      <c r="C46" s="82">
        <v>0.8</v>
      </c>
    </row>
    <row r="47" spans="1:15" x14ac:dyDescent="0.2">
      <c r="A47" s="244"/>
      <c r="B47" s="81">
        <v>2</v>
      </c>
      <c r="C47" s="82">
        <v>1</v>
      </c>
    </row>
    <row r="48" spans="1:15" x14ac:dyDescent="0.2">
      <c r="A48" s="244"/>
      <c r="B48" s="81">
        <v>3</v>
      </c>
      <c r="C48" s="82">
        <v>2</v>
      </c>
    </row>
    <row r="49" spans="1:13" x14ac:dyDescent="0.2">
      <c r="A49" s="245"/>
      <c r="B49" s="81">
        <v>4</v>
      </c>
      <c r="C49" s="82">
        <v>10</v>
      </c>
    </row>
    <row r="50" spans="1:13" x14ac:dyDescent="0.2">
      <c r="A50" s="243" t="s">
        <v>760</v>
      </c>
      <c r="B50" s="84">
        <v>1</v>
      </c>
      <c r="C50" s="85">
        <v>0.5</v>
      </c>
    </row>
    <row r="51" spans="1:13" x14ac:dyDescent="0.2">
      <c r="A51" s="244"/>
      <c r="B51" s="84">
        <v>2</v>
      </c>
      <c r="C51" s="85">
        <v>0.8</v>
      </c>
    </row>
    <row r="52" spans="1:13" x14ac:dyDescent="0.2">
      <c r="A52" s="244"/>
      <c r="B52" s="84">
        <v>3</v>
      </c>
      <c r="C52" s="85">
        <v>1.3</v>
      </c>
    </row>
    <row r="53" spans="1:13" ht="16" thickBot="1" x14ac:dyDescent="0.25">
      <c r="A53" s="246"/>
      <c r="B53" s="86">
        <v>4</v>
      </c>
      <c r="C53" s="87">
        <v>2</v>
      </c>
    </row>
    <row r="57" spans="1:13" x14ac:dyDescent="0.2">
      <c r="A57" t="s">
        <v>770</v>
      </c>
    </row>
    <row r="59" spans="1:13" ht="16" thickBot="1" x14ac:dyDescent="0.25">
      <c r="A59" t="s">
        <v>771</v>
      </c>
    </row>
    <row r="60" spans="1:13" x14ac:dyDescent="0.2">
      <c r="A60" s="40"/>
      <c r="B60" s="41"/>
      <c r="C60" s="42"/>
      <c r="D60" s="43"/>
      <c r="E60" s="42"/>
      <c r="F60" s="43"/>
      <c r="G60" s="42"/>
      <c r="H60" s="42"/>
      <c r="I60" s="42"/>
      <c r="J60" s="43"/>
      <c r="K60" s="40"/>
      <c r="L60" s="99" t="s">
        <v>772</v>
      </c>
      <c r="M60" s="100"/>
    </row>
    <row r="61" spans="1:13" ht="71" x14ac:dyDescent="0.2">
      <c r="A61" s="44" t="s">
        <v>773</v>
      </c>
      <c r="B61" s="45" t="s">
        <v>774</v>
      </c>
      <c r="C61" s="46" t="s">
        <v>775</v>
      </c>
      <c r="D61" s="47" t="s">
        <v>776</v>
      </c>
      <c r="E61" s="46" t="s">
        <v>777</v>
      </c>
      <c r="F61" s="47" t="s">
        <v>778</v>
      </c>
      <c r="G61" s="46" t="s">
        <v>779</v>
      </c>
      <c r="H61" s="46" t="s">
        <v>780</v>
      </c>
      <c r="I61" s="46" t="s">
        <v>781</v>
      </c>
      <c r="J61" s="47" t="s">
        <v>782</v>
      </c>
      <c r="K61" s="98" t="s">
        <v>783</v>
      </c>
      <c r="L61" s="48" t="s">
        <v>784</v>
      </c>
      <c r="M61" s="49" t="s">
        <v>785</v>
      </c>
    </row>
    <row r="62" spans="1:13" x14ac:dyDescent="0.2">
      <c r="A62" s="50">
        <v>1</v>
      </c>
      <c r="B62" s="51" t="s">
        <v>786</v>
      </c>
      <c r="C62" s="51">
        <v>0</v>
      </c>
      <c r="D62" s="51"/>
      <c r="E62" s="51">
        <v>5</v>
      </c>
      <c r="F62" s="51">
        <v>9.4</v>
      </c>
      <c r="G62" s="51">
        <v>15</v>
      </c>
      <c r="H62" s="51"/>
      <c r="I62" s="51">
        <v>3.9</v>
      </c>
      <c r="J62" s="52">
        <v>18.8</v>
      </c>
      <c r="K62" s="53">
        <v>1700</v>
      </c>
      <c r="L62" s="51">
        <v>255</v>
      </c>
      <c r="M62" s="54">
        <v>19</v>
      </c>
    </row>
    <row r="63" spans="1:13" x14ac:dyDescent="0.2">
      <c r="A63" s="50">
        <v>2</v>
      </c>
      <c r="B63" s="55" t="s">
        <v>787</v>
      </c>
      <c r="C63" s="55">
        <v>1</v>
      </c>
      <c r="D63" s="55">
        <v>8.3000000000000007</v>
      </c>
      <c r="E63" s="55">
        <v>14</v>
      </c>
      <c r="F63" s="55">
        <v>26.4</v>
      </c>
      <c r="G63" s="55">
        <v>35.9</v>
      </c>
      <c r="H63" s="55">
        <v>0.4</v>
      </c>
      <c r="I63" s="55">
        <v>4.5999999999999996</v>
      </c>
      <c r="J63" s="52">
        <v>21.8</v>
      </c>
      <c r="K63" s="53">
        <v>1700</v>
      </c>
      <c r="L63" s="51">
        <v>255</v>
      </c>
      <c r="M63" s="54">
        <v>19</v>
      </c>
    </row>
    <row r="64" spans="1:13" x14ac:dyDescent="0.2">
      <c r="A64" s="50">
        <v>3</v>
      </c>
      <c r="B64" s="55" t="s">
        <v>788</v>
      </c>
      <c r="C64" s="55">
        <v>2</v>
      </c>
      <c r="D64" s="55">
        <v>16.7</v>
      </c>
      <c r="E64" s="55">
        <v>9</v>
      </c>
      <c r="F64" s="55">
        <v>17</v>
      </c>
      <c r="G64" s="55">
        <v>9.5</v>
      </c>
      <c r="H64" s="55">
        <v>3</v>
      </c>
      <c r="I64" s="55">
        <v>11.2</v>
      </c>
      <c r="J64" s="52">
        <v>34.9</v>
      </c>
      <c r="K64" s="53">
        <v>1700</v>
      </c>
      <c r="L64" s="51">
        <v>255</v>
      </c>
      <c r="M64" s="54">
        <v>19</v>
      </c>
    </row>
    <row r="65" spans="1:13" x14ac:dyDescent="0.2">
      <c r="A65" s="50">
        <v>4</v>
      </c>
      <c r="B65" s="55" t="s">
        <v>789</v>
      </c>
      <c r="C65" s="55">
        <v>1</v>
      </c>
      <c r="D65" s="55">
        <v>8.3000000000000007</v>
      </c>
      <c r="E65" s="55">
        <v>7</v>
      </c>
      <c r="F65" s="55">
        <v>13.2</v>
      </c>
      <c r="G65" s="55">
        <v>0.9</v>
      </c>
      <c r="H65" s="55">
        <v>15.7</v>
      </c>
      <c r="I65" s="55">
        <v>91.8</v>
      </c>
      <c r="J65" s="52">
        <v>69</v>
      </c>
      <c r="K65" s="53">
        <v>1700</v>
      </c>
      <c r="L65" s="51">
        <v>255</v>
      </c>
      <c r="M65" s="54">
        <v>19</v>
      </c>
    </row>
    <row r="66" spans="1:13" x14ac:dyDescent="0.2">
      <c r="A66" s="50">
        <v>5</v>
      </c>
      <c r="B66" s="55" t="s">
        <v>790</v>
      </c>
      <c r="C66" s="55">
        <v>0</v>
      </c>
      <c r="D66" s="55"/>
      <c r="E66" s="55">
        <v>7</v>
      </c>
      <c r="F66" s="55">
        <v>13.2</v>
      </c>
      <c r="G66" s="55">
        <v>8.4</v>
      </c>
      <c r="H66" s="55"/>
      <c r="I66" s="55">
        <v>9.8000000000000007</v>
      </c>
      <c r="J66" s="52">
        <v>16.2</v>
      </c>
      <c r="K66" s="53">
        <v>1700</v>
      </c>
      <c r="L66" s="51">
        <v>255</v>
      </c>
      <c r="M66" s="54">
        <v>19</v>
      </c>
    </row>
    <row r="67" spans="1:13" x14ac:dyDescent="0.2">
      <c r="A67" s="50"/>
      <c r="B67" s="55" t="s">
        <v>791</v>
      </c>
      <c r="C67" s="55">
        <v>3</v>
      </c>
      <c r="D67" s="55">
        <v>25</v>
      </c>
      <c r="E67" s="55">
        <v>2</v>
      </c>
      <c r="F67" s="55">
        <v>3.8</v>
      </c>
      <c r="G67" s="55">
        <v>6.1</v>
      </c>
      <c r="H67" s="58">
        <v>7</v>
      </c>
      <c r="I67" s="55">
        <v>3.9</v>
      </c>
      <c r="J67" s="52">
        <v>24.8</v>
      </c>
      <c r="K67" s="53">
        <v>1700</v>
      </c>
      <c r="L67" s="51">
        <v>255</v>
      </c>
      <c r="M67" s="54">
        <v>19</v>
      </c>
    </row>
    <row r="68" spans="1:13" x14ac:dyDescent="0.2">
      <c r="A68" s="50"/>
      <c r="B68" s="55" t="s">
        <v>792</v>
      </c>
      <c r="C68" s="55">
        <v>0</v>
      </c>
      <c r="D68" s="55"/>
      <c r="E68" s="55">
        <v>6</v>
      </c>
      <c r="F68" s="55">
        <v>11.3</v>
      </c>
      <c r="G68" s="55">
        <v>9.3000000000000007</v>
      </c>
      <c r="H68" s="55"/>
      <c r="I68" s="55">
        <v>7.6</v>
      </c>
      <c r="J68" s="52">
        <v>22.2</v>
      </c>
      <c r="K68" s="53">
        <v>1700</v>
      </c>
      <c r="L68" s="51">
        <v>255</v>
      </c>
      <c r="M68" s="54">
        <v>19</v>
      </c>
    </row>
    <row r="69" spans="1:13" x14ac:dyDescent="0.2">
      <c r="A69" s="50"/>
      <c r="B69" s="55" t="s">
        <v>793</v>
      </c>
      <c r="C69" s="55">
        <v>3</v>
      </c>
      <c r="D69" s="55">
        <v>25</v>
      </c>
      <c r="E69" s="55">
        <v>2</v>
      </c>
      <c r="F69" s="55">
        <v>3.8</v>
      </c>
      <c r="G69" s="55">
        <v>4.0999999999999996</v>
      </c>
      <c r="H69" s="55">
        <v>10.4</v>
      </c>
      <c r="I69" s="55">
        <v>5.8</v>
      </c>
      <c r="J69" s="52">
        <v>29.7</v>
      </c>
      <c r="K69" s="53">
        <v>1700</v>
      </c>
      <c r="L69" s="51">
        <v>255</v>
      </c>
      <c r="M69" s="54">
        <v>19</v>
      </c>
    </row>
    <row r="70" spans="1:13" x14ac:dyDescent="0.2">
      <c r="A70" s="50"/>
      <c r="B70" s="55" t="s">
        <v>794</v>
      </c>
      <c r="C70" s="55">
        <v>0</v>
      </c>
      <c r="D70" s="55"/>
      <c r="E70" s="55">
        <v>0</v>
      </c>
      <c r="F70" s="55"/>
      <c r="G70" s="55">
        <v>2.8</v>
      </c>
      <c r="H70" s="55"/>
      <c r="I70" s="55"/>
      <c r="J70" s="52">
        <v>26</v>
      </c>
      <c r="K70" s="53">
        <v>1700</v>
      </c>
      <c r="L70" s="51">
        <v>255</v>
      </c>
      <c r="M70" s="54">
        <v>19</v>
      </c>
    </row>
    <row r="71" spans="1:13" x14ac:dyDescent="0.2">
      <c r="A71" s="50"/>
      <c r="B71" s="55" t="s">
        <v>795</v>
      </c>
      <c r="C71" s="55">
        <v>0</v>
      </c>
      <c r="D71" s="55"/>
      <c r="E71" s="55">
        <v>0</v>
      </c>
      <c r="F71" s="55"/>
      <c r="G71" s="58">
        <v>4.7</v>
      </c>
      <c r="H71" s="55"/>
      <c r="I71" s="55"/>
      <c r="J71" s="52">
        <v>91.5</v>
      </c>
      <c r="K71" s="53">
        <v>1700</v>
      </c>
      <c r="L71" s="51">
        <v>255</v>
      </c>
      <c r="M71" s="54">
        <v>19</v>
      </c>
    </row>
    <row r="72" spans="1:13" x14ac:dyDescent="0.2">
      <c r="A72" s="50"/>
      <c r="B72" s="55" t="s">
        <v>796</v>
      </c>
      <c r="C72" s="55">
        <v>2</v>
      </c>
      <c r="D72" s="55">
        <v>16.7</v>
      </c>
      <c r="E72" s="55">
        <v>1</v>
      </c>
      <c r="F72" s="55">
        <v>1.9</v>
      </c>
      <c r="G72" s="55">
        <v>2.4</v>
      </c>
      <c r="H72" s="55">
        <v>11.8</v>
      </c>
      <c r="I72" s="55">
        <v>4.9000000000000004</v>
      </c>
      <c r="J72" s="52">
        <v>48.6</v>
      </c>
      <c r="K72" s="53">
        <v>1700</v>
      </c>
      <c r="L72" s="51">
        <v>255</v>
      </c>
      <c r="M72" s="54">
        <v>19</v>
      </c>
    </row>
    <row r="73" spans="1:13" x14ac:dyDescent="0.2">
      <c r="A73" s="50"/>
      <c r="B73" s="55" t="s">
        <v>797</v>
      </c>
      <c r="C73" s="55">
        <v>0</v>
      </c>
      <c r="D73" s="55"/>
      <c r="E73" s="55">
        <v>0</v>
      </c>
      <c r="F73" s="55"/>
      <c r="G73" s="55">
        <v>0.9</v>
      </c>
      <c r="H73" s="55"/>
      <c r="I73" s="55"/>
      <c r="J73" s="52">
        <v>32.5</v>
      </c>
      <c r="K73" s="53">
        <v>1700</v>
      </c>
      <c r="L73" s="51">
        <v>255</v>
      </c>
      <c r="M73" s="54">
        <v>19</v>
      </c>
    </row>
    <row r="74" spans="1:13" x14ac:dyDescent="0.2">
      <c r="A74" s="50"/>
      <c r="B74" s="55" t="s">
        <v>798</v>
      </c>
      <c r="C74" s="55">
        <v>7</v>
      </c>
      <c r="D74" s="55"/>
      <c r="E74" s="55">
        <v>17</v>
      </c>
      <c r="F74" s="55"/>
      <c r="G74" s="55"/>
      <c r="H74" s="55"/>
      <c r="I74" s="55"/>
      <c r="J74" s="58"/>
      <c r="K74" s="50"/>
      <c r="L74" s="55"/>
      <c r="M74" s="56"/>
    </row>
    <row r="75" spans="1:13" ht="16" thickBot="1" x14ac:dyDescent="0.25">
      <c r="A75" s="59"/>
      <c r="B75" s="60" t="s">
        <v>799</v>
      </c>
      <c r="C75" s="60">
        <v>19</v>
      </c>
      <c r="D75" s="60">
        <v>100</v>
      </c>
      <c r="E75" s="60">
        <v>70</v>
      </c>
      <c r="F75" s="60">
        <v>100</v>
      </c>
      <c r="G75" s="60"/>
      <c r="H75" s="60">
        <v>1.7</v>
      </c>
      <c r="I75" s="60">
        <v>6.2</v>
      </c>
      <c r="J75" s="61">
        <v>26.8</v>
      </c>
      <c r="K75" s="59">
        <v>1700</v>
      </c>
      <c r="L75" s="60">
        <v>255</v>
      </c>
      <c r="M75" s="62">
        <v>19</v>
      </c>
    </row>
    <row r="77" spans="1:13" x14ac:dyDescent="0.2">
      <c r="L77">
        <f>L75/M75</f>
        <v>13.421052631578947</v>
      </c>
      <c r="M77">
        <f>L77-1</f>
        <v>12.421052631578947</v>
      </c>
    </row>
  </sheetData>
  <autoFilter ref="A61:M75" xr:uid="{9D4E410E-C59A-4B97-8B78-C52ED32C80ED}">
    <sortState xmlns:xlrd2="http://schemas.microsoft.com/office/spreadsheetml/2017/richdata2" ref="A62:M75">
      <sortCondition ref="A61:A75"/>
    </sortState>
  </autoFilter>
  <mergeCells count="17">
    <mergeCell ref="A5:L5"/>
    <mergeCell ref="C6:D6"/>
    <mergeCell ref="E6:F6"/>
    <mergeCell ref="G6:H6"/>
    <mergeCell ref="I6:J6"/>
    <mergeCell ref="K6:L6"/>
    <mergeCell ref="C7:L7"/>
    <mergeCell ref="C8:D8"/>
    <mergeCell ref="E8:F8"/>
    <mergeCell ref="G8:H8"/>
    <mergeCell ref="I8:J8"/>
    <mergeCell ref="K8:L8"/>
    <mergeCell ref="A24:A27"/>
    <mergeCell ref="A28:A30"/>
    <mergeCell ref="A31:A35"/>
    <mergeCell ref="A36:A39"/>
    <mergeCell ref="B41:C4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4F675-77D6-47BE-AC38-92CA1475B583}">
  <sheetPr codeName="Sheet5">
    <tabColor theme="0" tint="-0.499984740745262"/>
  </sheetPr>
  <dimension ref="A1:M88"/>
  <sheetViews>
    <sheetView topLeftCell="A58" zoomScale="115" zoomScaleNormal="115" workbookViewId="0">
      <selection activeCell="A86" sqref="A86"/>
    </sheetView>
  </sheetViews>
  <sheetFormatPr baseColWidth="10" defaultColWidth="9.5" defaultRowHeight="15" x14ac:dyDescent="0.2"/>
  <cols>
    <col min="1" max="1" width="50.5" bestFit="1" customWidth="1"/>
    <col min="3" max="12" width="12.5" customWidth="1"/>
  </cols>
  <sheetData>
    <row r="1" spans="1:12" x14ac:dyDescent="0.2">
      <c r="A1" s="63" t="s">
        <v>715</v>
      </c>
      <c r="B1" s="64"/>
      <c r="C1" s="490" t="s">
        <v>716</v>
      </c>
      <c r="D1" s="491"/>
      <c r="E1" s="490" t="s">
        <v>717</v>
      </c>
      <c r="F1" s="491"/>
      <c r="G1" s="490" t="s">
        <v>718</v>
      </c>
      <c r="H1" s="491"/>
      <c r="I1" s="490" t="s">
        <v>719</v>
      </c>
      <c r="J1" s="491"/>
      <c r="K1" s="492" t="s">
        <v>720</v>
      </c>
      <c r="L1" s="493"/>
    </row>
    <row r="2" spans="1:12" x14ac:dyDescent="0.2">
      <c r="A2" s="172" t="s">
        <v>721</v>
      </c>
      <c r="B2" s="173"/>
      <c r="C2" s="480" t="s">
        <v>800</v>
      </c>
      <c r="D2" s="481"/>
      <c r="E2" s="481"/>
      <c r="F2" s="481"/>
      <c r="G2" s="481"/>
      <c r="H2" s="481"/>
      <c r="I2" s="481"/>
      <c r="J2" s="481"/>
      <c r="K2" s="481"/>
      <c r="L2" s="482"/>
    </row>
    <row r="3" spans="1:12" ht="16" thickBot="1" x14ac:dyDescent="0.25">
      <c r="A3" s="66" t="s">
        <v>724</v>
      </c>
      <c r="B3" s="67"/>
      <c r="C3" s="483">
        <v>1</v>
      </c>
      <c r="D3" s="484"/>
      <c r="E3" s="483">
        <v>2</v>
      </c>
      <c r="F3" s="484"/>
      <c r="G3" s="483">
        <v>3</v>
      </c>
      <c r="H3" s="484"/>
      <c r="I3" s="483">
        <v>4</v>
      </c>
      <c r="J3" s="484"/>
      <c r="K3" s="485">
        <v>5</v>
      </c>
      <c r="L3" s="486"/>
    </row>
    <row r="4" spans="1:12" ht="16" thickBot="1" x14ac:dyDescent="0.25">
      <c r="A4" s="9" t="s">
        <v>725</v>
      </c>
      <c r="B4" s="88"/>
      <c r="C4" s="494" t="s">
        <v>801</v>
      </c>
      <c r="D4" s="495"/>
      <c r="E4" s="495"/>
      <c r="F4" s="495"/>
      <c r="G4" s="495"/>
      <c r="H4" s="495"/>
      <c r="I4" s="495"/>
      <c r="J4" s="495"/>
      <c r="K4" s="495"/>
      <c r="L4" s="496"/>
    </row>
    <row r="5" spans="1:12" ht="37" thickBot="1" x14ac:dyDescent="0.25">
      <c r="A5" s="9" t="s">
        <v>802</v>
      </c>
      <c r="B5" s="88"/>
      <c r="C5" s="69" t="s">
        <v>803</v>
      </c>
      <c r="D5" s="12">
        <v>1.5</v>
      </c>
      <c r="E5" s="10"/>
      <c r="F5" s="12">
        <v>1</v>
      </c>
      <c r="G5" s="10" t="s">
        <v>804</v>
      </c>
      <c r="H5" s="12">
        <v>1</v>
      </c>
      <c r="I5" s="10" t="s">
        <v>673</v>
      </c>
      <c r="J5" s="11">
        <v>0.8</v>
      </c>
      <c r="K5" s="69"/>
      <c r="L5" s="174">
        <v>1</v>
      </c>
    </row>
    <row r="6" spans="1:12" ht="37" thickBot="1" x14ac:dyDescent="0.25">
      <c r="A6" s="9" t="s">
        <v>805</v>
      </c>
      <c r="B6" s="88"/>
      <c r="C6" s="69"/>
      <c r="D6" s="12">
        <v>1</v>
      </c>
      <c r="E6" s="10" t="s">
        <v>806</v>
      </c>
      <c r="F6" s="12">
        <v>1.5</v>
      </c>
      <c r="G6" s="10"/>
      <c r="H6" s="12">
        <v>1</v>
      </c>
      <c r="I6" s="10"/>
      <c r="J6" s="12">
        <v>1</v>
      </c>
      <c r="K6" s="69" t="s">
        <v>807</v>
      </c>
      <c r="L6" s="174">
        <v>0.5</v>
      </c>
    </row>
    <row r="7" spans="1:12" ht="49" thickBot="1" x14ac:dyDescent="0.25">
      <c r="A7" s="9" t="s">
        <v>808</v>
      </c>
      <c r="B7" s="88"/>
      <c r="C7" s="69" t="s">
        <v>809</v>
      </c>
      <c r="D7" s="12">
        <v>5</v>
      </c>
      <c r="E7" s="10" t="s">
        <v>810</v>
      </c>
      <c r="F7" s="12">
        <v>1.2</v>
      </c>
      <c r="G7" s="10" t="s">
        <v>811</v>
      </c>
      <c r="H7" s="12">
        <v>1</v>
      </c>
      <c r="I7" s="10" t="s">
        <v>812</v>
      </c>
      <c r="J7" s="12">
        <v>0.5</v>
      </c>
      <c r="K7" s="69" t="s">
        <v>695</v>
      </c>
      <c r="L7" s="174">
        <v>0.3</v>
      </c>
    </row>
    <row r="8" spans="1:12" ht="25" thickBot="1" x14ac:dyDescent="0.25">
      <c r="A8" s="9" t="s">
        <v>813</v>
      </c>
      <c r="B8" s="88"/>
      <c r="C8" s="69"/>
      <c r="D8" s="89">
        <v>1</v>
      </c>
      <c r="E8" s="10" t="s">
        <v>814</v>
      </c>
      <c r="F8" s="12">
        <v>1.3</v>
      </c>
      <c r="G8" s="10" t="s">
        <v>815</v>
      </c>
      <c r="H8" s="12">
        <v>1</v>
      </c>
      <c r="I8" s="10" t="s">
        <v>816</v>
      </c>
      <c r="J8" s="12">
        <v>0.8</v>
      </c>
      <c r="K8" s="69"/>
      <c r="L8" s="174">
        <v>1</v>
      </c>
    </row>
    <row r="9" spans="1:12" ht="37" thickBot="1" x14ac:dyDescent="0.25">
      <c r="A9" s="9" t="s">
        <v>817</v>
      </c>
      <c r="B9" s="88" t="s">
        <v>731</v>
      </c>
      <c r="C9" s="69" t="s">
        <v>818</v>
      </c>
      <c r="D9" s="12">
        <v>5</v>
      </c>
      <c r="E9" s="10" t="s">
        <v>740</v>
      </c>
      <c r="F9" s="12">
        <v>2</v>
      </c>
      <c r="G9" s="10"/>
      <c r="H9" s="12">
        <v>1</v>
      </c>
      <c r="I9" s="10" t="s">
        <v>738</v>
      </c>
      <c r="J9" s="11">
        <v>0.8</v>
      </c>
      <c r="K9" s="69" t="s">
        <v>819</v>
      </c>
      <c r="L9" s="174">
        <v>0.5</v>
      </c>
    </row>
    <row r="10" spans="1:12" ht="36" x14ac:dyDescent="0.2">
      <c r="A10" s="14" t="s">
        <v>741</v>
      </c>
      <c r="B10" s="90"/>
      <c r="C10" s="72" t="s">
        <v>820</v>
      </c>
      <c r="D10" s="16">
        <v>3</v>
      </c>
      <c r="E10" s="15" t="s">
        <v>821</v>
      </c>
      <c r="F10" s="16">
        <v>1.5</v>
      </c>
      <c r="G10" s="15" t="s">
        <v>822</v>
      </c>
      <c r="H10" s="16">
        <v>1</v>
      </c>
      <c r="I10" s="15" t="s">
        <v>823</v>
      </c>
      <c r="J10" s="16">
        <v>0.8</v>
      </c>
      <c r="K10" s="72" t="s">
        <v>824</v>
      </c>
      <c r="L10" s="17">
        <v>0.2</v>
      </c>
    </row>
    <row r="11" spans="1:12" ht="37" thickBot="1" x14ac:dyDescent="0.25">
      <c r="A11" s="22" t="s">
        <v>746</v>
      </c>
      <c r="B11" s="91"/>
      <c r="C11" s="74" t="s">
        <v>825</v>
      </c>
      <c r="D11" s="24">
        <v>2.5</v>
      </c>
      <c r="E11" s="23" t="s">
        <v>826</v>
      </c>
      <c r="F11" s="24">
        <v>1.2</v>
      </c>
      <c r="G11" s="23" t="s">
        <v>827</v>
      </c>
      <c r="H11" s="24">
        <v>1</v>
      </c>
      <c r="I11" s="23" t="s">
        <v>828</v>
      </c>
      <c r="J11" s="24">
        <v>0.6</v>
      </c>
      <c r="K11" s="74"/>
      <c r="L11" s="75">
        <v>1</v>
      </c>
    </row>
    <row r="12" spans="1:12" ht="37" thickBot="1" x14ac:dyDescent="0.25">
      <c r="A12" s="9" t="s">
        <v>202</v>
      </c>
      <c r="B12" s="88"/>
      <c r="C12" s="69" t="s">
        <v>669</v>
      </c>
      <c r="D12" s="11">
        <v>1.5</v>
      </c>
      <c r="E12" s="10" t="s">
        <v>698</v>
      </c>
      <c r="F12" s="11">
        <v>1.25</v>
      </c>
      <c r="G12" s="10" t="s">
        <v>692</v>
      </c>
      <c r="H12" s="12">
        <v>1</v>
      </c>
      <c r="I12" s="10"/>
      <c r="J12" s="12">
        <v>1</v>
      </c>
      <c r="K12" s="69" t="s">
        <v>740</v>
      </c>
      <c r="L12" s="174">
        <v>0.5</v>
      </c>
    </row>
    <row r="13" spans="1:12" ht="36" x14ac:dyDescent="0.2">
      <c r="A13" s="14" t="s">
        <v>203</v>
      </c>
      <c r="B13" s="90"/>
      <c r="C13" s="72" t="s">
        <v>829</v>
      </c>
      <c r="D13" s="16">
        <v>5</v>
      </c>
      <c r="E13" s="15" t="s">
        <v>830</v>
      </c>
      <c r="F13" s="16">
        <v>1.2</v>
      </c>
      <c r="G13" s="15" t="s">
        <v>831</v>
      </c>
      <c r="H13" s="16">
        <v>1</v>
      </c>
      <c r="I13" s="15" t="s">
        <v>670</v>
      </c>
      <c r="J13" s="92">
        <v>0.8</v>
      </c>
      <c r="K13" s="72" t="s">
        <v>832</v>
      </c>
      <c r="L13" s="17">
        <v>0.3</v>
      </c>
    </row>
    <row r="14" spans="1:12" ht="24" x14ac:dyDescent="0.2">
      <c r="A14" s="18" t="s">
        <v>746</v>
      </c>
      <c r="B14" s="93"/>
      <c r="C14" s="94" t="s">
        <v>833</v>
      </c>
      <c r="D14" s="20">
        <v>2.5</v>
      </c>
      <c r="E14" s="19"/>
      <c r="F14" s="20">
        <v>1</v>
      </c>
      <c r="G14" s="19" t="s">
        <v>834</v>
      </c>
      <c r="H14" s="20">
        <v>1</v>
      </c>
      <c r="I14" s="19" t="s">
        <v>835</v>
      </c>
      <c r="J14" s="20">
        <v>0.8</v>
      </c>
      <c r="K14" s="94"/>
      <c r="L14" s="21">
        <v>1</v>
      </c>
    </row>
    <row r="15" spans="1:12" ht="37" thickBot="1" x14ac:dyDescent="0.25">
      <c r="A15" s="95"/>
      <c r="B15" s="96"/>
      <c r="C15" s="74" t="s">
        <v>836</v>
      </c>
      <c r="D15" s="24">
        <v>2</v>
      </c>
      <c r="E15" s="23"/>
      <c r="F15" s="24">
        <v>1</v>
      </c>
      <c r="G15" s="23"/>
      <c r="H15" s="24">
        <v>1</v>
      </c>
      <c r="I15" s="23"/>
      <c r="J15" s="24">
        <v>1</v>
      </c>
      <c r="K15" s="74"/>
      <c r="L15" s="75">
        <v>1</v>
      </c>
    </row>
    <row r="16" spans="1:12" ht="16" thickBot="1" x14ac:dyDescent="0.25">
      <c r="A16" s="9" t="s">
        <v>837</v>
      </c>
      <c r="B16" s="88"/>
      <c r="C16" s="494" t="s">
        <v>838</v>
      </c>
      <c r="D16" s="495"/>
      <c r="E16" s="495"/>
      <c r="F16" s="495"/>
      <c r="G16" s="495"/>
      <c r="H16" s="495"/>
      <c r="I16" s="495"/>
      <c r="J16" s="496"/>
      <c r="K16" s="69"/>
      <c r="L16" s="27">
        <v>1</v>
      </c>
    </row>
    <row r="17" spans="1:12" ht="49" thickBot="1" x14ac:dyDescent="0.25">
      <c r="A17" s="9" t="s">
        <v>839</v>
      </c>
      <c r="B17" s="88"/>
      <c r="C17" s="69" t="s">
        <v>840</v>
      </c>
      <c r="D17" s="12">
        <v>1.5</v>
      </c>
      <c r="E17" s="10" t="s">
        <v>841</v>
      </c>
      <c r="F17" s="12">
        <v>1.1000000000000001</v>
      </c>
      <c r="G17" s="10"/>
      <c r="H17" s="12">
        <v>1</v>
      </c>
      <c r="I17" s="10" t="s">
        <v>842</v>
      </c>
      <c r="J17" s="11">
        <v>0.9</v>
      </c>
      <c r="K17" s="69"/>
      <c r="L17" s="174">
        <v>1</v>
      </c>
    </row>
    <row r="18" spans="1:12" ht="37" thickBot="1" x14ac:dyDescent="0.25">
      <c r="A18" s="9" t="s">
        <v>843</v>
      </c>
      <c r="B18" s="88"/>
      <c r="C18" s="69" t="s">
        <v>844</v>
      </c>
      <c r="D18" s="12">
        <v>10</v>
      </c>
      <c r="E18" s="10" t="s">
        <v>845</v>
      </c>
      <c r="F18" s="12">
        <v>2</v>
      </c>
      <c r="G18" s="10" t="s">
        <v>846</v>
      </c>
      <c r="H18" s="12">
        <v>1</v>
      </c>
      <c r="I18" s="10" t="s">
        <v>847</v>
      </c>
      <c r="J18" s="12">
        <v>0.7</v>
      </c>
      <c r="K18" s="69" t="s">
        <v>756</v>
      </c>
      <c r="L18" s="174">
        <v>0.5</v>
      </c>
    </row>
    <row r="19" spans="1:12" ht="37" thickBot="1" x14ac:dyDescent="0.25">
      <c r="A19" s="9" t="s">
        <v>760</v>
      </c>
      <c r="B19" s="88"/>
      <c r="C19" s="69" t="s">
        <v>761</v>
      </c>
      <c r="D19" s="12">
        <v>2</v>
      </c>
      <c r="E19" s="10" t="s">
        <v>848</v>
      </c>
      <c r="F19" s="12">
        <v>1.2</v>
      </c>
      <c r="G19" s="10" t="s">
        <v>763</v>
      </c>
      <c r="H19" s="11">
        <v>1</v>
      </c>
      <c r="I19" s="10" t="s">
        <v>764</v>
      </c>
      <c r="J19" s="12">
        <v>0.8</v>
      </c>
      <c r="K19" s="69" t="s">
        <v>765</v>
      </c>
      <c r="L19" s="27">
        <v>0.5</v>
      </c>
    </row>
    <row r="23" spans="1:12" ht="16" thickBot="1" x14ac:dyDescent="0.25"/>
    <row r="24" spans="1:12" x14ac:dyDescent="0.2">
      <c r="A24" s="78" t="s">
        <v>715</v>
      </c>
      <c r="B24" s="79" t="s">
        <v>705</v>
      </c>
      <c r="C24" s="80" t="s">
        <v>849</v>
      </c>
    </row>
    <row r="25" spans="1:12" x14ac:dyDescent="0.2">
      <c r="A25" s="475" t="s">
        <v>802</v>
      </c>
      <c r="B25" s="81">
        <v>1</v>
      </c>
      <c r="C25" s="82">
        <v>0.8</v>
      </c>
    </row>
    <row r="26" spans="1:12" x14ac:dyDescent="0.2">
      <c r="A26" s="476"/>
      <c r="B26" s="81">
        <v>2</v>
      </c>
      <c r="C26" s="82">
        <v>0.8</v>
      </c>
    </row>
    <row r="27" spans="1:12" x14ac:dyDescent="0.2">
      <c r="A27" s="476"/>
      <c r="B27" s="81">
        <v>3</v>
      </c>
      <c r="C27" s="82">
        <v>1</v>
      </c>
    </row>
    <row r="28" spans="1:12" x14ac:dyDescent="0.2">
      <c r="A28" s="476"/>
      <c r="B28" s="81">
        <v>4</v>
      </c>
      <c r="C28" s="82">
        <v>1.5</v>
      </c>
    </row>
    <row r="29" spans="1:12" x14ac:dyDescent="0.2">
      <c r="A29" s="476" t="s">
        <v>805</v>
      </c>
      <c r="B29" s="81">
        <v>1</v>
      </c>
      <c r="C29" s="82">
        <v>1.5</v>
      </c>
    </row>
    <row r="30" spans="1:12" x14ac:dyDescent="0.2">
      <c r="A30" s="476"/>
      <c r="B30" s="81">
        <v>2</v>
      </c>
      <c r="C30" s="82">
        <v>1.5</v>
      </c>
    </row>
    <row r="31" spans="1:12" x14ac:dyDescent="0.2">
      <c r="A31" s="476"/>
      <c r="B31" s="81">
        <v>3</v>
      </c>
      <c r="C31" s="82">
        <v>0.5</v>
      </c>
    </row>
    <row r="32" spans="1:12" x14ac:dyDescent="0.2">
      <c r="A32" s="476" t="s">
        <v>808</v>
      </c>
      <c r="B32" s="81">
        <v>1</v>
      </c>
      <c r="C32" s="82">
        <v>0.3</v>
      </c>
    </row>
    <row r="33" spans="1:3" x14ac:dyDescent="0.2">
      <c r="A33" s="476"/>
      <c r="B33" s="81">
        <v>2</v>
      </c>
      <c r="C33" s="82">
        <v>0.5</v>
      </c>
    </row>
    <row r="34" spans="1:3" x14ac:dyDescent="0.2">
      <c r="A34" s="476"/>
      <c r="B34" s="81">
        <v>3</v>
      </c>
      <c r="C34" s="82">
        <v>1.2</v>
      </c>
    </row>
    <row r="35" spans="1:3" x14ac:dyDescent="0.2">
      <c r="A35" s="476"/>
      <c r="B35" s="81">
        <v>4</v>
      </c>
      <c r="C35" s="82">
        <v>5</v>
      </c>
    </row>
    <row r="36" spans="1:3" x14ac:dyDescent="0.2">
      <c r="A36" s="476" t="s">
        <v>813</v>
      </c>
      <c r="B36" s="81">
        <v>1</v>
      </c>
      <c r="C36" s="82">
        <v>1</v>
      </c>
    </row>
    <row r="37" spans="1:3" x14ac:dyDescent="0.2">
      <c r="A37" s="476"/>
      <c r="B37" s="81">
        <v>2</v>
      </c>
      <c r="C37" s="82">
        <v>0.8</v>
      </c>
    </row>
    <row r="38" spans="1:3" x14ac:dyDescent="0.2">
      <c r="A38" s="476"/>
      <c r="B38" s="81">
        <v>3</v>
      </c>
      <c r="C38" s="82">
        <v>1.3</v>
      </c>
    </row>
    <row r="39" spans="1:3" x14ac:dyDescent="0.2">
      <c r="A39" s="97" t="s">
        <v>850</v>
      </c>
      <c r="B39" s="478" t="s">
        <v>769</v>
      </c>
      <c r="C39" s="479"/>
    </row>
    <row r="40" spans="1:3" x14ac:dyDescent="0.2">
      <c r="A40" s="97" t="s">
        <v>202</v>
      </c>
      <c r="B40" s="478" t="s">
        <v>769</v>
      </c>
      <c r="C40" s="479"/>
    </row>
    <row r="41" spans="1:3" x14ac:dyDescent="0.2">
      <c r="A41" s="97" t="s">
        <v>203</v>
      </c>
      <c r="B41" s="478" t="s">
        <v>769</v>
      </c>
      <c r="C41" s="479"/>
    </row>
    <row r="42" spans="1:3" x14ac:dyDescent="0.2">
      <c r="A42" s="476" t="s">
        <v>839</v>
      </c>
      <c r="B42" s="84">
        <v>1</v>
      </c>
      <c r="C42" s="85">
        <v>0.9</v>
      </c>
    </row>
    <row r="43" spans="1:3" x14ac:dyDescent="0.2">
      <c r="A43" s="476"/>
      <c r="B43" s="84">
        <v>2</v>
      </c>
      <c r="C43" s="85">
        <v>1</v>
      </c>
    </row>
    <row r="44" spans="1:3" x14ac:dyDescent="0.2">
      <c r="A44" s="476"/>
      <c r="B44" s="84">
        <v>3</v>
      </c>
      <c r="C44" s="85">
        <v>1.1000000000000001</v>
      </c>
    </row>
    <row r="45" spans="1:3" x14ac:dyDescent="0.2">
      <c r="A45" s="476"/>
      <c r="B45" s="84">
        <v>4</v>
      </c>
      <c r="C45" s="85">
        <v>1.5</v>
      </c>
    </row>
    <row r="46" spans="1:3" x14ac:dyDescent="0.2">
      <c r="A46" s="476" t="s">
        <v>843</v>
      </c>
      <c r="B46" s="84">
        <v>1</v>
      </c>
      <c r="C46" s="85">
        <v>0.5</v>
      </c>
    </row>
    <row r="47" spans="1:3" x14ac:dyDescent="0.2">
      <c r="A47" s="476"/>
      <c r="B47" s="84">
        <v>2</v>
      </c>
      <c r="C47" s="85">
        <v>1</v>
      </c>
    </row>
    <row r="48" spans="1:3" x14ac:dyDescent="0.2">
      <c r="A48" s="476"/>
      <c r="B48" s="84">
        <v>3</v>
      </c>
      <c r="C48" s="85">
        <v>2</v>
      </c>
    </row>
    <row r="49" spans="1:12" x14ac:dyDescent="0.2">
      <c r="A49" s="476"/>
      <c r="B49" s="84">
        <v>4</v>
      </c>
      <c r="C49" s="85">
        <v>10</v>
      </c>
    </row>
    <row r="50" spans="1:12" x14ac:dyDescent="0.2">
      <c r="A50" s="476" t="s">
        <v>760</v>
      </c>
      <c r="B50" s="84">
        <v>1</v>
      </c>
      <c r="C50" s="85">
        <v>0.5</v>
      </c>
    </row>
    <row r="51" spans="1:12" x14ac:dyDescent="0.2">
      <c r="A51" s="476"/>
      <c r="B51" s="84">
        <v>2</v>
      </c>
      <c r="C51" s="85">
        <v>0.8</v>
      </c>
    </row>
    <row r="52" spans="1:12" x14ac:dyDescent="0.2">
      <c r="A52" s="476"/>
      <c r="B52" s="84">
        <v>3</v>
      </c>
      <c r="C52" s="85">
        <v>1.2</v>
      </c>
    </row>
    <row r="53" spans="1:12" ht="16" thickBot="1" x14ac:dyDescent="0.25">
      <c r="A53" s="500"/>
      <c r="B53" s="86">
        <v>4</v>
      </c>
      <c r="C53" s="87">
        <v>2</v>
      </c>
    </row>
    <row r="57" spans="1:12" x14ac:dyDescent="0.2">
      <c r="A57" t="s">
        <v>851</v>
      </c>
    </row>
    <row r="58" spans="1:12" x14ac:dyDescent="0.2">
      <c r="A58" t="s">
        <v>852</v>
      </c>
    </row>
    <row r="60" spans="1:12" ht="16" thickBot="1" x14ac:dyDescent="0.25"/>
    <row r="61" spans="1:12" x14ac:dyDescent="0.2">
      <c r="A61" s="40"/>
      <c r="B61" s="41"/>
      <c r="C61" s="42"/>
      <c r="D61" s="42"/>
      <c r="E61" s="43"/>
      <c r="F61" s="42"/>
      <c r="G61" s="42"/>
      <c r="H61" s="42"/>
      <c r="I61" s="43"/>
      <c r="J61" s="497" t="s">
        <v>772</v>
      </c>
      <c r="K61" s="498"/>
      <c r="L61" s="499"/>
    </row>
    <row r="62" spans="1:12" ht="71" x14ac:dyDescent="0.2">
      <c r="A62" s="44" t="s">
        <v>773</v>
      </c>
      <c r="B62" s="45" t="s">
        <v>774</v>
      </c>
      <c r="C62" s="46" t="s">
        <v>775</v>
      </c>
      <c r="D62" s="46" t="s">
        <v>777</v>
      </c>
      <c r="E62" s="47" t="s">
        <v>853</v>
      </c>
      <c r="F62" s="46" t="s">
        <v>779</v>
      </c>
      <c r="G62" s="46" t="s">
        <v>780</v>
      </c>
      <c r="H62" s="46" t="s">
        <v>781</v>
      </c>
      <c r="I62" s="47" t="s">
        <v>782</v>
      </c>
      <c r="J62" s="98" t="s">
        <v>783</v>
      </c>
      <c r="K62" s="48" t="s">
        <v>784</v>
      </c>
      <c r="L62" s="49" t="s">
        <v>785</v>
      </c>
    </row>
    <row r="63" spans="1:12" x14ac:dyDescent="0.2">
      <c r="A63" s="50">
        <v>3</v>
      </c>
      <c r="B63" s="51" t="s">
        <v>788</v>
      </c>
      <c r="C63" s="55">
        <v>0</v>
      </c>
      <c r="D63" s="55">
        <v>1</v>
      </c>
      <c r="E63" s="55">
        <v>4.3</v>
      </c>
      <c r="F63" s="55">
        <v>9.5</v>
      </c>
      <c r="G63" s="55"/>
      <c r="H63" s="55">
        <v>1</v>
      </c>
      <c r="I63" s="52">
        <v>34.9</v>
      </c>
      <c r="J63" s="50">
        <v>180</v>
      </c>
      <c r="K63" s="55">
        <v>19</v>
      </c>
      <c r="L63" s="56">
        <v>4</v>
      </c>
    </row>
    <row r="64" spans="1:12" x14ac:dyDescent="0.2">
      <c r="A64" s="50">
        <v>1</v>
      </c>
      <c r="B64" s="55" t="s">
        <v>786</v>
      </c>
      <c r="C64" s="55">
        <v>0</v>
      </c>
      <c r="D64" s="55">
        <v>2</v>
      </c>
      <c r="E64" s="55">
        <v>8.6999999999999993</v>
      </c>
      <c r="F64" s="55">
        <v>15</v>
      </c>
      <c r="G64" s="55"/>
      <c r="H64" s="55">
        <v>1.2</v>
      </c>
      <c r="I64" s="52">
        <v>18.8</v>
      </c>
      <c r="J64" s="50">
        <v>180</v>
      </c>
      <c r="K64" s="55">
        <v>19</v>
      </c>
      <c r="L64" s="56">
        <v>4</v>
      </c>
    </row>
    <row r="65" spans="1:13" x14ac:dyDescent="0.2">
      <c r="A65" s="50"/>
      <c r="B65" s="55" t="s">
        <v>791</v>
      </c>
      <c r="C65" s="55">
        <v>1</v>
      </c>
      <c r="D65" s="55">
        <v>2</v>
      </c>
      <c r="E65" s="55">
        <v>130</v>
      </c>
      <c r="F65" s="55">
        <v>6.1</v>
      </c>
      <c r="G65" s="55">
        <v>1.5</v>
      </c>
      <c r="H65" s="55">
        <v>4.5999999999999996</v>
      </c>
      <c r="I65" s="52">
        <v>24.8</v>
      </c>
      <c r="J65" s="50">
        <v>180</v>
      </c>
      <c r="K65" s="55">
        <v>19</v>
      </c>
      <c r="L65" s="56">
        <v>4</v>
      </c>
    </row>
    <row r="66" spans="1:13" x14ac:dyDescent="0.2">
      <c r="A66" s="50">
        <v>2</v>
      </c>
      <c r="B66" s="55" t="s">
        <v>787</v>
      </c>
      <c r="C66" s="55">
        <v>0</v>
      </c>
      <c r="D66" s="55">
        <v>4</v>
      </c>
      <c r="E66" s="55">
        <v>17.399999999999999</v>
      </c>
      <c r="F66" s="55">
        <v>35.9</v>
      </c>
      <c r="G66" s="55"/>
      <c r="H66" s="55">
        <v>1</v>
      </c>
      <c r="I66" s="52">
        <v>21.8</v>
      </c>
      <c r="J66" s="50">
        <v>180</v>
      </c>
      <c r="K66" s="55">
        <v>19</v>
      </c>
      <c r="L66" s="56">
        <v>4</v>
      </c>
    </row>
    <row r="67" spans="1:13" x14ac:dyDescent="0.2">
      <c r="A67" s="50">
        <v>5</v>
      </c>
      <c r="B67" s="55" t="s">
        <v>792</v>
      </c>
      <c r="C67" s="55">
        <v>1</v>
      </c>
      <c r="D67" s="55">
        <v>1</v>
      </c>
      <c r="E67" s="55">
        <v>8.6999999999999993</v>
      </c>
      <c r="F67" s="55">
        <v>9.3000000000000007</v>
      </c>
      <c r="G67" s="55">
        <v>1</v>
      </c>
      <c r="H67" s="55">
        <v>2</v>
      </c>
      <c r="I67" s="52">
        <v>22.2</v>
      </c>
      <c r="J67" s="50">
        <v>180</v>
      </c>
      <c r="K67" s="55">
        <v>19</v>
      </c>
      <c r="L67" s="56">
        <v>4</v>
      </c>
    </row>
    <row r="68" spans="1:13" x14ac:dyDescent="0.2">
      <c r="A68" s="50"/>
      <c r="B68" s="55" t="s">
        <v>790</v>
      </c>
      <c r="C68" s="55">
        <v>0</v>
      </c>
      <c r="D68" s="55">
        <v>4</v>
      </c>
      <c r="E68" s="55">
        <v>17.399999999999999</v>
      </c>
      <c r="F68" s="55">
        <v>8.4</v>
      </c>
      <c r="G68" s="55"/>
      <c r="H68" s="55">
        <v>4.4000000000000004</v>
      </c>
      <c r="I68" s="52">
        <v>16.2</v>
      </c>
      <c r="J68" s="50">
        <v>180</v>
      </c>
      <c r="K68" s="55">
        <v>19</v>
      </c>
      <c r="L68" s="56">
        <v>4</v>
      </c>
    </row>
    <row r="69" spans="1:13" x14ac:dyDescent="0.2">
      <c r="A69" s="50"/>
      <c r="B69" s="55" t="s">
        <v>793</v>
      </c>
      <c r="C69" s="55">
        <v>0</v>
      </c>
      <c r="D69" s="55"/>
      <c r="E69" s="55"/>
      <c r="F69" s="55">
        <v>4.0999999999999996</v>
      </c>
      <c r="G69" s="55"/>
      <c r="H69" s="55"/>
      <c r="I69" s="52">
        <v>29.7</v>
      </c>
      <c r="J69" s="50">
        <v>180</v>
      </c>
      <c r="K69" s="55">
        <v>19</v>
      </c>
      <c r="L69" s="56">
        <v>4</v>
      </c>
    </row>
    <row r="70" spans="1:13" x14ac:dyDescent="0.2">
      <c r="A70" s="50"/>
      <c r="B70" s="55" t="s">
        <v>794</v>
      </c>
      <c r="C70" s="55">
        <v>0</v>
      </c>
      <c r="D70" s="55"/>
      <c r="E70" s="55"/>
      <c r="F70" s="55">
        <v>2.8</v>
      </c>
      <c r="G70" s="55"/>
      <c r="H70" s="55"/>
      <c r="I70" s="52">
        <v>26</v>
      </c>
      <c r="J70" s="50">
        <v>180</v>
      </c>
      <c r="K70" s="55">
        <v>19</v>
      </c>
      <c r="L70" s="56">
        <v>4</v>
      </c>
    </row>
    <row r="71" spans="1:13" x14ac:dyDescent="0.2">
      <c r="A71" s="50"/>
      <c r="B71" s="55" t="s">
        <v>795</v>
      </c>
      <c r="C71" s="55">
        <v>0</v>
      </c>
      <c r="D71" s="55">
        <v>7</v>
      </c>
      <c r="E71" s="55">
        <v>30.4</v>
      </c>
      <c r="F71" s="55">
        <v>4.7</v>
      </c>
      <c r="G71" s="55"/>
      <c r="H71" s="55">
        <v>13.9</v>
      </c>
      <c r="I71" s="52">
        <v>91.5</v>
      </c>
      <c r="J71" s="50">
        <v>180</v>
      </c>
      <c r="K71" s="55">
        <v>19</v>
      </c>
      <c r="L71" s="56">
        <v>4</v>
      </c>
    </row>
    <row r="72" spans="1:13" x14ac:dyDescent="0.2">
      <c r="A72" s="50"/>
      <c r="B72" s="55" t="s">
        <v>796</v>
      </c>
      <c r="C72" s="55">
        <v>0</v>
      </c>
      <c r="D72" s="55"/>
      <c r="E72" s="55"/>
      <c r="F72" s="55">
        <v>2.4</v>
      </c>
      <c r="G72" s="55"/>
      <c r="H72" s="55"/>
      <c r="I72" s="52">
        <v>48.6</v>
      </c>
      <c r="J72" s="50">
        <v>180</v>
      </c>
      <c r="K72" s="55">
        <v>19</v>
      </c>
      <c r="L72" s="56">
        <v>4</v>
      </c>
    </row>
    <row r="73" spans="1:13" x14ac:dyDescent="0.2">
      <c r="A73" s="50"/>
      <c r="B73" s="55" t="s">
        <v>797</v>
      </c>
      <c r="C73" s="55">
        <v>0</v>
      </c>
      <c r="D73" s="55"/>
      <c r="E73" s="55"/>
      <c r="F73" s="55">
        <v>0.9</v>
      </c>
      <c r="G73" s="55"/>
      <c r="H73" s="55"/>
      <c r="I73" s="52">
        <v>32.5</v>
      </c>
      <c r="J73" s="50">
        <v>180</v>
      </c>
      <c r="K73" s="55">
        <v>19</v>
      </c>
      <c r="L73" s="56">
        <v>4</v>
      </c>
    </row>
    <row r="74" spans="1:13" x14ac:dyDescent="0.2">
      <c r="A74" s="50">
        <v>4</v>
      </c>
      <c r="B74" s="55" t="s">
        <v>789</v>
      </c>
      <c r="C74" s="55">
        <v>0</v>
      </c>
      <c r="D74" s="55"/>
      <c r="E74" s="55"/>
      <c r="F74" s="55">
        <v>0.9</v>
      </c>
      <c r="G74" s="55"/>
      <c r="H74" s="55"/>
      <c r="I74" s="52">
        <v>69</v>
      </c>
      <c r="J74" s="50">
        <v>180</v>
      </c>
      <c r="K74" s="55">
        <v>19</v>
      </c>
      <c r="L74" s="56">
        <v>4</v>
      </c>
    </row>
    <row r="75" spans="1:13" x14ac:dyDescent="0.2">
      <c r="A75" s="50"/>
      <c r="B75" s="55" t="s">
        <v>798</v>
      </c>
      <c r="C75" s="55">
        <v>0</v>
      </c>
      <c r="D75" s="55">
        <v>1</v>
      </c>
      <c r="E75" s="55"/>
      <c r="F75" s="55"/>
      <c r="G75" s="55"/>
      <c r="H75" s="55"/>
      <c r="I75" s="52"/>
      <c r="J75" s="50"/>
      <c r="K75" s="55"/>
      <c r="L75" s="56"/>
    </row>
    <row r="76" spans="1:13" ht="16" thickBot="1" x14ac:dyDescent="0.25">
      <c r="A76" s="59"/>
      <c r="B76" s="60" t="s">
        <v>799</v>
      </c>
      <c r="C76" s="60">
        <v>2</v>
      </c>
      <c r="D76" s="60">
        <v>22</v>
      </c>
      <c r="E76" s="60">
        <v>100</v>
      </c>
      <c r="F76" s="60">
        <v>100</v>
      </c>
      <c r="G76" s="60">
        <v>0.18</v>
      </c>
      <c r="H76" s="60">
        <v>2.1</v>
      </c>
      <c r="I76" s="61">
        <v>26.8</v>
      </c>
      <c r="J76" s="59">
        <v>180</v>
      </c>
      <c r="K76" s="60">
        <v>19</v>
      </c>
      <c r="L76" s="62">
        <v>4</v>
      </c>
    </row>
    <row r="78" spans="1:13" x14ac:dyDescent="0.2">
      <c r="M78">
        <f>K76/L76</f>
        <v>4.75</v>
      </c>
    </row>
    <row r="79" spans="1:13" x14ac:dyDescent="0.2">
      <c r="I79" t="s">
        <v>1241</v>
      </c>
      <c r="K79" t="s">
        <v>1242</v>
      </c>
      <c r="L79">
        <v>5</v>
      </c>
    </row>
    <row r="80" spans="1:13" x14ac:dyDescent="0.2">
      <c r="C80" t="s">
        <v>1236</v>
      </c>
      <c r="D80" t="s">
        <v>1238</v>
      </c>
      <c r="E80" t="s">
        <v>1237</v>
      </c>
      <c r="K80" t="s">
        <v>1243</v>
      </c>
      <c r="L80">
        <v>5</v>
      </c>
    </row>
    <row r="81" spans="1:12" x14ac:dyDescent="0.2">
      <c r="C81">
        <v>1</v>
      </c>
      <c r="E81">
        <v>4</v>
      </c>
      <c r="K81" t="s">
        <v>1244</v>
      </c>
      <c r="L81">
        <v>1</v>
      </c>
    </row>
    <row r="82" spans="1:12" x14ac:dyDescent="0.2">
      <c r="A82" t="s">
        <v>1239</v>
      </c>
      <c r="B82">
        <v>1</v>
      </c>
      <c r="C82">
        <v>0.3</v>
      </c>
      <c r="E82">
        <v>0.5</v>
      </c>
      <c r="G82">
        <v>0</v>
      </c>
    </row>
    <row r="83" spans="1:12" x14ac:dyDescent="0.2">
      <c r="A83" t="s">
        <v>1240</v>
      </c>
      <c r="B83">
        <v>4</v>
      </c>
      <c r="C83">
        <v>1</v>
      </c>
      <c r="E83">
        <v>5</v>
      </c>
      <c r="G83">
        <v>1</v>
      </c>
    </row>
    <row r="85" spans="1:12" x14ac:dyDescent="0.2">
      <c r="B85">
        <f>C81+B82/10</f>
        <v>1.1000000000000001</v>
      </c>
      <c r="C85">
        <v>0.3</v>
      </c>
    </row>
    <row r="86" spans="1:12" x14ac:dyDescent="0.2">
      <c r="B86">
        <f>C81+B83/10</f>
        <v>1.4</v>
      </c>
      <c r="C86">
        <v>1</v>
      </c>
    </row>
    <row r="87" spans="1:12" x14ac:dyDescent="0.2">
      <c r="B87">
        <f>E81+B82/10</f>
        <v>4.0999999999999996</v>
      </c>
      <c r="C87">
        <v>0.5</v>
      </c>
    </row>
    <row r="88" spans="1:12" x14ac:dyDescent="0.2">
      <c r="B88">
        <v>4.4000000000000004</v>
      </c>
      <c r="C88">
        <v>5</v>
      </c>
    </row>
  </sheetData>
  <mergeCells count="24">
    <mergeCell ref="J61:L61"/>
    <mergeCell ref="A42:A45"/>
    <mergeCell ref="A46:A49"/>
    <mergeCell ref="A50:A53"/>
    <mergeCell ref="A29:A31"/>
    <mergeCell ref="B39:C39"/>
    <mergeCell ref="A32:A35"/>
    <mergeCell ref="A36:A38"/>
    <mergeCell ref="B40:C40"/>
    <mergeCell ref="B41:C41"/>
    <mergeCell ref="C4:L4"/>
    <mergeCell ref="C16:J16"/>
    <mergeCell ref="A25:A28"/>
    <mergeCell ref="K1:L1"/>
    <mergeCell ref="C2:L2"/>
    <mergeCell ref="C3:D3"/>
    <mergeCell ref="E3:F3"/>
    <mergeCell ref="G3:H3"/>
    <mergeCell ref="K3:L3"/>
    <mergeCell ref="C1:D1"/>
    <mergeCell ref="E1:F1"/>
    <mergeCell ref="G1:H1"/>
    <mergeCell ref="I1:J1"/>
    <mergeCell ref="I3:J3"/>
  </mergeCell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3AA9A-3335-441D-BB67-E8BBF3C5CD2F}">
  <sheetPr codeName="Sheet3">
    <tabColor theme="0" tint="-0.499984740745262"/>
  </sheetPr>
  <dimension ref="A1:AH148"/>
  <sheetViews>
    <sheetView topLeftCell="A19" zoomScale="85" zoomScaleNormal="85" workbookViewId="0">
      <selection activeCell="I83" sqref="I83"/>
    </sheetView>
  </sheetViews>
  <sheetFormatPr baseColWidth="10" defaultColWidth="9.5" defaultRowHeight="15" x14ac:dyDescent="0.2"/>
  <cols>
    <col min="1" max="1" width="28.5" style="37" customWidth="1"/>
    <col min="2" max="2" width="29.5" style="37" bestFit="1" customWidth="1"/>
    <col min="3" max="3" width="34" style="37" customWidth="1"/>
    <col min="4" max="4" width="17.5" style="37" customWidth="1"/>
    <col min="5" max="5" width="22.5" style="37" customWidth="1"/>
    <col min="6" max="6" width="14.5" style="37" customWidth="1"/>
    <col min="7" max="7" width="18.5" style="37" customWidth="1"/>
    <col min="8" max="8" width="12.5" style="37" customWidth="1"/>
    <col min="9" max="9" width="22.5" style="37" customWidth="1"/>
    <col min="10" max="10" width="10.5" style="37" customWidth="1"/>
    <col min="11" max="11" width="18.5" style="38" customWidth="1"/>
    <col min="12" max="12" width="10.5" style="39" customWidth="1"/>
    <col min="13" max="13" width="11.5" style="37" customWidth="1"/>
    <col min="14" max="14" width="12.5" style="37" customWidth="1"/>
    <col min="15" max="15" width="16.5" style="37" customWidth="1"/>
    <col min="16" max="16" width="34.5" style="37" bestFit="1" customWidth="1"/>
    <col min="17" max="17" width="12.5" style="37" customWidth="1"/>
    <col min="18" max="18" width="9.5" style="37" customWidth="1"/>
    <col min="19" max="19" width="13.5" style="3" customWidth="1"/>
    <col min="20" max="20" width="18.5" style="3" customWidth="1"/>
    <col min="21" max="21" width="17.5" style="3" bestFit="1" customWidth="1"/>
    <col min="22" max="33" width="9.5" style="3"/>
    <col min="34" max="256" width="9.5" style="37"/>
    <col min="257" max="257" width="18.5" style="37" customWidth="1"/>
    <col min="258" max="258" width="11.5" style="37" customWidth="1"/>
    <col min="259" max="259" width="21.5" style="37" customWidth="1"/>
    <col min="260" max="260" width="0.5" style="37" customWidth="1"/>
    <col min="261" max="261" width="22.5" style="37" customWidth="1"/>
    <col min="262" max="262" width="0.5" style="37" customWidth="1"/>
    <col min="263" max="263" width="18.5" style="37" customWidth="1"/>
    <col min="264" max="264" width="7.5" style="37" customWidth="1"/>
    <col min="265" max="265" width="15.5" style="37" customWidth="1"/>
    <col min="266" max="266" width="5.5" style="37" customWidth="1"/>
    <col min="267" max="267" width="18.5" style="37" customWidth="1"/>
    <col min="268" max="268" width="0.5" style="37" customWidth="1"/>
    <col min="269" max="270" width="4.5" style="37" customWidth="1"/>
    <col min="271" max="271" width="4" style="37" customWidth="1"/>
    <col min="272" max="272" width="5" style="37" customWidth="1"/>
    <col min="273" max="273" width="6.5" style="37" customWidth="1"/>
    <col min="274" max="274" width="21.5" style="37" customWidth="1"/>
    <col min="275" max="275" width="13.5" style="37" customWidth="1"/>
    <col min="276" max="276" width="18.5" style="37" customWidth="1"/>
    <col min="277" max="277" width="17.5" style="37" bestFit="1" customWidth="1"/>
    <col min="278" max="512" width="9.5" style="37"/>
    <col min="513" max="513" width="18.5" style="37" customWidth="1"/>
    <col min="514" max="514" width="11.5" style="37" customWidth="1"/>
    <col min="515" max="515" width="21.5" style="37" customWidth="1"/>
    <col min="516" max="516" width="0.5" style="37" customWidth="1"/>
    <col min="517" max="517" width="22.5" style="37" customWidth="1"/>
    <col min="518" max="518" width="0.5" style="37" customWidth="1"/>
    <col min="519" max="519" width="18.5" style="37" customWidth="1"/>
    <col min="520" max="520" width="7.5" style="37" customWidth="1"/>
    <col min="521" max="521" width="15.5" style="37" customWidth="1"/>
    <col min="522" max="522" width="5.5" style="37" customWidth="1"/>
    <col min="523" max="523" width="18.5" style="37" customWidth="1"/>
    <col min="524" max="524" width="0.5" style="37" customWidth="1"/>
    <col min="525" max="526" width="4.5" style="37" customWidth="1"/>
    <col min="527" max="527" width="4" style="37" customWidth="1"/>
    <col min="528" max="528" width="5" style="37" customWidth="1"/>
    <col min="529" max="529" width="6.5" style="37" customWidth="1"/>
    <col min="530" max="530" width="21.5" style="37" customWidth="1"/>
    <col min="531" max="531" width="13.5" style="37" customWidth="1"/>
    <col min="532" max="532" width="18.5" style="37" customWidth="1"/>
    <col min="533" max="533" width="17.5" style="37" bestFit="1" customWidth="1"/>
    <col min="534" max="768" width="9.5" style="37"/>
    <col min="769" max="769" width="18.5" style="37" customWidth="1"/>
    <col min="770" max="770" width="11.5" style="37" customWidth="1"/>
    <col min="771" max="771" width="21.5" style="37" customWidth="1"/>
    <col min="772" max="772" width="0.5" style="37" customWidth="1"/>
    <col min="773" max="773" width="22.5" style="37" customWidth="1"/>
    <col min="774" max="774" width="0.5" style="37" customWidth="1"/>
    <col min="775" max="775" width="18.5" style="37" customWidth="1"/>
    <col min="776" max="776" width="7.5" style="37" customWidth="1"/>
    <col min="777" max="777" width="15.5" style="37" customWidth="1"/>
    <col min="778" max="778" width="5.5" style="37" customWidth="1"/>
    <col min="779" max="779" width="18.5" style="37" customWidth="1"/>
    <col min="780" max="780" width="0.5" style="37" customWidth="1"/>
    <col min="781" max="782" width="4.5" style="37" customWidth="1"/>
    <col min="783" max="783" width="4" style="37" customWidth="1"/>
    <col min="784" max="784" width="5" style="37" customWidth="1"/>
    <col min="785" max="785" width="6.5" style="37" customWidth="1"/>
    <col min="786" max="786" width="21.5" style="37" customWidth="1"/>
    <col min="787" max="787" width="13.5" style="37" customWidth="1"/>
    <col min="788" max="788" width="18.5" style="37" customWidth="1"/>
    <col min="789" max="789" width="17.5" style="37" bestFit="1" customWidth="1"/>
    <col min="790" max="1024" width="9.5" style="37"/>
    <col min="1025" max="1025" width="18.5" style="37" customWidth="1"/>
    <col min="1026" max="1026" width="11.5" style="37" customWidth="1"/>
    <col min="1027" max="1027" width="21.5" style="37" customWidth="1"/>
    <col min="1028" max="1028" width="0.5" style="37" customWidth="1"/>
    <col min="1029" max="1029" width="22.5" style="37" customWidth="1"/>
    <col min="1030" max="1030" width="0.5" style="37" customWidth="1"/>
    <col min="1031" max="1031" width="18.5" style="37" customWidth="1"/>
    <col min="1032" max="1032" width="7.5" style="37" customWidth="1"/>
    <col min="1033" max="1033" width="15.5" style="37" customWidth="1"/>
    <col min="1034" max="1034" width="5.5" style="37" customWidth="1"/>
    <col min="1035" max="1035" width="18.5" style="37" customWidth="1"/>
    <col min="1036" max="1036" width="0.5" style="37" customWidth="1"/>
    <col min="1037" max="1038" width="4.5" style="37" customWidth="1"/>
    <col min="1039" max="1039" width="4" style="37" customWidth="1"/>
    <col min="1040" max="1040" width="5" style="37" customWidth="1"/>
    <col min="1041" max="1041" width="6.5" style="37" customWidth="1"/>
    <col min="1042" max="1042" width="21.5" style="37" customWidth="1"/>
    <col min="1043" max="1043" width="13.5" style="37" customWidth="1"/>
    <col min="1044" max="1044" width="18.5" style="37" customWidth="1"/>
    <col min="1045" max="1045" width="17.5" style="37" bestFit="1" customWidth="1"/>
    <col min="1046" max="1280" width="9.5" style="37"/>
    <col min="1281" max="1281" width="18.5" style="37" customWidth="1"/>
    <col min="1282" max="1282" width="11.5" style="37" customWidth="1"/>
    <col min="1283" max="1283" width="21.5" style="37" customWidth="1"/>
    <col min="1284" max="1284" width="0.5" style="37" customWidth="1"/>
    <col min="1285" max="1285" width="22.5" style="37" customWidth="1"/>
    <col min="1286" max="1286" width="0.5" style="37" customWidth="1"/>
    <col min="1287" max="1287" width="18.5" style="37" customWidth="1"/>
    <col min="1288" max="1288" width="7.5" style="37" customWidth="1"/>
    <col min="1289" max="1289" width="15.5" style="37" customWidth="1"/>
    <col min="1290" max="1290" width="5.5" style="37" customWidth="1"/>
    <col min="1291" max="1291" width="18.5" style="37" customWidth="1"/>
    <col min="1292" max="1292" width="0.5" style="37" customWidth="1"/>
    <col min="1293" max="1294" width="4.5" style="37" customWidth="1"/>
    <col min="1295" max="1295" width="4" style="37" customWidth="1"/>
    <col min="1296" max="1296" width="5" style="37" customWidth="1"/>
    <col min="1297" max="1297" width="6.5" style="37" customWidth="1"/>
    <col min="1298" max="1298" width="21.5" style="37" customWidth="1"/>
    <col min="1299" max="1299" width="13.5" style="37" customWidth="1"/>
    <col min="1300" max="1300" width="18.5" style="37" customWidth="1"/>
    <col min="1301" max="1301" width="17.5" style="37" bestFit="1" customWidth="1"/>
    <col min="1302" max="1536" width="9.5" style="37"/>
    <col min="1537" max="1537" width="18.5" style="37" customWidth="1"/>
    <col min="1538" max="1538" width="11.5" style="37" customWidth="1"/>
    <col min="1539" max="1539" width="21.5" style="37" customWidth="1"/>
    <col min="1540" max="1540" width="0.5" style="37" customWidth="1"/>
    <col min="1541" max="1541" width="22.5" style="37" customWidth="1"/>
    <col min="1542" max="1542" width="0.5" style="37" customWidth="1"/>
    <col min="1543" max="1543" width="18.5" style="37" customWidth="1"/>
    <col min="1544" max="1544" width="7.5" style="37" customWidth="1"/>
    <col min="1545" max="1545" width="15.5" style="37" customWidth="1"/>
    <col min="1546" max="1546" width="5.5" style="37" customWidth="1"/>
    <col min="1547" max="1547" width="18.5" style="37" customWidth="1"/>
    <col min="1548" max="1548" width="0.5" style="37" customWidth="1"/>
    <col min="1549" max="1550" width="4.5" style="37" customWidth="1"/>
    <col min="1551" max="1551" width="4" style="37" customWidth="1"/>
    <col min="1552" max="1552" width="5" style="37" customWidth="1"/>
    <col min="1553" max="1553" width="6.5" style="37" customWidth="1"/>
    <col min="1554" max="1554" width="21.5" style="37" customWidth="1"/>
    <col min="1555" max="1555" width="13.5" style="37" customWidth="1"/>
    <col min="1556" max="1556" width="18.5" style="37" customWidth="1"/>
    <col min="1557" max="1557" width="17.5" style="37" bestFit="1" customWidth="1"/>
    <col min="1558" max="1792" width="9.5" style="37"/>
    <col min="1793" max="1793" width="18.5" style="37" customWidth="1"/>
    <col min="1794" max="1794" width="11.5" style="37" customWidth="1"/>
    <col min="1795" max="1795" width="21.5" style="37" customWidth="1"/>
    <col min="1796" max="1796" width="0.5" style="37" customWidth="1"/>
    <col min="1797" max="1797" width="22.5" style="37" customWidth="1"/>
    <col min="1798" max="1798" width="0.5" style="37" customWidth="1"/>
    <col min="1799" max="1799" width="18.5" style="37" customWidth="1"/>
    <col min="1800" max="1800" width="7.5" style="37" customWidth="1"/>
    <col min="1801" max="1801" width="15.5" style="37" customWidth="1"/>
    <col min="1802" max="1802" width="5.5" style="37" customWidth="1"/>
    <col min="1803" max="1803" width="18.5" style="37" customWidth="1"/>
    <col min="1804" max="1804" width="0.5" style="37" customWidth="1"/>
    <col min="1805" max="1806" width="4.5" style="37" customWidth="1"/>
    <col min="1807" max="1807" width="4" style="37" customWidth="1"/>
    <col min="1808" max="1808" width="5" style="37" customWidth="1"/>
    <col min="1809" max="1809" width="6.5" style="37" customWidth="1"/>
    <col min="1810" max="1810" width="21.5" style="37" customWidth="1"/>
    <col min="1811" max="1811" width="13.5" style="37" customWidth="1"/>
    <col min="1812" max="1812" width="18.5" style="37" customWidth="1"/>
    <col min="1813" max="1813" width="17.5" style="37" bestFit="1" customWidth="1"/>
    <col min="1814" max="2048" width="9.5" style="37"/>
    <col min="2049" max="2049" width="18.5" style="37" customWidth="1"/>
    <col min="2050" max="2050" width="11.5" style="37" customWidth="1"/>
    <col min="2051" max="2051" width="21.5" style="37" customWidth="1"/>
    <col min="2052" max="2052" width="0.5" style="37" customWidth="1"/>
    <col min="2053" max="2053" width="22.5" style="37" customWidth="1"/>
    <col min="2054" max="2054" width="0.5" style="37" customWidth="1"/>
    <col min="2055" max="2055" width="18.5" style="37" customWidth="1"/>
    <col min="2056" max="2056" width="7.5" style="37" customWidth="1"/>
    <col min="2057" max="2057" width="15.5" style="37" customWidth="1"/>
    <col min="2058" max="2058" width="5.5" style="37" customWidth="1"/>
    <col min="2059" max="2059" width="18.5" style="37" customWidth="1"/>
    <col min="2060" max="2060" width="0.5" style="37" customWidth="1"/>
    <col min="2061" max="2062" width="4.5" style="37" customWidth="1"/>
    <col min="2063" max="2063" width="4" style="37" customWidth="1"/>
    <col min="2064" max="2064" width="5" style="37" customWidth="1"/>
    <col min="2065" max="2065" width="6.5" style="37" customWidth="1"/>
    <col min="2066" max="2066" width="21.5" style="37" customWidth="1"/>
    <col min="2067" max="2067" width="13.5" style="37" customWidth="1"/>
    <col min="2068" max="2068" width="18.5" style="37" customWidth="1"/>
    <col min="2069" max="2069" width="17.5" style="37" bestFit="1" customWidth="1"/>
    <col min="2070" max="2304" width="9.5" style="37"/>
    <col min="2305" max="2305" width="18.5" style="37" customWidth="1"/>
    <col min="2306" max="2306" width="11.5" style="37" customWidth="1"/>
    <col min="2307" max="2307" width="21.5" style="37" customWidth="1"/>
    <col min="2308" max="2308" width="0.5" style="37" customWidth="1"/>
    <col min="2309" max="2309" width="22.5" style="37" customWidth="1"/>
    <col min="2310" max="2310" width="0.5" style="37" customWidth="1"/>
    <col min="2311" max="2311" width="18.5" style="37" customWidth="1"/>
    <col min="2312" max="2312" width="7.5" style="37" customWidth="1"/>
    <col min="2313" max="2313" width="15.5" style="37" customWidth="1"/>
    <col min="2314" max="2314" width="5.5" style="37" customWidth="1"/>
    <col min="2315" max="2315" width="18.5" style="37" customWidth="1"/>
    <col min="2316" max="2316" width="0.5" style="37" customWidth="1"/>
    <col min="2317" max="2318" width="4.5" style="37" customWidth="1"/>
    <col min="2319" max="2319" width="4" style="37" customWidth="1"/>
    <col min="2320" max="2320" width="5" style="37" customWidth="1"/>
    <col min="2321" max="2321" width="6.5" style="37" customWidth="1"/>
    <col min="2322" max="2322" width="21.5" style="37" customWidth="1"/>
    <col min="2323" max="2323" width="13.5" style="37" customWidth="1"/>
    <col min="2324" max="2324" width="18.5" style="37" customWidth="1"/>
    <col min="2325" max="2325" width="17.5" style="37" bestFit="1" customWidth="1"/>
    <col min="2326" max="2560" width="9.5" style="37"/>
    <col min="2561" max="2561" width="18.5" style="37" customWidth="1"/>
    <col min="2562" max="2562" width="11.5" style="37" customWidth="1"/>
    <col min="2563" max="2563" width="21.5" style="37" customWidth="1"/>
    <col min="2564" max="2564" width="0.5" style="37" customWidth="1"/>
    <col min="2565" max="2565" width="22.5" style="37" customWidth="1"/>
    <col min="2566" max="2566" width="0.5" style="37" customWidth="1"/>
    <col min="2567" max="2567" width="18.5" style="37" customWidth="1"/>
    <col min="2568" max="2568" width="7.5" style="37" customWidth="1"/>
    <col min="2569" max="2569" width="15.5" style="37" customWidth="1"/>
    <col min="2570" max="2570" width="5.5" style="37" customWidth="1"/>
    <col min="2571" max="2571" width="18.5" style="37" customWidth="1"/>
    <col min="2572" max="2572" width="0.5" style="37" customWidth="1"/>
    <col min="2573" max="2574" width="4.5" style="37" customWidth="1"/>
    <col min="2575" max="2575" width="4" style="37" customWidth="1"/>
    <col min="2576" max="2576" width="5" style="37" customWidth="1"/>
    <col min="2577" max="2577" width="6.5" style="37" customWidth="1"/>
    <col min="2578" max="2578" width="21.5" style="37" customWidth="1"/>
    <col min="2579" max="2579" width="13.5" style="37" customWidth="1"/>
    <col min="2580" max="2580" width="18.5" style="37" customWidth="1"/>
    <col min="2581" max="2581" width="17.5" style="37" bestFit="1" customWidth="1"/>
    <col min="2582" max="2816" width="9.5" style="37"/>
    <col min="2817" max="2817" width="18.5" style="37" customWidth="1"/>
    <col min="2818" max="2818" width="11.5" style="37" customWidth="1"/>
    <col min="2819" max="2819" width="21.5" style="37" customWidth="1"/>
    <col min="2820" max="2820" width="0.5" style="37" customWidth="1"/>
    <col min="2821" max="2821" width="22.5" style="37" customWidth="1"/>
    <col min="2822" max="2822" width="0.5" style="37" customWidth="1"/>
    <col min="2823" max="2823" width="18.5" style="37" customWidth="1"/>
    <col min="2824" max="2824" width="7.5" style="37" customWidth="1"/>
    <col min="2825" max="2825" width="15.5" style="37" customWidth="1"/>
    <col min="2826" max="2826" width="5.5" style="37" customWidth="1"/>
    <col min="2827" max="2827" width="18.5" style="37" customWidth="1"/>
    <col min="2828" max="2828" width="0.5" style="37" customWidth="1"/>
    <col min="2829" max="2830" width="4.5" style="37" customWidth="1"/>
    <col min="2831" max="2831" width="4" style="37" customWidth="1"/>
    <col min="2832" max="2832" width="5" style="37" customWidth="1"/>
    <col min="2833" max="2833" width="6.5" style="37" customWidth="1"/>
    <col min="2834" max="2834" width="21.5" style="37" customWidth="1"/>
    <col min="2835" max="2835" width="13.5" style="37" customWidth="1"/>
    <col min="2836" max="2836" width="18.5" style="37" customWidth="1"/>
    <col min="2837" max="2837" width="17.5" style="37" bestFit="1" customWidth="1"/>
    <col min="2838" max="3072" width="9.5" style="37"/>
    <col min="3073" max="3073" width="18.5" style="37" customWidth="1"/>
    <col min="3074" max="3074" width="11.5" style="37" customWidth="1"/>
    <col min="3075" max="3075" width="21.5" style="37" customWidth="1"/>
    <col min="3076" max="3076" width="0.5" style="37" customWidth="1"/>
    <col min="3077" max="3077" width="22.5" style="37" customWidth="1"/>
    <col min="3078" max="3078" width="0.5" style="37" customWidth="1"/>
    <col min="3079" max="3079" width="18.5" style="37" customWidth="1"/>
    <col min="3080" max="3080" width="7.5" style="37" customWidth="1"/>
    <col min="3081" max="3081" width="15.5" style="37" customWidth="1"/>
    <col min="3082" max="3082" width="5.5" style="37" customWidth="1"/>
    <col min="3083" max="3083" width="18.5" style="37" customWidth="1"/>
    <col min="3084" max="3084" width="0.5" style="37" customWidth="1"/>
    <col min="3085" max="3086" width="4.5" style="37" customWidth="1"/>
    <col min="3087" max="3087" width="4" style="37" customWidth="1"/>
    <col min="3088" max="3088" width="5" style="37" customWidth="1"/>
    <col min="3089" max="3089" width="6.5" style="37" customWidth="1"/>
    <col min="3090" max="3090" width="21.5" style="37" customWidth="1"/>
    <col min="3091" max="3091" width="13.5" style="37" customWidth="1"/>
    <col min="3092" max="3092" width="18.5" style="37" customWidth="1"/>
    <col min="3093" max="3093" width="17.5" style="37" bestFit="1" customWidth="1"/>
    <col min="3094" max="3328" width="9.5" style="37"/>
    <col min="3329" max="3329" width="18.5" style="37" customWidth="1"/>
    <col min="3330" max="3330" width="11.5" style="37" customWidth="1"/>
    <col min="3331" max="3331" width="21.5" style="37" customWidth="1"/>
    <col min="3332" max="3332" width="0.5" style="37" customWidth="1"/>
    <col min="3333" max="3333" width="22.5" style="37" customWidth="1"/>
    <col min="3334" max="3334" width="0.5" style="37" customWidth="1"/>
    <col min="3335" max="3335" width="18.5" style="37" customWidth="1"/>
    <col min="3336" max="3336" width="7.5" style="37" customWidth="1"/>
    <col min="3337" max="3337" width="15.5" style="37" customWidth="1"/>
    <col min="3338" max="3338" width="5.5" style="37" customWidth="1"/>
    <col min="3339" max="3339" width="18.5" style="37" customWidth="1"/>
    <col min="3340" max="3340" width="0.5" style="37" customWidth="1"/>
    <col min="3341" max="3342" width="4.5" style="37" customWidth="1"/>
    <col min="3343" max="3343" width="4" style="37" customWidth="1"/>
    <col min="3344" max="3344" width="5" style="37" customWidth="1"/>
    <col min="3345" max="3345" width="6.5" style="37" customWidth="1"/>
    <col min="3346" max="3346" width="21.5" style="37" customWidth="1"/>
    <col min="3347" max="3347" width="13.5" style="37" customWidth="1"/>
    <col min="3348" max="3348" width="18.5" style="37" customWidth="1"/>
    <col min="3349" max="3349" width="17.5" style="37" bestFit="1" customWidth="1"/>
    <col min="3350" max="3584" width="9.5" style="37"/>
    <col min="3585" max="3585" width="18.5" style="37" customWidth="1"/>
    <col min="3586" max="3586" width="11.5" style="37" customWidth="1"/>
    <col min="3587" max="3587" width="21.5" style="37" customWidth="1"/>
    <col min="3588" max="3588" width="0.5" style="37" customWidth="1"/>
    <col min="3589" max="3589" width="22.5" style="37" customWidth="1"/>
    <col min="3590" max="3590" width="0.5" style="37" customWidth="1"/>
    <col min="3591" max="3591" width="18.5" style="37" customWidth="1"/>
    <col min="3592" max="3592" width="7.5" style="37" customWidth="1"/>
    <col min="3593" max="3593" width="15.5" style="37" customWidth="1"/>
    <col min="3594" max="3594" width="5.5" style="37" customWidth="1"/>
    <col min="3595" max="3595" width="18.5" style="37" customWidth="1"/>
    <col min="3596" max="3596" width="0.5" style="37" customWidth="1"/>
    <col min="3597" max="3598" width="4.5" style="37" customWidth="1"/>
    <col min="3599" max="3599" width="4" style="37" customWidth="1"/>
    <col min="3600" max="3600" width="5" style="37" customWidth="1"/>
    <col min="3601" max="3601" width="6.5" style="37" customWidth="1"/>
    <col min="3602" max="3602" width="21.5" style="37" customWidth="1"/>
    <col min="3603" max="3603" width="13.5" style="37" customWidth="1"/>
    <col min="3604" max="3604" width="18.5" style="37" customWidth="1"/>
    <col min="3605" max="3605" width="17.5" style="37" bestFit="1" customWidth="1"/>
    <col min="3606" max="3840" width="9.5" style="37"/>
    <col min="3841" max="3841" width="18.5" style="37" customWidth="1"/>
    <col min="3842" max="3842" width="11.5" style="37" customWidth="1"/>
    <col min="3843" max="3843" width="21.5" style="37" customWidth="1"/>
    <col min="3844" max="3844" width="0.5" style="37" customWidth="1"/>
    <col min="3845" max="3845" width="22.5" style="37" customWidth="1"/>
    <col min="3846" max="3846" width="0.5" style="37" customWidth="1"/>
    <col min="3847" max="3847" width="18.5" style="37" customWidth="1"/>
    <col min="3848" max="3848" width="7.5" style="37" customWidth="1"/>
    <col min="3849" max="3849" width="15.5" style="37" customWidth="1"/>
    <col min="3850" max="3850" width="5.5" style="37" customWidth="1"/>
    <col min="3851" max="3851" width="18.5" style="37" customWidth="1"/>
    <col min="3852" max="3852" width="0.5" style="37" customWidth="1"/>
    <col min="3853" max="3854" width="4.5" style="37" customWidth="1"/>
    <col min="3855" max="3855" width="4" style="37" customWidth="1"/>
    <col min="3856" max="3856" width="5" style="37" customWidth="1"/>
    <col min="3857" max="3857" width="6.5" style="37" customWidth="1"/>
    <col min="3858" max="3858" width="21.5" style="37" customWidth="1"/>
    <col min="3859" max="3859" width="13.5" style="37" customWidth="1"/>
    <col min="3860" max="3860" width="18.5" style="37" customWidth="1"/>
    <col min="3861" max="3861" width="17.5" style="37" bestFit="1" customWidth="1"/>
    <col min="3862" max="4096" width="9.5" style="37"/>
    <col min="4097" max="4097" width="18.5" style="37" customWidth="1"/>
    <col min="4098" max="4098" width="11.5" style="37" customWidth="1"/>
    <col min="4099" max="4099" width="21.5" style="37" customWidth="1"/>
    <col min="4100" max="4100" width="0.5" style="37" customWidth="1"/>
    <col min="4101" max="4101" width="22.5" style="37" customWidth="1"/>
    <col min="4102" max="4102" width="0.5" style="37" customWidth="1"/>
    <col min="4103" max="4103" width="18.5" style="37" customWidth="1"/>
    <col min="4104" max="4104" width="7.5" style="37" customWidth="1"/>
    <col min="4105" max="4105" width="15.5" style="37" customWidth="1"/>
    <col min="4106" max="4106" width="5.5" style="37" customWidth="1"/>
    <col min="4107" max="4107" width="18.5" style="37" customWidth="1"/>
    <col min="4108" max="4108" width="0.5" style="37" customWidth="1"/>
    <col min="4109" max="4110" width="4.5" style="37" customWidth="1"/>
    <col min="4111" max="4111" width="4" style="37" customWidth="1"/>
    <col min="4112" max="4112" width="5" style="37" customWidth="1"/>
    <col min="4113" max="4113" width="6.5" style="37" customWidth="1"/>
    <col min="4114" max="4114" width="21.5" style="37" customWidth="1"/>
    <col min="4115" max="4115" width="13.5" style="37" customWidth="1"/>
    <col min="4116" max="4116" width="18.5" style="37" customWidth="1"/>
    <col min="4117" max="4117" width="17.5" style="37" bestFit="1" customWidth="1"/>
    <col min="4118" max="4352" width="9.5" style="37"/>
    <col min="4353" max="4353" width="18.5" style="37" customWidth="1"/>
    <col min="4354" max="4354" width="11.5" style="37" customWidth="1"/>
    <col min="4355" max="4355" width="21.5" style="37" customWidth="1"/>
    <col min="4356" max="4356" width="0.5" style="37" customWidth="1"/>
    <col min="4357" max="4357" width="22.5" style="37" customWidth="1"/>
    <col min="4358" max="4358" width="0.5" style="37" customWidth="1"/>
    <col min="4359" max="4359" width="18.5" style="37" customWidth="1"/>
    <col min="4360" max="4360" width="7.5" style="37" customWidth="1"/>
    <col min="4361" max="4361" width="15.5" style="37" customWidth="1"/>
    <col min="4362" max="4362" width="5.5" style="37" customWidth="1"/>
    <col min="4363" max="4363" width="18.5" style="37" customWidth="1"/>
    <col min="4364" max="4364" width="0.5" style="37" customWidth="1"/>
    <col min="4365" max="4366" width="4.5" style="37" customWidth="1"/>
    <col min="4367" max="4367" width="4" style="37" customWidth="1"/>
    <col min="4368" max="4368" width="5" style="37" customWidth="1"/>
    <col min="4369" max="4369" width="6.5" style="37" customWidth="1"/>
    <col min="4370" max="4370" width="21.5" style="37" customWidth="1"/>
    <col min="4371" max="4371" width="13.5" style="37" customWidth="1"/>
    <col min="4372" max="4372" width="18.5" style="37" customWidth="1"/>
    <col min="4373" max="4373" width="17.5" style="37" bestFit="1" customWidth="1"/>
    <col min="4374" max="4608" width="9.5" style="37"/>
    <col min="4609" max="4609" width="18.5" style="37" customWidth="1"/>
    <col min="4610" max="4610" width="11.5" style="37" customWidth="1"/>
    <col min="4611" max="4611" width="21.5" style="37" customWidth="1"/>
    <col min="4612" max="4612" width="0.5" style="37" customWidth="1"/>
    <col min="4613" max="4613" width="22.5" style="37" customWidth="1"/>
    <col min="4614" max="4614" width="0.5" style="37" customWidth="1"/>
    <col min="4615" max="4615" width="18.5" style="37" customWidth="1"/>
    <col min="4616" max="4616" width="7.5" style="37" customWidth="1"/>
    <col min="4617" max="4617" width="15.5" style="37" customWidth="1"/>
    <col min="4618" max="4618" width="5.5" style="37" customWidth="1"/>
    <col min="4619" max="4619" width="18.5" style="37" customWidth="1"/>
    <col min="4620" max="4620" width="0.5" style="37" customWidth="1"/>
    <col min="4621" max="4622" width="4.5" style="37" customWidth="1"/>
    <col min="4623" max="4623" width="4" style="37" customWidth="1"/>
    <col min="4624" max="4624" width="5" style="37" customWidth="1"/>
    <col min="4625" max="4625" width="6.5" style="37" customWidth="1"/>
    <col min="4626" max="4626" width="21.5" style="37" customWidth="1"/>
    <col min="4627" max="4627" width="13.5" style="37" customWidth="1"/>
    <col min="4628" max="4628" width="18.5" style="37" customWidth="1"/>
    <col min="4629" max="4629" width="17.5" style="37" bestFit="1" customWidth="1"/>
    <col min="4630" max="4864" width="9.5" style="37"/>
    <col min="4865" max="4865" width="18.5" style="37" customWidth="1"/>
    <col min="4866" max="4866" width="11.5" style="37" customWidth="1"/>
    <col min="4867" max="4867" width="21.5" style="37" customWidth="1"/>
    <col min="4868" max="4868" width="0.5" style="37" customWidth="1"/>
    <col min="4869" max="4869" width="22.5" style="37" customWidth="1"/>
    <col min="4870" max="4870" width="0.5" style="37" customWidth="1"/>
    <col min="4871" max="4871" width="18.5" style="37" customWidth="1"/>
    <col min="4872" max="4872" width="7.5" style="37" customWidth="1"/>
    <col min="4873" max="4873" width="15.5" style="37" customWidth="1"/>
    <col min="4874" max="4874" width="5.5" style="37" customWidth="1"/>
    <col min="4875" max="4875" width="18.5" style="37" customWidth="1"/>
    <col min="4876" max="4876" width="0.5" style="37" customWidth="1"/>
    <col min="4877" max="4878" width="4.5" style="37" customWidth="1"/>
    <col min="4879" max="4879" width="4" style="37" customWidth="1"/>
    <col min="4880" max="4880" width="5" style="37" customWidth="1"/>
    <col min="4881" max="4881" width="6.5" style="37" customWidth="1"/>
    <col min="4882" max="4882" width="21.5" style="37" customWidth="1"/>
    <col min="4883" max="4883" width="13.5" style="37" customWidth="1"/>
    <col min="4884" max="4884" width="18.5" style="37" customWidth="1"/>
    <col min="4885" max="4885" width="17.5" style="37" bestFit="1" customWidth="1"/>
    <col min="4886" max="5120" width="9.5" style="37"/>
    <col min="5121" max="5121" width="18.5" style="37" customWidth="1"/>
    <col min="5122" max="5122" width="11.5" style="37" customWidth="1"/>
    <col min="5123" max="5123" width="21.5" style="37" customWidth="1"/>
    <col min="5124" max="5124" width="0.5" style="37" customWidth="1"/>
    <col min="5125" max="5125" width="22.5" style="37" customWidth="1"/>
    <col min="5126" max="5126" width="0.5" style="37" customWidth="1"/>
    <col min="5127" max="5127" width="18.5" style="37" customWidth="1"/>
    <col min="5128" max="5128" width="7.5" style="37" customWidth="1"/>
    <col min="5129" max="5129" width="15.5" style="37" customWidth="1"/>
    <col min="5130" max="5130" width="5.5" style="37" customWidth="1"/>
    <col min="5131" max="5131" width="18.5" style="37" customWidth="1"/>
    <col min="5132" max="5132" width="0.5" style="37" customWidth="1"/>
    <col min="5133" max="5134" width="4.5" style="37" customWidth="1"/>
    <col min="5135" max="5135" width="4" style="37" customWidth="1"/>
    <col min="5136" max="5136" width="5" style="37" customWidth="1"/>
    <col min="5137" max="5137" width="6.5" style="37" customWidth="1"/>
    <col min="5138" max="5138" width="21.5" style="37" customWidth="1"/>
    <col min="5139" max="5139" width="13.5" style="37" customWidth="1"/>
    <col min="5140" max="5140" width="18.5" style="37" customWidth="1"/>
    <col min="5141" max="5141" width="17.5" style="37" bestFit="1" customWidth="1"/>
    <col min="5142" max="5376" width="9.5" style="37"/>
    <col min="5377" max="5377" width="18.5" style="37" customWidth="1"/>
    <col min="5378" max="5378" width="11.5" style="37" customWidth="1"/>
    <col min="5379" max="5379" width="21.5" style="37" customWidth="1"/>
    <col min="5380" max="5380" width="0.5" style="37" customWidth="1"/>
    <col min="5381" max="5381" width="22.5" style="37" customWidth="1"/>
    <col min="5382" max="5382" width="0.5" style="37" customWidth="1"/>
    <col min="5383" max="5383" width="18.5" style="37" customWidth="1"/>
    <col min="5384" max="5384" width="7.5" style="37" customWidth="1"/>
    <col min="5385" max="5385" width="15.5" style="37" customWidth="1"/>
    <col min="5386" max="5386" width="5.5" style="37" customWidth="1"/>
    <col min="5387" max="5387" width="18.5" style="37" customWidth="1"/>
    <col min="5388" max="5388" width="0.5" style="37" customWidth="1"/>
    <col min="5389" max="5390" width="4.5" style="37" customWidth="1"/>
    <col min="5391" max="5391" width="4" style="37" customWidth="1"/>
    <col min="5392" max="5392" width="5" style="37" customWidth="1"/>
    <col min="5393" max="5393" width="6.5" style="37" customWidth="1"/>
    <col min="5394" max="5394" width="21.5" style="37" customWidth="1"/>
    <col min="5395" max="5395" width="13.5" style="37" customWidth="1"/>
    <col min="5396" max="5396" width="18.5" style="37" customWidth="1"/>
    <col min="5397" max="5397" width="17.5" style="37" bestFit="1" customWidth="1"/>
    <col min="5398" max="5632" width="9.5" style="37"/>
    <col min="5633" max="5633" width="18.5" style="37" customWidth="1"/>
    <col min="5634" max="5634" width="11.5" style="37" customWidth="1"/>
    <col min="5635" max="5635" width="21.5" style="37" customWidth="1"/>
    <col min="5636" max="5636" width="0.5" style="37" customWidth="1"/>
    <col min="5637" max="5637" width="22.5" style="37" customWidth="1"/>
    <col min="5638" max="5638" width="0.5" style="37" customWidth="1"/>
    <col min="5639" max="5639" width="18.5" style="37" customWidth="1"/>
    <col min="5640" max="5640" width="7.5" style="37" customWidth="1"/>
    <col min="5641" max="5641" width="15.5" style="37" customWidth="1"/>
    <col min="5642" max="5642" width="5.5" style="37" customWidth="1"/>
    <col min="5643" max="5643" width="18.5" style="37" customWidth="1"/>
    <col min="5644" max="5644" width="0.5" style="37" customWidth="1"/>
    <col min="5645" max="5646" width="4.5" style="37" customWidth="1"/>
    <col min="5647" max="5647" width="4" style="37" customWidth="1"/>
    <col min="5648" max="5648" width="5" style="37" customWidth="1"/>
    <col min="5649" max="5649" width="6.5" style="37" customWidth="1"/>
    <col min="5650" max="5650" width="21.5" style="37" customWidth="1"/>
    <col min="5651" max="5651" width="13.5" style="37" customWidth="1"/>
    <col min="5652" max="5652" width="18.5" style="37" customWidth="1"/>
    <col min="5653" max="5653" width="17.5" style="37" bestFit="1" customWidth="1"/>
    <col min="5654" max="5888" width="9.5" style="37"/>
    <col min="5889" max="5889" width="18.5" style="37" customWidth="1"/>
    <col min="5890" max="5890" width="11.5" style="37" customWidth="1"/>
    <col min="5891" max="5891" width="21.5" style="37" customWidth="1"/>
    <col min="5892" max="5892" width="0.5" style="37" customWidth="1"/>
    <col min="5893" max="5893" width="22.5" style="37" customWidth="1"/>
    <col min="5894" max="5894" width="0.5" style="37" customWidth="1"/>
    <col min="5895" max="5895" width="18.5" style="37" customWidth="1"/>
    <col min="5896" max="5896" width="7.5" style="37" customWidth="1"/>
    <col min="5897" max="5897" width="15.5" style="37" customWidth="1"/>
    <col min="5898" max="5898" width="5.5" style="37" customWidth="1"/>
    <col min="5899" max="5899" width="18.5" style="37" customWidth="1"/>
    <col min="5900" max="5900" width="0.5" style="37" customWidth="1"/>
    <col min="5901" max="5902" width="4.5" style="37" customWidth="1"/>
    <col min="5903" max="5903" width="4" style="37" customWidth="1"/>
    <col min="5904" max="5904" width="5" style="37" customWidth="1"/>
    <col min="5905" max="5905" width="6.5" style="37" customWidth="1"/>
    <col min="5906" max="5906" width="21.5" style="37" customWidth="1"/>
    <col min="5907" max="5907" width="13.5" style="37" customWidth="1"/>
    <col min="5908" max="5908" width="18.5" style="37" customWidth="1"/>
    <col min="5909" max="5909" width="17.5" style="37" bestFit="1" customWidth="1"/>
    <col min="5910" max="6144" width="9.5" style="37"/>
    <col min="6145" max="6145" width="18.5" style="37" customWidth="1"/>
    <col min="6146" max="6146" width="11.5" style="37" customWidth="1"/>
    <col min="6147" max="6147" width="21.5" style="37" customWidth="1"/>
    <col min="6148" max="6148" width="0.5" style="37" customWidth="1"/>
    <col min="6149" max="6149" width="22.5" style="37" customWidth="1"/>
    <col min="6150" max="6150" width="0.5" style="37" customWidth="1"/>
    <col min="6151" max="6151" width="18.5" style="37" customWidth="1"/>
    <col min="6152" max="6152" width="7.5" style="37" customWidth="1"/>
    <col min="6153" max="6153" width="15.5" style="37" customWidth="1"/>
    <col min="6154" max="6154" width="5.5" style="37" customWidth="1"/>
    <col min="6155" max="6155" width="18.5" style="37" customWidth="1"/>
    <col min="6156" max="6156" width="0.5" style="37" customWidth="1"/>
    <col min="6157" max="6158" width="4.5" style="37" customWidth="1"/>
    <col min="6159" max="6159" width="4" style="37" customWidth="1"/>
    <col min="6160" max="6160" width="5" style="37" customWidth="1"/>
    <col min="6161" max="6161" width="6.5" style="37" customWidth="1"/>
    <col min="6162" max="6162" width="21.5" style="37" customWidth="1"/>
    <col min="6163" max="6163" width="13.5" style="37" customWidth="1"/>
    <col min="6164" max="6164" width="18.5" style="37" customWidth="1"/>
    <col min="6165" max="6165" width="17.5" style="37" bestFit="1" customWidth="1"/>
    <col min="6166" max="6400" width="9.5" style="37"/>
    <col min="6401" max="6401" width="18.5" style="37" customWidth="1"/>
    <col min="6402" max="6402" width="11.5" style="37" customWidth="1"/>
    <col min="6403" max="6403" width="21.5" style="37" customWidth="1"/>
    <col min="6404" max="6404" width="0.5" style="37" customWidth="1"/>
    <col min="6405" max="6405" width="22.5" style="37" customWidth="1"/>
    <col min="6406" max="6406" width="0.5" style="37" customWidth="1"/>
    <col min="6407" max="6407" width="18.5" style="37" customWidth="1"/>
    <col min="6408" max="6408" width="7.5" style="37" customWidth="1"/>
    <col min="6409" max="6409" width="15.5" style="37" customWidth="1"/>
    <col min="6410" max="6410" width="5.5" style="37" customWidth="1"/>
    <col min="6411" max="6411" width="18.5" style="37" customWidth="1"/>
    <col min="6412" max="6412" width="0.5" style="37" customWidth="1"/>
    <col min="6413" max="6414" width="4.5" style="37" customWidth="1"/>
    <col min="6415" max="6415" width="4" style="37" customWidth="1"/>
    <col min="6416" max="6416" width="5" style="37" customWidth="1"/>
    <col min="6417" max="6417" width="6.5" style="37" customWidth="1"/>
    <col min="6418" max="6418" width="21.5" style="37" customWidth="1"/>
    <col min="6419" max="6419" width="13.5" style="37" customWidth="1"/>
    <col min="6420" max="6420" width="18.5" style="37" customWidth="1"/>
    <col min="6421" max="6421" width="17.5" style="37" bestFit="1" customWidth="1"/>
    <col min="6422" max="6656" width="9.5" style="37"/>
    <col min="6657" max="6657" width="18.5" style="37" customWidth="1"/>
    <col min="6658" max="6658" width="11.5" style="37" customWidth="1"/>
    <col min="6659" max="6659" width="21.5" style="37" customWidth="1"/>
    <col min="6660" max="6660" width="0.5" style="37" customWidth="1"/>
    <col min="6661" max="6661" width="22.5" style="37" customWidth="1"/>
    <col min="6662" max="6662" width="0.5" style="37" customWidth="1"/>
    <col min="6663" max="6663" width="18.5" style="37" customWidth="1"/>
    <col min="6664" max="6664" width="7.5" style="37" customWidth="1"/>
    <col min="6665" max="6665" width="15.5" style="37" customWidth="1"/>
    <col min="6666" max="6666" width="5.5" style="37" customWidth="1"/>
    <col min="6667" max="6667" width="18.5" style="37" customWidth="1"/>
    <col min="6668" max="6668" width="0.5" style="37" customWidth="1"/>
    <col min="6669" max="6670" width="4.5" style="37" customWidth="1"/>
    <col min="6671" max="6671" width="4" style="37" customWidth="1"/>
    <col min="6672" max="6672" width="5" style="37" customWidth="1"/>
    <col min="6673" max="6673" width="6.5" style="37" customWidth="1"/>
    <col min="6674" max="6674" width="21.5" style="37" customWidth="1"/>
    <col min="6675" max="6675" width="13.5" style="37" customWidth="1"/>
    <col min="6676" max="6676" width="18.5" style="37" customWidth="1"/>
    <col min="6677" max="6677" width="17.5" style="37" bestFit="1" customWidth="1"/>
    <col min="6678" max="6912" width="9.5" style="37"/>
    <col min="6913" max="6913" width="18.5" style="37" customWidth="1"/>
    <col min="6914" max="6914" width="11.5" style="37" customWidth="1"/>
    <col min="6915" max="6915" width="21.5" style="37" customWidth="1"/>
    <col min="6916" max="6916" width="0.5" style="37" customWidth="1"/>
    <col min="6917" max="6917" width="22.5" style="37" customWidth="1"/>
    <col min="6918" max="6918" width="0.5" style="37" customWidth="1"/>
    <col min="6919" max="6919" width="18.5" style="37" customWidth="1"/>
    <col min="6920" max="6920" width="7.5" style="37" customWidth="1"/>
    <col min="6921" max="6921" width="15.5" style="37" customWidth="1"/>
    <col min="6922" max="6922" width="5.5" style="37" customWidth="1"/>
    <col min="6923" max="6923" width="18.5" style="37" customWidth="1"/>
    <col min="6924" max="6924" width="0.5" style="37" customWidth="1"/>
    <col min="6925" max="6926" width="4.5" style="37" customWidth="1"/>
    <col min="6927" max="6927" width="4" style="37" customWidth="1"/>
    <col min="6928" max="6928" width="5" style="37" customWidth="1"/>
    <col min="6929" max="6929" width="6.5" style="37" customWidth="1"/>
    <col min="6930" max="6930" width="21.5" style="37" customWidth="1"/>
    <col min="6931" max="6931" width="13.5" style="37" customWidth="1"/>
    <col min="6932" max="6932" width="18.5" style="37" customWidth="1"/>
    <col min="6933" max="6933" width="17.5" style="37" bestFit="1" customWidth="1"/>
    <col min="6934" max="7168" width="9.5" style="37"/>
    <col min="7169" max="7169" width="18.5" style="37" customWidth="1"/>
    <col min="7170" max="7170" width="11.5" style="37" customWidth="1"/>
    <col min="7171" max="7171" width="21.5" style="37" customWidth="1"/>
    <col min="7172" max="7172" width="0.5" style="37" customWidth="1"/>
    <col min="7173" max="7173" width="22.5" style="37" customWidth="1"/>
    <col min="7174" max="7174" width="0.5" style="37" customWidth="1"/>
    <col min="7175" max="7175" width="18.5" style="37" customWidth="1"/>
    <col min="7176" max="7176" width="7.5" style="37" customWidth="1"/>
    <col min="7177" max="7177" width="15.5" style="37" customWidth="1"/>
    <col min="7178" max="7178" width="5.5" style="37" customWidth="1"/>
    <col min="7179" max="7179" width="18.5" style="37" customWidth="1"/>
    <col min="7180" max="7180" width="0.5" style="37" customWidth="1"/>
    <col min="7181" max="7182" width="4.5" style="37" customWidth="1"/>
    <col min="7183" max="7183" width="4" style="37" customWidth="1"/>
    <col min="7184" max="7184" width="5" style="37" customWidth="1"/>
    <col min="7185" max="7185" width="6.5" style="37" customWidth="1"/>
    <col min="7186" max="7186" width="21.5" style="37" customWidth="1"/>
    <col min="7187" max="7187" width="13.5" style="37" customWidth="1"/>
    <col min="7188" max="7188" width="18.5" style="37" customWidth="1"/>
    <col min="7189" max="7189" width="17.5" style="37" bestFit="1" customWidth="1"/>
    <col min="7190" max="7424" width="9.5" style="37"/>
    <col min="7425" max="7425" width="18.5" style="37" customWidth="1"/>
    <col min="7426" max="7426" width="11.5" style="37" customWidth="1"/>
    <col min="7427" max="7427" width="21.5" style="37" customWidth="1"/>
    <col min="7428" max="7428" width="0.5" style="37" customWidth="1"/>
    <col min="7429" max="7429" width="22.5" style="37" customWidth="1"/>
    <col min="7430" max="7430" width="0.5" style="37" customWidth="1"/>
    <col min="7431" max="7431" width="18.5" style="37" customWidth="1"/>
    <col min="7432" max="7432" width="7.5" style="37" customWidth="1"/>
    <col min="7433" max="7433" width="15.5" style="37" customWidth="1"/>
    <col min="7434" max="7434" width="5.5" style="37" customWidth="1"/>
    <col min="7435" max="7435" width="18.5" style="37" customWidth="1"/>
    <col min="7436" max="7436" width="0.5" style="37" customWidth="1"/>
    <col min="7437" max="7438" width="4.5" style="37" customWidth="1"/>
    <col min="7439" max="7439" width="4" style="37" customWidth="1"/>
    <col min="7440" max="7440" width="5" style="37" customWidth="1"/>
    <col min="7441" max="7441" width="6.5" style="37" customWidth="1"/>
    <col min="7442" max="7442" width="21.5" style="37" customWidth="1"/>
    <col min="7443" max="7443" width="13.5" style="37" customWidth="1"/>
    <col min="7444" max="7444" width="18.5" style="37" customWidth="1"/>
    <col min="7445" max="7445" width="17.5" style="37" bestFit="1" customWidth="1"/>
    <col min="7446" max="7680" width="9.5" style="37"/>
    <col min="7681" max="7681" width="18.5" style="37" customWidth="1"/>
    <col min="7682" max="7682" width="11.5" style="37" customWidth="1"/>
    <col min="7683" max="7683" width="21.5" style="37" customWidth="1"/>
    <col min="7684" max="7684" width="0.5" style="37" customWidth="1"/>
    <col min="7685" max="7685" width="22.5" style="37" customWidth="1"/>
    <col min="7686" max="7686" width="0.5" style="37" customWidth="1"/>
    <col min="7687" max="7687" width="18.5" style="37" customWidth="1"/>
    <col min="7688" max="7688" width="7.5" style="37" customWidth="1"/>
    <col min="7689" max="7689" width="15.5" style="37" customWidth="1"/>
    <col min="7690" max="7690" width="5.5" style="37" customWidth="1"/>
    <col min="7691" max="7691" width="18.5" style="37" customWidth="1"/>
    <col min="7692" max="7692" width="0.5" style="37" customWidth="1"/>
    <col min="7693" max="7694" width="4.5" style="37" customWidth="1"/>
    <col min="7695" max="7695" width="4" style="37" customWidth="1"/>
    <col min="7696" max="7696" width="5" style="37" customWidth="1"/>
    <col min="7697" max="7697" width="6.5" style="37" customWidth="1"/>
    <col min="7698" max="7698" width="21.5" style="37" customWidth="1"/>
    <col min="7699" max="7699" width="13.5" style="37" customWidth="1"/>
    <col min="7700" max="7700" width="18.5" style="37" customWidth="1"/>
    <col min="7701" max="7701" width="17.5" style="37" bestFit="1" customWidth="1"/>
    <col min="7702" max="7936" width="9.5" style="37"/>
    <col min="7937" max="7937" width="18.5" style="37" customWidth="1"/>
    <col min="7938" max="7938" width="11.5" style="37" customWidth="1"/>
    <col min="7939" max="7939" width="21.5" style="37" customWidth="1"/>
    <col min="7940" max="7940" width="0.5" style="37" customWidth="1"/>
    <col min="7941" max="7941" width="22.5" style="37" customWidth="1"/>
    <col min="7942" max="7942" width="0.5" style="37" customWidth="1"/>
    <col min="7943" max="7943" width="18.5" style="37" customWidth="1"/>
    <col min="7944" max="7944" width="7.5" style="37" customWidth="1"/>
    <col min="7945" max="7945" width="15.5" style="37" customWidth="1"/>
    <col min="7946" max="7946" width="5.5" style="37" customWidth="1"/>
    <col min="7947" max="7947" width="18.5" style="37" customWidth="1"/>
    <col min="7948" max="7948" width="0.5" style="37" customWidth="1"/>
    <col min="7949" max="7950" width="4.5" style="37" customWidth="1"/>
    <col min="7951" max="7951" width="4" style="37" customWidth="1"/>
    <col min="7952" max="7952" width="5" style="37" customWidth="1"/>
    <col min="7953" max="7953" width="6.5" style="37" customWidth="1"/>
    <col min="7954" max="7954" width="21.5" style="37" customWidth="1"/>
    <col min="7955" max="7955" width="13.5" style="37" customWidth="1"/>
    <col min="7956" max="7956" width="18.5" style="37" customWidth="1"/>
    <col min="7957" max="7957" width="17.5" style="37" bestFit="1" customWidth="1"/>
    <col min="7958" max="8192" width="9.5" style="37"/>
    <col min="8193" max="8193" width="18.5" style="37" customWidth="1"/>
    <col min="8194" max="8194" width="11.5" style="37" customWidth="1"/>
    <col min="8195" max="8195" width="21.5" style="37" customWidth="1"/>
    <col min="8196" max="8196" width="0.5" style="37" customWidth="1"/>
    <col min="8197" max="8197" width="22.5" style="37" customWidth="1"/>
    <col min="8198" max="8198" width="0.5" style="37" customWidth="1"/>
    <col min="8199" max="8199" width="18.5" style="37" customWidth="1"/>
    <col min="8200" max="8200" width="7.5" style="37" customWidth="1"/>
    <col min="8201" max="8201" width="15.5" style="37" customWidth="1"/>
    <col min="8202" max="8202" width="5.5" style="37" customWidth="1"/>
    <col min="8203" max="8203" width="18.5" style="37" customWidth="1"/>
    <col min="8204" max="8204" width="0.5" style="37" customWidth="1"/>
    <col min="8205" max="8206" width="4.5" style="37" customWidth="1"/>
    <col min="8207" max="8207" width="4" style="37" customWidth="1"/>
    <col min="8208" max="8208" width="5" style="37" customWidth="1"/>
    <col min="8209" max="8209" width="6.5" style="37" customWidth="1"/>
    <col min="8210" max="8210" width="21.5" style="37" customWidth="1"/>
    <col min="8211" max="8211" width="13.5" style="37" customWidth="1"/>
    <col min="8212" max="8212" width="18.5" style="37" customWidth="1"/>
    <col min="8213" max="8213" width="17.5" style="37" bestFit="1" customWidth="1"/>
    <col min="8214" max="8448" width="9.5" style="37"/>
    <col min="8449" max="8449" width="18.5" style="37" customWidth="1"/>
    <col min="8450" max="8450" width="11.5" style="37" customWidth="1"/>
    <col min="8451" max="8451" width="21.5" style="37" customWidth="1"/>
    <col min="8452" max="8452" width="0.5" style="37" customWidth="1"/>
    <col min="8453" max="8453" width="22.5" style="37" customWidth="1"/>
    <col min="8454" max="8454" width="0.5" style="37" customWidth="1"/>
    <col min="8455" max="8455" width="18.5" style="37" customWidth="1"/>
    <col min="8456" max="8456" width="7.5" style="37" customWidth="1"/>
    <col min="8457" max="8457" width="15.5" style="37" customWidth="1"/>
    <col min="8458" max="8458" width="5.5" style="37" customWidth="1"/>
    <col min="8459" max="8459" width="18.5" style="37" customWidth="1"/>
    <col min="8460" max="8460" width="0.5" style="37" customWidth="1"/>
    <col min="8461" max="8462" width="4.5" style="37" customWidth="1"/>
    <col min="8463" max="8463" width="4" style="37" customWidth="1"/>
    <col min="8464" max="8464" width="5" style="37" customWidth="1"/>
    <col min="8465" max="8465" width="6.5" style="37" customWidth="1"/>
    <col min="8466" max="8466" width="21.5" style="37" customWidth="1"/>
    <col min="8467" max="8467" width="13.5" style="37" customWidth="1"/>
    <col min="8468" max="8468" width="18.5" style="37" customWidth="1"/>
    <col min="8469" max="8469" width="17.5" style="37" bestFit="1" customWidth="1"/>
    <col min="8470" max="8704" width="9.5" style="37"/>
    <col min="8705" max="8705" width="18.5" style="37" customWidth="1"/>
    <col min="8706" max="8706" width="11.5" style="37" customWidth="1"/>
    <col min="8707" max="8707" width="21.5" style="37" customWidth="1"/>
    <col min="8708" max="8708" width="0.5" style="37" customWidth="1"/>
    <col min="8709" max="8709" width="22.5" style="37" customWidth="1"/>
    <col min="8710" max="8710" width="0.5" style="37" customWidth="1"/>
    <col min="8711" max="8711" width="18.5" style="37" customWidth="1"/>
    <col min="8712" max="8712" width="7.5" style="37" customWidth="1"/>
    <col min="8713" max="8713" width="15.5" style="37" customWidth="1"/>
    <col min="8714" max="8714" width="5.5" style="37" customWidth="1"/>
    <col min="8715" max="8715" width="18.5" style="37" customWidth="1"/>
    <col min="8716" max="8716" width="0.5" style="37" customWidth="1"/>
    <col min="8717" max="8718" width="4.5" style="37" customWidth="1"/>
    <col min="8719" max="8719" width="4" style="37" customWidth="1"/>
    <col min="8720" max="8720" width="5" style="37" customWidth="1"/>
    <col min="8721" max="8721" width="6.5" style="37" customWidth="1"/>
    <col min="8722" max="8722" width="21.5" style="37" customWidth="1"/>
    <col min="8723" max="8723" width="13.5" style="37" customWidth="1"/>
    <col min="8724" max="8724" width="18.5" style="37" customWidth="1"/>
    <col min="8725" max="8725" width="17.5" style="37" bestFit="1" customWidth="1"/>
    <col min="8726" max="8960" width="9.5" style="37"/>
    <col min="8961" max="8961" width="18.5" style="37" customWidth="1"/>
    <col min="8962" max="8962" width="11.5" style="37" customWidth="1"/>
    <col min="8963" max="8963" width="21.5" style="37" customWidth="1"/>
    <col min="8964" max="8964" width="0.5" style="37" customWidth="1"/>
    <col min="8965" max="8965" width="22.5" style="37" customWidth="1"/>
    <col min="8966" max="8966" width="0.5" style="37" customWidth="1"/>
    <col min="8967" max="8967" width="18.5" style="37" customWidth="1"/>
    <col min="8968" max="8968" width="7.5" style="37" customWidth="1"/>
    <col min="8969" max="8969" width="15.5" style="37" customWidth="1"/>
    <col min="8970" max="8970" width="5.5" style="37" customWidth="1"/>
    <col min="8971" max="8971" width="18.5" style="37" customWidth="1"/>
    <col min="8972" max="8972" width="0.5" style="37" customWidth="1"/>
    <col min="8973" max="8974" width="4.5" style="37" customWidth="1"/>
    <col min="8975" max="8975" width="4" style="37" customWidth="1"/>
    <col min="8976" max="8976" width="5" style="37" customWidth="1"/>
    <col min="8977" max="8977" width="6.5" style="37" customWidth="1"/>
    <col min="8978" max="8978" width="21.5" style="37" customWidth="1"/>
    <col min="8979" max="8979" width="13.5" style="37" customWidth="1"/>
    <col min="8980" max="8980" width="18.5" style="37" customWidth="1"/>
    <col min="8981" max="8981" width="17.5" style="37" bestFit="1" customWidth="1"/>
    <col min="8982" max="9216" width="9.5" style="37"/>
    <col min="9217" max="9217" width="18.5" style="37" customWidth="1"/>
    <col min="9218" max="9218" width="11.5" style="37" customWidth="1"/>
    <col min="9219" max="9219" width="21.5" style="37" customWidth="1"/>
    <col min="9220" max="9220" width="0.5" style="37" customWidth="1"/>
    <col min="9221" max="9221" width="22.5" style="37" customWidth="1"/>
    <col min="9222" max="9222" width="0.5" style="37" customWidth="1"/>
    <col min="9223" max="9223" width="18.5" style="37" customWidth="1"/>
    <col min="9224" max="9224" width="7.5" style="37" customWidth="1"/>
    <col min="9225" max="9225" width="15.5" style="37" customWidth="1"/>
    <col min="9226" max="9226" width="5.5" style="37" customWidth="1"/>
    <col min="9227" max="9227" width="18.5" style="37" customWidth="1"/>
    <col min="9228" max="9228" width="0.5" style="37" customWidth="1"/>
    <col min="9229" max="9230" width="4.5" style="37" customWidth="1"/>
    <col min="9231" max="9231" width="4" style="37" customWidth="1"/>
    <col min="9232" max="9232" width="5" style="37" customWidth="1"/>
    <col min="9233" max="9233" width="6.5" style="37" customWidth="1"/>
    <col min="9234" max="9234" width="21.5" style="37" customWidth="1"/>
    <col min="9235" max="9235" width="13.5" style="37" customWidth="1"/>
    <col min="9236" max="9236" width="18.5" style="37" customWidth="1"/>
    <col min="9237" max="9237" width="17.5" style="37" bestFit="1" customWidth="1"/>
    <col min="9238" max="9472" width="9.5" style="37"/>
    <col min="9473" max="9473" width="18.5" style="37" customWidth="1"/>
    <col min="9474" max="9474" width="11.5" style="37" customWidth="1"/>
    <col min="9475" max="9475" width="21.5" style="37" customWidth="1"/>
    <col min="9476" max="9476" width="0.5" style="37" customWidth="1"/>
    <col min="9477" max="9477" width="22.5" style="37" customWidth="1"/>
    <col min="9478" max="9478" width="0.5" style="37" customWidth="1"/>
    <col min="9479" max="9479" width="18.5" style="37" customWidth="1"/>
    <col min="9480" max="9480" width="7.5" style="37" customWidth="1"/>
    <col min="9481" max="9481" width="15.5" style="37" customWidth="1"/>
    <col min="9482" max="9482" width="5.5" style="37" customWidth="1"/>
    <col min="9483" max="9483" width="18.5" style="37" customWidth="1"/>
    <col min="9484" max="9484" width="0.5" style="37" customWidth="1"/>
    <col min="9485" max="9486" width="4.5" style="37" customWidth="1"/>
    <col min="9487" max="9487" width="4" style="37" customWidth="1"/>
    <col min="9488" max="9488" width="5" style="37" customWidth="1"/>
    <col min="9489" max="9489" width="6.5" style="37" customWidth="1"/>
    <col min="9490" max="9490" width="21.5" style="37" customWidth="1"/>
    <col min="9491" max="9491" width="13.5" style="37" customWidth="1"/>
    <col min="9492" max="9492" width="18.5" style="37" customWidth="1"/>
    <col min="9493" max="9493" width="17.5" style="37" bestFit="1" customWidth="1"/>
    <col min="9494" max="9728" width="9.5" style="37"/>
    <col min="9729" max="9729" width="18.5" style="37" customWidth="1"/>
    <col min="9730" max="9730" width="11.5" style="37" customWidth="1"/>
    <col min="9731" max="9731" width="21.5" style="37" customWidth="1"/>
    <col min="9732" max="9732" width="0.5" style="37" customWidth="1"/>
    <col min="9733" max="9733" width="22.5" style="37" customWidth="1"/>
    <col min="9734" max="9734" width="0.5" style="37" customWidth="1"/>
    <col min="9735" max="9735" width="18.5" style="37" customWidth="1"/>
    <col min="9736" max="9736" width="7.5" style="37" customWidth="1"/>
    <col min="9737" max="9737" width="15.5" style="37" customWidth="1"/>
    <col min="9738" max="9738" width="5.5" style="37" customWidth="1"/>
    <col min="9739" max="9739" width="18.5" style="37" customWidth="1"/>
    <col min="9740" max="9740" width="0.5" style="37" customWidth="1"/>
    <col min="9741" max="9742" width="4.5" style="37" customWidth="1"/>
    <col min="9743" max="9743" width="4" style="37" customWidth="1"/>
    <col min="9744" max="9744" width="5" style="37" customWidth="1"/>
    <col min="9745" max="9745" width="6.5" style="37" customWidth="1"/>
    <col min="9746" max="9746" width="21.5" style="37" customWidth="1"/>
    <col min="9747" max="9747" width="13.5" style="37" customWidth="1"/>
    <col min="9748" max="9748" width="18.5" style="37" customWidth="1"/>
    <col min="9749" max="9749" width="17.5" style="37" bestFit="1" customWidth="1"/>
    <col min="9750" max="9984" width="9.5" style="37"/>
    <col min="9985" max="9985" width="18.5" style="37" customWidth="1"/>
    <col min="9986" max="9986" width="11.5" style="37" customWidth="1"/>
    <col min="9987" max="9987" width="21.5" style="37" customWidth="1"/>
    <col min="9988" max="9988" width="0.5" style="37" customWidth="1"/>
    <col min="9989" max="9989" width="22.5" style="37" customWidth="1"/>
    <col min="9990" max="9990" width="0.5" style="37" customWidth="1"/>
    <col min="9991" max="9991" width="18.5" style="37" customWidth="1"/>
    <col min="9992" max="9992" width="7.5" style="37" customWidth="1"/>
    <col min="9993" max="9993" width="15.5" style="37" customWidth="1"/>
    <col min="9994" max="9994" width="5.5" style="37" customWidth="1"/>
    <col min="9995" max="9995" width="18.5" style="37" customWidth="1"/>
    <col min="9996" max="9996" width="0.5" style="37" customWidth="1"/>
    <col min="9997" max="9998" width="4.5" style="37" customWidth="1"/>
    <col min="9999" max="9999" width="4" style="37" customWidth="1"/>
    <col min="10000" max="10000" width="5" style="37" customWidth="1"/>
    <col min="10001" max="10001" width="6.5" style="37" customWidth="1"/>
    <col min="10002" max="10002" width="21.5" style="37" customWidth="1"/>
    <col min="10003" max="10003" width="13.5" style="37" customWidth="1"/>
    <col min="10004" max="10004" width="18.5" style="37" customWidth="1"/>
    <col min="10005" max="10005" width="17.5" style="37" bestFit="1" customWidth="1"/>
    <col min="10006" max="10240" width="9.5" style="37"/>
    <col min="10241" max="10241" width="18.5" style="37" customWidth="1"/>
    <col min="10242" max="10242" width="11.5" style="37" customWidth="1"/>
    <col min="10243" max="10243" width="21.5" style="37" customWidth="1"/>
    <col min="10244" max="10244" width="0.5" style="37" customWidth="1"/>
    <col min="10245" max="10245" width="22.5" style="37" customWidth="1"/>
    <col min="10246" max="10246" width="0.5" style="37" customWidth="1"/>
    <col min="10247" max="10247" width="18.5" style="37" customWidth="1"/>
    <col min="10248" max="10248" width="7.5" style="37" customWidth="1"/>
    <col min="10249" max="10249" width="15.5" style="37" customWidth="1"/>
    <col min="10250" max="10250" width="5.5" style="37" customWidth="1"/>
    <col min="10251" max="10251" width="18.5" style="37" customWidth="1"/>
    <col min="10252" max="10252" width="0.5" style="37" customWidth="1"/>
    <col min="10253" max="10254" width="4.5" style="37" customWidth="1"/>
    <col min="10255" max="10255" width="4" style="37" customWidth="1"/>
    <col min="10256" max="10256" width="5" style="37" customWidth="1"/>
    <col min="10257" max="10257" width="6.5" style="37" customWidth="1"/>
    <col min="10258" max="10258" width="21.5" style="37" customWidth="1"/>
    <col min="10259" max="10259" width="13.5" style="37" customWidth="1"/>
    <col min="10260" max="10260" width="18.5" style="37" customWidth="1"/>
    <col min="10261" max="10261" width="17.5" style="37" bestFit="1" customWidth="1"/>
    <col min="10262" max="10496" width="9.5" style="37"/>
    <col min="10497" max="10497" width="18.5" style="37" customWidth="1"/>
    <col min="10498" max="10498" width="11.5" style="37" customWidth="1"/>
    <col min="10499" max="10499" width="21.5" style="37" customWidth="1"/>
    <col min="10500" max="10500" width="0.5" style="37" customWidth="1"/>
    <col min="10501" max="10501" width="22.5" style="37" customWidth="1"/>
    <col min="10502" max="10502" width="0.5" style="37" customWidth="1"/>
    <col min="10503" max="10503" width="18.5" style="37" customWidth="1"/>
    <col min="10504" max="10504" width="7.5" style="37" customWidth="1"/>
    <col min="10505" max="10505" width="15.5" style="37" customWidth="1"/>
    <col min="10506" max="10506" width="5.5" style="37" customWidth="1"/>
    <col min="10507" max="10507" width="18.5" style="37" customWidth="1"/>
    <col min="10508" max="10508" width="0.5" style="37" customWidth="1"/>
    <col min="10509" max="10510" width="4.5" style="37" customWidth="1"/>
    <col min="10511" max="10511" width="4" style="37" customWidth="1"/>
    <col min="10512" max="10512" width="5" style="37" customWidth="1"/>
    <col min="10513" max="10513" width="6.5" style="37" customWidth="1"/>
    <col min="10514" max="10514" width="21.5" style="37" customWidth="1"/>
    <col min="10515" max="10515" width="13.5" style="37" customWidth="1"/>
    <col min="10516" max="10516" width="18.5" style="37" customWidth="1"/>
    <col min="10517" max="10517" width="17.5" style="37" bestFit="1" customWidth="1"/>
    <col min="10518" max="10752" width="9.5" style="37"/>
    <col min="10753" max="10753" width="18.5" style="37" customWidth="1"/>
    <col min="10754" max="10754" width="11.5" style="37" customWidth="1"/>
    <col min="10755" max="10755" width="21.5" style="37" customWidth="1"/>
    <col min="10756" max="10756" width="0.5" style="37" customWidth="1"/>
    <col min="10757" max="10757" width="22.5" style="37" customWidth="1"/>
    <col min="10758" max="10758" width="0.5" style="37" customWidth="1"/>
    <col min="10759" max="10759" width="18.5" style="37" customWidth="1"/>
    <col min="10760" max="10760" width="7.5" style="37" customWidth="1"/>
    <col min="10761" max="10761" width="15.5" style="37" customWidth="1"/>
    <col min="10762" max="10762" width="5.5" style="37" customWidth="1"/>
    <col min="10763" max="10763" width="18.5" style="37" customWidth="1"/>
    <col min="10764" max="10764" width="0.5" style="37" customWidth="1"/>
    <col min="10765" max="10766" width="4.5" style="37" customWidth="1"/>
    <col min="10767" max="10767" width="4" style="37" customWidth="1"/>
    <col min="10768" max="10768" width="5" style="37" customWidth="1"/>
    <col min="10769" max="10769" width="6.5" style="37" customWidth="1"/>
    <col min="10770" max="10770" width="21.5" style="37" customWidth="1"/>
    <col min="10771" max="10771" width="13.5" style="37" customWidth="1"/>
    <col min="10772" max="10772" width="18.5" style="37" customWidth="1"/>
    <col min="10773" max="10773" width="17.5" style="37" bestFit="1" customWidth="1"/>
    <col min="10774" max="11008" width="9.5" style="37"/>
    <col min="11009" max="11009" width="18.5" style="37" customWidth="1"/>
    <col min="11010" max="11010" width="11.5" style="37" customWidth="1"/>
    <col min="11011" max="11011" width="21.5" style="37" customWidth="1"/>
    <col min="11012" max="11012" width="0.5" style="37" customWidth="1"/>
    <col min="11013" max="11013" width="22.5" style="37" customWidth="1"/>
    <col min="11014" max="11014" width="0.5" style="37" customWidth="1"/>
    <col min="11015" max="11015" width="18.5" style="37" customWidth="1"/>
    <col min="11016" max="11016" width="7.5" style="37" customWidth="1"/>
    <col min="11017" max="11017" width="15.5" style="37" customWidth="1"/>
    <col min="11018" max="11018" width="5.5" style="37" customWidth="1"/>
    <col min="11019" max="11019" width="18.5" style="37" customWidth="1"/>
    <col min="11020" max="11020" width="0.5" style="37" customWidth="1"/>
    <col min="11021" max="11022" width="4.5" style="37" customWidth="1"/>
    <col min="11023" max="11023" width="4" style="37" customWidth="1"/>
    <col min="11024" max="11024" width="5" style="37" customWidth="1"/>
    <col min="11025" max="11025" width="6.5" style="37" customWidth="1"/>
    <col min="11026" max="11026" width="21.5" style="37" customWidth="1"/>
    <col min="11027" max="11027" width="13.5" style="37" customWidth="1"/>
    <col min="11028" max="11028" width="18.5" style="37" customWidth="1"/>
    <col min="11029" max="11029" width="17.5" style="37" bestFit="1" customWidth="1"/>
    <col min="11030" max="11264" width="9.5" style="37"/>
    <col min="11265" max="11265" width="18.5" style="37" customWidth="1"/>
    <col min="11266" max="11266" width="11.5" style="37" customWidth="1"/>
    <col min="11267" max="11267" width="21.5" style="37" customWidth="1"/>
    <col min="11268" max="11268" width="0.5" style="37" customWidth="1"/>
    <col min="11269" max="11269" width="22.5" style="37" customWidth="1"/>
    <col min="11270" max="11270" width="0.5" style="37" customWidth="1"/>
    <col min="11271" max="11271" width="18.5" style="37" customWidth="1"/>
    <col min="11272" max="11272" width="7.5" style="37" customWidth="1"/>
    <col min="11273" max="11273" width="15.5" style="37" customWidth="1"/>
    <col min="11274" max="11274" width="5.5" style="37" customWidth="1"/>
    <col min="11275" max="11275" width="18.5" style="37" customWidth="1"/>
    <col min="11276" max="11276" width="0.5" style="37" customWidth="1"/>
    <col min="11277" max="11278" width="4.5" style="37" customWidth="1"/>
    <col min="11279" max="11279" width="4" style="37" customWidth="1"/>
    <col min="11280" max="11280" width="5" style="37" customWidth="1"/>
    <col min="11281" max="11281" width="6.5" style="37" customWidth="1"/>
    <col min="11282" max="11282" width="21.5" style="37" customWidth="1"/>
    <col min="11283" max="11283" width="13.5" style="37" customWidth="1"/>
    <col min="11284" max="11284" width="18.5" style="37" customWidth="1"/>
    <col min="11285" max="11285" width="17.5" style="37" bestFit="1" customWidth="1"/>
    <col min="11286" max="11520" width="9.5" style="37"/>
    <col min="11521" max="11521" width="18.5" style="37" customWidth="1"/>
    <col min="11522" max="11522" width="11.5" style="37" customWidth="1"/>
    <col min="11523" max="11523" width="21.5" style="37" customWidth="1"/>
    <col min="11524" max="11524" width="0.5" style="37" customWidth="1"/>
    <col min="11525" max="11525" width="22.5" style="37" customWidth="1"/>
    <col min="11526" max="11526" width="0.5" style="37" customWidth="1"/>
    <col min="11527" max="11527" width="18.5" style="37" customWidth="1"/>
    <col min="11528" max="11528" width="7.5" style="37" customWidth="1"/>
    <col min="11529" max="11529" width="15.5" style="37" customWidth="1"/>
    <col min="11530" max="11530" width="5.5" style="37" customWidth="1"/>
    <col min="11531" max="11531" width="18.5" style="37" customWidth="1"/>
    <col min="11532" max="11532" width="0.5" style="37" customWidth="1"/>
    <col min="11533" max="11534" width="4.5" style="37" customWidth="1"/>
    <col min="11535" max="11535" width="4" style="37" customWidth="1"/>
    <col min="11536" max="11536" width="5" style="37" customWidth="1"/>
    <col min="11537" max="11537" width="6.5" style="37" customWidth="1"/>
    <col min="11538" max="11538" width="21.5" style="37" customWidth="1"/>
    <col min="11539" max="11539" width="13.5" style="37" customWidth="1"/>
    <col min="11540" max="11540" width="18.5" style="37" customWidth="1"/>
    <col min="11541" max="11541" width="17.5" style="37" bestFit="1" customWidth="1"/>
    <col min="11542" max="11776" width="9.5" style="37"/>
    <col min="11777" max="11777" width="18.5" style="37" customWidth="1"/>
    <col min="11778" max="11778" width="11.5" style="37" customWidth="1"/>
    <col min="11779" max="11779" width="21.5" style="37" customWidth="1"/>
    <col min="11780" max="11780" width="0.5" style="37" customWidth="1"/>
    <col min="11781" max="11781" width="22.5" style="37" customWidth="1"/>
    <col min="11782" max="11782" width="0.5" style="37" customWidth="1"/>
    <col min="11783" max="11783" width="18.5" style="37" customWidth="1"/>
    <col min="11784" max="11784" width="7.5" style="37" customWidth="1"/>
    <col min="11785" max="11785" width="15.5" style="37" customWidth="1"/>
    <col min="11786" max="11786" width="5.5" style="37" customWidth="1"/>
    <col min="11787" max="11787" width="18.5" style="37" customWidth="1"/>
    <col min="11788" max="11788" width="0.5" style="37" customWidth="1"/>
    <col min="11789" max="11790" width="4.5" style="37" customWidth="1"/>
    <col min="11791" max="11791" width="4" style="37" customWidth="1"/>
    <col min="11792" max="11792" width="5" style="37" customWidth="1"/>
    <col min="11793" max="11793" width="6.5" style="37" customWidth="1"/>
    <col min="11794" max="11794" width="21.5" style="37" customWidth="1"/>
    <col min="11795" max="11795" width="13.5" style="37" customWidth="1"/>
    <col min="11796" max="11796" width="18.5" style="37" customWidth="1"/>
    <col min="11797" max="11797" width="17.5" style="37" bestFit="1" customWidth="1"/>
    <col min="11798" max="12032" width="9.5" style="37"/>
    <col min="12033" max="12033" width="18.5" style="37" customWidth="1"/>
    <col min="12034" max="12034" width="11.5" style="37" customWidth="1"/>
    <col min="12035" max="12035" width="21.5" style="37" customWidth="1"/>
    <col min="12036" max="12036" width="0.5" style="37" customWidth="1"/>
    <col min="12037" max="12037" width="22.5" style="37" customWidth="1"/>
    <col min="12038" max="12038" width="0.5" style="37" customWidth="1"/>
    <col min="12039" max="12039" width="18.5" style="37" customWidth="1"/>
    <col min="12040" max="12040" width="7.5" style="37" customWidth="1"/>
    <col min="12041" max="12041" width="15.5" style="37" customWidth="1"/>
    <col min="12042" max="12042" width="5.5" style="37" customWidth="1"/>
    <col min="12043" max="12043" width="18.5" style="37" customWidth="1"/>
    <col min="12044" max="12044" width="0.5" style="37" customWidth="1"/>
    <col min="12045" max="12046" width="4.5" style="37" customWidth="1"/>
    <col min="12047" max="12047" width="4" style="37" customWidth="1"/>
    <col min="12048" max="12048" width="5" style="37" customWidth="1"/>
    <col min="12049" max="12049" width="6.5" style="37" customWidth="1"/>
    <col min="12050" max="12050" width="21.5" style="37" customWidth="1"/>
    <col min="12051" max="12051" width="13.5" style="37" customWidth="1"/>
    <col min="12052" max="12052" width="18.5" style="37" customWidth="1"/>
    <col min="12053" max="12053" width="17.5" style="37" bestFit="1" customWidth="1"/>
    <col min="12054" max="12288" width="9.5" style="37"/>
    <col min="12289" max="12289" width="18.5" style="37" customWidth="1"/>
    <col min="12290" max="12290" width="11.5" style="37" customWidth="1"/>
    <col min="12291" max="12291" width="21.5" style="37" customWidth="1"/>
    <col min="12292" max="12292" width="0.5" style="37" customWidth="1"/>
    <col min="12293" max="12293" width="22.5" style="37" customWidth="1"/>
    <col min="12294" max="12294" width="0.5" style="37" customWidth="1"/>
    <col min="12295" max="12295" width="18.5" style="37" customWidth="1"/>
    <col min="12296" max="12296" width="7.5" style="37" customWidth="1"/>
    <col min="12297" max="12297" width="15.5" style="37" customWidth="1"/>
    <col min="12298" max="12298" width="5.5" style="37" customWidth="1"/>
    <col min="12299" max="12299" width="18.5" style="37" customWidth="1"/>
    <col min="12300" max="12300" width="0.5" style="37" customWidth="1"/>
    <col min="12301" max="12302" width="4.5" style="37" customWidth="1"/>
    <col min="12303" max="12303" width="4" style="37" customWidth="1"/>
    <col min="12304" max="12304" width="5" style="37" customWidth="1"/>
    <col min="12305" max="12305" width="6.5" style="37" customWidth="1"/>
    <col min="12306" max="12306" width="21.5" style="37" customWidth="1"/>
    <col min="12307" max="12307" width="13.5" style="37" customWidth="1"/>
    <col min="12308" max="12308" width="18.5" style="37" customWidth="1"/>
    <col min="12309" max="12309" width="17.5" style="37" bestFit="1" customWidth="1"/>
    <col min="12310" max="12544" width="9.5" style="37"/>
    <col min="12545" max="12545" width="18.5" style="37" customWidth="1"/>
    <col min="12546" max="12546" width="11.5" style="37" customWidth="1"/>
    <col min="12547" max="12547" width="21.5" style="37" customWidth="1"/>
    <col min="12548" max="12548" width="0.5" style="37" customWidth="1"/>
    <col min="12549" max="12549" width="22.5" style="37" customWidth="1"/>
    <col min="12550" max="12550" width="0.5" style="37" customWidth="1"/>
    <col min="12551" max="12551" width="18.5" style="37" customWidth="1"/>
    <col min="12552" max="12552" width="7.5" style="37" customWidth="1"/>
    <col min="12553" max="12553" width="15.5" style="37" customWidth="1"/>
    <col min="12554" max="12554" width="5.5" style="37" customWidth="1"/>
    <col min="12555" max="12555" width="18.5" style="37" customWidth="1"/>
    <col min="12556" max="12556" width="0.5" style="37" customWidth="1"/>
    <col min="12557" max="12558" width="4.5" style="37" customWidth="1"/>
    <col min="12559" max="12559" width="4" style="37" customWidth="1"/>
    <col min="12560" max="12560" width="5" style="37" customWidth="1"/>
    <col min="12561" max="12561" width="6.5" style="37" customWidth="1"/>
    <col min="12562" max="12562" width="21.5" style="37" customWidth="1"/>
    <col min="12563" max="12563" width="13.5" style="37" customWidth="1"/>
    <col min="12564" max="12564" width="18.5" style="37" customWidth="1"/>
    <col min="12565" max="12565" width="17.5" style="37" bestFit="1" customWidth="1"/>
    <col min="12566" max="12800" width="9.5" style="37"/>
    <col min="12801" max="12801" width="18.5" style="37" customWidth="1"/>
    <col min="12802" max="12802" width="11.5" style="37" customWidth="1"/>
    <col min="12803" max="12803" width="21.5" style="37" customWidth="1"/>
    <col min="12804" max="12804" width="0.5" style="37" customWidth="1"/>
    <col min="12805" max="12805" width="22.5" style="37" customWidth="1"/>
    <col min="12806" max="12806" width="0.5" style="37" customWidth="1"/>
    <col min="12807" max="12807" width="18.5" style="37" customWidth="1"/>
    <col min="12808" max="12808" width="7.5" style="37" customWidth="1"/>
    <col min="12809" max="12809" width="15.5" style="37" customWidth="1"/>
    <col min="12810" max="12810" width="5.5" style="37" customWidth="1"/>
    <col min="12811" max="12811" width="18.5" style="37" customWidth="1"/>
    <col min="12812" max="12812" width="0.5" style="37" customWidth="1"/>
    <col min="12813" max="12814" width="4.5" style="37" customWidth="1"/>
    <col min="12815" max="12815" width="4" style="37" customWidth="1"/>
    <col min="12816" max="12816" width="5" style="37" customWidth="1"/>
    <col min="12817" max="12817" width="6.5" style="37" customWidth="1"/>
    <col min="12818" max="12818" width="21.5" style="37" customWidth="1"/>
    <col min="12819" max="12819" width="13.5" style="37" customWidth="1"/>
    <col min="12820" max="12820" width="18.5" style="37" customWidth="1"/>
    <col min="12821" max="12821" width="17.5" style="37" bestFit="1" customWidth="1"/>
    <col min="12822" max="13056" width="9.5" style="37"/>
    <col min="13057" max="13057" width="18.5" style="37" customWidth="1"/>
    <col min="13058" max="13058" width="11.5" style="37" customWidth="1"/>
    <col min="13059" max="13059" width="21.5" style="37" customWidth="1"/>
    <col min="13060" max="13060" width="0.5" style="37" customWidth="1"/>
    <col min="13061" max="13061" width="22.5" style="37" customWidth="1"/>
    <col min="13062" max="13062" width="0.5" style="37" customWidth="1"/>
    <col min="13063" max="13063" width="18.5" style="37" customWidth="1"/>
    <col min="13064" max="13064" width="7.5" style="37" customWidth="1"/>
    <col min="13065" max="13065" width="15.5" style="37" customWidth="1"/>
    <col min="13066" max="13066" width="5.5" style="37" customWidth="1"/>
    <col min="13067" max="13067" width="18.5" style="37" customWidth="1"/>
    <col min="13068" max="13068" width="0.5" style="37" customWidth="1"/>
    <col min="13069" max="13070" width="4.5" style="37" customWidth="1"/>
    <col min="13071" max="13071" width="4" style="37" customWidth="1"/>
    <col min="13072" max="13072" width="5" style="37" customWidth="1"/>
    <col min="13073" max="13073" width="6.5" style="37" customWidth="1"/>
    <col min="13074" max="13074" width="21.5" style="37" customWidth="1"/>
    <col min="13075" max="13075" width="13.5" style="37" customWidth="1"/>
    <col min="13076" max="13076" width="18.5" style="37" customWidth="1"/>
    <col min="13077" max="13077" width="17.5" style="37" bestFit="1" customWidth="1"/>
    <col min="13078" max="13312" width="9.5" style="37"/>
    <col min="13313" max="13313" width="18.5" style="37" customWidth="1"/>
    <col min="13314" max="13314" width="11.5" style="37" customWidth="1"/>
    <col min="13315" max="13315" width="21.5" style="37" customWidth="1"/>
    <col min="13316" max="13316" width="0.5" style="37" customWidth="1"/>
    <col min="13317" max="13317" width="22.5" style="37" customWidth="1"/>
    <col min="13318" max="13318" width="0.5" style="37" customWidth="1"/>
    <col min="13319" max="13319" width="18.5" style="37" customWidth="1"/>
    <col min="13320" max="13320" width="7.5" style="37" customWidth="1"/>
    <col min="13321" max="13321" width="15.5" style="37" customWidth="1"/>
    <col min="13322" max="13322" width="5.5" style="37" customWidth="1"/>
    <col min="13323" max="13323" width="18.5" style="37" customWidth="1"/>
    <col min="13324" max="13324" width="0.5" style="37" customWidth="1"/>
    <col min="13325" max="13326" width="4.5" style="37" customWidth="1"/>
    <col min="13327" max="13327" width="4" style="37" customWidth="1"/>
    <col min="13328" max="13328" width="5" style="37" customWidth="1"/>
    <col min="13329" max="13329" width="6.5" style="37" customWidth="1"/>
    <col min="13330" max="13330" width="21.5" style="37" customWidth="1"/>
    <col min="13331" max="13331" width="13.5" style="37" customWidth="1"/>
    <col min="13332" max="13332" width="18.5" style="37" customWidth="1"/>
    <col min="13333" max="13333" width="17.5" style="37" bestFit="1" customWidth="1"/>
    <col min="13334" max="13568" width="9.5" style="37"/>
    <col min="13569" max="13569" width="18.5" style="37" customWidth="1"/>
    <col min="13570" max="13570" width="11.5" style="37" customWidth="1"/>
    <col min="13571" max="13571" width="21.5" style="37" customWidth="1"/>
    <col min="13572" max="13572" width="0.5" style="37" customWidth="1"/>
    <col min="13573" max="13573" width="22.5" style="37" customWidth="1"/>
    <col min="13574" max="13574" width="0.5" style="37" customWidth="1"/>
    <col min="13575" max="13575" width="18.5" style="37" customWidth="1"/>
    <col min="13576" max="13576" width="7.5" style="37" customWidth="1"/>
    <col min="13577" max="13577" width="15.5" style="37" customWidth="1"/>
    <col min="13578" max="13578" width="5.5" style="37" customWidth="1"/>
    <col min="13579" max="13579" width="18.5" style="37" customWidth="1"/>
    <col min="13580" max="13580" width="0.5" style="37" customWidth="1"/>
    <col min="13581" max="13582" width="4.5" style="37" customWidth="1"/>
    <col min="13583" max="13583" width="4" style="37" customWidth="1"/>
    <col min="13584" max="13584" width="5" style="37" customWidth="1"/>
    <col min="13585" max="13585" width="6.5" style="37" customWidth="1"/>
    <col min="13586" max="13586" width="21.5" style="37" customWidth="1"/>
    <col min="13587" max="13587" width="13.5" style="37" customWidth="1"/>
    <col min="13588" max="13588" width="18.5" style="37" customWidth="1"/>
    <col min="13589" max="13589" width="17.5" style="37" bestFit="1" customWidth="1"/>
    <col min="13590" max="13824" width="9.5" style="37"/>
    <col min="13825" max="13825" width="18.5" style="37" customWidth="1"/>
    <col min="13826" max="13826" width="11.5" style="37" customWidth="1"/>
    <col min="13827" max="13827" width="21.5" style="37" customWidth="1"/>
    <col min="13828" max="13828" width="0.5" style="37" customWidth="1"/>
    <col min="13829" max="13829" width="22.5" style="37" customWidth="1"/>
    <col min="13830" max="13830" width="0.5" style="37" customWidth="1"/>
    <col min="13831" max="13831" width="18.5" style="37" customWidth="1"/>
    <col min="13832" max="13832" width="7.5" style="37" customWidth="1"/>
    <col min="13833" max="13833" width="15.5" style="37" customWidth="1"/>
    <col min="13834" max="13834" width="5.5" style="37" customWidth="1"/>
    <col min="13835" max="13835" width="18.5" style="37" customWidth="1"/>
    <col min="13836" max="13836" width="0.5" style="37" customWidth="1"/>
    <col min="13837" max="13838" width="4.5" style="37" customWidth="1"/>
    <col min="13839" max="13839" width="4" style="37" customWidth="1"/>
    <col min="13840" max="13840" width="5" style="37" customWidth="1"/>
    <col min="13841" max="13841" width="6.5" style="37" customWidth="1"/>
    <col min="13842" max="13842" width="21.5" style="37" customWidth="1"/>
    <col min="13843" max="13843" width="13.5" style="37" customWidth="1"/>
    <col min="13844" max="13844" width="18.5" style="37" customWidth="1"/>
    <col min="13845" max="13845" width="17.5" style="37" bestFit="1" customWidth="1"/>
    <col min="13846" max="14080" width="9.5" style="37"/>
    <col min="14081" max="14081" width="18.5" style="37" customWidth="1"/>
    <col min="14082" max="14082" width="11.5" style="37" customWidth="1"/>
    <col min="14083" max="14083" width="21.5" style="37" customWidth="1"/>
    <col min="14084" max="14084" width="0.5" style="37" customWidth="1"/>
    <col min="14085" max="14085" width="22.5" style="37" customWidth="1"/>
    <col min="14086" max="14086" width="0.5" style="37" customWidth="1"/>
    <col min="14087" max="14087" width="18.5" style="37" customWidth="1"/>
    <col min="14088" max="14088" width="7.5" style="37" customWidth="1"/>
    <col min="14089" max="14089" width="15.5" style="37" customWidth="1"/>
    <col min="14090" max="14090" width="5.5" style="37" customWidth="1"/>
    <col min="14091" max="14091" width="18.5" style="37" customWidth="1"/>
    <col min="14092" max="14092" width="0.5" style="37" customWidth="1"/>
    <col min="14093" max="14094" width="4.5" style="37" customWidth="1"/>
    <col min="14095" max="14095" width="4" style="37" customWidth="1"/>
    <col min="14096" max="14096" width="5" style="37" customWidth="1"/>
    <col min="14097" max="14097" width="6.5" style="37" customWidth="1"/>
    <col min="14098" max="14098" width="21.5" style="37" customWidth="1"/>
    <col min="14099" max="14099" width="13.5" style="37" customWidth="1"/>
    <col min="14100" max="14100" width="18.5" style="37" customWidth="1"/>
    <col min="14101" max="14101" width="17.5" style="37" bestFit="1" customWidth="1"/>
    <col min="14102" max="14336" width="9.5" style="37"/>
    <col min="14337" max="14337" width="18.5" style="37" customWidth="1"/>
    <col min="14338" max="14338" width="11.5" style="37" customWidth="1"/>
    <col min="14339" max="14339" width="21.5" style="37" customWidth="1"/>
    <col min="14340" max="14340" width="0.5" style="37" customWidth="1"/>
    <col min="14341" max="14341" width="22.5" style="37" customWidth="1"/>
    <col min="14342" max="14342" width="0.5" style="37" customWidth="1"/>
    <col min="14343" max="14343" width="18.5" style="37" customWidth="1"/>
    <col min="14344" max="14344" width="7.5" style="37" customWidth="1"/>
    <col min="14345" max="14345" width="15.5" style="37" customWidth="1"/>
    <col min="14346" max="14346" width="5.5" style="37" customWidth="1"/>
    <col min="14347" max="14347" width="18.5" style="37" customWidth="1"/>
    <col min="14348" max="14348" width="0.5" style="37" customWidth="1"/>
    <col min="14349" max="14350" width="4.5" style="37" customWidth="1"/>
    <col min="14351" max="14351" width="4" style="37" customWidth="1"/>
    <col min="14352" max="14352" width="5" style="37" customWidth="1"/>
    <col min="14353" max="14353" width="6.5" style="37" customWidth="1"/>
    <col min="14354" max="14354" width="21.5" style="37" customWidth="1"/>
    <col min="14355" max="14355" width="13.5" style="37" customWidth="1"/>
    <col min="14356" max="14356" width="18.5" style="37" customWidth="1"/>
    <col min="14357" max="14357" width="17.5" style="37" bestFit="1" customWidth="1"/>
    <col min="14358" max="14592" width="9.5" style="37"/>
    <col min="14593" max="14593" width="18.5" style="37" customWidth="1"/>
    <col min="14594" max="14594" width="11.5" style="37" customWidth="1"/>
    <col min="14595" max="14595" width="21.5" style="37" customWidth="1"/>
    <col min="14596" max="14596" width="0.5" style="37" customWidth="1"/>
    <col min="14597" max="14597" width="22.5" style="37" customWidth="1"/>
    <col min="14598" max="14598" width="0.5" style="37" customWidth="1"/>
    <col min="14599" max="14599" width="18.5" style="37" customWidth="1"/>
    <col min="14600" max="14600" width="7.5" style="37" customWidth="1"/>
    <col min="14601" max="14601" width="15.5" style="37" customWidth="1"/>
    <col min="14602" max="14602" width="5.5" style="37" customWidth="1"/>
    <col min="14603" max="14603" width="18.5" style="37" customWidth="1"/>
    <col min="14604" max="14604" width="0.5" style="37" customWidth="1"/>
    <col min="14605" max="14606" width="4.5" style="37" customWidth="1"/>
    <col min="14607" max="14607" width="4" style="37" customWidth="1"/>
    <col min="14608" max="14608" width="5" style="37" customWidth="1"/>
    <col min="14609" max="14609" width="6.5" style="37" customWidth="1"/>
    <col min="14610" max="14610" width="21.5" style="37" customWidth="1"/>
    <col min="14611" max="14611" width="13.5" style="37" customWidth="1"/>
    <col min="14612" max="14612" width="18.5" style="37" customWidth="1"/>
    <col min="14613" max="14613" width="17.5" style="37" bestFit="1" customWidth="1"/>
    <col min="14614" max="14848" width="9.5" style="37"/>
    <col min="14849" max="14849" width="18.5" style="37" customWidth="1"/>
    <col min="14850" max="14850" width="11.5" style="37" customWidth="1"/>
    <col min="14851" max="14851" width="21.5" style="37" customWidth="1"/>
    <col min="14852" max="14852" width="0.5" style="37" customWidth="1"/>
    <col min="14853" max="14853" width="22.5" style="37" customWidth="1"/>
    <col min="14854" max="14854" width="0.5" style="37" customWidth="1"/>
    <col min="14855" max="14855" width="18.5" style="37" customWidth="1"/>
    <col min="14856" max="14856" width="7.5" style="37" customWidth="1"/>
    <col min="14857" max="14857" width="15.5" style="37" customWidth="1"/>
    <col min="14858" max="14858" width="5.5" style="37" customWidth="1"/>
    <col min="14859" max="14859" width="18.5" style="37" customWidth="1"/>
    <col min="14860" max="14860" width="0.5" style="37" customWidth="1"/>
    <col min="14861" max="14862" width="4.5" style="37" customWidth="1"/>
    <col min="14863" max="14863" width="4" style="37" customWidth="1"/>
    <col min="14864" max="14864" width="5" style="37" customWidth="1"/>
    <col min="14865" max="14865" width="6.5" style="37" customWidth="1"/>
    <col min="14866" max="14866" width="21.5" style="37" customWidth="1"/>
    <col min="14867" max="14867" width="13.5" style="37" customWidth="1"/>
    <col min="14868" max="14868" width="18.5" style="37" customWidth="1"/>
    <col min="14869" max="14869" width="17.5" style="37" bestFit="1" customWidth="1"/>
    <col min="14870" max="15104" width="9.5" style="37"/>
    <col min="15105" max="15105" width="18.5" style="37" customWidth="1"/>
    <col min="15106" max="15106" width="11.5" style="37" customWidth="1"/>
    <col min="15107" max="15107" width="21.5" style="37" customWidth="1"/>
    <col min="15108" max="15108" width="0.5" style="37" customWidth="1"/>
    <col min="15109" max="15109" width="22.5" style="37" customWidth="1"/>
    <col min="15110" max="15110" width="0.5" style="37" customWidth="1"/>
    <col min="15111" max="15111" width="18.5" style="37" customWidth="1"/>
    <col min="15112" max="15112" width="7.5" style="37" customWidth="1"/>
    <col min="15113" max="15113" width="15.5" style="37" customWidth="1"/>
    <col min="15114" max="15114" width="5.5" style="37" customWidth="1"/>
    <col min="15115" max="15115" width="18.5" style="37" customWidth="1"/>
    <col min="15116" max="15116" width="0.5" style="37" customWidth="1"/>
    <col min="15117" max="15118" width="4.5" style="37" customWidth="1"/>
    <col min="15119" max="15119" width="4" style="37" customWidth="1"/>
    <col min="15120" max="15120" width="5" style="37" customWidth="1"/>
    <col min="15121" max="15121" width="6.5" style="37" customWidth="1"/>
    <col min="15122" max="15122" width="21.5" style="37" customWidth="1"/>
    <col min="15123" max="15123" width="13.5" style="37" customWidth="1"/>
    <col min="15124" max="15124" width="18.5" style="37" customWidth="1"/>
    <col min="15125" max="15125" width="17.5" style="37" bestFit="1" customWidth="1"/>
    <col min="15126" max="15360" width="9.5" style="37"/>
    <col min="15361" max="15361" width="18.5" style="37" customWidth="1"/>
    <col min="15362" max="15362" width="11.5" style="37" customWidth="1"/>
    <col min="15363" max="15363" width="21.5" style="37" customWidth="1"/>
    <col min="15364" max="15364" width="0.5" style="37" customWidth="1"/>
    <col min="15365" max="15365" width="22.5" style="37" customWidth="1"/>
    <col min="15366" max="15366" width="0.5" style="37" customWidth="1"/>
    <col min="15367" max="15367" width="18.5" style="37" customWidth="1"/>
    <col min="15368" max="15368" width="7.5" style="37" customWidth="1"/>
    <col min="15369" max="15369" width="15.5" style="37" customWidth="1"/>
    <col min="15370" max="15370" width="5.5" style="37" customWidth="1"/>
    <col min="15371" max="15371" width="18.5" style="37" customWidth="1"/>
    <col min="15372" max="15372" width="0.5" style="37" customWidth="1"/>
    <col min="15373" max="15374" width="4.5" style="37" customWidth="1"/>
    <col min="15375" max="15375" width="4" style="37" customWidth="1"/>
    <col min="15376" max="15376" width="5" style="37" customWidth="1"/>
    <col min="15377" max="15377" width="6.5" style="37" customWidth="1"/>
    <col min="15378" max="15378" width="21.5" style="37" customWidth="1"/>
    <col min="15379" max="15379" width="13.5" style="37" customWidth="1"/>
    <col min="15380" max="15380" width="18.5" style="37" customWidth="1"/>
    <col min="15381" max="15381" width="17.5" style="37" bestFit="1" customWidth="1"/>
    <col min="15382" max="15616" width="9.5" style="37"/>
    <col min="15617" max="15617" width="18.5" style="37" customWidth="1"/>
    <col min="15618" max="15618" width="11.5" style="37" customWidth="1"/>
    <col min="15619" max="15619" width="21.5" style="37" customWidth="1"/>
    <col min="15620" max="15620" width="0.5" style="37" customWidth="1"/>
    <col min="15621" max="15621" width="22.5" style="37" customWidth="1"/>
    <col min="15622" max="15622" width="0.5" style="37" customWidth="1"/>
    <col min="15623" max="15623" width="18.5" style="37" customWidth="1"/>
    <col min="15624" max="15624" width="7.5" style="37" customWidth="1"/>
    <col min="15625" max="15625" width="15.5" style="37" customWidth="1"/>
    <col min="15626" max="15626" width="5.5" style="37" customWidth="1"/>
    <col min="15627" max="15627" width="18.5" style="37" customWidth="1"/>
    <col min="15628" max="15628" width="0.5" style="37" customWidth="1"/>
    <col min="15629" max="15630" width="4.5" style="37" customWidth="1"/>
    <col min="15631" max="15631" width="4" style="37" customWidth="1"/>
    <col min="15632" max="15632" width="5" style="37" customWidth="1"/>
    <col min="15633" max="15633" width="6.5" style="37" customWidth="1"/>
    <col min="15634" max="15634" width="21.5" style="37" customWidth="1"/>
    <col min="15635" max="15635" width="13.5" style="37" customWidth="1"/>
    <col min="15636" max="15636" width="18.5" style="37" customWidth="1"/>
    <col min="15637" max="15637" width="17.5" style="37" bestFit="1" customWidth="1"/>
    <col min="15638" max="15872" width="9.5" style="37"/>
    <col min="15873" max="15873" width="18.5" style="37" customWidth="1"/>
    <col min="15874" max="15874" width="11.5" style="37" customWidth="1"/>
    <col min="15875" max="15875" width="21.5" style="37" customWidth="1"/>
    <col min="15876" max="15876" width="0.5" style="37" customWidth="1"/>
    <col min="15877" max="15877" width="22.5" style="37" customWidth="1"/>
    <col min="15878" max="15878" width="0.5" style="37" customWidth="1"/>
    <col min="15879" max="15879" width="18.5" style="37" customWidth="1"/>
    <col min="15880" max="15880" width="7.5" style="37" customWidth="1"/>
    <col min="15881" max="15881" width="15.5" style="37" customWidth="1"/>
    <col min="15882" max="15882" width="5.5" style="37" customWidth="1"/>
    <col min="15883" max="15883" width="18.5" style="37" customWidth="1"/>
    <col min="15884" max="15884" width="0.5" style="37" customWidth="1"/>
    <col min="15885" max="15886" width="4.5" style="37" customWidth="1"/>
    <col min="15887" max="15887" width="4" style="37" customWidth="1"/>
    <col min="15888" max="15888" width="5" style="37" customWidth="1"/>
    <col min="15889" max="15889" width="6.5" style="37" customWidth="1"/>
    <col min="15890" max="15890" width="21.5" style="37" customWidth="1"/>
    <col min="15891" max="15891" width="13.5" style="37" customWidth="1"/>
    <col min="15892" max="15892" width="18.5" style="37" customWidth="1"/>
    <col min="15893" max="15893" width="17.5" style="37" bestFit="1" customWidth="1"/>
    <col min="15894" max="16128" width="9.5" style="37"/>
    <col min="16129" max="16129" width="18.5" style="37" customWidth="1"/>
    <col min="16130" max="16130" width="11.5" style="37" customWidth="1"/>
    <col min="16131" max="16131" width="21.5" style="37" customWidth="1"/>
    <col min="16132" max="16132" width="0.5" style="37" customWidth="1"/>
    <col min="16133" max="16133" width="22.5" style="37" customWidth="1"/>
    <col min="16134" max="16134" width="0.5" style="37" customWidth="1"/>
    <col min="16135" max="16135" width="18.5" style="37" customWidth="1"/>
    <col min="16136" max="16136" width="7.5" style="37" customWidth="1"/>
    <col min="16137" max="16137" width="15.5" style="37" customWidth="1"/>
    <col min="16138" max="16138" width="5.5" style="37" customWidth="1"/>
    <col min="16139" max="16139" width="18.5" style="37" customWidth="1"/>
    <col min="16140" max="16140" width="0.5" style="37" customWidth="1"/>
    <col min="16141" max="16142" width="4.5" style="37" customWidth="1"/>
    <col min="16143" max="16143" width="4" style="37" customWidth="1"/>
    <col min="16144" max="16144" width="5" style="37" customWidth="1"/>
    <col min="16145" max="16145" width="6.5" style="37" customWidth="1"/>
    <col min="16146" max="16146" width="21.5" style="37" customWidth="1"/>
    <col min="16147" max="16147" width="13.5" style="37" customWidth="1"/>
    <col min="16148" max="16148" width="18.5" style="37" customWidth="1"/>
    <col min="16149" max="16149" width="17.5" style="37" bestFit="1" customWidth="1"/>
    <col min="16150" max="16384" width="9.5" style="37"/>
  </cols>
  <sheetData>
    <row r="1" spans="1:33" s="4" customFormat="1" x14ac:dyDescent="0.2">
      <c r="A1" s="2" t="s">
        <v>854</v>
      </c>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row>
    <row r="2" spans="1:33" s="4" customFormat="1" x14ac:dyDescent="0.2">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row>
    <row r="3" spans="1:33" s="4" customFormat="1" x14ac:dyDescent="0.2">
      <c r="A3" s="2" t="s">
        <v>855</v>
      </c>
      <c r="B3" s="3"/>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row>
    <row r="4" spans="1:33" s="4" customFormat="1" ht="16" thickBot="1" x14ac:dyDescent="0.25">
      <c r="A4" s="3"/>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row>
    <row r="5" spans="1:33" s="4" customFormat="1" ht="16" thickBot="1" x14ac:dyDescent="0.25">
      <c r="A5" s="514" t="s">
        <v>714</v>
      </c>
      <c r="B5" s="515"/>
      <c r="C5" s="515"/>
      <c r="D5" s="515"/>
      <c r="E5" s="515"/>
      <c r="F5" s="515"/>
      <c r="G5" s="515"/>
      <c r="H5" s="515"/>
      <c r="I5" s="515"/>
      <c r="J5" s="515"/>
      <c r="K5" s="516"/>
      <c r="M5" s="3"/>
      <c r="N5" s="3"/>
      <c r="O5" s="3"/>
      <c r="P5" s="3"/>
      <c r="Q5" s="3"/>
      <c r="R5" s="3"/>
      <c r="S5" s="5"/>
      <c r="T5" s="5"/>
      <c r="U5" s="5"/>
      <c r="V5" s="5"/>
      <c r="W5" s="5"/>
      <c r="X5" s="5"/>
      <c r="Y5" s="5"/>
      <c r="Z5" s="5"/>
      <c r="AA5" s="5"/>
      <c r="AB5" s="5"/>
      <c r="AC5" s="5"/>
      <c r="AD5" s="5"/>
      <c r="AE5" s="5"/>
      <c r="AF5" s="5"/>
      <c r="AG5" s="5"/>
    </row>
    <row r="6" spans="1:33" s="4" customFormat="1" ht="26.75" customHeight="1" x14ac:dyDescent="0.2">
      <c r="A6" s="6" t="s">
        <v>715</v>
      </c>
      <c r="B6" s="517" t="s">
        <v>716</v>
      </c>
      <c r="C6" s="518"/>
      <c r="D6" s="517" t="s">
        <v>717</v>
      </c>
      <c r="E6" s="518"/>
      <c r="F6" s="519" t="s">
        <v>718</v>
      </c>
      <c r="G6" s="520"/>
      <c r="H6" s="517" t="s">
        <v>719</v>
      </c>
      <c r="I6" s="518"/>
      <c r="J6" s="521" t="s">
        <v>720</v>
      </c>
      <c r="K6" s="522"/>
      <c r="M6" s="3"/>
      <c r="N6" s="3"/>
      <c r="O6" s="3"/>
      <c r="P6" s="3"/>
      <c r="Q6" s="3"/>
      <c r="R6" s="3"/>
      <c r="S6" s="5"/>
      <c r="T6" s="5"/>
      <c r="U6" s="5"/>
      <c r="V6" s="5"/>
      <c r="W6" s="5"/>
      <c r="X6" s="5"/>
      <c r="Y6" s="5"/>
      <c r="Z6" s="5"/>
      <c r="AA6" s="5"/>
      <c r="AB6" s="5"/>
      <c r="AC6" s="5"/>
      <c r="AD6" s="5"/>
      <c r="AE6" s="5"/>
      <c r="AF6" s="5"/>
      <c r="AG6" s="5"/>
    </row>
    <row r="7" spans="1:33" s="4" customFormat="1" x14ac:dyDescent="0.2">
      <c r="A7" s="7" t="s">
        <v>721</v>
      </c>
      <c r="B7" s="480" t="s">
        <v>800</v>
      </c>
      <c r="C7" s="481"/>
      <c r="D7" s="481"/>
      <c r="E7" s="481"/>
      <c r="F7" s="481"/>
      <c r="G7" s="481"/>
      <c r="H7" s="481"/>
      <c r="I7" s="481"/>
      <c r="J7" s="481"/>
      <c r="K7" s="482"/>
      <c r="M7" s="3"/>
      <c r="N7" s="3"/>
      <c r="O7" s="3"/>
      <c r="P7" s="3"/>
      <c r="Q7" s="3"/>
      <c r="R7" s="3"/>
      <c r="S7" s="5"/>
      <c r="T7" s="5"/>
      <c r="U7" s="5"/>
      <c r="V7" s="5"/>
      <c r="W7" s="5"/>
      <c r="X7" s="5"/>
      <c r="Y7" s="5"/>
      <c r="Z7" s="5"/>
      <c r="AA7" s="5"/>
      <c r="AB7" s="5"/>
      <c r="AC7" s="5"/>
      <c r="AD7" s="5"/>
      <c r="AE7" s="5"/>
      <c r="AF7" s="5"/>
      <c r="AG7" s="5"/>
    </row>
    <row r="8" spans="1:33" s="4" customFormat="1" ht="16" thickBot="1" x14ac:dyDescent="0.25">
      <c r="A8" s="8" t="s">
        <v>724</v>
      </c>
      <c r="B8" s="510">
        <v>1</v>
      </c>
      <c r="C8" s="511"/>
      <c r="D8" s="510">
        <v>2</v>
      </c>
      <c r="E8" s="511"/>
      <c r="F8" s="483">
        <v>3</v>
      </c>
      <c r="G8" s="484"/>
      <c r="H8" s="510">
        <v>4</v>
      </c>
      <c r="I8" s="511"/>
      <c r="J8" s="512">
        <v>5</v>
      </c>
      <c r="K8" s="513"/>
      <c r="M8" s="3"/>
      <c r="N8" s="3"/>
      <c r="O8" s="3"/>
      <c r="P8" s="3"/>
      <c r="Q8" s="3"/>
      <c r="R8" s="3"/>
      <c r="S8" s="5"/>
      <c r="T8" s="5"/>
      <c r="U8" s="5"/>
      <c r="V8" s="5"/>
      <c r="W8" s="5"/>
      <c r="X8" s="5"/>
      <c r="Y8" s="5"/>
      <c r="Z8" s="5"/>
      <c r="AA8" s="5"/>
      <c r="AB8" s="5"/>
      <c r="AC8" s="5"/>
      <c r="AD8" s="5"/>
      <c r="AE8" s="5"/>
      <c r="AF8" s="5"/>
      <c r="AG8" s="5"/>
    </row>
    <row r="9" spans="1:33" s="4" customFormat="1" ht="59" customHeight="1" thickBot="1" x14ac:dyDescent="0.25">
      <c r="A9" s="9" t="s">
        <v>856</v>
      </c>
      <c r="B9" s="10"/>
      <c r="C9" s="11">
        <v>1</v>
      </c>
      <c r="D9" s="10" t="s">
        <v>857</v>
      </c>
      <c r="E9" s="11">
        <v>2</v>
      </c>
      <c r="F9" s="10" t="s">
        <v>858</v>
      </c>
      <c r="G9" s="12">
        <v>1</v>
      </c>
      <c r="H9" s="10" t="s">
        <v>859</v>
      </c>
      <c r="I9" s="12">
        <v>0.2</v>
      </c>
      <c r="J9" s="10" t="s">
        <v>860</v>
      </c>
      <c r="K9" s="247">
        <v>0.02</v>
      </c>
      <c r="M9" s="3"/>
      <c r="N9" s="3"/>
      <c r="O9" s="3"/>
      <c r="P9" s="3"/>
      <c r="Q9" s="3"/>
      <c r="R9" s="3"/>
      <c r="S9" s="5"/>
      <c r="T9" s="3"/>
    </row>
    <row r="10" spans="1:33" s="4" customFormat="1" ht="21" customHeight="1" thickBot="1" x14ac:dyDescent="0.25">
      <c r="A10" s="9" t="s">
        <v>202</v>
      </c>
      <c r="B10" s="10" t="s">
        <v>669</v>
      </c>
      <c r="C10" s="12">
        <v>1.5</v>
      </c>
      <c r="D10" s="10" t="s">
        <v>698</v>
      </c>
      <c r="E10" s="12">
        <v>1.25</v>
      </c>
      <c r="F10" s="10" t="s">
        <v>692</v>
      </c>
      <c r="G10" s="12">
        <v>1</v>
      </c>
      <c r="H10" s="10"/>
      <c r="I10" s="11">
        <v>1</v>
      </c>
      <c r="J10" s="10" t="s">
        <v>740</v>
      </c>
      <c r="K10" s="247">
        <v>0.5</v>
      </c>
      <c r="M10" s="3"/>
      <c r="N10" s="3"/>
      <c r="O10" s="3"/>
      <c r="P10" s="3"/>
      <c r="Q10" s="3"/>
      <c r="R10" s="3"/>
      <c r="S10" s="13"/>
      <c r="T10" s="13"/>
    </row>
    <row r="11" spans="1:33" s="4" customFormat="1" ht="36" x14ac:dyDescent="0.2">
      <c r="A11" s="14" t="s">
        <v>203</v>
      </c>
      <c r="B11" s="15" t="s">
        <v>861</v>
      </c>
      <c r="C11" s="16">
        <v>5</v>
      </c>
      <c r="D11" s="15" t="s">
        <v>830</v>
      </c>
      <c r="E11" s="16">
        <v>1.2</v>
      </c>
      <c r="F11" s="15" t="s">
        <v>831</v>
      </c>
      <c r="G11" s="16">
        <v>1</v>
      </c>
      <c r="H11" s="15" t="s">
        <v>670</v>
      </c>
      <c r="I11" s="16">
        <v>0.8</v>
      </c>
      <c r="J11" s="15" t="s">
        <v>862</v>
      </c>
      <c r="K11" s="17">
        <v>0.3</v>
      </c>
      <c r="M11" s="3"/>
      <c r="N11" s="3"/>
      <c r="O11" s="3"/>
      <c r="P11" s="3"/>
      <c r="Q11" s="3"/>
      <c r="R11" s="3"/>
      <c r="S11" s="3"/>
      <c r="T11" s="3"/>
    </row>
    <row r="12" spans="1:33" s="4" customFormat="1" x14ac:dyDescent="0.2">
      <c r="A12" s="18" t="s">
        <v>746</v>
      </c>
      <c r="B12" s="19" t="s">
        <v>863</v>
      </c>
      <c r="C12" s="20">
        <v>2.5</v>
      </c>
      <c r="D12" s="19"/>
      <c r="E12" s="20">
        <v>1</v>
      </c>
      <c r="F12" s="19" t="s">
        <v>864</v>
      </c>
      <c r="G12" s="20">
        <v>1</v>
      </c>
      <c r="H12" s="19" t="s">
        <v>865</v>
      </c>
      <c r="I12" s="20">
        <v>0.8</v>
      </c>
      <c r="J12" s="19"/>
      <c r="K12" s="21">
        <v>1</v>
      </c>
      <c r="M12" s="3"/>
      <c r="N12" s="3"/>
      <c r="O12" s="3"/>
      <c r="P12" s="3"/>
      <c r="Q12" s="3"/>
      <c r="R12" s="3"/>
      <c r="S12" s="3"/>
      <c r="T12" s="3"/>
    </row>
    <row r="13" spans="1:33" s="4" customFormat="1" ht="39" customHeight="1" thickBot="1" x14ac:dyDescent="0.25">
      <c r="A13" s="22"/>
      <c r="B13" s="23" t="s">
        <v>836</v>
      </c>
      <c r="C13" s="24">
        <v>2</v>
      </c>
      <c r="D13" s="23"/>
      <c r="E13" s="25">
        <v>1</v>
      </c>
      <c r="F13" s="23"/>
      <c r="G13" s="24">
        <v>1</v>
      </c>
      <c r="H13" s="23"/>
      <c r="I13" s="24">
        <v>1</v>
      </c>
      <c r="J13" s="23"/>
      <c r="K13" s="26">
        <v>1</v>
      </c>
      <c r="M13" s="3"/>
      <c r="N13" s="3"/>
      <c r="O13" s="3"/>
      <c r="P13" s="3"/>
      <c r="Q13" s="3"/>
      <c r="R13" s="3"/>
      <c r="S13" s="3"/>
      <c r="T13" s="3"/>
    </row>
    <row r="14" spans="1:33" s="4" customFormat="1" ht="25" thickBot="1" x14ac:dyDescent="0.25">
      <c r="A14" s="9" t="s">
        <v>866</v>
      </c>
      <c r="B14" s="10" t="s">
        <v>867</v>
      </c>
      <c r="C14" s="12">
        <v>5</v>
      </c>
      <c r="D14" s="10" t="s">
        <v>868</v>
      </c>
      <c r="E14" s="12">
        <v>1.2</v>
      </c>
      <c r="F14" s="10" t="s">
        <v>869</v>
      </c>
      <c r="G14" s="12">
        <v>1</v>
      </c>
      <c r="H14" s="10"/>
      <c r="I14" s="11">
        <v>1</v>
      </c>
      <c r="J14" s="10" t="s">
        <v>870</v>
      </c>
      <c r="K14" s="247">
        <v>0.5</v>
      </c>
      <c r="M14" s="3"/>
      <c r="N14" s="3"/>
      <c r="O14" s="3"/>
      <c r="P14" s="3"/>
      <c r="Q14" s="3"/>
      <c r="R14" s="3"/>
      <c r="S14" s="3"/>
      <c r="T14" s="3"/>
    </row>
    <row r="15" spans="1:33" s="4" customFormat="1" ht="49" thickBot="1" x14ac:dyDescent="0.25">
      <c r="A15" s="9" t="s">
        <v>871</v>
      </c>
      <c r="B15" s="10" t="s">
        <v>872</v>
      </c>
      <c r="C15" s="12">
        <v>5</v>
      </c>
      <c r="D15" s="10" t="s">
        <v>873</v>
      </c>
      <c r="E15" s="12">
        <v>2</v>
      </c>
      <c r="F15" s="10" t="s">
        <v>874</v>
      </c>
      <c r="G15" s="12">
        <v>1</v>
      </c>
      <c r="H15" s="10" t="s">
        <v>875</v>
      </c>
      <c r="I15" s="12">
        <v>0.8</v>
      </c>
      <c r="J15" s="10" t="s">
        <v>876</v>
      </c>
      <c r="K15" s="247">
        <v>0.5</v>
      </c>
      <c r="M15" s="3"/>
      <c r="N15" s="3"/>
      <c r="O15" s="3"/>
      <c r="P15" s="3"/>
      <c r="Q15" s="3"/>
      <c r="R15" s="3"/>
      <c r="S15" s="3"/>
      <c r="T15" s="3"/>
    </row>
    <row r="16" spans="1:33" s="4" customFormat="1" ht="47" customHeight="1" thickBot="1" x14ac:dyDescent="0.25">
      <c r="A16" s="9" t="s">
        <v>839</v>
      </c>
      <c r="B16" s="10" t="s">
        <v>840</v>
      </c>
      <c r="C16" s="12">
        <v>2</v>
      </c>
      <c r="D16" s="10" t="s">
        <v>841</v>
      </c>
      <c r="E16" s="12">
        <v>1.2</v>
      </c>
      <c r="F16" s="10"/>
      <c r="G16" s="11">
        <v>1</v>
      </c>
      <c r="H16" s="10" t="s">
        <v>842</v>
      </c>
      <c r="I16" s="12">
        <v>0.9</v>
      </c>
      <c r="J16" s="10"/>
      <c r="K16" s="27">
        <v>1</v>
      </c>
      <c r="M16" s="3"/>
      <c r="N16" s="3"/>
      <c r="O16" s="3"/>
      <c r="P16" s="3"/>
      <c r="Q16" s="3"/>
      <c r="R16" s="3"/>
      <c r="S16" s="3"/>
      <c r="T16" s="3"/>
    </row>
    <row r="17" spans="1:33" s="4" customFormat="1" ht="49" thickBot="1" x14ac:dyDescent="0.25">
      <c r="A17" s="9" t="s">
        <v>843</v>
      </c>
      <c r="B17" s="10" t="s">
        <v>752</v>
      </c>
      <c r="C17" s="12">
        <v>10</v>
      </c>
      <c r="D17" s="10" t="s">
        <v>877</v>
      </c>
      <c r="E17" s="12">
        <v>2</v>
      </c>
      <c r="F17" s="10" t="s">
        <v>878</v>
      </c>
      <c r="G17" s="12">
        <v>1</v>
      </c>
      <c r="H17" s="10" t="s">
        <v>847</v>
      </c>
      <c r="I17" s="12">
        <v>0.7</v>
      </c>
      <c r="J17" s="10" t="s">
        <v>756</v>
      </c>
      <c r="K17" s="247">
        <v>0.5</v>
      </c>
      <c r="M17" s="3"/>
      <c r="N17" s="3"/>
      <c r="O17" s="3"/>
      <c r="P17" s="3"/>
      <c r="Q17" s="3"/>
      <c r="R17" s="3"/>
      <c r="S17" s="3"/>
      <c r="T17" s="3"/>
    </row>
    <row r="18" spans="1:33" s="4" customFormat="1" ht="37" thickBot="1" x14ac:dyDescent="0.25">
      <c r="A18" s="9" t="s">
        <v>760</v>
      </c>
      <c r="B18" s="10" t="s">
        <v>761</v>
      </c>
      <c r="C18" s="12">
        <v>2</v>
      </c>
      <c r="D18" s="10" t="s">
        <v>762</v>
      </c>
      <c r="E18" s="12">
        <v>1.2</v>
      </c>
      <c r="F18" s="10" t="s">
        <v>763</v>
      </c>
      <c r="G18" s="12">
        <v>1</v>
      </c>
      <c r="H18" s="10" t="s">
        <v>764</v>
      </c>
      <c r="I18" s="12">
        <v>0.8</v>
      </c>
      <c r="J18" s="10" t="s">
        <v>765</v>
      </c>
      <c r="K18" s="247">
        <v>0.5</v>
      </c>
      <c r="M18" s="3"/>
      <c r="N18" s="3"/>
      <c r="O18" s="3"/>
      <c r="P18" s="3"/>
      <c r="Q18" s="3"/>
      <c r="R18" s="3"/>
      <c r="S18" s="3"/>
      <c r="T18" s="3"/>
    </row>
    <row r="19" spans="1:33" s="4" customFormat="1" x14ac:dyDescent="0.2">
      <c r="S19" s="3"/>
      <c r="T19" s="3"/>
      <c r="U19" s="3"/>
      <c r="V19" s="3"/>
      <c r="W19" s="3"/>
      <c r="X19" s="3"/>
      <c r="Y19" s="3"/>
      <c r="Z19" s="3"/>
      <c r="AA19" s="3"/>
      <c r="AB19" s="3"/>
      <c r="AC19" s="3"/>
      <c r="AD19" s="3"/>
      <c r="AE19" s="3"/>
      <c r="AF19" s="3"/>
      <c r="AG19" s="3"/>
    </row>
    <row r="20" spans="1:33" s="4" customFormat="1" ht="16" thickBot="1" x14ac:dyDescent="0.25">
      <c r="S20" s="5"/>
      <c r="T20" s="5"/>
      <c r="U20" s="5"/>
      <c r="V20" s="5"/>
      <c r="W20" s="5"/>
      <c r="X20" s="5"/>
      <c r="Y20" s="5"/>
      <c r="Z20" s="5"/>
      <c r="AA20" s="5"/>
      <c r="AB20" s="5"/>
      <c r="AC20" s="5"/>
      <c r="AD20" s="5"/>
      <c r="AE20" s="5"/>
      <c r="AF20" s="5"/>
      <c r="AG20" s="5"/>
    </row>
    <row r="21" spans="1:33" s="4" customFormat="1" x14ac:dyDescent="0.2">
      <c r="A21" s="28" t="s">
        <v>715</v>
      </c>
      <c r="B21" s="29" t="s">
        <v>705</v>
      </c>
      <c r="C21" s="30" t="s">
        <v>849</v>
      </c>
      <c r="F21" s="158"/>
      <c r="G21" s="158"/>
      <c r="H21" s="158"/>
      <c r="S21" s="5"/>
      <c r="T21" s="5"/>
      <c r="U21" s="5"/>
      <c r="V21" s="5"/>
      <c r="W21" s="5"/>
      <c r="X21" s="5"/>
      <c r="Y21" s="5"/>
      <c r="Z21" s="5"/>
      <c r="AA21" s="5"/>
      <c r="AB21" s="5"/>
      <c r="AC21" s="5"/>
      <c r="AD21" s="5"/>
      <c r="AE21" s="5"/>
      <c r="AF21" s="5"/>
      <c r="AG21" s="5"/>
    </row>
    <row r="22" spans="1:33" s="4" customFormat="1" x14ac:dyDescent="0.2">
      <c r="A22" s="501" t="s">
        <v>856</v>
      </c>
      <c r="B22" s="335">
        <v>1</v>
      </c>
      <c r="C22" s="337">
        <v>0.02</v>
      </c>
      <c r="D22" s="167">
        <v>1</v>
      </c>
      <c r="E22" s="167">
        <v>0.02</v>
      </c>
      <c r="S22" s="5"/>
      <c r="T22" s="3"/>
    </row>
    <row r="23" spans="1:33" s="4" customFormat="1" x14ac:dyDescent="0.2">
      <c r="A23" s="502"/>
      <c r="B23" s="335">
        <v>2</v>
      </c>
      <c r="C23" s="336">
        <v>0.2</v>
      </c>
      <c r="D23" s="167">
        <v>4</v>
      </c>
      <c r="E23" s="167">
        <v>0.2</v>
      </c>
      <c r="S23" s="5"/>
      <c r="T23" s="3"/>
    </row>
    <row r="24" spans="1:33" s="4" customFormat="1" x14ac:dyDescent="0.2">
      <c r="A24" s="502"/>
      <c r="B24" s="335">
        <v>3</v>
      </c>
      <c r="C24" s="336">
        <v>0.85</v>
      </c>
      <c r="S24" s="5"/>
      <c r="T24" s="3"/>
    </row>
    <row r="25" spans="1:33" s="4" customFormat="1" x14ac:dyDescent="0.2">
      <c r="A25" s="503"/>
      <c r="B25" s="335">
        <v>4</v>
      </c>
      <c r="C25" s="336">
        <v>2</v>
      </c>
      <c r="S25" s="5"/>
      <c r="T25" s="3"/>
    </row>
    <row r="26" spans="1:33" s="4" customFormat="1" x14ac:dyDescent="0.2">
      <c r="A26" s="249" t="s">
        <v>202</v>
      </c>
      <c r="B26" s="505" t="s">
        <v>879</v>
      </c>
      <c r="C26" s="506"/>
      <c r="S26" s="13"/>
      <c r="T26" s="13"/>
    </row>
    <row r="27" spans="1:33" s="4" customFormat="1" x14ac:dyDescent="0.2">
      <c r="A27" s="33" t="s">
        <v>203</v>
      </c>
      <c r="B27" s="505" t="s">
        <v>769</v>
      </c>
      <c r="C27" s="506"/>
      <c r="S27" s="3"/>
      <c r="T27" s="3"/>
    </row>
    <row r="28" spans="1:33" s="4" customFormat="1" x14ac:dyDescent="0.2">
      <c r="A28" s="507" t="s">
        <v>866</v>
      </c>
      <c r="B28" s="335">
        <v>1</v>
      </c>
      <c r="C28" s="337">
        <v>0.5</v>
      </c>
      <c r="S28" s="3"/>
      <c r="T28" s="3"/>
    </row>
    <row r="29" spans="1:33" s="4" customFormat="1" x14ac:dyDescent="0.2">
      <c r="A29" s="508"/>
      <c r="B29" s="335">
        <v>2</v>
      </c>
      <c r="C29" s="337">
        <v>1</v>
      </c>
      <c r="S29" s="3"/>
      <c r="T29" s="3"/>
    </row>
    <row r="30" spans="1:33" s="4" customFormat="1" x14ac:dyDescent="0.2">
      <c r="A30" s="508"/>
      <c r="B30" s="31">
        <v>3</v>
      </c>
      <c r="C30" s="32">
        <v>2.5</v>
      </c>
      <c r="S30" s="3"/>
      <c r="T30" s="3"/>
    </row>
    <row r="31" spans="1:33" s="4" customFormat="1" x14ac:dyDescent="0.2">
      <c r="A31" s="509"/>
      <c r="B31" s="31">
        <v>4</v>
      </c>
      <c r="C31" s="32">
        <v>5</v>
      </c>
      <c r="S31" s="3"/>
      <c r="T31" s="3"/>
    </row>
    <row r="32" spans="1:33" s="4" customFormat="1" x14ac:dyDescent="0.2">
      <c r="A32" s="250" t="s">
        <v>871</v>
      </c>
      <c r="B32" s="31">
        <v>1</v>
      </c>
      <c r="C32" s="32">
        <v>0.5</v>
      </c>
      <c r="S32" s="3"/>
      <c r="T32" s="3"/>
    </row>
    <row r="33" spans="1:20" s="4" customFormat="1" x14ac:dyDescent="0.2">
      <c r="A33" s="507" t="s">
        <v>871</v>
      </c>
      <c r="B33" s="31">
        <v>0</v>
      </c>
      <c r="C33" s="32">
        <v>0.5</v>
      </c>
      <c r="S33" s="3"/>
      <c r="T33" s="3"/>
    </row>
    <row r="34" spans="1:20" s="4" customFormat="1" x14ac:dyDescent="0.2">
      <c r="A34" s="508"/>
      <c r="B34" s="31">
        <v>1</v>
      </c>
      <c r="C34" s="32">
        <v>0.8</v>
      </c>
      <c r="S34" s="3"/>
      <c r="T34" s="3"/>
    </row>
    <row r="35" spans="1:20" s="4" customFormat="1" x14ac:dyDescent="0.2">
      <c r="A35" s="508"/>
      <c r="B35" s="31">
        <v>2</v>
      </c>
      <c r="C35" s="32">
        <v>1.6</v>
      </c>
      <c r="H35" s="175"/>
      <c r="S35" s="3"/>
      <c r="T35" s="3"/>
    </row>
    <row r="36" spans="1:20" s="4" customFormat="1" x14ac:dyDescent="0.2">
      <c r="A36" s="508"/>
      <c r="B36" s="31">
        <v>3</v>
      </c>
      <c r="C36" s="32">
        <v>3</v>
      </c>
      <c r="S36" s="3"/>
      <c r="T36" s="3"/>
    </row>
    <row r="37" spans="1:20" s="4" customFormat="1" x14ac:dyDescent="0.2">
      <c r="A37" s="509"/>
      <c r="B37" s="31">
        <v>4</v>
      </c>
      <c r="C37" s="32">
        <v>5</v>
      </c>
      <c r="S37" s="3"/>
      <c r="T37" s="3"/>
    </row>
    <row r="38" spans="1:20" s="4" customFormat="1" x14ac:dyDescent="0.2">
      <c r="A38" s="501" t="s">
        <v>1200</v>
      </c>
      <c r="B38" s="31">
        <v>1</v>
      </c>
      <c r="C38" s="32">
        <v>0.9</v>
      </c>
      <c r="S38" s="3"/>
      <c r="T38" s="3"/>
    </row>
    <row r="39" spans="1:20" s="4" customFormat="1" x14ac:dyDescent="0.2">
      <c r="A39" s="502"/>
      <c r="B39" s="31">
        <v>2</v>
      </c>
      <c r="C39" s="32">
        <v>1</v>
      </c>
    </row>
    <row r="40" spans="1:20" s="4" customFormat="1" x14ac:dyDescent="0.2">
      <c r="A40" s="502"/>
      <c r="B40" s="31">
        <v>3</v>
      </c>
      <c r="C40" s="32">
        <v>1.35</v>
      </c>
    </row>
    <row r="41" spans="1:20" s="4" customFormat="1" x14ac:dyDescent="0.2">
      <c r="A41" s="503"/>
      <c r="B41" s="31">
        <v>4</v>
      </c>
      <c r="C41" s="32">
        <v>2</v>
      </c>
    </row>
    <row r="42" spans="1:20" s="4" customFormat="1" ht="15" customHeight="1" x14ac:dyDescent="0.15">
      <c r="A42" s="501" t="s">
        <v>843</v>
      </c>
      <c r="B42" s="31">
        <v>1</v>
      </c>
      <c r="C42" s="32">
        <v>0.5</v>
      </c>
      <c r="D42" s="85"/>
    </row>
    <row r="43" spans="1:20" s="4" customFormat="1" x14ac:dyDescent="0.15">
      <c r="A43" s="502"/>
      <c r="B43" s="31">
        <v>2</v>
      </c>
      <c r="C43" s="32">
        <v>1.2</v>
      </c>
      <c r="D43" s="85"/>
    </row>
    <row r="44" spans="1:20" s="4" customFormat="1" x14ac:dyDescent="0.15">
      <c r="A44" s="502"/>
      <c r="B44" s="31">
        <v>3</v>
      </c>
      <c r="C44" s="32">
        <v>4.4000000000000004</v>
      </c>
      <c r="D44" s="85"/>
    </row>
    <row r="45" spans="1:20" s="4" customFormat="1" x14ac:dyDescent="0.15">
      <c r="A45" s="503"/>
      <c r="B45" s="31">
        <v>4</v>
      </c>
      <c r="C45" s="32">
        <v>10</v>
      </c>
      <c r="D45" s="85"/>
    </row>
    <row r="46" spans="1:20" s="4" customFormat="1" ht="15" customHeight="1" x14ac:dyDescent="0.2">
      <c r="A46" s="501" t="s">
        <v>760</v>
      </c>
      <c r="B46" s="31">
        <v>1</v>
      </c>
      <c r="C46" s="32">
        <v>0.5</v>
      </c>
      <c r="D46" s="82"/>
    </row>
    <row r="47" spans="1:20" s="4" customFormat="1" x14ac:dyDescent="0.2">
      <c r="A47" s="502"/>
      <c r="B47" s="31">
        <v>2</v>
      </c>
      <c r="C47" s="32">
        <v>0.8</v>
      </c>
      <c r="D47" s="82"/>
    </row>
    <row r="48" spans="1:20" s="4" customFormat="1" x14ac:dyDescent="0.2">
      <c r="A48" s="502"/>
      <c r="B48" s="31">
        <v>3</v>
      </c>
      <c r="C48" s="32">
        <v>1.3</v>
      </c>
      <c r="D48" s="82"/>
    </row>
    <row r="49" spans="1:34" s="4" customFormat="1" ht="16" thickBot="1" x14ac:dyDescent="0.25">
      <c r="A49" s="504"/>
      <c r="B49" s="34">
        <v>4</v>
      </c>
      <c r="C49" s="35">
        <v>2</v>
      </c>
      <c r="D49" s="82"/>
    </row>
    <row r="50" spans="1:34" s="4" customFormat="1" x14ac:dyDescent="0.2"/>
    <row r="51" spans="1:34" s="4" customFormat="1" x14ac:dyDescent="0.2">
      <c r="F51" s="4">
        <v>1.57</v>
      </c>
      <c r="G51" s="4">
        <f>0.2425*(AVERAGE(F51))^2 - 0.5535*AVERAGE(F51) + 0.3325</f>
        <v>6.1243249999999971E-2</v>
      </c>
    </row>
    <row r="52" spans="1:34" s="4" customFormat="1" x14ac:dyDescent="0.2"/>
    <row r="53" spans="1:34" s="4" customFormat="1" x14ac:dyDescent="0.2"/>
    <row r="54" spans="1:34" s="4" customFormat="1" x14ac:dyDescent="0.2">
      <c r="A54" t="s">
        <v>880</v>
      </c>
      <c r="B54"/>
      <c r="C54"/>
      <c r="D54"/>
      <c r="E54"/>
      <c r="F54"/>
      <c r="G54"/>
      <c r="H54"/>
      <c r="I54"/>
      <c r="J54"/>
      <c r="K54"/>
      <c r="L54"/>
      <c r="M54"/>
    </row>
    <row r="55" spans="1:34" s="4" customFormat="1" x14ac:dyDescent="0.2">
      <c r="A55"/>
      <c r="B55"/>
      <c r="C55"/>
      <c r="D55"/>
      <c r="E55"/>
      <c r="F55"/>
      <c r="G55"/>
      <c r="H55"/>
      <c r="I55"/>
      <c r="J55"/>
      <c r="K55"/>
      <c r="L55" s="338"/>
      <c r="M55" s="338"/>
      <c r="N55" s="339"/>
      <c r="O55" s="339"/>
      <c r="P55" s="339"/>
    </row>
    <row r="56" spans="1:34" s="4" customFormat="1" x14ac:dyDescent="0.2">
      <c r="A56" t="s">
        <v>881</v>
      </c>
      <c r="B56"/>
      <c r="C56"/>
      <c r="D56"/>
      <c r="E56"/>
      <c r="F56"/>
      <c r="G56"/>
      <c r="H56"/>
      <c r="I56"/>
      <c r="J56"/>
      <c r="K56"/>
      <c r="L56" s="338"/>
      <c r="M56" s="338"/>
      <c r="N56" s="339"/>
      <c r="O56" s="339"/>
      <c r="P56" s="339"/>
    </row>
    <row r="57" spans="1:34" s="4" customFormat="1" x14ac:dyDescent="0.2">
      <c r="A57" t="s">
        <v>882</v>
      </c>
      <c r="B57"/>
      <c r="C57"/>
      <c r="D57"/>
      <c r="E57"/>
      <c r="F57"/>
      <c r="G57"/>
      <c r="H57"/>
      <c r="I57"/>
      <c r="J57"/>
      <c r="K57"/>
      <c r="L57" s="338"/>
      <c r="M57" s="338"/>
      <c r="N57" s="339"/>
      <c r="O57" s="339"/>
      <c r="P57" s="339"/>
    </row>
    <row r="58" spans="1:34" s="4" customFormat="1" ht="16" thickBot="1" x14ac:dyDescent="0.25">
      <c r="A58"/>
      <c r="B58"/>
      <c r="C58"/>
      <c r="D58"/>
      <c r="E58"/>
      <c r="F58"/>
      <c r="G58"/>
      <c r="H58"/>
      <c r="I58"/>
      <c r="J58"/>
      <c r="K58"/>
      <c r="L58" s="338"/>
      <c r="M58" s="338"/>
      <c r="N58" s="339"/>
      <c r="O58" s="339"/>
      <c r="P58" s="339"/>
    </row>
    <row r="59" spans="1:34" s="4" customFormat="1" x14ac:dyDescent="0.2">
      <c r="A59" s="40"/>
      <c r="B59" s="41"/>
      <c r="C59" s="42"/>
      <c r="D59" s="43"/>
      <c r="E59" s="42"/>
      <c r="F59" s="43"/>
      <c r="G59" s="42"/>
      <c r="H59" s="42"/>
      <c r="I59" s="42"/>
      <c r="J59" s="43"/>
      <c r="K59" s="248"/>
      <c r="L59" s="340" t="s">
        <v>772</v>
      </c>
      <c r="M59" s="341"/>
      <c r="N59" s="339"/>
      <c r="O59" s="339"/>
      <c r="P59" s="339"/>
    </row>
    <row r="60" spans="1:34" s="4" customFormat="1" ht="56" x14ac:dyDescent="0.15">
      <c r="A60" s="44" t="s">
        <v>773</v>
      </c>
      <c r="B60" s="45" t="s">
        <v>774</v>
      </c>
      <c r="C60" s="46" t="s">
        <v>775</v>
      </c>
      <c r="D60" s="47" t="s">
        <v>776</v>
      </c>
      <c r="E60" s="46" t="s">
        <v>777</v>
      </c>
      <c r="F60" s="47" t="s">
        <v>778</v>
      </c>
      <c r="G60" s="46" t="s">
        <v>779</v>
      </c>
      <c r="H60" s="46" t="s">
        <v>780</v>
      </c>
      <c r="I60" s="46" t="s">
        <v>781</v>
      </c>
      <c r="J60" s="47" t="s">
        <v>782</v>
      </c>
      <c r="K60" s="44" t="s">
        <v>783</v>
      </c>
      <c r="L60" s="342" t="s">
        <v>784</v>
      </c>
      <c r="M60" s="343" t="s">
        <v>785</v>
      </c>
      <c r="N60" s="339"/>
      <c r="O60" s="339"/>
      <c r="P60" s="339"/>
    </row>
    <row r="61" spans="1:34" s="4" customFormat="1" x14ac:dyDescent="0.2">
      <c r="A61" s="50">
        <v>1</v>
      </c>
      <c r="B61" s="51" t="s">
        <v>786</v>
      </c>
      <c r="C61" s="51">
        <v>2</v>
      </c>
      <c r="D61" s="51">
        <v>6.3</v>
      </c>
      <c r="E61" s="51">
        <v>1</v>
      </c>
      <c r="F61" s="51">
        <v>1.5</v>
      </c>
      <c r="G61" s="51">
        <v>15</v>
      </c>
      <c r="H61" s="51">
        <v>1.5</v>
      </c>
      <c r="I61" s="51">
        <v>0.6</v>
      </c>
      <c r="J61" s="52">
        <v>18.8</v>
      </c>
      <c r="K61" s="53">
        <v>1500</v>
      </c>
      <c r="L61" s="344">
        <v>190</v>
      </c>
      <c r="M61" s="345">
        <v>37</v>
      </c>
      <c r="N61" s="339">
        <f>L61/M61</f>
        <v>5.1351351351351351</v>
      </c>
      <c r="O61" s="339"/>
      <c r="P61" s="339"/>
    </row>
    <row r="62" spans="1:34" s="4" customFormat="1" x14ac:dyDescent="0.2">
      <c r="A62" s="50">
        <v>2</v>
      </c>
      <c r="B62" s="55" t="s">
        <v>787</v>
      </c>
      <c r="C62" s="55">
        <v>4</v>
      </c>
      <c r="D62" s="55">
        <v>12.5</v>
      </c>
      <c r="E62" s="55">
        <v>9</v>
      </c>
      <c r="F62" s="55">
        <v>13.2</v>
      </c>
      <c r="G62" s="55">
        <v>35.9</v>
      </c>
      <c r="H62" s="55">
        <v>1.2</v>
      </c>
      <c r="I62" s="55">
        <v>2.4</v>
      </c>
      <c r="J62" s="52">
        <v>21.8</v>
      </c>
      <c r="K62" s="50">
        <v>1200</v>
      </c>
      <c r="L62" s="346">
        <v>160</v>
      </c>
      <c r="M62" s="347">
        <v>25</v>
      </c>
      <c r="N62" s="339">
        <f t="shared" ref="N62:N72" si="0">L62/M62</f>
        <v>6.4</v>
      </c>
      <c r="O62" s="348"/>
      <c r="P62" s="348"/>
      <c r="Q62" s="3"/>
      <c r="R62" s="3"/>
      <c r="S62" s="3"/>
      <c r="T62" s="3"/>
      <c r="U62" s="3"/>
      <c r="V62" s="3"/>
      <c r="X62" s="36"/>
      <c r="Y62" s="3"/>
      <c r="Z62" s="3"/>
      <c r="AA62" s="3"/>
      <c r="AB62" s="3"/>
      <c r="AC62" s="3"/>
      <c r="AD62" s="3"/>
      <c r="AE62" s="3"/>
      <c r="AF62" s="3"/>
      <c r="AG62" s="3"/>
      <c r="AH62" s="3"/>
    </row>
    <row r="63" spans="1:34" s="4" customFormat="1" x14ac:dyDescent="0.2">
      <c r="A63" s="50">
        <v>3</v>
      </c>
      <c r="B63" s="55" t="s">
        <v>883</v>
      </c>
      <c r="C63" s="55">
        <v>14</v>
      </c>
      <c r="D63" s="55">
        <v>43.8</v>
      </c>
      <c r="E63" s="55">
        <v>9</v>
      </c>
      <c r="F63" s="55">
        <v>13.2</v>
      </c>
      <c r="G63" s="55">
        <v>9.5</v>
      </c>
      <c r="H63" s="55">
        <v>16</v>
      </c>
      <c r="I63" s="55">
        <v>9.1999999999999993</v>
      </c>
      <c r="J63" s="52">
        <v>34.9</v>
      </c>
      <c r="K63" s="50">
        <v>16000</v>
      </c>
      <c r="L63" s="346">
        <v>2080</v>
      </c>
      <c r="M63" s="347">
        <v>190</v>
      </c>
      <c r="N63" s="339">
        <f t="shared" si="0"/>
        <v>10.947368421052632</v>
      </c>
      <c r="O63" s="348"/>
      <c r="P63" s="348"/>
      <c r="Q63" s="3"/>
      <c r="R63" s="3"/>
      <c r="S63" s="3"/>
      <c r="T63" s="3"/>
      <c r="U63" s="3"/>
      <c r="V63" s="3"/>
      <c r="W63" s="3"/>
      <c r="X63" s="3"/>
      <c r="Y63" s="3"/>
      <c r="Z63" s="3"/>
      <c r="AA63" s="3"/>
      <c r="AB63" s="3"/>
      <c r="AC63" s="3"/>
      <c r="AD63" s="3"/>
      <c r="AE63" s="3"/>
      <c r="AF63" s="3"/>
      <c r="AG63" s="3"/>
      <c r="AH63" s="3"/>
    </row>
    <row r="64" spans="1:34" s="4" customFormat="1" x14ac:dyDescent="0.2">
      <c r="A64" s="50">
        <v>4</v>
      </c>
      <c r="B64" s="55" t="s">
        <v>789</v>
      </c>
      <c r="C64" s="55">
        <v>0</v>
      </c>
      <c r="D64" s="55"/>
      <c r="E64" s="55">
        <v>3</v>
      </c>
      <c r="F64" s="55">
        <v>4.4000000000000004</v>
      </c>
      <c r="G64" s="55">
        <v>0.9</v>
      </c>
      <c r="H64" s="55" t="s">
        <v>884</v>
      </c>
      <c r="I64" s="55">
        <v>32.4</v>
      </c>
      <c r="J64" s="52">
        <v>69</v>
      </c>
      <c r="K64" s="50">
        <v>1000</v>
      </c>
      <c r="L64" s="346">
        <v>130</v>
      </c>
      <c r="M64" s="347">
        <v>5</v>
      </c>
      <c r="N64" s="339">
        <f t="shared" si="0"/>
        <v>26</v>
      </c>
      <c r="O64" s="348"/>
      <c r="P64" s="348"/>
      <c r="Q64" s="3"/>
      <c r="R64" s="3"/>
      <c r="S64" s="3"/>
      <c r="T64" s="3"/>
      <c r="U64" s="3"/>
      <c r="V64" s="3"/>
      <c r="W64" s="3"/>
      <c r="X64" s="3"/>
      <c r="Y64" s="3"/>
      <c r="Z64" s="3"/>
      <c r="AA64" s="3"/>
      <c r="AB64" s="3"/>
      <c r="AC64" s="3"/>
      <c r="AD64" s="3"/>
      <c r="AE64" s="3"/>
      <c r="AF64" s="3"/>
      <c r="AG64" s="3"/>
      <c r="AH64" s="3"/>
    </row>
    <row r="65" spans="1:34" s="4" customFormat="1" x14ac:dyDescent="0.2">
      <c r="A65" s="50">
        <v>5</v>
      </c>
      <c r="B65" s="55" t="s">
        <v>790</v>
      </c>
      <c r="C65" s="55" t="s">
        <v>885</v>
      </c>
      <c r="D65" s="55"/>
      <c r="E65" s="55">
        <v>19</v>
      </c>
      <c r="F65" s="55">
        <v>27.9</v>
      </c>
      <c r="G65" s="55">
        <v>8.4</v>
      </c>
      <c r="H65" s="55" t="s">
        <v>886</v>
      </c>
      <c r="I65" s="55">
        <v>22</v>
      </c>
      <c r="J65" s="52">
        <v>16.2</v>
      </c>
      <c r="K65" s="57">
        <v>1100</v>
      </c>
      <c r="L65" s="346">
        <v>140</v>
      </c>
      <c r="M65" s="347">
        <v>34</v>
      </c>
      <c r="N65" s="339">
        <f t="shared" si="0"/>
        <v>4.117647058823529</v>
      </c>
      <c r="O65" s="348"/>
      <c r="P65" s="348"/>
      <c r="Q65" s="3"/>
      <c r="R65" s="3"/>
      <c r="S65" s="3"/>
      <c r="T65" s="3"/>
      <c r="U65" s="3"/>
      <c r="V65" s="3"/>
      <c r="W65" s="3"/>
      <c r="X65" s="3"/>
      <c r="Y65" s="3"/>
      <c r="Z65" s="3"/>
      <c r="AA65" s="3"/>
      <c r="AB65" s="3"/>
      <c r="AC65" s="3"/>
      <c r="AD65" s="3"/>
      <c r="AE65" s="3"/>
      <c r="AF65" s="3"/>
      <c r="AG65" s="3"/>
      <c r="AH65" s="3"/>
    </row>
    <row r="66" spans="1:34" s="3" customFormat="1" x14ac:dyDescent="0.2">
      <c r="A66" s="50"/>
      <c r="B66" s="55" t="s">
        <v>791</v>
      </c>
      <c r="C66" s="55">
        <v>5</v>
      </c>
      <c r="D66" s="55">
        <v>15.6</v>
      </c>
      <c r="E66" s="55">
        <v>5</v>
      </c>
      <c r="F66" s="55">
        <v>7.4</v>
      </c>
      <c r="G66" s="55">
        <v>6.1</v>
      </c>
      <c r="H66" s="55">
        <v>8.9</v>
      </c>
      <c r="I66" s="55">
        <v>8</v>
      </c>
      <c r="J66" s="52">
        <v>24.8</v>
      </c>
      <c r="K66" s="50">
        <v>8900</v>
      </c>
      <c r="L66" s="346">
        <v>1160</v>
      </c>
      <c r="M66" s="347">
        <v>160</v>
      </c>
      <c r="N66" s="339">
        <f t="shared" si="0"/>
        <v>7.25</v>
      </c>
      <c r="O66" s="348"/>
      <c r="P66" s="348"/>
    </row>
    <row r="67" spans="1:34" s="3" customFormat="1" x14ac:dyDescent="0.2">
      <c r="A67" s="50"/>
      <c r="B67" s="55" t="s">
        <v>792</v>
      </c>
      <c r="C67" s="55">
        <v>1</v>
      </c>
      <c r="D67" s="55">
        <v>3.1</v>
      </c>
      <c r="E67" s="55">
        <v>7</v>
      </c>
      <c r="F67" s="55">
        <v>10.3</v>
      </c>
      <c r="G67" s="55">
        <v>9.3000000000000007</v>
      </c>
      <c r="H67" s="55">
        <v>1.2</v>
      </c>
      <c r="I67" s="55">
        <v>7.3</v>
      </c>
      <c r="J67" s="52">
        <v>22.2</v>
      </c>
      <c r="K67" s="50">
        <v>1200</v>
      </c>
      <c r="L67" s="346">
        <v>150</v>
      </c>
      <c r="M67" s="347">
        <v>24</v>
      </c>
      <c r="N67" s="339">
        <f t="shared" si="0"/>
        <v>6.25</v>
      </c>
      <c r="O67" s="348"/>
      <c r="P67" s="348"/>
    </row>
    <row r="68" spans="1:34" s="3" customFormat="1" x14ac:dyDescent="0.2">
      <c r="A68" s="50"/>
      <c r="B68" s="55" t="s">
        <v>793</v>
      </c>
      <c r="C68" s="55">
        <v>2</v>
      </c>
      <c r="D68" s="55">
        <v>6.3</v>
      </c>
      <c r="E68" s="55">
        <v>1</v>
      </c>
      <c r="F68" s="55">
        <v>1.5</v>
      </c>
      <c r="G68" s="55">
        <v>4.0999999999999996</v>
      </c>
      <c r="H68" s="55">
        <v>5.3</v>
      </c>
      <c r="I68" s="55">
        <v>2.4</v>
      </c>
      <c r="J68" s="52">
        <v>29.7</v>
      </c>
      <c r="K68" s="50">
        <v>5300</v>
      </c>
      <c r="L68" s="346">
        <v>690</v>
      </c>
      <c r="M68" s="347">
        <v>75</v>
      </c>
      <c r="N68" s="339">
        <f t="shared" si="0"/>
        <v>9.1999999999999993</v>
      </c>
      <c r="O68" s="348"/>
      <c r="P68" s="348"/>
    </row>
    <row r="69" spans="1:34" s="3" customFormat="1" x14ac:dyDescent="0.2">
      <c r="A69" s="50"/>
      <c r="B69" s="55" t="s">
        <v>794</v>
      </c>
      <c r="C69" s="55">
        <v>0</v>
      </c>
      <c r="D69" s="55"/>
      <c r="E69" s="55" t="s">
        <v>887</v>
      </c>
      <c r="F69" s="55">
        <v>1.5</v>
      </c>
      <c r="G69" s="55">
        <v>2.8</v>
      </c>
      <c r="H69" s="55" t="s">
        <v>884</v>
      </c>
      <c r="I69" s="55">
        <v>3.5</v>
      </c>
      <c r="J69" s="52">
        <v>26</v>
      </c>
      <c r="K69" s="50">
        <v>1000</v>
      </c>
      <c r="L69" s="346">
        <v>130</v>
      </c>
      <c r="M69" s="347">
        <v>17</v>
      </c>
      <c r="N69" s="339">
        <f t="shared" si="0"/>
        <v>7.6470588235294121</v>
      </c>
      <c r="O69" s="348"/>
      <c r="P69" s="348"/>
    </row>
    <row r="70" spans="1:34" s="3" customFormat="1" x14ac:dyDescent="0.2">
      <c r="A70" s="50"/>
      <c r="B70" s="55" t="s">
        <v>795</v>
      </c>
      <c r="C70" s="55">
        <v>4</v>
      </c>
      <c r="D70" s="55">
        <v>12.5</v>
      </c>
      <c r="E70" s="55">
        <v>10</v>
      </c>
      <c r="F70" s="55">
        <v>14.7</v>
      </c>
      <c r="G70" s="55">
        <v>4.7</v>
      </c>
      <c r="H70" s="55">
        <v>9.3000000000000007</v>
      </c>
      <c r="I70" s="55">
        <v>20.7</v>
      </c>
      <c r="J70" s="52">
        <v>91.5</v>
      </c>
      <c r="K70" s="50">
        <v>9300</v>
      </c>
      <c r="L70" s="346">
        <v>1200</v>
      </c>
      <c r="M70" s="347">
        <v>38</v>
      </c>
      <c r="N70" s="339">
        <f t="shared" si="0"/>
        <v>31.578947368421051</v>
      </c>
      <c r="O70" s="348"/>
      <c r="P70" s="348"/>
    </row>
    <row r="71" spans="1:34" s="3" customFormat="1" x14ac:dyDescent="0.2">
      <c r="A71" s="50"/>
      <c r="B71" s="55" t="s">
        <v>796</v>
      </c>
      <c r="C71" s="55">
        <v>0</v>
      </c>
      <c r="D71" s="55"/>
      <c r="E71" s="55">
        <v>2</v>
      </c>
      <c r="F71" s="55">
        <v>2.9</v>
      </c>
      <c r="G71" s="55">
        <v>2.4</v>
      </c>
      <c r="H71" s="55" t="s">
        <v>884</v>
      </c>
      <c r="I71" s="55">
        <v>8.1</v>
      </c>
      <c r="J71" s="52">
        <v>48.6</v>
      </c>
      <c r="K71" s="50">
        <v>1000</v>
      </c>
      <c r="L71" s="346">
        <v>130</v>
      </c>
      <c r="M71" s="347">
        <v>8</v>
      </c>
      <c r="N71" s="339">
        <f t="shared" si="0"/>
        <v>16.25</v>
      </c>
      <c r="O71" s="348"/>
      <c r="P71" s="348"/>
    </row>
    <row r="72" spans="1:34" s="3" customFormat="1" x14ac:dyDescent="0.2">
      <c r="A72" s="50"/>
      <c r="B72" s="55" t="s">
        <v>797</v>
      </c>
      <c r="C72" s="55">
        <v>0</v>
      </c>
      <c r="D72" s="55"/>
      <c r="E72" s="55">
        <v>2</v>
      </c>
      <c r="F72" s="55">
        <v>2.9</v>
      </c>
      <c r="G72" s="55">
        <v>0.9</v>
      </c>
      <c r="H72" s="55" t="s">
        <v>884</v>
      </c>
      <c r="I72" s="55">
        <v>21.6</v>
      </c>
      <c r="J72" s="52">
        <v>32.5</v>
      </c>
      <c r="K72" s="50">
        <v>1000</v>
      </c>
      <c r="L72" s="346">
        <v>130</v>
      </c>
      <c r="M72" s="347">
        <v>13</v>
      </c>
      <c r="N72" s="339">
        <f t="shared" si="0"/>
        <v>10</v>
      </c>
      <c r="O72" s="348"/>
      <c r="P72" s="348"/>
    </row>
    <row r="73" spans="1:34" s="3" customFormat="1" x14ac:dyDescent="0.2">
      <c r="A73" s="50"/>
      <c r="B73" s="55" t="s">
        <v>798</v>
      </c>
      <c r="C73" s="55">
        <v>7</v>
      </c>
      <c r="D73" s="55" t="s">
        <v>9</v>
      </c>
      <c r="E73" s="55">
        <v>6</v>
      </c>
      <c r="F73" s="55"/>
      <c r="G73" s="55"/>
      <c r="H73" s="55"/>
      <c r="I73" s="55"/>
      <c r="J73" s="58"/>
      <c r="K73" s="50"/>
      <c r="L73" s="346"/>
      <c r="M73" s="347"/>
      <c r="N73" s="339"/>
      <c r="O73" s="348"/>
      <c r="P73" s="348"/>
    </row>
    <row r="74" spans="1:34" s="3" customFormat="1" ht="16" thickBot="1" x14ac:dyDescent="0.2">
      <c r="A74" s="59"/>
      <c r="B74" s="60" t="s">
        <v>799</v>
      </c>
      <c r="C74" s="60">
        <v>39</v>
      </c>
      <c r="D74" s="60"/>
      <c r="E74" s="60">
        <v>74</v>
      </c>
      <c r="F74" s="60"/>
      <c r="G74" s="60">
        <v>100</v>
      </c>
      <c r="H74" s="60">
        <v>3.5</v>
      </c>
      <c r="I74" s="60">
        <v>6.6</v>
      </c>
      <c r="J74" s="61">
        <v>26.8</v>
      </c>
      <c r="K74" s="59"/>
      <c r="L74" s="349"/>
      <c r="M74" s="350"/>
      <c r="N74" s="339"/>
      <c r="O74" s="348"/>
      <c r="P74" s="348"/>
    </row>
    <row r="75" spans="1:34" s="3" customFormat="1" x14ac:dyDescent="0.2">
      <c r="K75" s="4"/>
      <c r="L75" s="351"/>
      <c r="M75" s="348"/>
      <c r="N75" s="348"/>
      <c r="O75" s="348"/>
      <c r="P75" s="348"/>
    </row>
    <row r="76" spans="1:34" s="3" customFormat="1" x14ac:dyDescent="0.2">
      <c r="K76" s="4"/>
      <c r="L76" s="351"/>
      <c r="M76" s="348"/>
      <c r="N76" s="348"/>
      <c r="O76" s="348"/>
      <c r="P76" s="348"/>
    </row>
    <row r="77" spans="1:34" s="3" customFormat="1" x14ac:dyDescent="0.2">
      <c r="K77" s="4"/>
      <c r="L77" s="351"/>
      <c r="M77" s="348"/>
      <c r="N77" s="348"/>
      <c r="O77" s="348"/>
      <c r="P77" s="348"/>
    </row>
    <row r="78" spans="1:34" s="3" customFormat="1" x14ac:dyDescent="0.2">
      <c r="K78" s="4"/>
      <c r="L78" s="351"/>
      <c r="M78" s="348"/>
      <c r="N78" s="348"/>
      <c r="O78" s="348"/>
      <c r="P78" s="348"/>
    </row>
    <row r="79" spans="1:34" s="3" customFormat="1" x14ac:dyDescent="0.2">
      <c r="K79" s="4"/>
      <c r="L79" s="351"/>
      <c r="M79" s="348"/>
      <c r="N79" s="348"/>
      <c r="O79" s="348"/>
      <c r="P79" s="348"/>
    </row>
    <row r="80" spans="1:34" s="3" customFormat="1" x14ac:dyDescent="0.2">
      <c r="K80" s="4"/>
      <c r="L80" s="351"/>
      <c r="M80" s="348"/>
      <c r="N80" s="348"/>
      <c r="O80" s="348"/>
      <c r="P80" s="348"/>
    </row>
    <row r="81" spans="11:16" s="3" customFormat="1" x14ac:dyDescent="0.2">
      <c r="K81" s="4"/>
      <c r="L81" s="351"/>
      <c r="M81" s="348"/>
      <c r="N81" s="348"/>
      <c r="O81" s="348"/>
      <c r="P81" s="348"/>
    </row>
    <row r="82" spans="11:16" s="3" customFormat="1" x14ac:dyDescent="0.2">
      <c r="K82" s="4"/>
      <c r="L82" s="351"/>
      <c r="M82" s="348"/>
      <c r="N82" s="348"/>
      <c r="O82" s="348"/>
      <c r="P82" s="348"/>
    </row>
    <row r="83" spans="11:16" s="3" customFormat="1" x14ac:dyDescent="0.2">
      <c r="K83" s="4"/>
      <c r="L83" s="351"/>
      <c r="M83" s="348"/>
      <c r="N83" s="348"/>
      <c r="O83" s="348"/>
      <c r="P83" s="348"/>
    </row>
    <row r="84" spans="11:16" s="3" customFormat="1" x14ac:dyDescent="0.2">
      <c r="K84" s="4"/>
      <c r="L84" s="351"/>
      <c r="M84" s="348"/>
      <c r="N84" s="348"/>
      <c r="O84" s="348"/>
      <c r="P84" s="348"/>
    </row>
    <row r="85" spans="11:16" s="3" customFormat="1" x14ac:dyDescent="0.2">
      <c r="K85" s="4"/>
      <c r="L85" s="351"/>
      <c r="M85" s="348"/>
      <c r="N85" s="348"/>
      <c r="O85" s="348"/>
      <c r="P85" s="348"/>
    </row>
    <row r="86" spans="11:16" s="3" customFormat="1" x14ac:dyDescent="0.2">
      <c r="K86" s="4"/>
      <c r="L86" s="351"/>
      <c r="M86" s="348"/>
      <c r="N86" s="348"/>
      <c r="O86" s="348"/>
      <c r="P86" s="348"/>
    </row>
    <row r="87" spans="11:16" s="3" customFormat="1" x14ac:dyDescent="0.2">
      <c r="K87" s="4"/>
      <c r="L87" s="36"/>
    </row>
    <row r="88" spans="11:16" s="3" customFormat="1" x14ac:dyDescent="0.2">
      <c r="K88" s="4"/>
      <c r="L88" s="36"/>
    </row>
    <row r="89" spans="11:16" s="3" customFormat="1" x14ac:dyDescent="0.2">
      <c r="K89" s="4"/>
      <c r="L89" s="36"/>
    </row>
    <row r="90" spans="11:16" s="3" customFormat="1" x14ac:dyDescent="0.2">
      <c r="K90" s="4"/>
      <c r="L90" s="36"/>
    </row>
    <row r="91" spans="11:16" s="3" customFormat="1" x14ac:dyDescent="0.2">
      <c r="K91" s="4"/>
      <c r="L91" s="36"/>
    </row>
    <row r="92" spans="11:16" s="3" customFormat="1" x14ac:dyDescent="0.2">
      <c r="K92" s="4"/>
      <c r="L92" s="36"/>
    </row>
    <row r="93" spans="11:16" s="3" customFormat="1" x14ac:dyDescent="0.2">
      <c r="K93" s="4"/>
      <c r="L93" s="36"/>
    </row>
    <row r="94" spans="11:16" s="3" customFormat="1" x14ac:dyDescent="0.2">
      <c r="K94" s="4"/>
      <c r="L94" s="36"/>
    </row>
    <row r="95" spans="11:16" s="3" customFormat="1" x14ac:dyDescent="0.2">
      <c r="K95" s="4"/>
      <c r="L95" s="36"/>
    </row>
    <row r="96" spans="11:16" s="3" customFormat="1" x14ac:dyDescent="0.2">
      <c r="K96" s="4"/>
      <c r="L96" s="36"/>
    </row>
    <row r="97" spans="11:12" s="3" customFormat="1" x14ac:dyDescent="0.2">
      <c r="K97" s="4"/>
      <c r="L97" s="36"/>
    </row>
    <row r="98" spans="11:12" s="3" customFormat="1" x14ac:dyDescent="0.2">
      <c r="K98" s="4"/>
      <c r="L98" s="36"/>
    </row>
    <row r="99" spans="11:12" s="3" customFormat="1" x14ac:dyDescent="0.2">
      <c r="K99" s="4"/>
      <c r="L99" s="36"/>
    </row>
    <row r="100" spans="11:12" s="3" customFormat="1" x14ac:dyDescent="0.2">
      <c r="K100" s="4"/>
      <c r="L100" s="36"/>
    </row>
    <row r="101" spans="11:12" s="3" customFormat="1" x14ac:dyDescent="0.2">
      <c r="K101" s="4"/>
      <c r="L101" s="36"/>
    </row>
    <row r="102" spans="11:12" s="3" customFormat="1" x14ac:dyDescent="0.2">
      <c r="K102" s="4"/>
      <c r="L102" s="36"/>
    </row>
    <row r="103" spans="11:12" s="3" customFormat="1" x14ac:dyDescent="0.2">
      <c r="K103" s="4"/>
      <c r="L103" s="36"/>
    </row>
    <row r="104" spans="11:12" s="3" customFormat="1" x14ac:dyDescent="0.2">
      <c r="K104" s="4"/>
      <c r="L104" s="36"/>
    </row>
    <row r="105" spans="11:12" s="3" customFormat="1" x14ac:dyDescent="0.2">
      <c r="K105" s="4"/>
      <c r="L105" s="36"/>
    </row>
    <row r="106" spans="11:12" s="3" customFormat="1" x14ac:dyDescent="0.2">
      <c r="K106" s="4"/>
      <c r="L106" s="36"/>
    </row>
    <row r="107" spans="11:12" s="3" customFormat="1" x14ac:dyDescent="0.2">
      <c r="K107" s="4"/>
      <c r="L107" s="36"/>
    </row>
    <row r="108" spans="11:12" s="3" customFormat="1" x14ac:dyDescent="0.2">
      <c r="K108" s="4"/>
      <c r="L108" s="36"/>
    </row>
    <row r="109" spans="11:12" s="3" customFormat="1" x14ac:dyDescent="0.2">
      <c r="K109" s="4"/>
      <c r="L109" s="36"/>
    </row>
    <row r="110" spans="11:12" s="3" customFormat="1" x14ac:dyDescent="0.2">
      <c r="K110" s="4"/>
      <c r="L110" s="36"/>
    </row>
    <row r="111" spans="11:12" s="3" customFormat="1" x14ac:dyDescent="0.2">
      <c r="K111" s="4"/>
      <c r="L111" s="36"/>
    </row>
    <row r="112" spans="11:12" s="3" customFormat="1" x14ac:dyDescent="0.2">
      <c r="K112" s="4"/>
      <c r="L112" s="36"/>
    </row>
    <row r="113" spans="11:12" s="3" customFormat="1" x14ac:dyDescent="0.2">
      <c r="K113" s="4"/>
      <c r="L113" s="36"/>
    </row>
    <row r="114" spans="11:12" s="3" customFormat="1" x14ac:dyDescent="0.2">
      <c r="K114" s="4"/>
      <c r="L114" s="36"/>
    </row>
    <row r="115" spans="11:12" s="3" customFormat="1" x14ac:dyDescent="0.2">
      <c r="K115" s="4"/>
      <c r="L115" s="36"/>
    </row>
    <row r="116" spans="11:12" s="3" customFormat="1" x14ac:dyDescent="0.2">
      <c r="K116" s="4"/>
      <c r="L116" s="36"/>
    </row>
    <row r="117" spans="11:12" s="3" customFormat="1" x14ac:dyDescent="0.2">
      <c r="K117" s="4"/>
      <c r="L117" s="36"/>
    </row>
    <row r="118" spans="11:12" s="3" customFormat="1" x14ac:dyDescent="0.2">
      <c r="K118" s="4"/>
      <c r="L118" s="36"/>
    </row>
    <row r="119" spans="11:12" s="3" customFormat="1" x14ac:dyDescent="0.2">
      <c r="K119" s="4"/>
      <c r="L119" s="36"/>
    </row>
    <row r="120" spans="11:12" s="3" customFormat="1" x14ac:dyDescent="0.2">
      <c r="K120" s="4"/>
      <c r="L120" s="36"/>
    </row>
    <row r="121" spans="11:12" s="3" customFormat="1" x14ac:dyDescent="0.2">
      <c r="K121" s="4"/>
      <c r="L121" s="36"/>
    </row>
    <row r="122" spans="11:12" s="3" customFormat="1" x14ac:dyDescent="0.2">
      <c r="K122" s="4"/>
      <c r="L122" s="36"/>
    </row>
    <row r="123" spans="11:12" s="3" customFormat="1" x14ac:dyDescent="0.2">
      <c r="K123" s="4"/>
      <c r="L123" s="36"/>
    </row>
    <row r="124" spans="11:12" s="3" customFormat="1" x14ac:dyDescent="0.2">
      <c r="K124" s="4"/>
      <c r="L124" s="36"/>
    </row>
    <row r="125" spans="11:12" s="3" customFormat="1" x14ac:dyDescent="0.2">
      <c r="K125" s="4"/>
      <c r="L125" s="36"/>
    </row>
    <row r="126" spans="11:12" s="3" customFormat="1" x14ac:dyDescent="0.2">
      <c r="K126" s="4"/>
      <c r="L126" s="36"/>
    </row>
    <row r="127" spans="11:12" s="3" customFormat="1" x14ac:dyDescent="0.2">
      <c r="K127" s="4"/>
      <c r="L127" s="36"/>
    </row>
    <row r="128" spans="11:12" s="3" customFormat="1" x14ac:dyDescent="0.2">
      <c r="K128" s="4"/>
      <c r="L128" s="36"/>
    </row>
    <row r="129" spans="11:12" s="3" customFormat="1" x14ac:dyDescent="0.2">
      <c r="K129" s="4"/>
      <c r="L129" s="36"/>
    </row>
    <row r="130" spans="11:12" s="3" customFormat="1" x14ac:dyDescent="0.2">
      <c r="K130" s="4"/>
      <c r="L130" s="36"/>
    </row>
    <row r="131" spans="11:12" s="3" customFormat="1" x14ac:dyDescent="0.2">
      <c r="K131" s="4"/>
      <c r="L131" s="36"/>
    </row>
    <row r="132" spans="11:12" s="3" customFormat="1" x14ac:dyDescent="0.2">
      <c r="K132" s="4"/>
      <c r="L132" s="36"/>
    </row>
    <row r="133" spans="11:12" s="3" customFormat="1" x14ac:dyDescent="0.2">
      <c r="K133" s="4"/>
      <c r="L133" s="36"/>
    </row>
    <row r="134" spans="11:12" s="3" customFormat="1" x14ac:dyDescent="0.2">
      <c r="K134" s="4"/>
      <c r="L134" s="36"/>
    </row>
    <row r="135" spans="11:12" s="3" customFormat="1" x14ac:dyDescent="0.2">
      <c r="K135" s="4"/>
      <c r="L135" s="36"/>
    </row>
    <row r="136" spans="11:12" s="3" customFormat="1" x14ac:dyDescent="0.2">
      <c r="K136" s="4"/>
      <c r="L136" s="36"/>
    </row>
    <row r="137" spans="11:12" s="3" customFormat="1" x14ac:dyDescent="0.2">
      <c r="K137" s="4"/>
      <c r="L137" s="36"/>
    </row>
    <row r="138" spans="11:12" s="3" customFormat="1" x14ac:dyDescent="0.2">
      <c r="K138" s="4"/>
      <c r="L138" s="36"/>
    </row>
    <row r="139" spans="11:12" s="3" customFormat="1" x14ac:dyDescent="0.2">
      <c r="K139" s="4"/>
      <c r="L139" s="36"/>
    </row>
    <row r="140" spans="11:12" s="3" customFormat="1" x14ac:dyDescent="0.2">
      <c r="K140" s="4"/>
      <c r="L140" s="36"/>
    </row>
    <row r="141" spans="11:12" s="3" customFormat="1" x14ac:dyDescent="0.2">
      <c r="K141" s="4"/>
      <c r="L141" s="36"/>
    </row>
    <row r="142" spans="11:12" s="3" customFormat="1" x14ac:dyDescent="0.2">
      <c r="K142" s="4"/>
      <c r="L142" s="36"/>
    </row>
    <row r="143" spans="11:12" s="3" customFormat="1" x14ac:dyDescent="0.2">
      <c r="K143" s="4"/>
      <c r="L143" s="36"/>
    </row>
    <row r="144" spans="11:12" s="3" customFormat="1" x14ac:dyDescent="0.2">
      <c r="K144" s="4"/>
      <c r="L144" s="36"/>
    </row>
    <row r="145" spans="11:12" s="3" customFormat="1" x14ac:dyDescent="0.2">
      <c r="K145" s="4"/>
      <c r="L145" s="36"/>
    </row>
    <row r="146" spans="11:12" s="3" customFormat="1" x14ac:dyDescent="0.2">
      <c r="K146" s="4"/>
      <c r="L146" s="36"/>
    </row>
    <row r="147" spans="11:12" s="3" customFormat="1" x14ac:dyDescent="0.2">
      <c r="K147" s="4"/>
      <c r="L147" s="36"/>
    </row>
    <row r="148" spans="11:12" s="3" customFormat="1" x14ac:dyDescent="0.2">
      <c r="K148" s="4"/>
      <c r="L148" s="36"/>
    </row>
  </sheetData>
  <autoFilter ref="A60:M73" xr:uid="{AEE8254C-51C3-452C-9753-41AB96F0F074}">
    <sortState xmlns:xlrd2="http://schemas.microsoft.com/office/spreadsheetml/2017/richdata2" ref="A61:M74">
      <sortCondition ref="A60:A73"/>
    </sortState>
  </autoFilter>
  <mergeCells count="20">
    <mergeCell ref="A5:K5"/>
    <mergeCell ref="B6:C6"/>
    <mergeCell ref="D6:E6"/>
    <mergeCell ref="F6:G6"/>
    <mergeCell ref="H6:I6"/>
    <mergeCell ref="J6:K6"/>
    <mergeCell ref="B7:K7"/>
    <mergeCell ref="B8:C8"/>
    <mergeCell ref="D8:E8"/>
    <mergeCell ref="F8:G8"/>
    <mergeCell ref="H8:I8"/>
    <mergeCell ref="J8:K8"/>
    <mergeCell ref="A42:A45"/>
    <mergeCell ref="A46:A49"/>
    <mergeCell ref="A22:A25"/>
    <mergeCell ref="B26:C26"/>
    <mergeCell ref="B27:C27"/>
    <mergeCell ref="A28:A31"/>
    <mergeCell ref="A33:A37"/>
    <mergeCell ref="A38:A4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D4A2A-778B-4007-8022-05BC749290DA}">
  <sheetPr codeName="Sheet7">
    <tabColor theme="0" tint="-0.499984740745262"/>
  </sheetPr>
  <dimension ref="B4:P141"/>
  <sheetViews>
    <sheetView zoomScale="55" zoomScaleNormal="55" workbookViewId="0">
      <selection activeCell="B4" sqref="B4"/>
    </sheetView>
  </sheetViews>
  <sheetFormatPr baseColWidth="10" defaultColWidth="8.83203125" defaultRowHeight="15" x14ac:dyDescent="0.2"/>
  <cols>
    <col min="2" max="2" width="34" bestFit="1" customWidth="1"/>
    <col min="4" max="4" width="37.5" customWidth="1"/>
    <col min="6" max="6" width="59.5" bestFit="1" customWidth="1"/>
    <col min="7" max="7" width="14" customWidth="1"/>
    <col min="8" max="8" width="59.5" bestFit="1" customWidth="1"/>
    <col min="9" max="9" width="14.5" customWidth="1"/>
    <col min="10" max="10" width="59.5" bestFit="1" customWidth="1"/>
    <col min="14" max="14" width="11.5" customWidth="1"/>
    <col min="15" max="15" width="77.5" customWidth="1"/>
    <col min="16" max="16" width="37.5" bestFit="1" customWidth="1"/>
  </cols>
  <sheetData>
    <row r="4" spans="2:16" s="104" customFormat="1" x14ac:dyDescent="0.2">
      <c r="B4" s="103" t="s">
        <v>893</v>
      </c>
    </row>
    <row r="5" spans="2:16" s="104" customFormat="1" x14ac:dyDescent="0.2"/>
    <row r="6" spans="2:16" s="104" customFormat="1" x14ac:dyDescent="0.2">
      <c r="D6" s="105" t="s">
        <v>894</v>
      </c>
      <c r="F6" s="105" t="s">
        <v>894</v>
      </c>
      <c r="H6" s="105" t="s">
        <v>895</v>
      </c>
      <c r="J6" s="105" t="s">
        <v>896</v>
      </c>
      <c r="N6" s="103" t="s">
        <v>897</v>
      </c>
      <c r="O6" s="103" t="s">
        <v>898</v>
      </c>
      <c r="P6" s="103" t="s">
        <v>899</v>
      </c>
    </row>
    <row r="7" spans="2:16" s="104" customFormat="1" ht="16" x14ac:dyDescent="0.2">
      <c r="I7" s="106"/>
      <c r="N7" s="104" t="s">
        <v>900</v>
      </c>
      <c r="O7" s="107" t="s">
        <v>901</v>
      </c>
      <c r="P7" s="104" t="s">
        <v>902</v>
      </c>
    </row>
    <row r="8" spans="2:16" s="104" customFormat="1" ht="16" x14ac:dyDescent="0.2">
      <c r="I8" s="106"/>
      <c r="J8" s="104" t="s">
        <v>903</v>
      </c>
      <c r="K8" s="108" t="s">
        <v>904</v>
      </c>
      <c r="L8" s="104" t="s">
        <v>905</v>
      </c>
      <c r="N8" s="104" t="s">
        <v>900</v>
      </c>
      <c r="O8" s="107" t="s">
        <v>901</v>
      </c>
      <c r="P8" s="104" t="s">
        <v>906</v>
      </c>
    </row>
    <row r="9" spans="2:16" s="104" customFormat="1" ht="16" x14ac:dyDescent="0.2">
      <c r="I9" s="109" t="s">
        <v>907</v>
      </c>
      <c r="N9" s="104" t="s">
        <v>900</v>
      </c>
      <c r="O9" s="107" t="s">
        <v>901</v>
      </c>
      <c r="P9" s="104" t="s">
        <v>908</v>
      </c>
    </row>
    <row r="10" spans="2:16" s="104" customFormat="1" ht="16" x14ac:dyDescent="0.2">
      <c r="E10" s="108"/>
      <c r="H10" s="104" t="s">
        <v>909</v>
      </c>
      <c r="I10" s="109" t="s">
        <v>910</v>
      </c>
      <c r="N10" s="104" t="s">
        <v>911</v>
      </c>
      <c r="O10" s="107" t="s">
        <v>912</v>
      </c>
      <c r="P10" s="104" t="s">
        <v>913</v>
      </c>
    </row>
    <row r="11" spans="2:16" s="104" customFormat="1" ht="16" x14ac:dyDescent="0.2">
      <c r="E11" s="108"/>
      <c r="G11" s="109" t="s">
        <v>907</v>
      </c>
      <c r="H11" s="104" t="s">
        <v>914</v>
      </c>
      <c r="I11" s="106"/>
      <c r="J11" s="108" t="s">
        <v>915</v>
      </c>
      <c r="N11" s="104" t="s">
        <v>911</v>
      </c>
      <c r="O11" s="107" t="s">
        <v>912</v>
      </c>
      <c r="P11" s="104" t="s">
        <v>916</v>
      </c>
    </row>
    <row r="12" spans="2:16" s="104" customFormat="1" ht="16" x14ac:dyDescent="0.2">
      <c r="E12" s="108"/>
      <c r="F12" s="104" t="s">
        <v>917</v>
      </c>
      <c r="G12" s="109" t="s">
        <v>910</v>
      </c>
      <c r="I12" s="106"/>
      <c r="J12" s="108"/>
      <c r="N12" s="104" t="s">
        <v>914</v>
      </c>
      <c r="O12" s="107" t="s">
        <v>918</v>
      </c>
      <c r="P12" s="104" t="s">
        <v>902</v>
      </c>
    </row>
    <row r="13" spans="2:16" s="104" customFormat="1" ht="16" x14ac:dyDescent="0.2">
      <c r="E13" s="109" t="s">
        <v>907</v>
      </c>
      <c r="F13" s="104" t="s">
        <v>911</v>
      </c>
      <c r="G13" s="106"/>
      <c r="H13" s="104" t="s">
        <v>919</v>
      </c>
      <c r="I13" s="110" t="s">
        <v>904</v>
      </c>
      <c r="J13" s="108" t="s">
        <v>920</v>
      </c>
      <c r="N13" s="104" t="s">
        <v>914</v>
      </c>
      <c r="O13" s="107" t="s">
        <v>918</v>
      </c>
      <c r="P13" s="104" t="s">
        <v>906</v>
      </c>
    </row>
    <row r="14" spans="2:16" s="104" customFormat="1" ht="16" x14ac:dyDescent="0.2">
      <c r="D14" s="104" t="s">
        <v>921</v>
      </c>
      <c r="G14" s="106"/>
      <c r="I14" s="106"/>
      <c r="J14" s="108"/>
      <c r="N14" s="104" t="s">
        <v>914</v>
      </c>
      <c r="O14" s="107" t="s">
        <v>918</v>
      </c>
      <c r="P14" s="104" t="s">
        <v>913</v>
      </c>
    </row>
    <row r="15" spans="2:16" s="104" customFormat="1" ht="16" x14ac:dyDescent="0.2">
      <c r="C15" s="109" t="s">
        <v>907</v>
      </c>
      <c r="D15" s="104" t="s">
        <v>900</v>
      </c>
      <c r="E15" s="109" t="s">
        <v>910</v>
      </c>
      <c r="G15" s="106"/>
      <c r="I15" s="106"/>
      <c r="J15" s="108"/>
      <c r="N15" s="104" t="s">
        <v>914</v>
      </c>
      <c r="O15" s="107" t="s">
        <v>918</v>
      </c>
      <c r="P15" s="104" t="s">
        <v>908</v>
      </c>
    </row>
    <row r="16" spans="2:16" s="104" customFormat="1" ht="16" x14ac:dyDescent="0.2">
      <c r="E16" s="108"/>
      <c r="G16" s="109"/>
      <c r="I16" s="106"/>
      <c r="J16" s="108"/>
      <c r="N16" s="104" t="s">
        <v>914</v>
      </c>
      <c r="O16" s="107" t="s">
        <v>918</v>
      </c>
      <c r="P16" s="104" t="s">
        <v>916</v>
      </c>
    </row>
    <row r="17" spans="2:16" s="104" customFormat="1" x14ac:dyDescent="0.2">
      <c r="E17" s="108"/>
      <c r="F17" s="104" t="s">
        <v>922</v>
      </c>
      <c r="G17" s="110" t="s">
        <v>904</v>
      </c>
      <c r="H17" s="108" t="s">
        <v>923</v>
      </c>
      <c r="I17" s="106"/>
      <c r="J17" s="108"/>
    </row>
    <row r="18" spans="2:16" s="104" customFormat="1" x14ac:dyDescent="0.2">
      <c r="C18" s="109" t="s">
        <v>910</v>
      </c>
      <c r="G18" s="106"/>
      <c r="I18" s="106"/>
    </row>
    <row r="19" spans="2:16" s="104" customFormat="1" x14ac:dyDescent="0.2">
      <c r="D19" s="104" t="s">
        <v>924</v>
      </c>
      <c r="E19" s="108" t="s">
        <v>904</v>
      </c>
      <c r="F19" s="108" t="s">
        <v>923</v>
      </c>
      <c r="G19" s="106"/>
      <c r="I19" s="106"/>
    </row>
    <row r="20" spans="2:16" x14ac:dyDescent="0.2">
      <c r="G20" s="58"/>
      <c r="I20" s="58"/>
    </row>
    <row r="21" spans="2:16" x14ac:dyDescent="0.2">
      <c r="I21" s="58"/>
    </row>
    <row r="22" spans="2:16" x14ac:dyDescent="0.2">
      <c r="I22" s="58"/>
    </row>
    <row r="23" spans="2:16" x14ac:dyDescent="0.2">
      <c r="I23" s="58"/>
    </row>
    <row r="24" spans="2:16" x14ac:dyDescent="0.2">
      <c r="I24" s="58"/>
    </row>
    <row r="25" spans="2:16" s="112" customFormat="1" x14ac:dyDescent="0.2">
      <c r="B25" s="111" t="s">
        <v>925</v>
      </c>
      <c r="I25" s="113"/>
    </row>
    <row r="26" spans="2:16" s="112" customFormat="1" x14ac:dyDescent="0.2">
      <c r="I26" s="113"/>
    </row>
    <row r="27" spans="2:16" s="112" customFormat="1" x14ac:dyDescent="0.2">
      <c r="D27" s="112" t="s">
        <v>894</v>
      </c>
      <c r="F27" s="112" t="s">
        <v>895</v>
      </c>
      <c r="H27" s="112" t="s">
        <v>896</v>
      </c>
      <c r="I27" s="113"/>
      <c r="N27" s="111" t="s">
        <v>897</v>
      </c>
      <c r="O27" s="111" t="s">
        <v>898</v>
      </c>
      <c r="P27" s="111" t="s">
        <v>899</v>
      </c>
    </row>
    <row r="28" spans="2:16" s="112" customFormat="1" ht="16" x14ac:dyDescent="0.2">
      <c r="I28" s="113"/>
      <c r="N28" s="112" t="s">
        <v>926</v>
      </c>
      <c r="O28" s="114" t="s">
        <v>927</v>
      </c>
      <c r="P28" s="112" t="s">
        <v>913</v>
      </c>
    </row>
    <row r="29" spans="2:16" s="112" customFormat="1" ht="16" x14ac:dyDescent="0.2">
      <c r="I29" s="113"/>
      <c r="N29" s="112" t="s">
        <v>926</v>
      </c>
      <c r="O29" s="114" t="str">
        <f>O28</f>
        <v>Pore pressures are not unexpectedly excessive</v>
      </c>
      <c r="P29" s="112" t="s">
        <v>916</v>
      </c>
    </row>
    <row r="30" spans="2:16" s="112" customFormat="1" ht="16" x14ac:dyDescent="0.2">
      <c r="I30" s="115"/>
      <c r="N30" s="112" t="s">
        <v>928</v>
      </c>
      <c r="O30" s="114" t="s">
        <v>929</v>
      </c>
      <c r="P30" s="112" t="s">
        <v>902</v>
      </c>
    </row>
    <row r="31" spans="2:16" s="112" customFormat="1" ht="16" x14ac:dyDescent="0.2">
      <c r="E31" s="116"/>
      <c r="H31" s="112" t="s">
        <v>903</v>
      </c>
      <c r="I31" s="117" t="s">
        <v>904</v>
      </c>
      <c r="J31" s="112" t="s">
        <v>905</v>
      </c>
      <c r="N31" s="112" t="s">
        <v>928</v>
      </c>
      <c r="O31" s="114" t="s">
        <v>929</v>
      </c>
      <c r="P31" s="112" t="s">
        <v>906</v>
      </c>
    </row>
    <row r="32" spans="2:16" s="112" customFormat="1" ht="16" x14ac:dyDescent="0.2">
      <c r="E32" s="116"/>
      <c r="G32" s="115" t="s">
        <v>907</v>
      </c>
      <c r="I32" s="113"/>
      <c r="J32" s="116"/>
      <c r="N32" s="112" t="s">
        <v>928</v>
      </c>
      <c r="O32" s="114" t="s">
        <v>929</v>
      </c>
      <c r="P32" s="112" t="s">
        <v>913</v>
      </c>
    </row>
    <row r="33" spans="2:16" s="112" customFormat="1" ht="16" x14ac:dyDescent="0.2">
      <c r="F33" s="112" t="s">
        <v>930</v>
      </c>
      <c r="G33" s="115" t="s">
        <v>910</v>
      </c>
      <c r="I33" s="113"/>
      <c r="J33" s="116"/>
      <c r="N33" s="112" t="s">
        <v>928</v>
      </c>
      <c r="O33" s="114" t="s">
        <v>929</v>
      </c>
      <c r="P33" s="112" t="s">
        <v>908</v>
      </c>
    </row>
    <row r="34" spans="2:16" s="112" customFormat="1" x14ac:dyDescent="0.2">
      <c r="E34" s="115" t="s">
        <v>907</v>
      </c>
      <c r="F34" s="112" t="s">
        <v>928</v>
      </c>
      <c r="H34" s="116" t="s">
        <v>915</v>
      </c>
      <c r="I34" s="117" t="s">
        <v>904</v>
      </c>
      <c r="J34" s="116" t="s">
        <v>920</v>
      </c>
    </row>
    <row r="35" spans="2:16" s="112" customFormat="1" x14ac:dyDescent="0.2">
      <c r="D35" s="112" t="s">
        <v>931</v>
      </c>
      <c r="E35" s="115" t="s">
        <v>910</v>
      </c>
      <c r="I35" s="113"/>
      <c r="J35" s="116"/>
    </row>
    <row r="36" spans="2:16" s="112" customFormat="1" x14ac:dyDescent="0.2">
      <c r="C36" s="115" t="s">
        <v>907</v>
      </c>
      <c r="D36" s="112" t="s">
        <v>926</v>
      </c>
      <c r="F36" s="112" t="s">
        <v>932</v>
      </c>
      <c r="I36" s="113"/>
      <c r="J36" s="116"/>
    </row>
    <row r="37" spans="2:16" s="112" customFormat="1" x14ac:dyDescent="0.2">
      <c r="E37" s="116"/>
      <c r="G37" s="115"/>
      <c r="J37" s="116"/>
    </row>
    <row r="38" spans="2:16" s="112" customFormat="1" x14ac:dyDescent="0.2">
      <c r="E38" s="116"/>
      <c r="H38" s="112" t="s">
        <v>903</v>
      </c>
      <c r="I38" s="117" t="s">
        <v>904</v>
      </c>
      <c r="J38" s="112" t="s">
        <v>905</v>
      </c>
    </row>
    <row r="39" spans="2:16" s="112" customFormat="1" x14ac:dyDescent="0.2">
      <c r="C39" s="115" t="s">
        <v>910</v>
      </c>
      <c r="F39" s="112" t="s">
        <v>930</v>
      </c>
      <c r="G39" s="115" t="s">
        <v>907</v>
      </c>
    </row>
    <row r="40" spans="2:16" s="112" customFormat="1" x14ac:dyDescent="0.2">
      <c r="D40" s="112" t="s">
        <v>933</v>
      </c>
      <c r="E40" s="115" t="s">
        <v>907</v>
      </c>
      <c r="F40" s="112" t="s">
        <v>928</v>
      </c>
      <c r="G40" s="115" t="s">
        <v>910</v>
      </c>
    </row>
    <row r="41" spans="2:16" s="112" customFormat="1" x14ac:dyDescent="0.2">
      <c r="E41" s="115" t="s">
        <v>910</v>
      </c>
    </row>
    <row r="42" spans="2:16" s="112" customFormat="1" x14ac:dyDescent="0.2">
      <c r="F42" s="112" t="s">
        <v>932</v>
      </c>
      <c r="G42" s="116" t="s">
        <v>904</v>
      </c>
      <c r="H42" s="116" t="s">
        <v>920</v>
      </c>
    </row>
    <row r="44" spans="2:16" s="119" customFormat="1" x14ac:dyDescent="0.2">
      <c r="B44" s="118" t="s">
        <v>934</v>
      </c>
      <c r="N44" s="118" t="s">
        <v>897</v>
      </c>
      <c r="O44" s="118" t="s">
        <v>898</v>
      </c>
      <c r="P44" s="118" t="s">
        <v>899</v>
      </c>
    </row>
    <row r="45" spans="2:16" s="119" customFormat="1" ht="16" x14ac:dyDescent="0.2">
      <c r="N45" s="119" t="s">
        <v>935</v>
      </c>
      <c r="O45" s="120" t="s">
        <v>927</v>
      </c>
      <c r="P45" s="119" t="s">
        <v>913</v>
      </c>
    </row>
    <row r="46" spans="2:16" s="119" customFormat="1" ht="16" x14ac:dyDescent="0.2">
      <c r="D46" s="121" t="s">
        <v>894</v>
      </c>
      <c r="F46" s="121" t="s">
        <v>894</v>
      </c>
      <c r="H46" s="121" t="s">
        <v>895</v>
      </c>
      <c r="J46" s="121" t="s">
        <v>896</v>
      </c>
      <c r="N46" s="119" t="s">
        <v>935</v>
      </c>
      <c r="O46" s="120" t="s">
        <v>927</v>
      </c>
      <c r="P46" s="119" t="s">
        <v>916</v>
      </c>
    </row>
    <row r="47" spans="2:16" s="119" customFormat="1" x14ac:dyDescent="0.2">
      <c r="I47" s="122"/>
      <c r="N47" s="119" t="s">
        <v>936</v>
      </c>
      <c r="O47" s="119" t="s">
        <v>929</v>
      </c>
      <c r="P47" s="119" t="s">
        <v>902</v>
      </c>
    </row>
    <row r="48" spans="2:16" s="119" customFormat="1" x14ac:dyDescent="0.2">
      <c r="I48" s="122"/>
      <c r="J48" s="119" t="s">
        <v>903</v>
      </c>
      <c r="K48" s="123" t="s">
        <v>904</v>
      </c>
      <c r="L48" s="119" t="s">
        <v>905</v>
      </c>
      <c r="N48" s="119" t="s">
        <v>936</v>
      </c>
      <c r="O48" s="119" t="s">
        <v>929</v>
      </c>
      <c r="P48" s="119" t="s">
        <v>906</v>
      </c>
    </row>
    <row r="49" spans="2:16" s="119" customFormat="1" x14ac:dyDescent="0.2">
      <c r="I49" s="124" t="s">
        <v>907</v>
      </c>
      <c r="N49" s="119" t="s">
        <v>936</v>
      </c>
      <c r="O49" s="119" t="s">
        <v>929</v>
      </c>
      <c r="P49" s="119" t="s">
        <v>913</v>
      </c>
    </row>
    <row r="50" spans="2:16" s="119" customFormat="1" x14ac:dyDescent="0.2">
      <c r="E50" s="123"/>
      <c r="H50" s="119" t="s">
        <v>930</v>
      </c>
      <c r="I50" s="124" t="s">
        <v>910</v>
      </c>
      <c r="N50" s="119" t="s">
        <v>936</v>
      </c>
      <c r="O50" s="119" t="s">
        <v>929</v>
      </c>
      <c r="P50" s="119" t="s">
        <v>908</v>
      </c>
    </row>
    <row r="51" spans="2:16" s="119" customFormat="1" x14ac:dyDescent="0.2">
      <c r="E51" s="123"/>
      <c r="G51" s="124" t="s">
        <v>907</v>
      </c>
      <c r="H51" s="119" t="s">
        <v>936</v>
      </c>
      <c r="I51" s="122"/>
      <c r="J51" s="123" t="s">
        <v>915</v>
      </c>
    </row>
    <row r="52" spans="2:16" s="119" customFormat="1" x14ac:dyDescent="0.2">
      <c r="E52" s="123"/>
      <c r="F52" s="119" t="s">
        <v>931</v>
      </c>
      <c r="G52" s="124" t="s">
        <v>910</v>
      </c>
      <c r="I52" s="122"/>
      <c r="J52" s="123"/>
    </row>
    <row r="53" spans="2:16" s="119" customFormat="1" x14ac:dyDescent="0.2">
      <c r="E53" s="124" t="s">
        <v>907</v>
      </c>
      <c r="F53" s="119" t="s">
        <v>935</v>
      </c>
      <c r="G53" s="122"/>
      <c r="H53" s="119" t="s">
        <v>932</v>
      </c>
      <c r="I53" s="125" t="s">
        <v>904</v>
      </c>
      <c r="J53" s="123" t="s">
        <v>920</v>
      </c>
    </row>
    <row r="54" spans="2:16" s="119" customFormat="1" x14ac:dyDescent="0.2">
      <c r="D54" s="119" t="s">
        <v>937</v>
      </c>
      <c r="G54" s="122"/>
      <c r="I54" s="122"/>
      <c r="J54" s="123"/>
    </row>
    <row r="55" spans="2:16" s="119" customFormat="1" x14ac:dyDescent="0.2">
      <c r="C55" s="124" t="s">
        <v>907</v>
      </c>
      <c r="D55" s="119" t="s">
        <v>938</v>
      </c>
      <c r="E55" s="124" t="s">
        <v>910</v>
      </c>
      <c r="G55" s="122"/>
      <c r="I55" s="122"/>
      <c r="J55" s="119" t="s">
        <v>903</v>
      </c>
      <c r="K55" s="123" t="s">
        <v>904</v>
      </c>
      <c r="L55" s="119" t="s">
        <v>905</v>
      </c>
    </row>
    <row r="56" spans="2:16" s="119" customFormat="1" x14ac:dyDescent="0.2">
      <c r="E56" s="123"/>
      <c r="H56" s="119" t="s">
        <v>930</v>
      </c>
      <c r="I56" s="124" t="s">
        <v>907</v>
      </c>
    </row>
    <row r="57" spans="2:16" s="119" customFormat="1" x14ac:dyDescent="0.2">
      <c r="E57" s="123"/>
      <c r="F57" s="119" t="s">
        <v>933</v>
      </c>
      <c r="G57" s="124" t="s">
        <v>907</v>
      </c>
      <c r="H57" s="119" t="s">
        <v>936</v>
      </c>
      <c r="I57" s="124" t="s">
        <v>910</v>
      </c>
    </row>
    <row r="58" spans="2:16" s="119" customFormat="1" x14ac:dyDescent="0.2">
      <c r="C58" s="124" t="s">
        <v>910</v>
      </c>
      <c r="G58" s="124" t="s">
        <v>910</v>
      </c>
      <c r="I58" s="122"/>
      <c r="J58" s="123" t="s">
        <v>915</v>
      </c>
    </row>
    <row r="59" spans="2:16" s="119" customFormat="1" x14ac:dyDescent="0.2">
      <c r="D59" s="119" t="s">
        <v>939</v>
      </c>
      <c r="E59" s="123" t="s">
        <v>904</v>
      </c>
      <c r="F59" s="123" t="s">
        <v>940</v>
      </c>
      <c r="G59" s="122"/>
      <c r="H59" s="119" t="s">
        <v>932</v>
      </c>
      <c r="I59" s="122"/>
    </row>
    <row r="60" spans="2:16" x14ac:dyDescent="0.2">
      <c r="G60" s="58"/>
      <c r="I60" s="58"/>
    </row>
    <row r="62" spans="2:16" s="127" customFormat="1" x14ac:dyDescent="0.2">
      <c r="B62" s="126" t="s">
        <v>941</v>
      </c>
      <c r="N62" s="126" t="s">
        <v>897</v>
      </c>
      <c r="O62" s="126" t="s">
        <v>898</v>
      </c>
      <c r="P62" s="126" t="s">
        <v>899</v>
      </c>
    </row>
    <row r="63" spans="2:16" s="127" customFormat="1" ht="16" x14ac:dyDescent="0.2">
      <c r="N63" s="127" t="s">
        <v>942</v>
      </c>
      <c r="O63" s="128" t="s">
        <v>943</v>
      </c>
      <c r="P63" s="127" t="s">
        <v>944</v>
      </c>
    </row>
    <row r="64" spans="2:16" s="127" customFormat="1" ht="16" x14ac:dyDescent="0.2">
      <c r="D64" s="129" t="s">
        <v>894</v>
      </c>
      <c r="F64" s="129" t="s">
        <v>894</v>
      </c>
      <c r="H64" s="129" t="s">
        <v>895</v>
      </c>
      <c r="J64" s="129" t="s">
        <v>896</v>
      </c>
      <c r="N64" s="127" t="s">
        <v>942</v>
      </c>
      <c r="O64" s="128" t="s">
        <v>943</v>
      </c>
      <c r="P64" s="127" t="s">
        <v>908</v>
      </c>
    </row>
    <row r="65" spans="3:16" s="127" customFormat="1" ht="16" x14ac:dyDescent="0.2">
      <c r="I65" s="130"/>
      <c r="N65" s="127" t="s">
        <v>945</v>
      </c>
      <c r="O65" s="128" t="s">
        <v>946</v>
      </c>
      <c r="P65" s="127" t="s">
        <v>947</v>
      </c>
    </row>
    <row r="66" spans="3:16" s="127" customFormat="1" ht="16" x14ac:dyDescent="0.2">
      <c r="I66" s="130"/>
      <c r="J66" s="127" t="s">
        <v>903</v>
      </c>
      <c r="K66" s="131" t="s">
        <v>904</v>
      </c>
      <c r="L66" s="127" t="s">
        <v>905</v>
      </c>
      <c r="N66" s="127" t="s">
        <v>945</v>
      </c>
      <c r="O66" s="128" t="s">
        <v>946</v>
      </c>
      <c r="P66" s="127" t="s">
        <v>916</v>
      </c>
    </row>
    <row r="67" spans="3:16" s="127" customFormat="1" ht="16" x14ac:dyDescent="0.2">
      <c r="I67" s="132" t="s">
        <v>907</v>
      </c>
      <c r="N67" s="127" t="s">
        <v>948</v>
      </c>
      <c r="O67" s="128" t="s">
        <v>949</v>
      </c>
      <c r="P67" s="127" t="s">
        <v>913</v>
      </c>
    </row>
    <row r="68" spans="3:16" s="127" customFormat="1" ht="32" x14ac:dyDescent="0.2">
      <c r="E68" s="131"/>
      <c r="H68" s="128" t="s">
        <v>950</v>
      </c>
      <c r="I68" s="132" t="s">
        <v>910</v>
      </c>
      <c r="N68" s="127" t="s">
        <v>948</v>
      </c>
      <c r="O68" s="128" t="s">
        <v>949</v>
      </c>
      <c r="P68" s="127" t="s">
        <v>908</v>
      </c>
    </row>
    <row r="69" spans="3:16" s="127" customFormat="1" x14ac:dyDescent="0.2">
      <c r="E69" s="131"/>
      <c r="G69" s="132" t="s">
        <v>907</v>
      </c>
      <c r="H69" s="127" t="s">
        <v>948</v>
      </c>
      <c r="I69" s="130"/>
      <c r="J69" s="131" t="s">
        <v>915</v>
      </c>
    </row>
    <row r="70" spans="3:16" s="127" customFormat="1" ht="16" x14ac:dyDescent="0.2">
      <c r="E70" s="131"/>
      <c r="F70" s="128" t="s">
        <v>951</v>
      </c>
      <c r="G70" s="132" t="s">
        <v>910</v>
      </c>
      <c r="I70" s="130"/>
      <c r="J70" s="131"/>
    </row>
    <row r="71" spans="3:16" s="127" customFormat="1" ht="32" x14ac:dyDescent="0.2">
      <c r="E71" s="132" t="s">
        <v>907</v>
      </c>
      <c r="F71" s="128" t="s">
        <v>952</v>
      </c>
      <c r="G71" s="130"/>
      <c r="H71" s="128" t="s">
        <v>953</v>
      </c>
      <c r="I71" s="133" t="s">
        <v>904</v>
      </c>
      <c r="J71" s="131" t="s">
        <v>954</v>
      </c>
    </row>
    <row r="72" spans="3:16" s="127" customFormat="1" ht="32" x14ac:dyDescent="0.2">
      <c r="D72" s="128" t="s">
        <v>955</v>
      </c>
      <c r="G72" s="130"/>
      <c r="I72" s="130"/>
      <c r="J72" s="131"/>
    </row>
    <row r="73" spans="3:16" s="127" customFormat="1" x14ac:dyDescent="0.2">
      <c r="C73" s="132" t="s">
        <v>907</v>
      </c>
      <c r="D73" s="127" t="s">
        <v>942</v>
      </c>
      <c r="E73" s="132" t="s">
        <v>910</v>
      </c>
      <c r="G73" s="130"/>
      <c r="I73" s="130"/>
      <c r="J73" s="131"/>
    </row>
    <row r="74" spans="3:16" s="127" customFormat="1" x14ac:dyDescent="0.2">
      <c r="E74" s="131"/>
      <c r="G74" s="132"/>
      <c r="I74" s="130"/>
      <c r="J74" s="131"/>
    </row>
    <row r="75" spans="3:16" s="127" customFormat="1" x14ac:dyDescent="0.2">
      <c r="E75" s="131"/>
      <c r="F75" s="127" t="s">
        <v>956</v>
      </c>
      <c r="G75" s="133" t="s">
        <v>904</v>
      </c>
      <c r="H75" s="131" t="s">
        <v>954</v>
      </c>
      <c r="I75" s="130"/>
      <c r="J75" s="131"/>
    </row>
    <row r="76" spans="3:16" s="127" customFormat="1" x14ac:dyDescent="0.2">
      <c r="C76" s="132" t="s">
        <v>910</v>
      </c>
      <c r="G76" s="130"/>
      <c r="I76" s="130"/>
    </row>
    <row r="77" spans="3:16" s="127" customFormat="1" ht="32" x14ac:dyDescent="0.2">
      <c r="D77" s="128" t="s">
        <v>957</v>
      </c>
      <c r="E77" s="131" t="s">
        <v>904</v>
      </c>
      <c r="F77" s="131" t="s">
        <v>954</v>
      </c>
      <c r="G77" s="130"/>
      <c r="I77" s="130"/>
    </row>
    <row r="78" spans="3:16" x14ac:dyDescent="0.2">
      <c r="D78" s="101"/>
      <c r="E78" s="102"/>
      <c r="F78" s="102"/>
      <c r="G78" s="58"/>
      <c r="I78" s="58"/>
    </row>
    <row r="79" spans="3:16" x14ac:dyDescent="0.2">
      <c r="G79" s="58"/>
      <c r="I79" s="58"/>
    </row>
    <row r="80" spans="3:16" x14ac:dyDescent="0.2">
      <c r="I80" s="58"/>
    </row>
    <row r="81" spans="2:16" s="135" customFormat="1" x14ac:dyDescent="0.2">
      <c r="B81" s="134" t="s">
        <v>958</v>
      </c>
      <c r="N81" s="134" t="s">
        <v>897</v>
      </c>
      <c r="O81" s="134" t="s">
        <v>898</v>
      </c>
      <c r="P81" s="134" t="s">
        <v>899</v>
      </c>
    </row>
    <row r="82" spans="2:16" s="135" customFormat="1" ht="32" x14ac:dyDescent="0.2">
      <c r="N82" s="135" t="s">
        <v>959</v>
      </c>
      <c r="O82" s="136" t="s">
        <v>960</v>
      </c>
      <c r="P82" s="136" t="s">
        <v>961</v>
      </c>
    </row>
    <row r="83" spans="2:16" s="135" customFormat="1" ht="16" x14ac:dyDescent="0.2">
      <c r="D83" s="137" t="s">
        <v>894</v>
      </c>
      <c r="F83" s="137" t="s">
        <v>894</v>
      </c>
      <c r="H83" s="137" t="s">
        <v>895</v>
      </c>
      <c r="J83" s="137" t="s">
        <v>896</v>
      </c>
      <c r="N83" s="135" t="s">
        <v>962</v>
      </c>
      <c r="O83" s="136" t="s">
        <v>946</v>
      </c>
      <c r="P83" s="135" t="s">
        <v>947</v>
      </c>
    </row>
    <row r="84" spans="2:16" s="135" customFormat="1" ht="16" x14ac:dyDescent="0.2">
      <c r="I84" s="138"/>
      <c r="N84" s="135" t="s">
        <v>962</v>
      </c>
      <c r="O84" s="136" t="s">
        <v>946</v>
      </c>
      <c r="P84" s="135" t="s">
        <v>916</v>
      </c>
    </row>
    <row r="85" spans="2:16" s="135" customFormat="1" ht="16" x14ac:dyDescent="0.2">
      <c r="I85" s="138"/>
      <c r="J85" s="135" t="s">
        <v>903</v>
      </c>
      <c r="K85" s="139" t="s">
        <v>904</v>
      </c>
      <c r="L85" s="135" t="s">
        <v>905</v>
      </c>
      <c r="N85" s="135" t="s">
        <v>963</v>
      </c>
      <c r="O85" s="136" t="s">
        <v>949</v>
      </c>
      <c r="P85" s="135" t="s">
        <v>913</v>
      </c>
    </row>
    <row r="86" spans="2:16" s="135" customFormat="1" ht="16" x14ac:dyDescent="0.2">
      <c r="I86" s="140" t="s">
        <v>907</v>
      </c>
      <c r="N86" s="135" t="s">
        <v>963</v>
      </c>
      <c r="O86" s="136" t="s">
        <v>949</v>
      </c>
      <c r="P86" s="135" t="s">
        <v>908</v>
      </c>
    </row>
    <row r="87" spans="2:16" s="135" customFormat="1" ht="32" x14ac:dyDescent="0.2">
      <c r="E87" s="139"/>
      <c r="H87" s="136" t="s">
        <v>950</v>
      </c>
      <c r="I87" s="140" t="s">
        <v>910</v>
      </c>
    </row>
    <row r="88" spans="2:16" s="135" customFormat="1" x14ac:dyDescent="0.2">
      <c r="E88" s="139"/>
      <c r="G88" s="140" t="s">
        <v>907</v>
      </c>
      <c r="H88" s="135" t="s">
        <v>963</v>
      </c>
      <c r="I88" s="138"/>
      <c r="J88" s="139" t="s">
        <v>915</v>
      </c>
    </row>
    <row r="89" spans="2:16" s="135" customFormat="1" ht="16" x14ac:dyDescent="0.2">
      <c r="E89" s="139"/>
      <c r="F89" s="136" t="s">
        <v>951</v>
      </c>
      <c r="G89" s="140" t="s">
        <v>910</v>
      </c>
      <c r="I89" s="138"/>
      <c r="J89" s="139"/>
    </row>
    <row r="90" spans="2:16" s="135" customFormat="1" ht="32" x14ac:dyDescent="0.2">
      <c r="E90" s="140" t="s">
        <v>907</v>
      </c>
      <c r="F90" s="135" t="s">
        <v>962</v>
      </c>
      <c r="G90" s="138"/>
      <c r="H90" s="136" t="s">
        <v>953</v>
      </c>
      <c r="I90" s="141" t="s">
        <v>904</v>
      </c>
      <c r="J90" s="139" t="s">
        <v>954</v>
      </c>
    </row>
    <row r="91" spans="2:16" s="135" customFormat="1" ht="48" x14ac:dyDescent="0.2">
      <c r="D91" s="136" t="s">
        <v>964</v>
      </c>
      <c r="G91" s="138"/>
      <c r="I91" s="138"/>
      <c r="J91" s="139"/>
    </row>
    <row r="92" spans="2:16" s="135" customFormat="1" x14ac:dyDescent="0.2">
      <c r="C92" s="140" t="s">
        <v>907</v>
      </c>
      <c r="D92" s="135" t="s">
        <v>959</v>
      </c>
      <c r="E92" s="140" t="s">
        <v>910</v>
      </c>
      <c r="G92" s="138"/>
      <c r="I92" s="138"/>
      <c r="J92" s="139"/>
    </row>
    <row r="93" spans="2:16" s="135" customFormat="1" x14ac:dyDescent="0.2">
      <c r="E93" s="139"/>
      <c r="G93" s="140"/>
      <c r="I93" s="138"/>
      <c r="J93" s="139"/>
    </row>
    <row r="94" spans="2:16" s="135" customFormat="1" x14ac:dyDescent="0.2">
      <c r="E94" s="139"/>
      <c r="F94" s="135" t="s">
        <v>956</v>
      </c>
      <c r="G94" s="141" t="s">
        <v>904</v>
      </c>
      <c r="H94" s="139" t="s">
        <v>954</v>
      </c>
      <c r="I94" s="138"/>
      <c r="J94" s="139"/>
    </row>
    <row r="95" spans="2:16" s="135" customFormat="1" x14ac:dyDescent="0.2">
      <c r="C95" s="140" t="s">
        <v>910</v>
      </c>
      <c r="G95" s="138"/>
      <c r="I95" s="138"/>
    </row>
    <row r="96" spans="2:16" s="135" customFormat="1" ht="32" x14ac:dyDescent="0.2">
      <c r="D96" s="136" t="s">
        <v>965</v>
      </c>
      <c r="E96" s="139" t="s">
        <v>904</v>
      </c>
      <c r="F96" s="139" t="s">
        <v>954</v>
      </c>
      <c r="G96" s="138"/>
      <c r="I96" s="138"/>
    </row>
    <row r="100" spans="2:16" s="143" customFormat="1" x14ac:dyDescent="0.2">
      <c r="B100" s="142" t="s">
        <v>966</v>
      </c>
      <c r="N100" s="142" t="s">
        <v>897</v>
      </c>
      <c r="O100" s="142" t="s">
        <v>898</v>
      </c>
      <c r="P100" s="142" t="s">
        <v>899</v>
      </c>
    </row>
    <row r="101" spans="2:16" s="143" customFormat="1" ht="32" x14ac:dyDescent="0.2">
      <c r="N101" s="143" t="s">
        <v>967</v>
      </c>
      <c r="O101" s="144" t="s">
        <v>968</v>
      </c>
      <c r="P101" s="144" t="s">
        <v>969</v>
      </c>
    </row>
    <row r="102" spans="2:16" s="143" customFormat="1" ht="16" x14ac:dyDescent="0.2">
      <c r="D102" s="145" t="s">
        <v>894</v>
      </c>
      <c r="F102" s="145" t="s">
        <v>894</v>
      </c>
      <c r="H102" s="145" t="s">
        <v>895</v>
      </c>
      <c r="J102" s="145" t="s">
        <v>896</v>
      </c>
      <c r="N102" s="143" t="s">
        <v>970</v>
      </c>
      <c r="O102" s="144" t="s">
        <v>946</v>
      </c>
      <c r="P102" s="143" t="s">
        <v>947</v>
      </c>
    </row>
    <row r="103" spans="2:16" s="143" customFormat="1" ht="16" x14ac:dyDescent="0.2">
      <c r="I103" s="146"/>
      <c r="N103" s="143" t="s">
        <v>970</v>
      </c>
      <c r="O103" s="144" t="s">
        <v>946</v>
      </c>
      <c r="P103" s="143" t="s">
        <v>916</v>
      </c>
    </row>
    <row r="104" spans="2:16" s="143" customFormat="1" ht="16" x14ac:dyDescent="0.2">
      <c r="I104" s="146"/>
      <c r="J104" s="143" t="s">
        <v>903</v>
      </c>
      <c r="K104" s="147" t="s">
        <v>904</v>
      </c>
      <c r="L104" s="143" t="s">
        <v>905</v>
      </c>
      <c r="N104" s="143" t="s">
        <v>971</v>
      </c>
      <c r="O104" s="144" t="s">
        <v>949</v>
      </c>
      <c r="P104" s="143" t="s">
        <v>913</v>
      </c>
    </row>
    <row r="105" spans="2:16" s="143" customFormat="1" ht="16" x14ac:dyDescent="0.2">
      <c r="I105" s="148" t="s">
        <v>907</v>
      </c>
      <c r="N105" s="143" t="s">
        <v>971</v>
      </c>
      <c r="O105" s="144" t="s">
        <v>949</v>
      </c>
      <c r="P105" s="143" t="s">
        <v>908</v>
      </c>
    </row>
    <row r="106" spans="2:16" s="143" customFormat="1" ht="32" x14ac:dyDescent="0.2">
      <c r="E106" s="147"/>
      <c r="H106" s="144" t="s">
        <v>950</v>
      </c>
      <c r="I106" s="148" t="s">
        <v>910</v>
      </c>
    </row>
    <row r="107" spans="2:16" s="143" customFormat="1" x14ac:dyDescent="0.2">
      <c r="E107" s="147"/>
      <c r="G107" s="148" t="s">
        <v>907</v>
      </c>
      <c r="H107" s="143" t="s">
        <v>971</v>
      </c>
      <c r="I107" s="146"/>
      <c r="J107" s="147" t="s">
        <v>915</v>
      </c>
    </row>
    <row r="108" spans="2:16" s="143" customFormat="1" ht="16" x14ac:dyDescent="0.2">
      <c r="E108" s="147"/>
      <c r="F108" s="144" t="s">
        <v>951</v>
      </c>
      <c r="G108" s="148" t="s">
        <v>910</v>
      </c>
      <c r="I108" s="146"/>
      <c r="J108" s="147"/>
    </row>
    <row r="109" spans="2:16" s="143" customFormat="1" ht="32" x14ac:dyDescent="0.2">
      <c r="E109" s="148" t="s">
        <v>907</v>
      </c>
      <c r="F109" s="143" t="s">
        <v>970</v>
      </c>
      <c r="G109" s="146"/>
      <c r="H109" s="144" t="s">
        <v>953</v>
      </c>
      <c r="I109" s="149" t="s">
        <v>904</v>
      </c>
      <c r="J109" s="147" t="s">
        <v>954</v>
      </c>
    </row>
    <row r="110" spans="2:16" s="143" customFormat="1" ht="32" x14ac:dyDescent="0.2">
      <c r="D110" s="144" t="s">
        <v>972</v>
      </c>
      <c r="G110" s="146"/>
      <c r="I110" s="146"/>
      <c r="J110" s="147"/>
    </row>
    <row r="111" spans="2:16" s="143" customFormat="1" x14ac:dyDescent="0.2">
      <c r="C111" s="148" t="s">
        <v>907</v>
      </c>
      <c r="D111" s="143" t="s">
        <v>967</v>
      </c>
      <c r="E111" s="148" t="s">
        <v>910</v>
      </c>
      <c r="G111" s="146"/>
      <c r="I111" s="146"/>
      <c r="J111" s="147"/>
    </row>
    <row r="112" spans="2:16" s="143" customFormat="1" x14ac:dyDescent="0.2">
      <c r="E112" s="147"/>
      <c r="G112" s="148"/>
      <c r="I112" s="146"/>
      <c r="J112" s="147"/>
    </row>
    <row r="113" spans="2:16" s="143" customFormat="1" x14ac:dyDescent="0.2">
      <c r="E113" s="147"/>
      <c r="F113" s="143" t="s">
        <v>956</v>
      </c>
      <c r="G113" s="149" t="s">
        <v>904</v>
      </c>
      <c r="H113" s="147" t="s">
        <v>954</v>
      </c>
      <c r="I113" s="146"/>
      <c r="J113" s="147"/>
    </row>
    <row r="114" spans="2:16" s="143" customFormat="1" x14ac:dyDescent="0.2">
      <c r="C114" s="148" t="s">
        <v>910</v>
      </c>
      <c r="G114" s="146"/>
      <c r="I114" s="146"/>
    </row>
    <row r="115" spans="2:16" s="143" customFormat="1" ht="32" x14ac:dyDescent="0.2">
      <c r="D115" s="144" t="s">
        <v>973</v>
      </c>
      <c r="E115" s="147" t="s">
        <v>904</v>
      </c>
      <c r="F115" s="147" t="s">
        <v>954</v>
      </c>
      <c r="G115" s="146"/>
      <c r="I115" s="146"/>
    </row>
    <row r="121" spans="2:16" s="151" customFormat="1" x14ac:dyDescent="0.2">
      <c r="B121" s="150" t="s">
        <v>974</v>
      </c>
    </row>
    <row r="122" spans="2:16" s="151" customFormat="1" x14ac:dyDescent="0.2"/>
    <row r="123" spans="2:16" s="151" customFormat="1" x14ac:dyDescent="0.2">
      <c r="D123" s="152" t="s">
        <v>894</v>
      </c>
      <c r="F123" s="152" t="s">
        <v>894</v>
      </c>
      <c r="H123" s="152" t="s">
        <v>895</v>
      </c>
      <c r="J123" s="152" t="s">
        <v>896</v>
      </c>
      <c r="N123" s="150" t="s">
        <v>897</v>
      </c>
      <c r="O123" s="150" t="s">
        <v>898</v>
      </c>
      <c r="P123" s="150" t="s">
        <v>899</v>
      </c>
    </row>
    <row r="124" spans="2:16" s="151" customFormat="1" ht="16" x14ac:dyDescent="0.2">
      <c r="I124" s="153"/>
      <c r="N124" s="151" t="s">
        <v>975</v>
      </c>
      <c r="O124" s="154" t="s">
        <v>976</v>
      </c>
      <c r="P124" s="151" t="s">
        <v>913</v>
      </c>
    </row>
    <row r="125" spans="2:16" s="151" customFormat="1" ht="16" x14ac:dyDescent="0.2">
      <c r="N125" s="151" t="s">
        <v>975</v>
      </c>
      <c r="O125" s="154" t="s">
        <v>976</v>
      </c>
      <c r="P125" s="151" t="s">
        <v>916</v>
      </c>
    </row>
    <row r="126" spans="2:16" s="151" customFormat="1" ht="27" customHeight="1" x14ac:dyDescent="0.2">
      <c r="I126" s="153"/>
      <c r="J126" s="151" t="s">
        <v>903</v>
      </c>
      <c r="K126" s="155" t="s">
        <v>904</v>
      </c>
      <c r="L126" s="151" t="s">
        <v>905</v>
      </c>
      <c r="N126" s="151" t="s">
        <v>977</v>
      </c>
      <c r="O126" s="151" t="s">
        <v>978</v>
      </c>
      <c r="P126" s="151" t="s">
        <v>913</v>
      </c>
    </row>
    <row r="127" spans="2:16" s="151" customFormat="1" ht="16" x14ac:dyDescent="0.2">
      <c r="E127" s="155"/>
      <c r="H127" s="154" t="s">
        <v>979</v>
      </c>
      <c r="I127" s="156" t="s">
        <v>907</v>
      </c>
      <c r="N127" s="151" t="s">
        <v>977</v>
      </c>
      <c r="O127" s="151" t="s">
        <v>978</v>
      </c>
      <c r="P127" s="151" t="s">
        <v>916</v>
      </c>
    </row>
    <row r="128" spans="2:16" s="151" customFormat="1" x14ac:dyDescent="0.2">
      <c r="E128" s="155"/>
      <c r="G128" s="156" t="s">
        <v>907</v>
      </c>
      <c r="H128" s="151" t="s">
        <v>980</v>
      </c>
      <c r="I128" s="156" t="s">
        <v>910</v>
      </c>
    </row>
    <row r="129" spans="3:12" s="151" customFormat="1" ht="16" x14ac:dyDescent="0.2">
      <c r="E129" s="155"/>
      <c r="F129" s="154" t="s">
        <v>981</v>
      </c>
      <c r="G129" s="156" t="s">
        <v>910</v>
      </c>
      <c r="I129" s="153"/>
      <c r="J129" s="155" t="s">
        <v>915</v>
      </c>
    </row>
    <row r="130" spans="3:12" s="151" customFormat="1" ht="16" x14ac:dyDescent="0.2">
      <c r="E130" s="156" t="s">
        <v>907</v>
      </c>
      <c r="G130" s="153"/>
      <c r="H130" s="154" t="s">
        <v>982</v>
      </c>
      <c r="I130" s="157" t="s">
        <v>904</v>
      </c>
      <c r="J130" s="155" t="s">
        <v>983</v>
      </c>
    </row>
    <row r="131" spans="3:12" s="151" customFormat="1" ht="16" x14ac:dyDescent="0.2">
      <c r="D131" s="154" t="s">
        <v>984</v>
      </c>
      <c r="G131" s="153"/>
      <c r="I131" s="153"/>
      <c r="J131" s="155"/>
    </row>
    <row r="132" spans="3:12" s="151" customFormat="1" x14ac:dyDescent="0.2">
      <c r="C132" s="156" t="s">
        <v>907</v>
      </c>
      <c r="D132" s="151" t="s">
        <v>975</v>
      </c>
      <c r="E132" s="156" t="s">
        <v>910</v>
      </c>
      <c r="G132" s="153"/>
      <c r="I132" s="153"/>
      <c r="J132" s="155"/>
    </row>
    <row r="133" spans="3:12" s="151" customFormat="1" ht="16" x14ac:dyDescent="0.2">
      <c r="E133" s="155"/>
      <c r="F133" s="154" t="s">
        <v>985</v>
      </c>
      <c r="G133" s="157" t="s">
        <v>904</v>
      </c>
      <c r="H133" s="155" t="s">
        <v>983</v>
      </c>
      <c r="I133" s="153"/>
      <c r="J133" s="155"/>
    </row>
    <row r="134" spans="3:12" s="151" customFormat="1" x14ac:dyDescent="0.2">
      <c r="E134" s="155"/>
      <c r="I134" s="153"/>
    </row>
    <row r="135" spans="3:12" s="151" customFormat="1" x14ac:dyDescent="0.2">
      <c r="J135" s="151" t="s">
        <v>903</v>
      </c>
      <c r="K135" s="155" t="s">
        <v>904</v>
      </c>
      <c r="L135" s="151" t="s">
        <v>905</v>
      </c>
    </row>
    <row r="136" spans="3:12" s="151" customFormat="1" ht="16" x14ac:dyDescent="0.2">
      <c r="H136" s="154" t="s">
        <v>979</v>
      </c>
      <c r="I136" s="156" t="s">
        <v>907</v>
      </c>
    </row>
    <row r="137" spans="3:12" s="151" customFormat="1" ht="16" x14ac:dyDescent="0.2">
      <c r="C137" s="156" t="s">
        <v>910</v>
      </c>
      <c r="E137" s="155"/>
      <c r="F137" s="154" t="s">
        <v>981</v>
      </c>
      <c r="G137" s="156" t="s">
        <v>907</v>
      </c>
      <c r="H137" s="151" t="s">
        <v>980</v>
      </c>
      <c r="I137" s="156" t="s">
        <v>910</v>
      </c>
    </row>
    <row r="138" spans="3:12" s="151" customFormat="1" ht="32" x14ac:dyDescent="0.2">
      <c r="D138" s="154" t="s">
        <v>986</v>
      </c>
      <c r="E138" s="156" t="s">
        <v>907</v>
      </c>
      <c r="G138" s="156" t="s">
        <v>910</v>
      </c>
      <c r="I138" s="153"/>
      <c r="J138" s="155" t="s">
        <v>915</v>
      </c>
    </row>
    <row r="139" spans="3:12" s="151" customFormat="1" ht="16" x14ac:dyDescent="0.2">
      <c r="G139" s="153"/>
      <c r="H139" s="154" t="s">
        <v>982</v>
      </c>
      <c r="I139" s="157" t="s">
        <v>904</v>
      </c>
      <c r="J139" s="155" t="s">
        <v>983</v>
      </c>
    </row>
    <row r="140" spans="3:12" s="151" customFormat="1" x14ac:dyDescent="0.2">
      <c r="E140" s="156" t="s">
        <v>910</v>
      </c>
    </row>
    <row r="141" spans="3:12" s="151" customFormat="1" ht="16" x14ac:dyDescent="0.2">
      <c r="E141" s="155"/>
      <c r="F141" s="154" t="s">
        <v>985</v>
      </c>
      <c r="G141" s="157" t="s">
        <v>904</v>
      </c>
      <c r="H141" s="155" t="s">
        <v>983</v>
      </c>
    </row>
  </sheetData>
  <phoneticPr fontId="13" type="noConversion"/>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EBF7F-17F8-4F12-99B4-9098CEAA8A33}">
  <sheetPr codeName="Sheet32">
    <tabColor theme="0" tint="-0.499984740745262"/>
  </sheetPr>
  <dimension ref="A1:AC271"/>
  <sheetViews>
    <sheetView showGridLines="0" zoomScale="70" zoomScaleNormal="70" workbookViewId="0">
      <pane ySplit="1" topLeftCell="A2" activePane="bottomLeft" state="frozen"/>
      <selection activeCell="D470" sqref="D470"/>
      <selection pane="bottomLeft" activeCell="Y25" sqref="Y25"/>
    </sheetView>
  </sheetViews>
  <sheetFormatPr baseColWidth="10" defaultColWidth="8.5" defaultRowHeight="15" x14ac:dyDescent="0.2"/>
  <cols>
    <col min="1" max="1" width="32.5" style="176" bestFit="1" customWidth="1"/>
    <col min="2" max="2" width="54.5" style="176" customWidth="1"/>
    <col min="3" max="3" width="37" style="176" hidden="1" customWidth="1"/>
    <col min="4" max="4" width="36.5" style="176" hidden="1" customWidth="1"/>
    <col min="5" max="5" width="30.5" style="176" hidden="1" customWidth="1"/>
    <col min="6" max="6" width="32" style="176" customWidth="1"/>
    <col min="7" max="7" width="8.5" style="176"/>
    <col min="8" max="8" width="11.5" style="176" customWidth="1"/>
    <col min="9" max="15" width="8.5" style="176"/>
    <col min="16" max="20" width="8.5" style="176" customWidth="1"/>
    <col min="21" max="23" width="8.5" style="176"/>
    <col min="24" max="24" width="17.5" style="176" customWidth="1"/>
    <col min="25" max="29" width="13.5" style="176" customWidth="1"/>
    <col min="30" max="16384" width="8.5" style="176"/>
  </cols>
  <sheetData>
    <row r="1" spans="1:29" ht="69" customHeight="1" thickBot="1" x14ac:dyDescent="0.25">
      <c r="A1" s="214"/>
      <c r="B1" s="214"/>
      <c r="C1" s="215" t="s">
        <v>987</v>
      </c>
      <c r="D1" s="215" t="s">
        <v>988</v>
      </c>
      <c r="E1" s="215" t="s">
        <v>989</v>
      </c>
      <c r="F1" s="215" t="s">
        <v>990</v>
      </c>
    </row>
    <row r="2" spans="1:29" ht="45" thickBot="1" x14ac:dyDescent="0.25">
      <c r="A2" s="177"/>
      <c r="B2" s="223" t="s">
        <v>991</v>
      </c>
      <c r="C2" s="224" t="str">
        <f>C1</f>
        <v>AG WFSF - Main Embankment without filter</v>
      </c>
      <c r="D2" s="224" t="str">
        <f>D1</f>
        <v>AG WFSF - Main Embankment with filter</v>
      </c>
      <c r="E2" s="224" t="str">
        <f t="shared" ref="E2:F2" si="0">E1</f>
        <v>WFSF - Eastern Embankment</v>
      </c>
      <c r="F2" s="218" t="str">
        <f t="shared" si="0"/>
        <v xml:space="preserve">Kalgan3/4 pillar </v>
      </c>
      <c r="H2" s="214"/>
      <c r="I2" s="214"/>
      <c r="J2" s="214"/>
      <c r="K2" s="214"/>
      <c r="L2" s="214"/>
      <c r="M2" s="214"/>
      <c r="N2" s="214"/>
      <c r="O2" s="214"/>
      <c r="P2" s="214"/>
      <c r="Q2" s="214"/>
      <c r="R2" s="214"/>
      <c r="S2" s="214"/>
      <c r="T2" s="214"/>
      <c r="U2" s="214"/>
      <c r="V2" s="214"/>
      <c r="W2" s="214"/>
      <c r="X2" s="214"/>
      <c r="Y2" s="214"/>
      <c r="Z2" s="214"/>
      <c r="AA2" s="214"/>
      <c r="AB2" s="214"/>
      <c r="AC2" s="178" t="s">
        <v>992</v>
      </c>
    </row>
    <row r="3" spans="1:29" ht="17" x14ac:dyDescent="0.2">
      <c r="A3" s="177"/>
      <c r="B3" s="179" t="s">
        <v>652</v>
      </c>
      <c r="C3" s="219" t="e">
        <f>#REF!</f>
        <v>#REF!</v>
      </c>
      <c r="D3" s="219" t="e">
        <f>#REF!</f>
        <v>#REF!</v>
      </c>
      <c r="E3" s="219" t="e">
        <f>#REF!</f>
        <v>#REF!</v>
      </c>
      <c r="F3" s="219"/>
      <c r="X3" s="180"/>
      <c r="Y3" s="181"/>
      <c r="Z3" s="181"/>
      <c r="AA3" s="181"/>
      <c r="AB3" s="181">
        <v>1.5232660163233547E-6</v>
      </c>
      <c r="AC3" s="181">
        <v>2.5146076075843737E-6</v>
      </c>
    </row>
    <row r="4" spans="1:29" ht="17" x14ac:dyDescent="0.2">
      <c r="A4" s="177"/>
      <c r="B4" s="182" t="s">
        <v>653</v>
      </c>
      <c r="C4" s="219" t="e">
        <f>#REF!</f>
        <v>#REF!</v>
      </c>
      <c r="D4" s="219" t="e">
        <f>#REF!</f>
        <v>#REF!</v>
      </c>
      <c r="E4" s="219" t="e">
        <f>#REF!</f>
        <v>#REF!</v>
      </c>
      <c r="F4" s="219"/>
      <c r="X4" s="180"/>
      <c r="Y4" s="181"/>
      <c r="Z4" s="181"/>
      <c r="AA4" s="181"/>
      <c r="AB4" s="181">
        <v>6.9090234323576638E-4</v>
      </c>
      <c r="AC4" s="181">
        <v>6.9090234323576638E-4</v>
      </c>
    </row>
    <row r="5" spans="1:29" ht="17" x14ac:dyDescent="0.2">
      <c r="A5" s="177"/>
      <c r="B5" s="182" t="s">
        <v>654</v>
      </c>
      <c r="C5" s="219" t="e">
        <f>#REF!</f>
        <v>#REF!</v>
      </c>
      <c r="D5" s="219" t="e">
        <f>#REF!</f>
        <v>#REF!</v>
      </c>
      <c r="E5" s="225" t="e">
        <f>#REF!</f>
        <v>#REF!</v>
      </c>
      <c r="F5" s="219"/>
      <c r="H5" s="216"/>
      <c r="I5" s="216"/>
      <c r="J5" s="216"/>
      <c r="K5" s="216"/>
      <c r="L5" s="216"/>
      <c r="M5" s="216"/>
      <c r="N5" s="216"/>
      <c r="O5" s="216"/>
      <c r="P5" s="216"/>
      <c r="Q5" s="216"/>
      <c r="R5" s="216"/>
      <c r="S5" s="216"/>
      <c r="T5" s="216"/>
      <c r="U5" s="216"/>
      <c r="V5" s="216"/>
      <c r="W5" s="216"/>
      <c r="X5" s="180"/>
      <c r="Y5" s="181"/>
      <c r="Z5" s="181"/>
      <c r="AA5" s="181"/>
      <c r="AB5" s="181">
        <v>3.2577750707085684E-6</v>
      </c>
      <c r="AC5" s="181">
        <v>2.9588614353093234E-6</v>
      </c>
    </row>
    <row r="6" spans="1:29" ht="17" x14ac:dyDescent="0.2">
      <c r="A6" s="177"/>
      <c r="B6" s="182" t="s">
        <v>655</v>
      </c>
      <c r="C6" s="219" t="e">
        <f>#REF!</f>
        <v>#REF!</v>
      </c>
      <c r="D6" s="219" t="e">
        <f>#REF!</f>
        <v>#REF!</v>
      </c>
      <c r="E6" s="225" t="e">
        <f>#REF!</f>
        <v>#REF!</v>
      </c>
      <c r="F6" s="219"/>
    </row>
    <row r="7" spans="1:29" ht="17" x14ac:dyDescent="0.2">
      <c r="A7" s="177"/>
      <c r="B7" s="182" t="s">
        <v>993</v>
      </c>
      <c r="C7" s="225" t="e">
        <f>#REF!</f>
        <v>#REF!</v>
      </c>
      <c r="D7" s="225" t="e">
        <f>#REF!</f>
        <v>#REF!</v>
      </c>
      <c r="E7" s="225" t="e">
        <f>#REF!</f>
        <v>#REF!</v>
      </c>
      <c r="F7" s="220" t="e">
        <f>#REF!</f>
        <v>#REF!</v>
      </c>
      <c r="G7" s="217"/>
    </row>
    <row r="8" spans="1:29" ht="18" thickBot="1" x14ac:dyDescent="0.25">
      <c r="A8" s="177"/>
      <c r="B8" s="182" t="s">
        <v>656</v>
      </c>
      <c r="C8" s="219" t="e">
        <f>#REF!</f>
        <v>#REF!</v>
      </c>
      <c r="D8" s="219" t="e">
        <f>#REF!</f>
        <v>#REF!</v>
      </c>
      <c r="E8" s="219" t="e">
        <f>#REF!</f>
        <v>#REF!</v>
      </c>
      <c r="F8" s="219" t="e">
        <f>#REF!</f>
        <v>#REF!</v>
      </c>
    </row>
    <row r="9" spans="1:29" ht="18" thickBot="1" x14ac:dyDescent="0.25">
      <c r="A9" s="177"/>
      <c r="B9" s="222" t="s">
        <v>994</v>
      </c>
      <c r="C9" s="221" t="e">
        <f>1-(1-C3)*(1-C4)*(1-C5)*(1-C6)*(1-C8)*(1-C7)</f>
        <v>#REF!</v>
      </c>
      <c r="D9" s="221" t="e">
        <f>1-(1-D3)*(1-D4)*(1-D5)*(1-D6)*(1-D8)*(1-D7)</f>
        <v>#REF!</v>
      </c>
      <c r="E9" s="221" t="e">
        <f>1-(1-E3)*(1-E4)*(1-E5)*(1-E6)*(1-E8)*(1-E7)</f>
        <v>#REF!</v>
      </c>
      <c r="F9" s="221" t="e">
        <f>1-(1-F3)*(1-F4)*(1-F5)*(1-F6)*(1-F8)*(1-F7)</f>
        <v>#REF!</v>
      </c>
    </row>
    <row r="10" spans="1:29" ht="17" thickBot="1" x14ac:dyDescent="0.25">
      <c r="A10" s="183" t="s">
        <v>995</v>
      </c>
      <c r="B10" s="184" t="s">
        <v>996</v>
      </c>
      <c r="C10" s="184" t="s">
        <v>997</v>
      </c>
      <c r="D10" s="184" t="s">
        <v>997</v>
      </c>
      <c r="E10" s="184" t="s">
        <v>997</v>
      </c>
      <c r="F10" s="184" t="s">
        <v>997</v>
      </c>
    </row>
    <row r="11" spans="1:29" ht="17" x14ac:dyDescent="0.2">
      <c r="A11" s="185" t="s">
        <v>998</v>
      </c>
      <c r="B11" s="186" t="s">
        <v>999</v>
      </c>
      <c r="C11" s="187">
        <v>0.5</v>
      </c>
      <c r="D11" s="187">
        <v>0.5</v>
      </c>
      <c r="E11" s="187">
        <v>0.5</v>
      </c>
      <c r="F11" s="187">
        <v>0</v>
      </c>
    </row>
    <row r="12" spans="1:29" ht="17" x14ac:dyDescent="0.2">
      <c r="A12" s="188" t="s">
        <v>998</v>
      </c>
      <c r="B12" s="189" t="s">
        <v>1000</v>
      </c>
      <c r="C12" s="190">
        <v>0</v>
      </c>
      <c r="D12" s="190">
        <v>0</v>
      </c>
      <c r="E12" s="190">
        <v>0</v>
      </c>
      <c r="F12" s="190">
        <v>0</v>
      </c>
    </row>
    <row r="13" spans="1:29" ht="17" x14ac:dyDescent="0.2">
      <c r="A13" s="188" t="s">
        <v>998</v>
      </c>
      <c r="B13" s="189" t="s">
        <v>1001</v>
      </c>
      <c r="C13" s="190">
        <v>0.01</v>
      </c>
      <c r="D13" s="190">
        <v>0.01</v>
      </c>
      <c r="E13" s="190">
        <v>0.01</v>
      </c>
      <c r="F13" s="190">
        <v>0</v>
      </c>
    </row>
    <row r="14" spans="1:29" ht="17" x14ac:dyDescent="0.2">
      <c r="A14" s="188" t="s">
        <v>998</v>
      </c>
      <c r="B14" s="189" t="s">
        <v>1002</v>
      </c>
      <c r="C14" s="190">
        <v>0</v>
      </c>
      <c r="D14" s="190">
        <v>0</v>
      </c>
      <c r="E14" s="190">
        <v>0</v>
      </c>
      <c r="F14" s="190">
        <v>0</v>
      </c>
    </row>
    <row r="15" spans="1:29" ht="17" x14ac:dyDescent="0.2">
      <c r="A15" s="191" t="s">
        <v>1003</v>
      </c>
      <c r="B15" s="192" t="s">
        <v>623</v>
      </c>
      <c r="C15" s="193" t="e">
        <f>#REF!</f>
        <v>#REF!</v>
      </c>
      <c r="D15" s="193" t="e">
        <f>C15</f>
        <v>#REF!</v>
      </c>
      <c r="E15" s="193" t="e">
        <f>D15</f>
        <v>#REF!</v>
      </c>
      <c r="F15" s="193" t="e">
        <f>#REF!</f>
        <v>#REF!</v>
      </c>
      <c r="P15" s="194"/>
      <c r="Q15" s="194"/>
      <c r="R15" s="194"/>
      <c r="S15" s="194"/>
      <c r="T15" s="194"/>
    </row>
    <row r="16" spans="1:29" ht="17" x14ac:dyDescent="0.2">
      <c r="A16" s="191" t="s">
        <v>1003</v>
      </c>
      <c r="B16" s="192" t="s">
        <v>624</v>
      </c>
      <c r="C16" s="195" t="e">
        <f>#REF!</f>
        <v>#REF!</v>
      </c>
      <c r="D16" s="195" t="e">
        <f t="shared" ref="D16:E23" si="1">C16</f>
        <v>#REF!</v>
      </c>
      <c r="E16" s="195" t="e">
        <f>D16</f>
        <v>#REF!</v>
      </c>
      <c r="F16" s="195" t="e">
        <f>#REF!</f>
        <v>#REF!</v>
      </c>
    </row>
    <row r="17" spans="1:6" ht="17" x14ac:dyDescent="0.2">
      <c r="A17" s="191" t="s">
        <v>1003</v>
      </c>
      <c r="B17" s="192" t="s">
        <v>625</v>
      </c>
      <c r="C17" s="195" t="e">
        <f>#REF!</f>
        <v>#REF!</v>
      </c>
      <c r="D17" s="195" t="e">
        <f t="shared" si="1"/>
        <v>#REF!</v>
      </c>
      <c r="E17" s="195" t="e">
        <f t="shared" si="1"/>
        <v>#REF!</v>
      </c>
      <c r="F17" s="195" t="e">
        <f>#REF!</f>
        <v>#REF!</v>
      </c>
    </row>
    <row r="18" spans="1:6" ht="17" x14ac:dyDescent="0.2">
      <c r="A18" s="191" t="s">
        <v>1003</v>
      </c>
      <c r="B18" s="192" t="s">
        <v>626</v>
      </c>
      <c r="C18" s="195" t="e">
        <f>#REF!</f>
        <v>#REF!</v>
      </c>
      <c r="D18" s="195" t="e">
        <f t="shared" si="1"/>
        <v>#REF!</v>
      </c>
      <c r="E18" s="195" t="e">
        <f t="shared" si="1"/>
        <v>#REF!</v>
      </c>
      <c r="F18" s="195" t="e">
        <f>#REF!</f>
        <v>#REF!</v>
      </c>
    </row>
    <row r="19" spans="1:6" ht="17" x14ac:dyDescent="0.2">
      <c r="A19" s="191" t="s">
        <v>1003</v>
      </c>
      <c r="B19" s="192" t="s">
        <v>627</v>
      </c>
      <c r="C19" s="195" t="e">
        <f>#REF!</f>
        <v>#REF!</v>
      </c>
      <c r="D19" s="195" t="e">
        <f t="shared" si="1"/>
        <v>#REF!</v>
      </c>
      <c r="E19" s="195" t="e">
        <f t="shared" si="1"/>
        <v>#REF!</v>
      </c>
      <c r="F19" s="195" t="e">
        <f>#REF!</f>
        <v>#REF!</v>
      </c>
    </row>
    <row r="20" spans="1:6" ht="17" x14ac:dyDescent="0.2">
      <c r="A20" s="191" t="s">
        <v>1003</v>
      </c>
      <c r="B20" s="192" t="s">
        <v>628</v>
      </c>
      <c r="C20" s="195" t="e">
        <f>#REF!</f>
        <v>#REF!</v>
      </c>
      <c r="D20" s="195" t="e">
        <f t="shared" si="1"/>
        <v>#REF!</v>
      </c>
      <c r="E20" s="195" t="e">
        <f t="shared" si="1"/>
        <v>#REF!</v>
      </c>
      <c r="F20" s="195" t="e">
        <f>#REF!</f>
        <v>#REF!</v>
      </c>
    </row>
    <row r="21" spans="1:6" ht="17" x14ac:dyDescent="0.2">
      <c r="A21" s="191" t="s">
        <v>1003</v>
      </c>
      <c r="B21" s="192" t="s">
        <v>629</v>
      </c>
      <c r="C21" s="195" t="e">
        <f>#REF!</f>
        <v>#REF!</v>
      </c>
      <c r="D21" s="195" t="e">
        <f t="shared" si="1"/>
        <v>#REF!</v>
      </c>
      <c r="E21" s="195" t="e">
        <f t="shared" si="1"/>
        <v>#REF!</v>
      </c>
      <c r="F21" s="195" t="e">
        <f>#REF!</f>
        <v>#REF!</v>
      </c>
    </row>
    <row r="22" spans="1:6" ht="17" x14ac:dyDescent="0.2">
      <c r="A22" s="191" t="s">
        <v>1003</v>
      </c>
      <c r="B22" s="192" t="s">
        <v>630</v>
      </c>
      <c r="C22" s="195" t="e">
        <f>#REF!</f>
        <v>#REF!</v>
      </c>
      <c r="D22" s="195" t="e">
        <f t="shared" si="1"/>
        <v>#REF!</v>
      </c>
      <c r="E22" s="195" t="e">
        <f t="shared" si="1"/>
        <v>#REF!</v>
      </c>
      <c r="F22" s="195" t="e">
        <f>#REF!</f>
        <v>#REF!</v>
      </c>
    </row>
    <row r="23" spans="1:6" ht="17" x14ac:dyDescent="0.2">
      <c r="A23" s="191" t="s">
        <v>1003</v>
      </c>
      <c r="B23" s="192" t="s">
        <v>631</v>
      </c>
      <c r="C23" s="195" t="e">
        <f>#REF!</f>
        <v>#REF!</v>
      </c>
      <c r="D23" s="195" t="e">
        <f t="shared" si="1"/>
        <v>#REF!</v>
      </c>
      <c r="E23" s="195" t="e">
        <f t="shared" si="1"/>
        <v>#REF!</v>
      </c>
      <c r="F23" s="195" t="e">
        <f>#REF!</f>
        <v>#REF!</v>
      </c>
    </row>
    <row r="24" spans="1:6" ht="17" x14ac:dyDescent="0.2">
      <c r="A24" s="196" t="s">
        <v>1003</v>
      </c>
      <c r="B24" s="197" t="s">
        <v>632</v>
      </c>
      <c r="C24" s="198" t="e">
        <f>#REF!</f>
        <v>#REF!</v>
      </c>
      <c r="D24" s="198" t="e">
        <f>C24</f>
        <v>#REF!</v>
      </c>
      <c r="E24" s="198" t="e">
        <f>D24</f>
        <v>#REF!</v>
      </c>
      <c r="F24" s="198" t="e">
        <f>F15</f>
        <v>#REF!</v>
      </c>
    </row>
    <row r="25" spans="1:6" ht="17" x14ac:dyDescent="0.2">
      <c r="A25" s="196" t="s">
        <v>1003</v>
      </c>
      <c r="B25" s="197" t="s">
        <v>633</v>
      </c>
      <c r="C25" s="199" t="e">
        <f>#REF!</f>
        <v>#REF!</v>
      </c>
      <c r="D25" s="199" t="e">
        <f>C25</f>
        <v>#REF!</v>
      </c>
      <c r="E25" s="199" t="e">
        <f t="shared" ref="E25:E32" si="2">D25</f>
        <v>#REF!</v>
      </c>
      <c r="F25" s="199" t="e">
        <f>F16</f>
        <v>#REF!</v>
      </c>
    </row>
    <row r="26" spans="1:6" ht="17" x14ac:dyDescent="0.2">
      <c r="A26" s="196" t="s">
        <v>1003</v>
      </c>
      <c r="B26" s="197" t="s">
        <v>634</v>
      </c>
      <c r="C26" s="199">
        <v>7</v>
      </c>
      <c r="D26" s="199">
        <f t="shared" ref="D26:D32" si="3">C26</f>
        <v>7</v>
      </c>
      <c r="E26" s="199">
        <f t="shared" si="2"/>
        <v>7</v>
      </c>
      <c r="F26" s="199" t="e">
        <f t="shared" ref="F26:F32" si="4">F17</f>
        <v>#REF!</v>
      </c>
    </row>
    <row r="27" spans="1:6" ht="17" x14ac:dyDescent="0.2">
      <c r="A27" s="196" t="s">
        <v>1003</v>
      </c>
      <c r="B27" s="197" t="s">
        <v>635</v>
      </c>
      <c r="C27" s="199">
        <v>7</v>
      </c>
      <c r="D27" s="199">
        <f t="shared" si="3"/>
        <v>7</v>
      </c>
      <c r="E27" s="199">
        <f t="shared" si="2"/>
        <v>7</v>
      </c>
      <c r="F27" s="199" t="e">
        <f t="shared" si="4"/>
        <v>#REF!</v>
      </c>
    </row>
    <row r="28" spans="1:6" ht="17" x14ac:dyDescent="0.2">
      <c r="A28" s="196" t="s">
        <v>1003</v>
      </c>
      <c r="B28" s="197" t="s">
        <v>636</v>
      </c>
      <c r="C28" s="199">
        <v>7</v>
      </c>
      <c r="D28" s="199">
        <f t="shared" si="3"/>
        <v>7</v>
      </c>
      <c r="E28" s="199">
        <f t="shared" si="2"/>
        <v>7</v>
      </c>
      <c r="F28" s="199" t="e">
        <f t="shared" si="4"/>
        <v>#REF!</v>
      </c>
    </row>
    <row r="29" spans="1:6" ht="17" x14ac:dyDescent="0.2">
      <c r="A29" s="196" t="s">
        <v>1003</v>
      </c>
      <c r="B29" s="197" t="s">
        <v>637</v>
      </c>
      <c r="C29" s="199">
        <v>7</v>
      </c>
      <c r="D29" s="199">
        <f t="shared" si="3"/>
        <v>7</v>
      </c>
      <c r="E29" s="199">
        <f t="shared" si="2"/>
        <v>7</v>
      </c>
      <c r="F29" s="199" t="e">
        <f t="shared" si="4"/>
        <v>#REF!</v>
      </c>
    </row>
    <row r="30" spans="1:6" ht="17" x14ac:dyDescent="0.2">
      <c r="A30" s="196" t="s">
        <v>1003</v>
      </c>
      <c r="B30" s="197" t="s">
        <v>638</v>
      </c>
      <c r="C30" s="199">
        <v>7</v>
      </c>
      <c r="D30" s="199">
        <f t="shared" si="3"/>
        <v>7</v>
      </c>
      <c r="E30" s="199">
        <f t="shared" si="2"/>
        <v>7</v>
      </c>
      <c r="F30" s="199" t="e">
        <f t="shared" si="4"/>
        <v>#REF!</v>
      </c>
    </row>
    <row r="31" spans="1:6" ht="17" x14ac:dyDescent="0.2">
      <c r="A31" s="196" t="s">
        <v>1003</v>
      </c>
      <c r="B31" s="197" t="s">
        <v>639</v>
      </c>
      <c r="C31" s="199">
        <v>7</v>
      </c>
      <c r="D31" s="199">
        <f t="shared" si="3"/>
        <v>7</v>
      </c>
      <c r="E31" s="199">
        <f t="shared" si="2"/>
        <v>7</v>
      </c>
      <c r="F31" s="199" t="e">
        <f t="shared" si="4"/>
        <v>#REF!</v>
      </c>
    </row>
    <row r="32" spans="1:6" ht="17" x14ac:dyDescent="0.2">
      <c r="A32" s="196" t="s">
        <v>1003</v>
      </c>
      <c r="B32" s="197" t="s">
        <v>640</v>
      </c>
      <c r="C32" s="199">
        <v>7</v>
      </c>
      <c r="D32" s="199">
        <f t="shared" si="3"/>
        <v>7</v>
      </c>
      <c r="E32" s="199">
        <f t="shared" si="2"/>
        <v>7</v>
      </c>
      <c r="F32" s="199" t="e">
        <f t="shared" si="4"/>
        <v>#REF!</v>
      </c>
    </row>
    <row r="33" spans="1:6" ht="17" x14ac:dyDescent="0.2">
      <c r="A33" s="200" t="s">
        <v>1004</v>
      </c>
      <c r="B33" s="201" t="s">
        <v>642</v>
      </c>
      <c r="C33" s="202" t="e">
        <f>#REF!</f>
        <v>#REF!</v>
      </c>
      <c r="D33" s="202" t="e">
        <f>C33</f>
        <v>#REF!</v>
      </c>
      <c r="E33" s="202" t="e">
        <f>D33</f>
        <v>#REF!</v>
      </c>
      <c r="F33" s="202"/>
    </row>
    <row r="34" spans="1:6" ht="17" x14ac:dyDescent="0.2">
      <c r="A34" s="200" t="s">
        <v>1004</v>
      </c>
      <c r="B34" s="201" t="s">
        <v>643</v>
      </c>
      <c r="C34" s="202" t="e">
        <f>#REF!</f>
        <v>#REF!</v>
      </c>
      <c r="D34" s="202" t="e">
        <f t="shared" ref="D34:E37" si="5">C34</f>
        <v>#REF!</v>
      </c>
      <c r="E34" s="202" t="e">
        <f t="shared" si="5"/>
        <v>#REF!</v>
      </c>
      <c r="F34" s="202"/>
    </row>
    <row r="35" spans="1:6" ht="17" x14ac:dyDescent="0.2">
      <c r="A35" s="200" t="s">
        <v>1004</v>
      </c>
      <c r="B35" s="201" t="s">
        <v>629</v>
      </c>
      <c r="C35" s="202" t="e">
        <f>#REF!</f>
        <v>#REF!</v>
      </c>
      <c r="D35" s="202" t="e">
        <f t="shared" si="5"/>
        <v>#REF!</v>
      </c>
      <c r="E35" s="202" t="e">
        <f t="shared" si="5"/>
        <v>#REF!</v>
      </c>
      <c r="F35" s="202"/>
    </row>
    <row r="36" spans="1:6" ht="17" x14ac:dyDescent="0.2">
      <c r="A36" s="200" t="s">
        <v>1004</v>
      </c>
      <c r="B36" s="201" t="s">
        <v>644</v>
      </c>
      <c r="C36" s="202" t="e">
        <f>#REF!</f>
        <v>#REF!</v>
      </c>
      <c r="D36" s="202" t="e">
        <f t="shared" si="5"/>
        <v>#REF!</v>
      </c>
      <c r="E36" s="202" t="e">
        <f t="shared" si="5"/>
        <v>#REF!</v>
      </c>
      <c r="F36" s="202"/>
    </row>
    <row r="37" spans="1:6" ht="17" x14ac:dyDescent="0.2">
      <c r="A37" s="200" t="s">
        <v>1004</v>
      </c>
      <c r="B37" s="201" t="s">
        <v>645</v>
      </c>
      <c r="C37" s="202" t="e">
        <f>#REF!</f>
        <v>#REF!</v>
      </c>
      <c r="D37" s="202" t="e">
        <f t="shared" si="5"/>
        <v>#REF!</v>
      </c>
      <c r="E37" s="202" t="e">
        <f t="shared" si="5"/>
        <v>#REF!</v>
      </c>
      <c r="F37" s="202"/>
    </row>
    <row r="38" spans="1:6" ht="17" x14ac:dyDescent="0.2">
      <c r="A38" s="203" t="s">
        <v>1004</v>
      </c>
      <c r="B38" s="204" t="s">
        <v>646</v>
      </c>
      <c r="C38" s="205" t="e">
        <f>#REF!</f>
        <v>#REF!</v>
      </c>
      <c r="D38" s="205" t="e">
        <f>C38</f>
        <v>#REF!</v>
      </c>
      <c r="E38" s="205" t="e">
        <f>D38</f>
        <v>#REF!</v>
      </c>
      <c r="F38" s="205" t="s">
        <v>1005</v>
      </c>
    </row>
    <row r="39" spans="1:6" ht="17" x14ac:dyDescent="0.2">
      <c r="A39" s="203" t="s">
        <v>1004</v>
      </c>
      <c r="B39" s="204" t="s">
        <v>647</v>
      </c>
      <c r="C39" s="205" t="e">
        <f>#REF!</f>
        <v>#REF!</v>
      </c>
      <c r="D39" s="205" t="e">
        <f t="shared" ref="D39:E42" si="6">C39</f>
        <v>#REF!</v>
      </c>
      <c r="E39" s="205" t="e">
        <f t="shared" si="6"/>
        <v>#REF!</v>
      </c>
      <c r="F39" s="205" t="s">
        <v>1005</v>
      </c>
    </row>
    <row r="40" spans="1:6" ht="17" x14ac:dyDescent="0.2">
      <c r="A40" s="203" t="s">
        <v>1004</v>
      </c>
      <c r="B40" s="204" t="s">
        <v>638</v>
      </c>
      <c r="C40" s="205" t="e">
        <f>#REF!</f>
        <v>#REF!</v>
      </c>
      <c r="D40" s="205" t="e">
        <f t="shared" si="6"/>
        <v>#REF!</v>
      </c>
      <c r="E40" s="205" t="e">
        <f t="shared" si="6"/>
        <v>#REF!</v>
      </c>
      <c r="F40" s="205" t="s">
        <v>1005</v>
      </c>
    </row>
    <row r="41" spans="1:6" ht="17" x14ac:dyDescent="0.2">
      <c r="A41" s="203" t="s">
        <v>1004</v>
      </c>
      <c r="B41" s="204" t="s">
        <v>648</v>
      </c>
      <c r="C41" s="205" t="e">
        <f>#REF!</f>
        <v>#REF!</v>
      </c>
      <c r="D41" s="205" t="e">
        <f t="shared" si="6"/>
        <v>#REF!</v>
      </c>
      <c r="E41" s="205" t="e">
        <f t="shared" si="6"/>
        <v>#REF!</v>
      </c>
      <c r="F41" s="205" t="s">
        <v>1005</v>
      </c>
    </row>
    <row r="42" spans="1:6" ht="18" thickBot="1" x14ac:dyDescent="0.25">
      <c r="A42" s="206" t="s">
        <v>1004</v>
      </c>
      <c r="B42" s="207" t="s">
        <v>649</v>
      </c>
      <c r="C42" s="208" t="e">
        <f>#REF!</f>
        <v>#REF!</v>
      </c>
      <c r="D42" s="208" t="e">
        <f t="shared" si="6"/>
        <v>#REF!</v>
      </c>
      <c r="E42" s="208" t="e">
        <f t="shared" si="6"/>
        <v>#REF!</v>
      </c>
      <c r="F42" s="208" t="s">
        <v>1005</v>
      </c>
    </row>
    <row r="43" spans="1:6" x14ac:dyDescent="0.2">
      <c r="A43" s="209"/>
    </row>
    <row r="44" spans="1:6" ht="16" thickBot="1" x14ac:dyDescent="0.25">
      <c r="A44" s="209"/>
    </row>
    <row r="45" spans="1:6" ht="21" thickBot="1" x14ac:dyDescent="0.25">
      <c r="A45" s="210" t="s">
        <v>6</v>
      </c>
      <c r="B45" s="211" t="s">
        <v>1006</v>
      </c>
      <c r="C45" s="528" t="s">
        <v>1007</v>
      </c>
      <c r="D45" s="529"/>
      <c r="E45" s="529"/>
      <c r="F45" s="530"/>
    </row>
    <row r="46" spans="1:6" ht="52.5" customHeight="1" x14ac:dyDescent="0.2">
      <c r="A46" s="531" t="s">
        <v>0</v>
      </c>
      <c r="B46" s="533" t="s">
        <v>1008</v>
      </c>
      <c r="C46" s="535" t="s">
        <v>1009</v>
      </c>
      <c r="D46" s="536"/>
      <c r="E46" s="536"/>
      <c r="F46" s="537"/>
    </row>
    <row r="47" spans="1:6" ht="40.25" customHeight="1" x14ac:dyDescent="0.2">
      <c r="A47" s="532"/>
      <c r="B47" s="534"/>
      <c r="C47" s="538" t="s">
        <v>1010</v>
      </c>
      <c r="D47" s="539"/>
      <c r="E47" s="539"/>
      <c r="F47" s="540"/>
    </row>
    <row r="48" spans="1:6" ht="33.5" customHeight="1" x14ac:dyDescent="0.2">
      <c r="A48" s="532"/>
      <c r="B48" s="534"/>
      <c r="C48" s="538" t="s">
        <v>1011</v>
      </c>
      <c r="D48" s="539"/>
      <c r="E48" s="539"/>
      <c r="F48" s="540"/>
    </row>
    <row r="49" spans="1:6" ht="33.5" customHeight="1" x14ac:dyDescent="0.2">
      <c r="A49" s="532"/>
      <c r="B49" s="534"/>
      <c r="C49" s="541" t="s">
        <v>1012</v>
      </c>
      <c r="D49" s="542"/>
      <c r="E49" s="542"/>
      <c r="F49" s="543"/>
    </row>
    <row r="50" spans="1:6" ht="15.75" customHeight="1" x14ac:dyDescent="0.2">
      <c r="A50" s="526" t="s">
        <v>1013</v>
      </c>
      <c r="B50" s="527" t="s">
        <v>1014</v>
      </c>
      <c r="C50" s="523"/>
      <c r="D50" s="524"/>
      <c r="E50" s="524"/>
      <c r="F50" s="525"/>
    </row>
    <row r="51" spans="1:6" ht="16" x14ac:dyDescent="0.2">
      <c r="A51" s="526"/>
      <c r="B51" s="527"/>
      <c r="C51" s="523"/>
      <c r="D51" s="524"/>
      <c r="E51" s="524"/>
      <c r="F51" s="525"/>
    </row>
    <row r="52" spans="1:6" ht="34.25" customHeight="1" x14ac:dyDescent="0.2">
      <c r="A52" s="526"/>
      <c r="B52" s="527"/>
      <c r="C52" s="523"/>
      <c r="D52" s="524"/>
      <c r="E52" s="524"/>
      <c r="F52" s="525"/>
    </row>
    <row r="53" spans="1:6" ht="16" x14ac:dyDescent="0.2">
      <c r="A53" s="526"/>
      <c r="B53" s="527"/>
      <c r="C53" s="523"/>
      <c r="D53" s="524"/>
      <c r="E53" s="524"/>
      <c r="F53" s="525"/>
    </row>
    <row r="54" spans="1:6" ht="59" customHeight="1" x14ac:dyDescent="0.2">
      <c r="A54" s="544" t="s">
        <v>1015</v>
      </c>
      <c r="B54" s="534" t="s">
        <v>1014</v>
      </c>
      <c r="C54" s="547"/>
      <c r="D54" s="548"/>
      <c r="E54" s="548"/>
      <c r="F54" s="549"/>
    </row>
    <row r="55" spans="1:6" ht="17" thickBot="1" x14ac:dyDescent="0.25">
      <c r="A55" s="545"/>
      <c r="B55" s="546"/>
      <c r="C55" s="550"/>
      <c r="D55" s="551"/>
      <c r="E55" s="551"/>
      <c r="F55" s="552"/>
    </row>
    <row r="56" spans="1:6" ht="34.25" customHeight="1" x14ac:dyDescent="0.2">
      <c r="B56" s="212"/>
      <c r="C56" s="212"/>
      <c r="D56" s="212"/>
      <c r="E56" s="212"/>
      <c r="F56" s="212"/>
    </row>
    <row r="58" spans="1:6" ht="26" x14ac:dyDescent="0.2">
      <c r="A58" s="213" t="s">
        <v>1016</v>
      </c>
    </row>
    <row r="90" spans="6:6" x14ac:dyDescent="0.2">
      <c r="F90" s="176" t="s">
        <v>706</v>
      </c>
    </row>
    <row r="114" spans="1:1" ht="26" x14ac:dyDescent="0.2">
      <c r="A114" s="213"/>
    </row>
    <row r="165" spans="1:1" ht="26" x14ac:dyDescent="0.2">
      <c r="A165" s="213"/>
    </row>
    <row r="217" spans="1:1" ht="26" x14ac:dyDescent="0.2">
      <c r="A217" s="213" t="s">
        <v>1017</v>
      </c>
    </row>
    <row r="271" spans="1:1" ht="26" x14ac:dyDescent="0.2">
      <c r="A271" s="213" t="s">
        <v>992</v>
      </c>
    </row>
  </sheetData>
  <mergeCells count="17">
    <mergeCell ref="A54:A55"/>
    <mergeCell ref="B54:B55"/>
    <mergeCell ref="C54:F54"/>
    <mergeCell ref="C55:F55"/>
    <mergeCell ref="C45:F45"/>
    <mergeCell ref="A46:A49"/>
    <mergeCell ref="B46:B49"/>
    <mergeCell ref="C46:F46"/>
    <mergeCell ref="C47:F47"/>
    <mergeCell ref="C48:F48"/>
    <mergeCell ref="C49:F49"/>
    <mergeCell ref="C51:F51"/>
    <mergeCell ref="A50:A53"/>
    <mergeCell ref="B50:B53"/>
    <mergeCell ref="C50:F50"/>
    <mergeCell ref="C52:F52"/>
    <mergeCell ref="C53:F53"/>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8889E-5C1A-4FD0-BB53-A45FC7A532F0}">
  <sheetPr codeName="Sheet61"/>
  <dimension ref="B2:K322"/>
  <sheetViews>
    <sheetView workbookViewId="0">
      <selection activeCell="G17" sqref="G17"/>
    </sheetView>
  </sheetViews>
  <sheetFormatPr baseColWidth="10" defaultColWidth="8.5" defaultRowHeight="15" x14ac:dyDescent="0.2"/>
  <cols>
    <col min="1" max="1" width="2.5" style="3" customWidth="1"/>
    <col min="2" max="2" width="20.5" style="241" customWidth="1"/>
    <col min="3" max="3" width="20.5" style="97" customWidth="1"/>
    <col min="4" max="4" width="20.5" style="3" customWidth="1"/>
    <col min="5" max="5" width="20.5" style="231" customWidth="1"/>
    <col min="6" max="6" width="20.5" style="97" customWidth="1"/>
    <col min="7" max="7" width="20.5" style="3" customWidth="1"/>
    <col min="8" max="8" width="20.5" style="231" customWidth="1"/>
    <col min="9" max="9" width="20.5" style="97" customWidth="1"/>
    <col min="10" max="10" width="20.5" style="3" customWidth="1"/>
    <col min="11" max="11" width="20.5" style="231" customWidth="1"/>
    <col min="12" max="16384" width="8.5" style="3"/>
  </cols>
  <sheetData>
    <row r="2" spans="2:11" ht="90" customHeight="1" x14ac:dyDescent="0.2">
      <c r="B2" s="238" t="s">
        <v>121</v>
      </c>
      <c r="C2" s="228" t="s">
        <v>122</v>
      </c>
      <c r="D2" s="229" t="s">
        <v>123</v>
      </c>
      <c r="E2" s="230" t="s">
        <v>124</v>
      </c>
      <c r="F2" s="232" t="s">
        <v>125</v>
      </c>
      <c r="G2" s="233" t="s">
        <v>126</v>
      </c>
      <c r="H2" s="234" t="s">
        <v>127</v>
      </c>
      <c r="I2" s="235" t="s">
        <v>128</v>
      </c>
      <c r="J2" s="236" t="s">
        <v>129</v>
      </c>
      <c r="K2" s="237" t="s">
        <v>130</v>
      </c>
    </row>
    <row r="3" spans="2:11" x14ac:dyDescent="0.2">
      <c r="B3" s="239">
        <v>13</v>
      </c>
      <c r="C3" s="97">
        <v>1</v>
      </c>
      <c r="D3" s="3">
        <v>124</v>
      </c>
      <c r="E3" s="231">
        <v>1</v>
      </c>
      <c r="F3" s="97">
        <v>1</v>
      </c>
      <c r="G3" s="3">
        <v>91</v>
      </c>
      <c r="H3" s="231">
        <v>1</v>
      </c>
      <c r="I3" s="97">
        <v>1</v>
      </c>
      <c r="J3" s="3">
        <v>91</v>
      </c>
      <c r="K3" s="231">
        <v>1</v>
      </c>
    </row>
    <row r="4" spans="2:11" x14ac:dyDescent="0.2">
      <c r="B4" s="239">
        <v>14</v>
      </c>
      <c r="C4" s="97">
        <v>25</v>
      </c>
      <c r="D4" s="3">
        <v>125</v>
      </c>
      <c r="E4" s="231">
        <v>25</v>
      </c>
      <c r="F4" s="97">
        <v>4</v>
      </c>
      <c r="G4" s="3">
        <v>114</v>
      </c>
      <c r="H4" s="231">
        <v>4</v>
      </c>
      <c r="I4" s="97">
        <v>4</v>
      </c>
      <c r="J4" s="3">
        <v>114</v>
      </c>
      <c r="K4" s="231">
        <v>4</v>
      </c>
    </row>
    <row r="5" spans="2:11" x14ac:dyDescent="0.2">
      <c r="B5" s="239">
        <v>68</v>
      </c>
      <c r="C5" s="97">
        <v>26</v>
      </c>
      <c r="D5" s="3">
        <v>126</v>
      </c>
      <c r="E5" s="231">
        <v>26</v>
      </c>
      <c r="F5" s="97">
        <v>9</v>
      </c>
      <c r="G5" s="3">
        <v>116</v>
      </c>
      <c r="H5" s="231">
        <v>9</v>
      </c>
      <c r="I5" s="97">
        <v>9</v>
      </c>
      <c r="J5" s="3">
        <v>116</v>
      </c>
      <c r="K5" s="231">
        <v>9</v>
      </c>
    </row>
    <row r="6" spans="2:11" x14ac:dyDescent="0.2">
      <c r="B6" s="239">
        <v>69</v>
      </c>
      <c r="C6" s="97">
        <v>27</v>
      </c>
      <c r="D6" s="3">
        <v>127</v>
      </c>
      <c r="E6" s="231">
        <v>27</v>
      </c>
      <c r="F6" s="97">
        <v>10</v>
      </c>
      <c r="G6" s="3">
        <v>117</v>
      </c>
      <c r="H6" s="231">
        <v>10</v>
      </c>
      <c r="I6" s="97">
        <v>10</v>
      </c>
      <c r="J6" s="3">
        <v>117</v>
      </c>
      <c r="K6" s="231">
        <v>10</v>
      </c>
    </row>
    <row r="7" spans="2:11" x14ac:dyDescent="0.2">
      <c r="B7" s="239">
        <v>75</v>
      </c>
      <c r="C7" s="97">
        <v>28</v>
      </c>
      <c r="D7" s="3">
        <v>129</v>
      </c>
      <c r="E7" s="231">
        <v>28</v>
      </c>
      <c r="F7" s="97">
        <v>17</v>
      </c>
      <c r="G7" s="3">
        <v>124</v>
      </c>
      <c r="H7" s="231">
        <v>17</v>
      </c>
      <c r="I7" s="97">
        <v>17</v>
      </c>
      <c r="J7" s="3">
        <v>124</v>
      </c>
      <c r="K7" s="231">
        <v>17</v>
      </c>
    </row>
    <row r="8" spans="2:11" x14ac:dyDescent="0.2">
      <c r="B8" s="239">
        <v>76</v>
      </c>
      <c r="C8" s="97">
        <v>34</v>
      </c>
      <c r="D8" s="3">
        <v>130</v>
      </c>
      <c r="E8" s="231">
        <v>34</v>
      </c>
      <c r="F8" s="97">
        <v>18</v>
      </c>
      <c r="G8" s="3">
        <v>125</v>
      </c>
      <c r="H8" s="231">
        <v>18</v>
      </c>
      <c r="I8" s="97">
        <v>18</v>
      </c>
      <c r="J8" s="3">
        <v>125</v>
      </c>
      <c r="K8" s="231">
        <v>18</v>
      </c>
    </row>
    <row r="9" spans="2:11" x14ac:dyDescent="0.2">
      <c r="B9" s="239">
        <v>77</v>
      </c>
      <c r="C9" s="97">
        <v>35</v>
      </c>
      <c r="D9" s="3">
        <v>131</v>
      </c>
      <c r="E9" s="231">
        <v>35</v>
      </c>
      <c r="F9" s="97">
        <v>23</v>
      </c>
      <c r="G9" s="3">
        <v>126</v>
      </c>
      <c r="H9" s="231">
        <v>23</v>
      </c>
      <c r="I9" s="97">
        <v>23</v>
      </c>
      <c r="J9" s="3">
        <v>126</v>
      </c>
      <c r="K9" s="231">
        <v>23</v>
      </c>
    </row>
    <row r="10" spans="2:11" x14ac:dyDescent="0.2">
      <c r="B10" s="239">
        <v>78</v>
      </c>
      <c r="C10" s="97">
        <v>48</v>
      </c>
      <c r="D10" s="3">
        <v>132</v>
      </c>
      <c r="E10" s="231">
        <v>48</v>
      </c>
      <c r="F10" s="97">
        <v>24</v>
      </c>
      <c r="G10" s="3">
        <v>127</v>
      </c>
      <c r="H10" s="231">
        <v>24</v>
      </c>
      <c r="I10" s="97">
        <v>24</v>
      </c>
      <c r="J10" s="3">
        <v>127</v>
      </c>
      <c r="K10" s="231">
        <v>24</v>
      </c>
    </row>
    <row r="11" spans="2:11" x14ac:dyDescent="0.2">
      <c r="B11" s="239">
        <v>79</v>
      </c>
      <c r="C11" s="97">
        <v>55</v>
      </c>
      <c r="D11" s="3">
        <v>133</v>
      </c>
      <c r="E11" s="231">
        <v>55</v>
      </c>
      <c r="F11" s="97">
        <v>25</v>
      </c>
      <c r="G11" s="3">
        <v>129</v>
      </c>
      <c r="H11" s="231">
        <v>25</v>
      </c>
      <c r="I11" s="97">
        <v>25</v>
      </c>
      <c r="J11" s="3">
        <v>129</v>
      </c>
      <c r="K11" s="231">
        <v>25</v>
      </c>
    </row>
    <row r="12" spans="2:11" x14ac:dyDescent="0.2">
      <c r="B12" s="239">
        <v>80</v>
      </c>
      <c r="C12" s="97">
        <v>58</v>
      </c>
      <c r="D12" s="3">
        <v>134</v>
      </c>
      <c r="E12" s="231">
        <v>58</v>
      </c>
      <c r="F12" s="97">
        <v>26</v>
      </c>
      <c r="G12" s="3">
        <v>130</v>
      </c>
      <c r="H12" s="231">
        <v>26</v>
      </c>
      <c r="I12" s="97">
        <v>26</v>
      </c>
      <c r="J12" s="3">
        <v>130</v>
      </c>
      <c r="K12" s="231">
        <v>26</v>
      </c>
    </row>
    <row r="13" spans="2:11" x14ac:dyDescent="0.2">
      <c r="B13" s="239">
        <v>81</v>
      </c>
      <c r="C13" s="97">
        <v>60</v>
      </c>
      <c r="D13" s="3">
        <v>135</v>
      </c>
      <c r="E13" s="231">
        <v>60</v>
      </c>
      <c r="F13" s="97">
        <v>28</v>
      </c>
      <c r="G13" s="3">
        <v>131</v>
      </c>
      <c r="H13" s="231">
        <v>28</v>
      </c>
      <c r="I13" s="97">
        <v>27</v>
      </c>
      <c r="J13" s="3">
        <v>131</v>
      </c>
      <c r="K13" s="231">
        <v>27</v>
      </c>
    </row>
    <row r="14" spans="2:11" x14ac:dyDescent="0.2">
      <c r="B14" s="239">
        <v>82</v>
      </c>
      <c r="C14" s="97">
        <v>61</v>
      </c>
      <c r="D14" s="3">
        <v>136</v>
      </c>
      <c r="E14" s="231">
        <v>61</v>
      </c>
      <c r="F14" s="97">
        <v>31</v>
      </c>
      <c r="G14" s="3">
        <v>132</v>
      </c>
      <c r="H14" s="231">
        <v>31</v>
      </c>
      <c r="I14" s="97">
        <v>28</v>
      </c>
      <c r="J14" s="3">
        <v>132</v>
      </c>
      <c r="K14" s="231">
        <v>28</v>
      </c>
    </row>
    <row r="15" spans="2:11" x14ac:dyDescent="0.2">
      <c r="B15" s="239">
        <v>83</v>
      </c>
      <c r="C15" s="97">
        <v>65</v>
      </c>
      <c r="D15" s="3">
        <v>137</v>
      </c>
      <c r="E15" s="231">
        <v>65</v>
      </c>
      <c r="F15" s="97">
        <v>32</v>
      </c>
      <c r="G15" s="3">
        <v>133</v>
      </c>
      <c r="H15" s="231">
        <v>32</v>
      </c>
      <c r="I15" s="97">
        <v>31</v>
      </c>
      <c r="J15" s="3">
        <v>133</v>
      </c>
      <c r="K15" s="231">
        <v>31</v>
      </c>
    </row>
    <row r="16" spans="2:11" x14ac:dyDescent="0.2">
      <c r="B16" s="239">
        <v>84</v>
      </c>
      <c r="C16" s="97">
        <v>68</v>
      </c>
      <c r="D16" s="3">
        <v>138</v>
      </c>
      <c r="E16" s="231">
        <v>68</v>
      </c>
      <c r="F16" s="97">
        <v>33</v>
      </c>
      <c r="G16" s="3">
        <v>134</v>
      </c>
      <c r="H16" s="231">
        <v>33</v>
      </c>
      <c r="I16" s="97">
        <v>32</v>
      </c>
      <c r="J16" s="3">
        <v>134</v>
      </c>
      <c r="K16" s="231">
        <v>32</v>
      </c>
    </row>
    <row r="17" spans="2:11" x14ac:dyDescent="0.2">
      <c r="B17" s="239">
        <v>85</v>
      </c>
      <c r="C17" s="97">
        <v>69</v>
      </c>
      <c r="D17" s="3">
        <v>139</v>
      </c>
      <c r="E17" s="231">
        <v>69</v>
      </c>
      <c r="F17" s="97">
        <v>34</v>
      </c>
      <c r="G17" s="3">
        <v>135</v>
      </c>
      <c r="H17" s="231">
        <v>34</v>
      </c>
      <c r="I17" s="97">
        <v>33</v>
      </c>
      <c r="J17" s="3">
        <v>135</v>
      </c>
      <c r="K17" s="231">
        <v>33</v>
      </c>
    </row>
    <row r="18" spans="2:11" x14ac:dyDescent="0.2">
      <c r="B18" s="239">
        <v>86</v>
      </c>
      <c r="C18" s="97">
        <v>70</v>
      </c>
      <c r="D18" s="3">
        <v>140</v>
      </c>
      <c r="E18" s="231">
        <v>70</v>
      </c>
      <c r="F18" s="97">
        <v>35</v>
      </c>
      <c r="G18" s="3">
        <v>136</v>
      </c>
      <c r="H18" s="231">
        <v>35</v>
      </c>
      <c r="I18" s="97">
        <v>34</v>
      </c>
      <c r="J18" s="3">
        <v>136</v>
      </c>
      <c r="K18" s="231">
        <v>34</v>
      </c>
    </row>
    <row r="19" spans="2:11" x14ac:dyDescent="0.2">
      <c r="B19" s="239">
        <v>87</v>
      </c>
      <c r="C19" s="97">
        <v>90</v>
      </c>
      <c r="D19" s="3">
        <v>142</v>
      </c>
      <c r="E19" s="231">
        <v>90</v>
      </c>
      <c r="F19" s="97">
        <v>36</v>
      </c>
      <c r="G19" s="3">
        <v>137</v>
      </c>
      <c r="H19" s="231">
        <v>36</v>
      </c>
      <c r="I19" s="97">
        <v>35</v>
      </c>
      <c r="J19" s="3">
        <v>137</v>
      </c>
      <c r="K19" s="231">
        <v>35</v>
      </c>
    </row>
    <row r="20" spans="2:11" x14ac:dyDescent="0.2">
      <c r="B20" s="239">
        <v>88</v>
      </c>
      <c r="C20" s="97">
        <v>106</v>
      </c>
      <c r="D20" s="3">
        <v>143</v>
      </c>
      <c r="E20" s="231">
        <v>106</v>
      </c>
      <c r="F20" s="97">
        <v>37</v>
      </c>
      <c r="G20" s="3">
        <v>138</v>
      </c>
      <c r="H20" s="231">
        <v>37</v>
      </c>
      <c r="I20" s="97">
        <v>36</v>
      </c>
      <c r="J20" s="3">
        <v>138</v>
      </c>
      <c r="K20" s="231">
        <v>36</v>
      </c>
    </row>
    <row r="21" spans="2:11" x14ac:dyDescent="0.2">
      <c r="B21" s="239">
        <v>89</v>
      </c>
      <c r="C21" s="97">
        <v>108</v>
      </c>
      <c r="D21" s="3">
        <v>144</v>
      </c>
      <c r="E21" s="231">
        <v>108</v>
      </c>
      <c r="F21" s="97">
        <v>39</v>
      </c>
      <c r="G21" s="3">
        <v>139</v>
      </c>
      <c r="H21" s="231">
        <v>39</v>
      </c>
      <c r="I21" s="97">
        <v>37</v>
      </c>
      <c r="J21" s="3">
        <v>139</v>
      </c>
      <c r="K21" s="231">
        <v>37</v>
      </c>
    </row>
    <row r="22" spans="2:11" x14ac:dyDescent="0.2">
      <c r="B22" s="239">
        <v>90</v>
      </c>
      <c r="C22" s="97">
        <v>118</v>
      </c>
      <c r="D22" s="3">
        <v>145</v>
      </c>
      <c r="E22" s="231">
        <v>118</v>
      </c>
      <c r="F22" s="97">
        <v>44</v>
      </c>
      <c r="G22" s="3">
        <v>140</v>
      </c>
      <c r="H22" s="231">
        <v>44</v>
      </c>
      <c r="I22" s="97">
        <v>39</v>
      </c>
      <c r="J22" s="3">
        <v>140</v>
      </c>
      <c r="K22" s="231">
        <v>39</v>
      </c>
    </row>
    <row r="23" spans="2:11" x14ac:dyDescent="0.2">
      <c r="B23" s="239">
        <v>92</v>
      </c>
      <c r="C23" s="97">
        <v>123</v>
      </c>
      <c r="D23" s="3">
        <v>146</v>
      </c>
      <c r="E23" s="231">
        <v>123</v>
      </c>
      <c r="F23" s="97">
        <v>45</v>
      </c>
      <c r="G23" s="3">
        <v>141</v>
      </c>
      <c r="H23" s="231">
        <v>45</v>
      </c>
      <c r="I23" s="97">
        <v>44</v>
      </c>
      <c r="J23" s="3">
        <v>141</v>
      </c>
      <c r="K23" s="231">
        <v>44</v>
      </c>
    </row>
    <row r="24" spans="2:11" x14ac:dyDescent="0.2">
      <c r="B24" s="239">
        <v>114</v>
      </c>
      <c r="C24" s="97">
        <v>124</v>
      </c>
      <c r="D24" s="3">
        <v>147</v>
      </c>
      <c r="E24" s="231">
        <v>460</v>
      </c>
      <c r="F24" s="97">
        <v>46</v>
      </c>
      <c r="G24" s="3">
        <v>142</v>
      </c>
      <c r="H24" s="231">
        <v>46</v>
      </c>
      <c r="I24" s="97">
        <v>45</v>
      </c>
      <c r="J24" s="3">
        <v>142</v>
      </c>
      <c r="K24" s="231">
        <v>45</v>
      </c>
    </row>
    <row r="25" spans="2:11" x14ac:dyDescent="0.2">
      <c r="B25" s="239">
        <v>123</v>
      </c>
      <c r="C25" s="97">
        <v>125</v>
      </c>
      <c r="D25" s="3">
        <v>148</v>
      </c>
      <c r="E25" s="231">
        <v>461</v>
      </c>
      <c r="F25" s="97">
        <v>47</v>
      </c>
      <c r="G25" s="3">
        <v>143</v>
      </c>
      <c r="H25" s="231">
        <v>47</v>
      </c>
      <c r="I25" s="97">
        <v>46</v>
      </c>
      <c r="J25" s="3">
        <v>143</v>
      </c>
      <c r="K25" s="231">
        <v>46</v>
      </c>
    </row>
    <row r="26" spans="2:11" x14ac:dyDescent="0.2">
      <c r="B26" s="240">
        <v>130</v>
      </c>
      <c r="C26" s="97">
        <v>126</v>
      </c>
      <c r="D26" s="3">
        <v>149</v>
      </c>
      <c r="E26" s="231">
        <v>462</v>
      </c>
      <c r="F26" s="97">
        <v>48</v>
      </c>
      <c r="G26" s="3">
        <v>144</v>
      </c>
      <c r="H26" s="231">
        <v>48</v>
      </c>
      <c r="I26" s="97">
        <v>47</v>
      </c>
      <c r="J26" s="3">
        <v>144</v>
      </c>
      <c r="K26" s="231">
        <v>47</v>
      </c>
    </row>
    <row r="27" spans="2:11" x14ac:dyDescent="0.2">
      <c r="B27" s="240">
        <v>131</v>
      </c>
      <c r="C27" s="97">
        <v>127</v>
      </c>
      <c r="D27" s="3">
        <v>150</v>
      </c>
      <c r="F27" s="97">
        <v>49</v>
      </c>
      <c r="G27" s="3">
        <v>145</v>
      </c>
      <c r="H27" s="231">
        <v>49</v>
      </c>
      <c r="I27" s="97">
        <v>48</v>
      </c>
      <c r="J27" s="3">
        <v>145</v>
      </c>
      <c r="K27" s="231">
        <v>48</v>
      </c>
    </row>
    <row r="28" spans="2:11" x14ac:dyDescent="0.2">
      <c r="B28" s="240">
        <v>132</v>
      </c>
      <c r="C28" s="97">
        <v>129</v>
      </c>
      <c r="D28" s="3">
        <v>151</v>
      </c>
      <c r="F28" s="97">
        <v>50</v>
      </c>
      <c r="G28" s="3">
        <v>146</v>
      </c>
      <c r="H28" s="231">
        <v>50</v>
      </c>
      <c r="I28" s="97">
        <v>49</v>
      </c>
      <c r="J28" s="3">
        <v>146</v>
      </c>
      <c r="K28" s="231">
        <v>49</v>
      </c>
    </row>
    <row r="29" spans="2:11" x14ac:dyDescent="0.2">
      <c r="B29" s="239">
        <v>134</v>
      </c>
      <c r="C29" s="97">
        <v>130</v>
      </c>
      <c r="D29" s="3">
        <v>152</v>
      </c>
      <c r="F29" s="97">
        <v>51</v>
      </c>
      <c r="G29" s="3">
        <v>147</v>
      </c>
      <c r="H29" s="231">
        <v>51</v>
      </c>
      <c r="I29" s="97">
        <v>50</v>
      </c>
      <c r="J29" s="3">
        <v>147</v>
      </c>
      <c r="K29" s="231">
        <v>50</v>
      </c>
    </row>
    <row r="30" spans="2:11" x14ac:dyDescent="0.2">
      <c r="B30" s="239">
        <v>135</v>
      </c>
      <c r="C30" s="97">
        <v>131</v>
      </c>
      <c r="D30" s="3">
        <v>153</v>
      </c>
      <c r="F30" s="97">
        <v>52</v>
      </c>
      <c r="G30" s="3">
        <v>148</v>
      </c>
      <c r="H30" s="231">
        <v>52</v>
      </c>
      <c r="I30" s="97">
        <v>51</v>
      </c>
      <c r="J30" s="3">
        <v>148</v>
      </c>
      <c r="K30" s="231">
        <v>51</v>
      </c>
    </row>
    <row r="31" spans="2:11" x14ac:dyDescent="0.2">
      <c r="B31" s="239">
        <v>136</v>
      </c>
      <c r="C31" s="97">
        <v>132</v>
      </c>
      <c r="D31" s="3">
        <v>154</v>
      </c>
      <c r="F31" s="97">
        <v>53</v>
      </c>
      <c r="G31" s="3">
        <v>149</v>
      </c>
      <c r="H31" s="231">
        <v>53</v>
      </c>
      <c r="I31" s="97">
        <v>52</v>
      </c>
      <c r="J31" s="3">
        <v>149</v>
      </c>
      <c r="K31" s="231">
        <v>52</v>
      </c>
    </row>
    <row r="32" spans="2:11" x14ac:dyDescent="0.2">
      <c r="B32" s="239">
        <v>137</v>
      </c>
      <c r="C32" s="97">
        <v>133</v>
      </c>
      <c r="D32" s="3">
        <v>155</v>
      </c>
      <c r="F32" s="97">
        <v>54</v>
      </c>
      <c r="G32" s="3">
        <v>150</v>
      </c>
      <c r="H32" s="231">
        <v>54</v>
      </c>
      <c r="I32" s="97">
        <v>53</v>
      </c>
      <c r="J32" s="3">
        <v>150</v>
      </c>
      <c r="K32" s="231">
        <v>53</v>
      </c>
    </row>
    <row r="33" spans="2:11" x14ac:dyDescent="0.2">
      <c r="B33" s="239">
        <v>138</v>
      </c>
      <c r="C33" s="97">
        <v>134</v>
      </c>
      <c r="D33" s="3">
        <v>156</v>
      </c>
      <c r="F33" s="97">
        <v>55</v>
      </c>
      <c r="G33" s="3">
        <v>151</v>
      </c>
      <c r="H33" s="231">
        <v>55</v>
      </c>
      <c r="I33" s="97">
        <v>54</v>
      </c>
      <c r="J33" s="3">
        <v>151</v>
      </c>
      <c r="K33" s="231">
        <v>54</v>
      </c>
    </row>
    <row r="34" spans="2:11" x14ac:dyDescent="0.2">
      <c r="B34" s="239">
        <v>139</v>
      </c>
      <c r="C34" s="97">
        <v>135</v>
      </c>
      <c r="D34" s="3">
        <v>157</v>
      </c>
      <c r="F34" s="97">
        <v>56</v>
      </c>
      <c r="G34" s="3">
        <v>152</v>
      </c>
      <c r="H34" s="231">
        <v>56</v>
      </c>
      <c r="I34" s="97">
        <v>55</v>
      </c>
      <c r="J34" s="3">
        <v>152</v>
      </c>
      <c r="K34" s="231">
        <v>55</v>
      </c>
    </row>
    <row r="35" spans="2:11" x14ac:dyDescent="0.2">
      <c r="B35" s="239">
        <v>140</v>
      </c>
      <c r="C35" s="97">
        <v>136</v>
      </c>
      <c r="D35" s="3">
        <v>158</v>
      </c>
      <c r="F35" s="97">
        <v>57</v>
      </c>
      <c r="G35" s="3">
        <v>154</v>
      </c>
      <c r="H35" s="231">
        <v>57</v>
      </c>
      <c r="I35" s="97">
        <v>56</v>
      </c>
      <c r="J35" s="3">
        <v>153</v>
      </c>
      <c r="K35" s="231">
        <v>56</v>
      </c>
    </row>
    <row r="36" spans="2:11" x14ac:dyDescent="0.2">
      <c r="B36" s="239">
        <v>142</v>
      </c>
      <c r="C36" s="97">
        <v>137</v>
      </c>
      <c r="D36" s="3">
        <v>159</v>
      </c>
      <c r="F36" s="97">
        <v>58</v>
      </c>
      <c r="G36" s="3">
        <v>155</v>
      </c>
      <c r="H36" s="231">
        <v>58</v>
      </c>
      <c r="I36" s="97">
        <v>57</v>
      </c>
      <c r="J36" s="3">
        <v>154</v>
      </c>
      <c r="K36" s="231">
        <v>57</v>
      </c>
    </row>
    <row r="37" spans="2:11" x14ac:dyDescent="0.2">
      <c r="B37" s="239">
        <v>143</v>
      </c>
      <c r="C37" s="97">
        <v>138</v>
      </c>
      <c r="D37" s="3">
        <v>160</v>
      </c>
      <c r="F37" s="97">
        <v>59</v>
      </c>
      <c r="G37" s="3">
        <v>156</v>
      </c>
      <c r="H37" s="231">
        <v>59</v>
      </c>
      <c r="I37" s="97">
        <v>58</v>
      </c>
      <c r="J37" s="3">
        <v>155</v>
      </c>
      <c r="K37" s="231">
        <v>58</v>
      </c>
    </row>
    <row r="38" spans="2:11" x14ac:dyDescent="0.2">
      <c r="B38" s="239">
        <v>157</v>
      </c>
      <c r="C38" s="97">
        <v>139</v>
      </c>
      <c r="D38" s="3">
        <v>161</v>
      </c>
      <c r="F38" s="97">
        <v>60</v>
      </c>
      <c r="G38" s="3">
        <v>157</v>
      </c>
      <c r="H38" s="231">
        <v>60</v>
      </c>
      <c r="I38" s="97">
        <v>59</v>
      </c>
      <c r="J38" s="3">
        <v>156</v>
      </c>
      <c r="K38" s="231">
        <v>59</v>
      </c>
    </row>
    <row r="39" spans="2:11" x14ac:dyDescent="0.2">
      <c r="B39" s="239">
        <v>158</v>
      </c>
      <c r="C39" s="97">
        <v>140</v>
      </c>
      <c r="D39" s="3">
        <v>162</v>
      </c>
      <c r="F39" s="97">
        <v>61</v>
      </c>
      <c r="G39" s="3">
        <v>158</v>
      </c>
      <c r="H39" s="231">
        <v>61</v>
      </c>
      <c r="I39" s="97">
        <v>60</v>
      </c>
      <c r="J39" s="3">
        <v>157</v>
      </c>
      <c r="K39" s="231">
        <v>60</v>
      </c>
    </row>
    <row r="40" spans="2:11" x14ac:dyDescent="0.2">
      <c r="B40" s="239">
        <v>159</v>
      </c>
      <c r="C40" s="97">
        <v>142</v>
      </c>
      <c r="D40" s="3">
        <v>163</v>
      </c>
      <c r="F40" s="97">
        <v>62</v>
      </c>
      <c r="G40" s="3">
        <v>159</v>
      </c>
      <c r="H40" s="231">
        <v>62</v>
      </c>
      <c r="I40" s="97">
        <v>61</v>
      </c>
      <c r="J40" s="3">
        <v>158</v>
      </c>
      <c r="K40" s="231">
        <v>61</v>
      </c>
    </row>
    <row r="41" spans="2:11" x14ac:dyDescent="0.2">
      <c r="B41" s="239">
        <v>160</v>
      </c>
      <c r="C41" s="97">
        <v>143</v>
      </c>
      <c r="D41" s="3">
        <v>164</v>
      </c>
      <c r="F41" s="97">
        <v>63</v>
      </c>
      <c r="G41" s="3">
        <v>160</v>
      </c>
      <c r="H41" s="231">
        <v>63</v>
      </c>
      <c r="I41" s="97">
        <v>62</v>
      </c>
      <c r="J41" s="3">
        <v>159</v>
      </c>
      <c r="K41" s="231">
        <v>62</v>
      </c>
    </row>
    <row r="42" spans="2:11" x14ac:dyDescent="0.2">
      <c r="B42" s="239">
        <v>186</v>
      </c>
      <c r="C42" s="97">
        <v>144</v>
      </c>
      <c r="D42" s="3">
        <v>165</v>
      </c>
      <c r="F42" s="97">
        <v>65</v>
      </c>
      <c r="G42" s="3">
        <v>161</v>
      </c>
      <c r="H42" s="231">
        <v>65</v>
      </c>
      <c r="I42" s="97">
        <v>63</v>
      </c>
      <c r="J42" s="3">
        <v>160</v>
      </c>
      <c r="K42" s="231">
        <v>63</v>
      </c>
    </row>
    <row r="43" spans="2:11" x14ac:dyDescent="0.2">
      <c r="B43" s="239">
        <v>187</v>
      </c>
      <c r="C43" s="97">
        <v>145</v>
      </c>
      <c r="D43" s="3">
        <v>166</v>
      </c>
      <c r="F43" s="97">
        <v>68</v>
      </c>
      <c r="G43" s="3">
        <v>162</v>
      </c>
      <c r="H43" s="231">
        <v>68</v>
      </c>
      <c r="I43" s="97">
        <v>65</v>
      </c>
      <c r="J43" s="3">
        <v>161</v>
      </c>
      <c r="K43" s="231">
        <v>65</v>
      </c>
    </row>
    <row r="44" spans="2:11" x14ac:dyDescent="0.2">
      <c r="B44" s="239">
        <v>188</v>
      </c>
      <c r="C44" s="97">
        <v>146</v>
      </c>
      <c r="D44" s="3">
        <v>167</v>
      </c>
      <c r="F44" s="97">
        <v>69</v>
      </c>
      <c r="G44" s="3">
        <v>163</v>
      </c>
      <c r="H44" s="231">
        <v>69</v>
      </c>
      <c r="I44" s="97">
        <v>68</v>
      </c>
      <c r="J44" s="3">
        <v>162</v>
      </c>
      <c r="K44" s="231">
        <v>68</v>
      </c>
    </row>
    <row r="45" spans="2:11" x14ac:dyDescent="0.2">
      <c r="B45" s="239">
        <v>189</v>
      </c>
      <c r="C45" s="97">
        <v>147</v>
      </c>
      <c r="D45" s="3">
        <v>168</v>
      </c>
      <c r="F45" s="97">
        <v>70</v>
      </c>
      <c r="G45" s="3">
        <v>164</v>
      </c>
      <c r="H45" s="231">
        <v>70</v>
      </c>
      <c r="I45" s="97">
        <v>69</v>
      </c>
      <c r="J45" s="3">
        <v>163</v>
      </c>
      <c r="K45" s="231">
        <v>69</v>
      </c>
    </row>
    <row r="46" spans="2:11" x14ac:dyDescent="0.2">
      <c r="B46" s="239">
        <v>190</v>
      </c>
      <c r="C46" s="97">
        <v>148</v>
      </c>
      <c r="D46" s="3">
        <v>169</v>
      </c>
      <c r="F46" s="97">
        <v>82</v>
      </c>
      <c r="G46" s="3">
        <v>165</v>
      </c>
      <c r="H46" s="231">
        <v>82</v>
      </c>
      <c r="I46" s="97">
        <v>70</v>
      </c>
      <c r="J46" s="3">
        <v>164</v>
      </c>
      <c r="K46" s="231">
        <v>70</v>
      </c>
    </row>
    <row r="47" spans="2:11" x14ac:dyDescent="0.2">
      <c r="B47" s="239">
        <v>191</v>
      </c>
      <c r="C47" s="97">
        <v>149</v>
      </c>
      <c r="D47" s="3">
        <v>170</v>
      </c>
      <c r="F47" s="97">
        <v>83</v>
      </c>
      <c r="G47" s="3">
        <v>166</v>
      </c>
      <c r="H47" s="231">
        <v>83</v>
      </c>
      <c r="I47" s="97">
        <v>82</v>
      </c>
      <c r="J47" s="3">
        <v>165</v>
      </c>
      <c r="K47" s="231">
        <v>82</v>
      </c>
    </row>
    <row r="48" spans="2:11" x14ac:dyDescent="0.2">
      <c r="B48" s="239">
        <v>200</v>
      </c>
      <c r="C48" s="97">
        <v>150</v>
      </c>
      <c r="D48" s="3">
        <v>171</v>
      </c>
      <c r="F48" s="97">
        <v>91</v>
      </c>
      <c r="G48" s="3">
        <v>167</v>
      </c>
      <c r="H48" s="231">
        <v>99</v>
      </c>
      <c r="I48" s="97">
        <v>83</v>
      </c>
      <c r="J48" s="3">
        <v>166</v>
      </c>
      <c r="K48" s="231">
        <v>83</v>
      </c>
    </row>
    <row r="49" spans="2:11" x14ac:dyDescent="0.2">
      <c r="B49" s="239">
        <v>201</v>
      </c>
      <c r="C49" s="97">
        <v>151</v>
      </c>
      <c r="D49" s="3">
        <v>172</v>
      </c>
      <c r="F49" s="97">
        <v>99</v>
      </c>
      <c r="G49" s="3">
        <v>168</v>
      </c>
      <c r="H49" s="231">
        <v>106</v>
      </c>
      <c r="I49" s="97">
        <v>90</v>
      </c>
      <c r="J49" s="3">
        <v>167</v>
      </c>
      <c r="K49" s="231">
        <v>90</v>
      </c>
    </row>
    <row r="50" spans="2:11" x14ac:dyDescent="0.2">
      <c r="B50" s="240">
        <v>208</v>
      </c>
      <c r="C50" s="97">
        <v>152</v>
      </c>
      <c r="D50" s="3">
        <v>173</v>
      </c>
      <c r="F50" s="97">
        <v>106</v>
      </c>
      <c r="G50" s="3">
        <v>169</v>
      </c>
      <c r="H50" s="231">
        <v>108</v>
      </c>
      <c r="I50" s="97">
        <v>91</v>
      </c>
      <c r="J50" s="3">
        <v>168</v>
      </c>
      <c r="K50" s="231">
        <v>99</v>
      </c>
    </row>
    <row r="51" spans="2:11" x14ac:dyDescent="0.2">
      <c r="B51" s="240">
        <v>210</v>
      </c>
      <c r="C51" s="97">
        <v>153</v>
      </c>
      <c r="D51" s="3">
        <v>174</v>
      </c>
      <c r="F51" s="97">
        <v>108</v>
      </c>
      <c r="G51" s="3">
        <v>170</v>
      </c>
      <c r="H51" s="231">
        <v>459</v>
      </c>
      <c r="I51" s="97">
        <v>99</v>
      </c>
      <c r="J51" s="3">
        <v>169</v>
      </c>
      <c r="K51" s="231">
        <v>106</v>
      </c>
    </row>
    <row r="52" spans="2:11" x14ac:dyDescent="0.2">
      <c r="B52" s="240">
        <v>217</v>
      </c>
      <c r="C52" s="97">
        <v>154</v>
      </c>
      <c r="D52" s="3">
        <v>175</v>
      </c>
      <c r="F52" s="97">
        <v>114</v>
      </c>
      <c r="G52" s="3">
        <v>171</v>
      </c>
      <c r="I52" s="97">
        <v>106</v>
      </c>
      <c r="J52" s="3">
        <v>170</v>
      </c>
      <c r="K52" s="231">
        <v>108</v>
      </c>
    </row>
    <row r="53" spans="2:11" x14ac:dyDescent="0.2">
      <c r="B53" s="240">
        <v>222</v>
      </c>
      <c r="C53" s="97">
        <v>155</v>
      </c>
      <c r="D53" s="3">
        <v>176</v>
      </c>
      <c r="F53" s="97">
        <v>116</v>
      </c>
      <c r="G53" s="3">
        <v>172</v>
      </c>
      <c r="I53" s="97">
        <v>108</v>
      </c>
      <c r="J53" s="3">
        <v>171</v>
      </c>
      <c r="K53" s="231">
        <v>118</v>
      </c>
    </row>
    <row r="54" spans="2:11" x14ac:dyDescent="0.2">
      <c r="B54" s="240">
        <v>223</v>
      </c>
      <c r="C54" s="97">
        <v>156</v>
      </c>
      <c r="D54" s="3">
        <v>177</v>
      </c>
      <c r="F54" s="97">
        <v>117</v>
      </c>
      <c r="G54" s="3">
        <v>173</v>
      </c>
      <c r="I54" s="97">
        <v>114</v>
      </c>
      <c r="J54" s="3">
        <v>172</v>
      </c>
      <c r="K54" s="231">
        <v>123</v>
      </c>
    </row>
    <row r="55" spans="2:11" x14ac:dyDescent="0.2">
      <c r="B55" s="240">
        <v>224</v>
      </c>
      <c r="C55" s="97">
        <v>157</v>
      </c>
      <c r="D55" s="3">
        <v>178</v>
      </c>
      <c r="F55" s="97">
        <v>124</v>
      </c>
      <c r="G55" s="3">
        <v>174</v>
      </c>
      <c r="I55" s="97">
        <v>116</v>
      </c>
      <c r="J55" s="3">
        <v>173</v>
      </c>
      <c r="K55" s="231">
        <v>459</v>
      </c>
    </row>
    <row r="56" spans="2:11" x14ac:dyDescent="0.2">
      <c r="B56" s="240">
        <v>225</v>
      </c>
      <c r="C56" s="97">
        <v>158</v>
      </c>
      <c r="D56" s="3">
        <v>179</v>
      </c>
      <c r="F56" s="97">
        <v>125</v>
      </c>
      <c r="G56" s="3">
        <v>175</v>
      </c>
      <c r="I56" s="97">
        <v>117</v>
      </c>
      <c r="J56" s="3">
        <v>174</v>
      </c>
      <c r="K56" s="231">
        <v>460</v>
      </c>
    </row>
    <row r="57" spans="2:11" x14ac:dyDescent="0.2">
      <c r="B57" s="240">
        <v>226</v>
      </c>
      <c r="C57" s="97">
        <v>159</v>
      </c>
      <c r="D57" s="3">
        <v>180</v>
      </c>
      <c r="F57" s="97">
        <v>126</v>
      </c>
      <c r="G57" s="3">
        <v>176</v>
      </c>
      <c r="I57" s="97">
        <v>118</v>
      </c>
      <c r="J57" s="3">
        <v>175</v>
      </c>
      <c r="K57" s="231">
        <v>461</v>
      </c>
    </row>
    <row r="58" spans="2:11" x14ac:dyDescent="0.2">
      <c r="B58" s="239">
        <v>237</v>
      </c>
      <c r="C58" s="97">
        <v>160</v>
      </c>
      <c r="D58" s="3">
        <v>181</v>
      </c>
      <c r="F58" s="97">
        <v>127</v>
      </c>
      <c r="G58" s="3">
        <v>177</v>
      </c>
      <c r="I58" s="97">
        <v>123</v>
      </c>
      <c r="J58" s="3">
        <v>176</v>
      </c>
      <c r="K58" s="231">
        <v>462</v>
      </c>
    </row>
    <row r="59" spans="2:11" x14ac:dyDescent="0.2">
      <c r="B59" s="239">
        <v>244</v>
      </c>
      <c r="C59" s="97">
        <v>161</v>
      </c>
      <c r="D59" s="3">
        <v>182</v>
      </c>
      <c r="F59" s="97">
        <v>129</v>
      </c>
      <c r="G59" s="3">
        <v>178</v>
      </c>
      <c r="I59" s="97">
        <v>124</v>
      </c>
      <c r="J59" s="3">
        <v>177</v>
      </c>
    </row>
    <row r="60" spans="2:11" x14ac:dyDescent="0.2">
      <c r="B60" s="239">
        <v>270</v>
      </c>
      <c r="C60" s="97">
        <v>162</v>
      </c>
      <c r="D60" s="3">
        <v>183</v>
      </c>
      <c r="F60" s="97">
        <v>130</v>
      </c>
      <c r="G60" s="3">
        <v>179</v>
      </c>
      <c r="I60" s="97">
        <v>125</v>
      </c>
      <c r="J60" s="3">
        <v>178</v>
      </c>
    </row>
    <row r="61" spans="2:11" x14ac:dyDescent="0.2">
      <c r="B61" s="239">
        <v>271</v>
      </c>
      <c r="C61" s="97">
        <v>163</v>
      </c>
      <c r="D61" s="3">
        <v>184</v>
      </c>
      <c r="F61" s="97">
        <v>131</v>
      </c>
      <c r="G61" s="3">
        <v>180</v>
      </c>
      <c r="I61" s="97">
        <v>126</v>
      </c>
      <c r="J61" s="3">
        <v>179</v>
      </c>
    </row>
    <row r="62" spans="2:11" x14ac:dyDescent="0.2">
      <c r="B62" s="239">
        <v>272</v>
      </c>
      <c r="C62" s="97">
        <v>164</v>
      </c>
      <c r="D62" s="3">
        <v>186</v>
      </c>
      <c r="F62" s="97">
        <v>132</v>
      </c>
      <c r="G62" s="3">
        <v>181</v>
      </c>
      <c r="I62" s="97">
        <v>127</v>
      </c>
      <c r="J62" s="3">
        <v>180</v>
      </c>
    </row>
    <row r="63" spans="2:11" x14ac:dyDescent="0.2">
      <c r="B63" s="239">
        <v>273</v>
      </c>
      <c r="C63" s="97">
        <v>165</v>
      </c>
      <c r="D63" s="3">
        <v>187</v>
      </c>
      <c r="F63" s="97">
        <v>133</v>
      </c>
      <c r="G63" s="3">
        <v>182</v>
      </c>
      <c r="I63" s="97">
        <v>129</v>
      </c>
      <c r="J63" s="3">
        <v>181</v>
      </c>
    </row>
    <row r="64" spans="2:11" x14ac:dyDescent="0.2">
      <c r="B64" s="239">
        <v>274</v>
      </c>
      <c r="C64" s="97">
        <v>166</v>
      </c>
      <c r="D64" s="3">
        <v>188</v>
      </c>
      <c r="F64" s="97">
        <v>134</v>
      </c>
      <c r="G64" s="3">
        <v>183</v>
      </c>
      <c r="I64" s="97">
        <v>130</v>
      </c>
      <c r="J64" s="3">
        <v>182</v>
      </c>
    </row>
    <row r="65" spans="2:10" x14ac:dyDescent="0.2">
      <c r="B65" s="239">
        <v>275</v>
      </c>
      <c r="C65" s="97">
        <v>167</v>
      </c>
      <c r="D65" s="3">
        <v>189</v>
      </c>
      <c r="F65" s="97">
        <v>135</v>
      </c>
      <c r="G65" s="3">
        <v>184</v>
      </c>
      <c r="I65" s="97">
        <v>131</v>
      </c>
      <c r="J65" s="3">
        <v>183</v>
      </c>
    </row>
    <row r="66" spans="2:10" x14ac:dyDescent="0.2">
      <c r="B66" s="239">
        <v>358</v>
      </c>
      <c r="C66" s="97">
        <v>168</v>
      </c>
      <c r="D66" s="3">
        <v>190</v>
      </c>
      <c r="F66" s="97">
        <v>136</v>
      </c>
      <c r="G66" s="3">
        <v>185</v>
      </c>
      <c r="I66" s="97">
        <v>132</v>
      </c>
      <c r="J66" s="3">
        <v>184</v>
      </c>
    </row>
    <row r="67" spans="2:10" x14ac:dyDescent="0.2">
      <c r="B67" s="239">
        <v>359</v>
      </c>
      <c r="C67" s="97">
        <v>169</v>
      </c>
      <c r="D67" s="3">
        <v>191</v>
      </c>
      <c r="F67" s="97">
        <v>137</v>
      </c>
      <c r="G67" s="3">
        <v>186</v>
      </c>
      <c r="I67" s="97">
        <v>133</v>
      </c>
      <c r="J67" s="3">
        <v>185</v>
      </c>
    </row>
    <row r="68" spans="2:10" x14ac:dyDescent="0.2">
      <c r="B68" s="239">
        <v>360</v>
      </c>
      <c r="C68" s="97">
        <v>170</v>
      </c>
      <c r="D68" s="3">
        <v>192</v>
      </c>
      <c r="F68" s="97">
        <v>138</v>
      </c>
      <c r="G68" s="3">
        <v>187</v>
      </c>
      <c r="I68" s="97">
        <v>134</v>
      </c>
      <c r="J68" s="3">
        <v>186</v>
      </c>
    </row>
    <row r="69" spans="2:10" x14ac:dyDescent="0.2">
      <c r="B69" s="239">
        <v>361</v>
      </c>
      <c r="C69" s="97">
        <v>171</v>
      </c>
      <c r="D69" s="3">
        <v>193</v>
      </c>
      <c r="F69" s="97">
        <v>139</v>
      </c>
      <c r="G69" s="3">
        <v>188</v>
      </c>
      <c r="I69" s="97">
        <v>135</v>
      </c>
      <c r="J69" s="3">
        <v>187</v>
      </c>
    </row>
    <row r="70" spans="2:10" x14ac:dyDescent="0.2">
      <c r="B70" s="239">
        <v>364</v>
      </c>
      <c r="C70" s="97">
        <v>172</v>
      </c>
      <c r="D70" s="3">
        <v>194</v>
      </c>
      <c r="F70" s="97">
        <v>140</v>
      </c>
      <c r="G70" s="3">
        <v>189</v>
      </c>
      <c r="I70" s="97">
        <v>136</v>
      </c>
      <c r="J70" s="3">
        <v>188</v>
      </c>
    </row>
    <row r="71" spans="2:10" x14ac:dyDescent="0.2">
      <c r="B71" s="239">
        <v>365</v>
      </c>
      <c r="C71" s="97">
        <v>173</v>
      </c>
      <c r="D71" s="3">
        <v>195</v>
      </c>
      <c r="F71" s="97">
        <v>141</v>
      </c>
      <c r="G71" s="3">
        <v>190</v>
      </c>
      <c r="I71" s="97">
        <v>137</v>
      </c>
      <c r="J71" s="3">
        <v>189</v>
      </c>
    </row>
    <row r="72" spans="2:10" x14ac:dyDescent="0.2">
      <c r="B72" s="239">
        <v>366</v>
      </c>
      <c r="C72" s="97">
        <v>174</v>
      </c>
      <c r="D72" s="3">
        <v>196</v>
      </c>
      <c r="F72" s="97">
        <v>142</v>
      </c>
      <c r="G72" s="3">
        <v>191</v>
      </c>
      <c r="I72" s="97">
        <v>138</v>
      </c>
      <c r="J72" s="3">
        <v>190</v>
      </c>
    </row>
    <row r="73" spans="2:10" x14ac:dyDescent="0.2">
      <c r="B73" s="239">
        <v>367</v>
      </c>
      <c r="C73" s="97">
        <v>175</v>
      </c>
      <c r="D73" s="3">
        <v>197</v>
      </c>
      <c r="F73" s="97">
        <v>143</v>
      </c>
      <c r="G73" s="3">
        <v>192</v>
      </c>
      <c r="I73" s="97">
        <v>139</v>
      </c>
      <c r="J73" s="3">
        <v>191</v>
      </c>
    </row>
    <row r="74" spans="2:10" x14ac:dyDescent="0.2">
      <c r="B74" s="239">
        <v>368</v>
      </c>
      <c r="C74" s="97">
        <v>176</v>
      </c>
      <c r="D74" s="3">
        <v>198</v>
      </c>
      <c r="F74" s="97">
        <v>144</v>
      </c>
      <c r="G74" s="3">
        <v>193</v>
      </c>
      <c r="I74" s="97">
        <v>140</v>
      </c>
      <c r="J74" s="3">
        <v>192</v>
      </c>
    </row>
    <row r="75" spans="2:10" x14ac:dyDescent="0.2">
      <c r="B75" s="239">
        <v>369</v>
      </c>
      <c r="C75" s="97">
        <v>177</v>
      </c>
      <c r="D75" s="3">
        <v>199</v>
      </c>
      <c r="F75" s="97">
        <v>145</v>
      </c>
      <c r="G75" s="3">
        <v>194</v>
      </c>
      <c r="I75" s="97">
        <v>141</v>
      </c>
      <c r="J75" s="3">
        <v>193</v>
      </c>
    </row>
    <row r="76" spans="2:10" x14ac:dyDescent="0.2">
      <c r="B76" s="239">
        <v>370</v>
      </c>
      <c r="C76" s="97">
        <v>178</v>
      </c>
      <c r="D76" s="3">
        <v>200</v>
      </c>
      <c r="F76" s="97">
        <v>146</v>
      </c>
      <c r="G76" s="3">
        <v>195</v>
      </c>
      <c r="I76" s="97">
        <v>142</v>
      </c>
      <c r="J76" s="3">
        <v>194</v>
      </c>
    </row>
    <row r="77" spans="2:10" x14ac:dyDescent="0.2">
      <c r="B77" s="239">
        <v>372</v>
      </c>
      <c r="C77" s="97">
        <v>179</v>
      </c>
      <c r="D77" s="3">
        <v>201</v>
      </c>
      <c r="F77" s="97">
        <v>147</v>
      </c>
      <c r="G77" s="3">
        <v>196</v>
      </c>
      <c r="I77" s="97">
        <v>143</v>
      </c>
      <c r="J77" s="3">
        <v>195</v>
      </c>
    </row>
    <row r="78" spans="2:10" x14ac:dyDescent="0.2">
      <c r="B78" s="239">
        <v>373</v>
      </c>
      <c r="C78" s="97">
        <v>180</v>
      </c>
      <c r="D78" s="3">
        <v>202</v>
      </c>
      <c r="F78" s="97">
        <v>148</v>
      </c>
      <c r="G78" s="3">
        <v>197</v>
      </c>
      <c r="I78" s="97">
        <v>144</v>
      </c>
      <c r="J78" s="3">
        <v>196</v>
      </c>
    </row>
    <row r="79" spans="2:10" x14ac:dyDescent="0.2">
      <c r="B79" s="239">
        <v>374</v>
      </c>
      <c r="C79" s="97">
        <v>181</v>
      </c>
      <c r="D79" s="3">
        <v>203</v>
      </c>
      <c r="F79" s="97">
        <v>149</v>
      </c>
      <c r="G79" s="3">
        <v>198</v>
      </c>
      <c r="I79" s="97">
        <v>145</v>
      </c>
      <c r="J79" s="3">
        <v>197</v>
      </c>
    </row>
    <row r="80" spans="2:10" x14ac:dyDescent="0.2">
      <c r="B80" s="239">
        <v>375</v>
      </c>
      <c r="C80" s="97">
        <v>182</v>
      </c>
      <c r="D80" s="3">
        <v>204</v>
      </c>
      <c r="F80" s="97">
        <v>150</v>
      </c>
      <c r="G80" s="3">
        <v>199</v>
      </c>
      <c r="I80" s="97">
        <v>146</v>
      </c>
      <c r="J80" s="3">
        <v>198</v>
      </c>
    </row>
    <row r="81" spans="2:10" x14ac:dyDescent="0.2">
      <c r="B81" s="239">
        <v>376</v>
      </c>
      <c r="C81" s="97">
        <v>183</v>
      </c>
      <c r="D81" s="3">
        <v>205</v>
      </c>
      <c r="F81" s="97">
        <v>151</v>
      </c>
      <c r="G81" s="3">
        <v>200</v>
      </c>
      <c r="I81" s="97">
        <v>147</v>
      </c>
      <c r="J81" s="3">
        <v>199</v>
      </c>
    </row>
    <row r="82" spans="2:10" x14ac:dyDescent="0.2">
      <c r="B82" s="239">
        <v>377</v>
      </c>
      <c r="C82" s="97">
        <v>184</v>
      </c>
      <c r="D82" s="3">
        <v>206</v>
      </c>
      <c r="F82" s="97">
        <v>152</v>
      </c>
      <c r="G82" s="3">
        <v>201</v>
      </c>
      <c r="I82" s="97">
        <v>148</v>
      </c>
      <c r="J82" s="3">
        <v>200</v>
      </c>
    </row>
    <row r="83" spans="2:10" x14ac:dyDescent="0.2">
      <c r="B83" s="239">
        <v>378</v>
      </c>
      <c r="C83" s="97">
        <v>186</v>
      </c>
      <c r="D83" s="3">
        <v>207</v>
      </c>
      <c r="F83" s="97">
        <v>154</v>
      </c>
      <c r="G83" s="3">
        <v>202</v>
      </c>
      <c r="I83" s="97">
        <v>149</v>
      </c>
      <c r="J83" s="3">
        <v>201</v>
      </c>
    </row>
    <row r="84" spans="2:10" x14ac:dyDescent="0.2">
      <c r="B84" s="239">
        <v>379</v>
      </c>
      <c r="C84" s="97">
        <v>187</v>
      </c>
      <c r="D84" s="3">
        <v>208</v>
      </c>
      <c r="F84" s="97">
        <v>155</v>
      </c>
      <c r="G84" s="3">
        <v>203</v>
      </c>
      <c r="I84" s="97">
        <v>150</v>
      </c>
      <c r="J84" s="3">
        <v>202</v>
      </c>
    </row>
    <row r="85" spans="2:10" x14ac:dyDescent="0.2">
      <c r="B85" s="239">
        <v>380</v>
      </c>
      <c r="C85" s="97">
        <v>188</v>
      </c>
      <c r="D85" s="3">
        <v>209</v>
      </c>
      <c r="F85" s="97">
        <v>156</v>
      </c>
      <c r="G85" s="3">
        <v>204</v>
      </c>
      <c r="I85" s="97">
        <v>151</v>
      </c>
      <c r="J85" s="3">
        <v>203</v>
      </c>
    </row>
    <row r="86" spans="2:10" x14ac:dyDescent="0.2">
      <c r="B86" s="239">
        <v>381</v>
      </c>
      <c r="C86" s="97">
        <v>189</v>
      </c>
      <c r="D86" s="3">
        <v>210</v>
      </c>
      <c r="F86" s="97">
        <v>157</v>
      </c>
      <c r="G86" s="3">
        <v>205</v>
      </c>
      <c r="I86" s="97">
        <v>152</v>
      </c>
      <c r="J86" s="3">
        <v>204</v>
      </c>
    </row>
    <row r="87" spans="2:10" x14ac:dyDescent="0.2">
      <c r="B87" s="239">
        <v>382</v>
      </c>
      <c r="C87" s="97">
        <v>190</v>
      </c>
      <c r="D87" s="3">
        <v>211</v>
      </c>
      <c r="F87" s="97">
        <v>158</v>
      </c>
      <c r="G87" s="3">
        <v>206</v>
      </c>
      <c r="I87" s="97">
        <v>153</v>
      </c>
      <c r="J87" s="3">
        <v>205</v>
      </c>
    </row>
    <row r="88" spans="2:10" x14ac:dyDescent="0.2">
      <c r="B88" s="239">
        <v>383</v>
      </c>
      <c r="C88" s="97">
        <v>191</v>
      </c>
      <c r="D88" s="3">
        <v>212</v>
      </c>
      <c r="F88" s="97">
        <v>159</v>
      </c>
      <c r="G88" s="3">
        <v>207</v>
      </c>
      <c r="I88" s="97">
        <v>154</v>
      </c>
      <c r="J88" s="3">
        <v>206</v>
      </c>
    </row>
    <row r="89" spans="2:10" x14ac:dyDescent="0.2">
      <c r="B89" s="239">
        <v>384</v>
      </c>
      <c r="C89" s="97">
        <v>192</v>
      </c>
      <c r="D89" s="3">
        <v>213</v>
      </c>
      <c r="F89" s="97">
        <v>160</v>
      </c>
      <c r="G89" s="3">
        <v>208</v>
      </c>
      <c r="I89" s="97">
        <v>155</v>
      </c>
      <c r="J89" s="3">
        <v>207</v>
      </c>
    </row>
    <row r="90" spans="2:10" x14ac:dyDescent="0.2">
      <c r="B90" s="239">
        <v>385</v>
      </c>
      <c r="C90" s="97">
        <v>193</v>
      </c>
      <c r="D90" s="3">
        <v>214</v>
      </c>
      <c r="F90" s="97">
        <v>161</v>
      </c>
      <c r="G90" s="3">
        <v>209</v>
      </c>
      <c r="I90" s="97">
        <v>156</v>
      </c>
      <c r="J90" s="3">
        <v>208</v>
      </c>
    </row>
    <row r="91" spans="2:10" x14ac:dyDescent="0.2">
      <c r="B91" s="239">
        <v>386</v>
      </c>
      <c r="C91" s="97">
        <v>194</v>
      </c>
      <c r="D91" s="3">
        <v>215</v>
      </c>
      <c r="F91" s="97">
        <v>162</v>
      </c>
      <c r="G91" s="3">
        <v>210</v>
      </c>
      <c r="I91" s="97">
        <v>157</v>
      </c>
      <c r="J91" s="3">
        <v>209</v>
      </c>
    </row>
    <row r="92" spans="2:10" x14ac:dyDescent="0.2">
      <c r="B92" s="239">
        <v>387</v>
      </c>
      <c r="C92" s="97">
        <v>195</v>
      </c>
      <c r="D92" s="3">
        <v>216</v>
      </c>
      <c r="F92" s="97">
        <v>163</v>
      </c>
      <c r="G92" s="3">
        <v>211</v>
      </c>
      <c r="I92" s="97">
        <v>158</v>
      </c>
      <c r="J92" s="3">
        <v>210</v>
      </c>
    </row>
    <row r="93" spans="2:10" x14ac:dyDescent="0.2">
      <c r="B93" s="239">
        <v>388</v>
      </c>
      <c r="C93" s="97">
        <v>196</v>
      </c>
      <c r="D93" s="3">
        <v>217</v>
      </c>
      <c r="F93" s="97">
        <v>164</v>
      </c>
      <c r="G93" s="3">
        <v>212</v>
      </c>
      <c r="I93" s="97">
        <v>159</v>
      </c>
      <c r="J93" s="3">
        <v>211</v>
      </c>
    </row>
    <row r="94" spans="2:10" x14ac:dyDescent="0.2">
      <c r="B94" s="239">
        <v>389</v>
      </c>
      <c r="C94" s="97">
        <v>197</v>
      </c>
      <c r="D94" s="3">
        <v>218</v>
      </c>
      <c r="F94" s="97">
        <v>165</v>
      </c>
      <c r="G94" s="3">
        <v>213</v>
      </c>
      <c r="I94" s="97">
        <v>160</v>
      </c>
      <c r="J94" s="3">
        <v>212</v>
      </c>
    </row>
    <row r="95" spans="2:10" x14ac:dyDescent="0.2">
      <c r="B95" s="239">
        <v>390</v>
      </c>
      <c r="C95" s="97">
        <v>198</v>
      </c>
      <c r="D95" s="3">
        <v>219</v>
      </c>
      <c r="F95" s="97">
        <v>166</v>
      </c>
      <c r="G95" s="3">
        <v>214</v>
      </c>
      <c r="I95" s="97">
        <v>161</v>
      </c>
      <c r="J95" s="3">
        <v>213</v>
      </c>
    </row>
    <row r="96" spans="2:10" x14ac:dyDescent="0.2">
      <c r="B96" s="239">
        <v>391</v>
      </c>
      <c r="C96" s="97">
        <v>199</v>
      </c>
      <c r="D96" s="3">
        <v>220</v>
      </c>
      <c r="F96" s="97">
        <v>167</v>
      </c>
      <c r="G96" s="3">
        <v>215</v>
      </c>
      <c r="I96" s="97">
        <v>162</v>
      </c>
      <c r="J96" s="3">
        <v>214</v>
      </c>
    </row>
    <row r="97" spans="2:10" x14ac:dyDescent="0.2">
      <c r="B97" s="240">
        <v>392</v>
      </c>
      <c r="C97" s="97">
        <v>200</v>
      </c>
      <c r="D97" s="3">
        <v>221</v>
      </c>
      <c r="F97" s="97">
        <v>168</v>
      </c>
      <c r="G97" s="3">
        <v>216</v>
      </c>
      <c r="I97" s="97">
        <v>163</v>
      </c>
      <c r="J97" s="3">
        <v>215</v>
      </c>
    </row>
    <row r="98" spans="2:10" x14ac:dyDescent="0.2">
      <c r="B98" s="239">
        <v>455</v>
      </c>
      <c r="C98" s="97">
        <v>201</v>
      </c>
      <c r="D98" s="3">
        <v>222</v>
      </c>
      <c r="F98" s="97">
        <v>169</v>
      </c>
      <c r="G98" s="3">
        <v>217</v>
      </c>
      <c r="I98" s="97">
        <v>164</v>
      </c>
      <c r="J98" s="3">
        <v>216</v>
      </c>
    </row>
    <row r="99" spans="2:10" x14ac:dyDescent="0.2">
      <c r="B99" s="239">
        <v>456</v>
      </c>
      <c r="C99" s="97">
        <v>202</v>
      </c>
      <c r="D99" s="3">
        <v>223</v>
      </c>
      <c r="F99" s="97">
        <v>170</v>
      </c>
      <c r="G99" s="3">
        <v>218</v>
      </c>
      <c r="I99" s="97">
        <v>165</v>
      </c>
      <c r="J99" s="3">
        <v>217</v>
      </c>
    </row>
    <row r="100" spans="2:10" x14ac:dyDescent="0.2">
      <c r="B100" s="239">
        <v>457</v>
      </c>
      <c r="C100" s="97">
        <v>203</v>
      </c>
      <c r="D100" s="3">
        <v>224</v>
      </c>
      <c r="F100" s="97">
        <v>171</v>
      </c>
      <c r="G100" s="3">
        <v>219</v>
      </c>
      <c r="I100" s="97">
        <v>166</v>
      </c>
      <c r="J100" s="3">
        <v>218</v>
      </c>
    </row>
    <row r="101" spans="2:10" x14ac:dyDescent="0.2">
      <c r="C101" s="97">
        <v>204</v>
      </c>
      <c r="D101" s="3">
        <v>225</v>
      </c>
      <c r="F101" s="97">
        <v>172</v>
      </c>
      <c r="G101" s="3">
        <v>220</v>
      </c>
      <c r="I101" s="97">
        <v>167</v>
      </c>
      <c r="J101" s="3">
        <v>219</v>
      </c>
    </row>
    <row r="102" spans="2:10" x14ac:dyDescent="0.2">
      <c r="C102" s="97">
        <v>205</v>
      </c>
      <c r="D102" s="3">
        <v>226</v>
      </c>
      <c r="F102" s="97">
        <v>173</v>
      </c>
      <c r="G102" s="3">
        <v>221</v>
      </c>
      <c r="I102" s="97">
        <v>168</v>
      </c>
      <c r="J102" s="3">
        <v>220</v>
      </c>
    </row>
    <row r="103" spans="2:10" x14ac:dyDescent="0.2">
      <c r="C103" s="97">
        <v>206</v>
      </c>
      <c r="D103" s="3">
        <v>227</v>
      </c>
      <c r="F103" s="97">
        <v>174</v>
      </c>
      <c r="G103" s="3">
        <v>222</v>
      </c>
      <c r="I103" s="97">
        <v>169</v>
      </c>
      <c r="J103" s="3">
        <v>221</v>
      </c>
    </row>
    <row r="104" spans="2:10" x14ac:dyDescent="0.2">
      <c r="C104" s="97">
        <v>207</v>
      </c>
      <c r="D104" s="3">
        <v>228</v>
      </c>
      <c r="F104" s="97">
        <v>175</v>
      </c>
      <c r="G104" s="3">
        <v>223</v>
      </c>
      <c r="I104" s="97">
        <v>170</v>
      </c>
      <c r="J104" s="3">
        <v>222</v>
      </c>
    </row>
    <row r="105" spans="2:10" x14ac:dyDescent="0.2">
      <c r="C105" s="97">
        <v>208</v>
      </c>
      <c r="D105" s="3">
        <v>229</v>
      </c>
      <c r="F105" s="97">
        <v>176</v>
      </c>
      <c r="G105" s="3">
        <v>224</v>
      </c>
      <c r="I105" s="97">
        <v>171</v>
      </c>
      <c r="J105" s="3">
        <v>223</v>
      </c>
    </row>
    <row r="106" spans="2:10" x14ac:dyDescent="0.2">
      <c r="C106" s="97">
        <v>209</v>
      </c>
      <c r="D106" s="3">
        <v>230</v>
      </c>
      <c r="F106" s="97">
        <v>177</v>
      </c>
      <c r="G106" s="3">
        <v>225</v>
      </c>
      <c r="I106" s="97">
        <v>172</v>
      </c>
      <c r="J106" s="3">
        <v>224</v>
      </c>
    </row>
    <row r="107" spans="2:10" x14ac:dyDescent="0.2">
      <c r="C107" s="97">
        <v>210</v>
      </c>
      <c r="D107" s="3">
        <v>231</v>
      </c>
      <c r="F107" s="97">
        <v>178</v>
      </c>
      <c r="G107" s="3">
        <v>226</v>
      </c>
      <c r="I107" s="97">
        <v>173</v>
      </c>
      <c r="J107" s="3">
        <v>225</v>
      </c>
    </row>
    <row r="108" spans="2:10" x14ac:dyDescent="0.2">
      <c r="C108" s="97">
        <v>211</v>
      </c>
      <c r="D108" s="3">
        <v>232</v>
      </c>
      <c r="F108" s="97">
        <v>179</v>
      </c>
      <c r="G108" s="3">
        <v>227</v>
      </c>
      <c r="I108" s="97">
        <v>174</v>
      </c>
      <c r="J108" s="3">
        <v>226</v>
      </c>
    </row>
    <row r="109" spans="2:10" x14ac:dyDescent="0.2">
      <c r="C109" s="97">
        <v>212</v>
      </c>
      <c r="D109" s="3">
        <v>233</v>
      </c>
      <c r="F109" s="97">
        <v>180</v>
      </c>
      <c r="G109" s="3">
        <v>228</v>
      </c>
      <c r="I109" s="97">
        <v>175</v>
      </c>
      <c r="J109" s="3">
        <v>227</v>
      </c>
    </row>
    <row r="110" spans="2:10" x14ac:dyDescent="0.2">
      <c r="C110" s="97">
        <v>213</v>
      </c>
      <c r="D110" s="3">
        <v>234</v>
      </c>
      <c r="F110" s="97">
        <v>181</v>
      </c>
      <c r="G110" s="3">
        <v>229</v>
      </c>
      <c r="I110" s="97">
        <v>176</v>
      </c>
      <c r="J110" s="3">
        <v>228</v>
      </c>
    </row>
    <row r="111" spans="2:10" x14ac:dyDescent="0.2">
      <c r="C111" s="97">
        <v>214</v>
      </c>
      <c r="D111" s="3">
        <v>235</v>
      </c>
      <c r="F111" s="97">
        <v>182</v>
      </c>
      <c r="G111" s="3">
        <v>230</v>
      </c>
      <c r="I111" s="97">
        <v>177</v>
      </c>
      <c r="J111" s="3">
        <v>229</v>
      </c>
    </row>
    <row r="112" spans="2:10" x14ac:dyDescent="0.2">
      <c r="C112" s="97">
        <v>215</v>
      </c>
      <c r="D112" s="3">
        <v>236</v>
      </c>
      <c r="F112" s="97">
        <v>183</v>
      </c>
      <c r="G112" s="3">
        <v>231</v>
      </c>
      <c r="I112" s="97">
        <v>178</v>
      </c>
      <c r="J112" s="3">
        <v>230</v>
      </c>
    </row>
    <row r="113" spans="3:10" x14ac:dyDescent="0.2">
      <c r="C113" s="97">
        <v>216</v>
      </c>
      <c r="D113" s="3">
        <v>237</v>
      </c>
      <c r="F113" s="97">
        <v>184</v>
      </c>
      <c r="G113" s="3">
        <v>232</v>
      </c>
      <c r="I113" s="97">
        <v>179</v>
      </c>
      <c r="J113" s="3">
        <v>231</v>
      </c>
    </row>
    <row r="114" spans="3:10" x14ac:dyDescent="0.2">
      <c r="C114" s="97">
        <v>217</v>
      </c>
      <c r="D114" s="3">
        <v>238</v>
      </c>
      <c r="F114" s="97">
        <v>185</v>
      </c>
      <c r="G114" s="3">
        <v>233</v>
      </c>
      <c r="I114" s="97">
        <v>180</v>
      </c>
      <c r="J114" s="3">
        <v>232</v>
      </c>
    </row>
    <row r="115" spans="3:10" x14ac:dyDescent="0.2">
      <c r="C115" s="97">
        <v>218</v>
      </c>
      <c r="D115" s="3">
        <v>239</v>
      </c>
      <c r="F115" s="97">
        <v>186</v>
      </c>
      <c r="G115" s="3">
        <v>234</v>
      </c>
      <c r="I115" s="97">
        <v>181</v>
      </c>
      <c r="J115" s="3">
        <v>233</v>
      </c>
    </row>
    <row r="116" spans="3:10" x14ac:dyDescent="0.2">
      <c r="C116" s="97">
        <v>219</v>
      </c>
      <c r="D116" s="3">
        <v>240</v>
      </c>
      <c r="F116" s="97">
        <v>187</v>
      </c>
      <c r="G116" s="3">
        <v>235</v>
      </c>
      <c r="I116" s="97">
        <v>182</v>
      </c>
      <c r="J116" s="3">
        <v>234</v>
      </c>
    </row>
    <row r="117" spans="3:10" x14ac:dyDescent="0.2">
      <c r="C117" s="97">
        <v>220</v>
      </c>
      <c r="D117" s="3">
        <v>241</v>
      </c>
      <c r="F117" s="97">
        <v>188</v>
      </c>
      <c r="G117" s="3">
        <v>236</v>
      </c>
      <c r="I117" s="97">
        <v>183</v>
      </c>
      <c r="J117" s="3">
        <v>235</v>
      </c>
    </row>
    <row r="118" spans="3:10" x14ac:dyDescent="0.2">
      <c r="C118" s="97">
        <v>221</v>
      </c>
      <c r="D118" s="3">
        <v>242</v>
      </c>
      <c r="F118" s="97">
        <v>189</v>
      </c>
      <c r="G118" s="3">
        <v>237</v>
      </c>
      <c r="I118" s="97">
        <v>184</v>
      </c>
      <c r="J118" s="3">
        <v>236</v>
      </c>
    </row>
    <row r="119" spans="3:10" x14ac:dyDescent="0.2">
      <c r="C119" s="97">
        <v>222</v>
      </c>
      <c r="D119" s="3">
        <v>243</v>
      </c>
      <c r="F119" s="97">
        <v>190</v>
      </c>
      <c r="G119" s="3">
        <v>238</v>
      </c>
      <c r="I119" s="97">
        <v>185</v>
      </c>
      <c r="J119" s="3">
        <v>237</v>
      </c>
    </row>
    <row r="120" spans="3:10" x14ac:dyDescent="0.2">
      <c r="C120" s="97">
        <v>223</v>
      </c>
      <c r="D120" s="3">
        <v>244</v>
      </c>
      <c r="F120" s="97">
        <v>191</v>
      </c>
      <c r="G120" s="3">
        <v>239</v>
      </c>
      <c r="I120" s="97">
        <v>186</v>
      </c>
      <c r="J120" s="3">
        <v>238</v>
      </c>
    </row>
    <row r="121" spans="3:10" x14ac:dyDescent="0.2">
      <c r="C121" s="97">
        <v>224</v>
      </c>
      <c r="D121" s="3">
        <v>245</v>
      </c>
      <c r="F121" s="97">
        <v>192</v>
      </c>
      <c r="G121" s="3">
        <v>240</v>
      </c>
      <c r="I121" s="97">
        <v>187</v>
      </c>
      <c r="J121" s="3">
        <v>239</v>
      </c>
    </row>
    <row r="122" spans="3:10" x14ac:dyDescent="0.2">
      <c r="C122" s="97">
        <v>225</v>
      </c>
      <c r="D122" s="3">
        <v>246</v>
      </c>
      <c r="F122" s="97">
        <v>193</v>
      </c>
      <c r="G122" s="3">
        <v>241</v>
      </c>
      <c r="I122" s="97">
        <v>188</v>
      </c>
      <c r="J122" s="3">
        <v>240</v>
      </c>
    </row>
    <row r="123" spans="3:10" x14ac:dyDescent="0.2">
      <c r="C123" s="97">
        <v>226</v>
      </c>
      <c r="D123" s="3">
        <v>247</v>
      </c>
      <c r="F123" s="97">
        <v>194</v>
      </c>
      <c r="G123" s="3">
        <v>242</v>
      </c>
      <c r="I123" s="97">
        <v>189</v>
      </c>
      <c r="J123" s="3">
        <v>241</v>
      </c>
    </row>
    <row r="124" spans="3:10" x14ac:dyDescent="0.2">
      <c r="C124" s="97">
        <v>227</v>
      </c>
      <c r="D124" s="3">
        <v>248</v>
      </c>
      <c r="F124" s="97">
        <v>195</v>
      </c>
      <c r="G124" s="3">
        <v>243</v>
      </c>
      <c r="I124" s="97">
        <v>190</v>
      </c>
      <c r="J124" s="3">
        <v>242</v>
      </c>
    </row>
    <row r="125" spans="3:10" x14ac:dyDescent="0.2">
      <c r="C125" s="97">
        <v>228</v>
      </c>
      <c r="D125" s="3">
        <v>249</v>
      </c>
      <c r="F125" s="97">
        <v>196</v>
      </c>
      <c r="G125" s="3">
        <v>245</v>
      </c>
      <c r="I125" s="97">
        <v>191</v>
      </c>
      <c r="J125" s="3">
        <v>243</v>
      </c>
    </row>
    <row r="126" spans="3:10" x14ac:dyDescent="0.2">
      <c r="C126" s="97">
        <v>229</v>
      </c>
      <c r="D126" s="3">
        <v>250</v>
      </c>
      <c r="F126" s="97">
        <v>197</v>
      </c>
      <c r="G126" s="3">
        <v>255</v>
      </c>
      <c r="I126" s="97">
        <v>192</v>
      </c>
      <c r="J126" s="3">
        <v>244</v>
      </c>
    </row>
    <row r="127" spans="3:10" x14ac:dyDescent="0.2">
      <c r="C127" s="97">
        <v>230</v>
      </c>
      <c r="D127" s="3">
        <v>251</v>
      </c>
      <c r="F127" s="97">
        <v>198</v>
      </c>
      <c r="G127" s="3">
        <v>256</v>
      </c>
      <c r="I127" s="97">
        <v>193</v>
      </c>
      <c r="J127" s="3">
        <v>245</v>
      </c>
    </row>
    <row r="128" spans="3:10" x14ac:dyDescent="0.2">
      <c r="C128" s="97">
        <v>231</v>
      </c>
      <c r="D128" s="3">
        <v>252</v>
      </c>
      <c r="F128" s="97">
        <v>199</v>
      </c>
      <c r="G128" s="3">
        <v>257</v>
      </c>
      <c r="I128" s="97">
        <v>194</v>
      </c>
      <c r="J128" s="3">
        <v>246</v>
      </c>
    </row>
    <row r="129" spans="3:10" x14ac:dyDescent="0.2">
      <c r="C129" s="97">
        <v>232</v>
      </c>
      <c r="D129" s="3">
        <v>255</v>
      </c>
      <c r="F129" s="97">
        <v>200</v>
      </c>
      <c r="G129" s="3">
        <v>258</v>
      </c>
      <c r="I129" s="97">
        <v>195</v>
      </c>
      <c r="J129" s="3">
        <v>247</v>
      </c>
    </row>
    <row r="130" spans="3:10" x14ac:dyDescent="0.2">
      <c r="C130" s="97">
        <v>233</v>
      </c>
      <c r="D130" s="3">
        <v>256</v>
      </c>
      <c r="F130" s="97">
        <v>201</v>
      </c>
      <c r="G130" s="3">
        <v>260</v>
      </c>
      <c r="I130" s="97">
        <v>196</v>
      </c>
      <c r="J130" s="3">
        <v>248</v>
      </c>
    </row>
    <row r="131" spans="3:10" x14ac:dyDescent="0.2">
      <c r="C131" s="97">
        <v>234</v>
      </c>
      <c r="D131" s="3">
        <v>257</v>
      </c>
      <c r="F131" s="97">
        <v>202</v>
      </c>
      <c r="G131" s="3">
        <v>261</v>
      </c>
      <c r="I131" s="97">
        <v>197</v>
      </c>
      <c r="J131" s="3">
        <v>249</v>
      </c>
    </row>
    <row r="132" spans="3:10" x14ac:dyDescent="0.2">
      <c r="C132" s="97">
        <v>235</v>
      </c>
      <c r="D132" s="3">
        <v>258</v>
      </c>
      <c r="F132" s="97">
        <v>203</v>
      </c>
      <c r="G132" s="3">
        <v>263</v>
      </c>
      <c r="I132" s="97">
        <v>198</v>
      </c>
      <c r="J132" s="3">
        <v>250</v>
      </c>
    </row>
    <row r="133" spans="3:10" x14ac:dyDescent="0.2">
      <c r="C133" s="97">
        <v>236</v>
      </c>
      <c r="D133" s="3">
        <v>264</v>
      </c>
      <c r="F133" s="97">
        <v>204</v>
      </c>
      <c r="G133" s="3">
        <v>264</v>
      </c>
      <c r="I133" s="97">
        <v>199</v>
      </c>
      <c r="J133" s="3">
        <v>251</v>
      </c>
    </row>
    <row r="134" spans="3:10" x14ac:dyDescent="0.2">
      <c r="C134" s="97">
        <v>237</v>
      </c>
      <c r="D134" s="3">
        <v>267</v>
      </c>
      <c r="F134" s="97">
        <v>205</v>
      </c>
      <c r="G134" s="3">
        <v>268</v>
      </c>
      <c r="I134" s="97">
        <v>200</v>
      </c>
      <c r="J134" s="3">
        <v>252</v>
      </c>
    </row>
    <row r="135" spans="3:10" x14ac:dyDescent="0.2">
      <c r="C135" s="97">
        <v>238</v>
      </c>
      <c r="D135" s="3">
        <v>268</v>
      </c>
      <c r="F135" s="97">
        <v>206</v>
      </c>
      <c r="G135" s="3">
        <v>269</v>
      </c>
      <c r="I135" s="97">
        <v>201</v>
      </c>
      <c r="J135" s="3">
        <v>255</v>
      </c>
    </row>
    <row r="136" spans="3:10" x14ac:dyDescent="0.2">
      <c r="C136" s="97">
        <v>239</v>
      </c>
      <c r="D136" s="3">
        <v>269</v>
      </c>
      <c r="F136" s="97">
        <v>207</v>
      </c>
      <c r="G136" s="3">
        <v>270</v>
      </c>
      <c r="I136" s="97">
        <v>202</v>
      </c>
      <c r="J136" s="3">
        <v>256</v>
      </c>
    </row>
    <row r="137" spans="3:10" x14ac:dyDescent="0.2">
      <c r="C137" s="97">
        <v>240</v>
      </c>
      <c r="D137" s="3">
        <v>270</v>
      </c>
      <c r="F137" s="97">
        <v>208</v>
      </c>
      <c r="G137" s="3">
        <v>271</v>
      </c>
      <c r="I137" s="97">
        <v>203</v>
      </c>
      <c r="J137" s="3">
        <v>257</v>
      </c>
    </row>
    <row r="138" spans="3:10" x14ac:dyDescent="0.2">
      <c r="C138" s="97">
        <v>241</v>
      </c>
      <c r="D138" s="3">
        <v>271</v>
      </c>
      <c r="F138" s="97">
        <v>209</v>
      </c>
      <c r="G138" s="3">
        <v>272</v>
      </c>
      <c r="I138" s="97">
        <v>204</v>
      </c>
      <c r="J138" s="3">
        <v>258</v>
      </c>
    </row>
    <row r="139" spans="3:10" x14ac:dyDescent="0.2">
      <c r="C139" s="97">
        <v>242</v>
      </c>
      <c r="D139" s="3">
        <v>272</v>
      </c>
      <c r="F139" s="97">
        <v>210</v>
      </c>
      <c r="G139" s="3">
        <v>273</v>
      </c>
      <c r="I139" s="97">
        <v>205</v>
      </c>
      <c r="J139" s="3">
        <v>260</v>
      </c>
    </row>
    <row r="140" spans="3:10" x14ac:dyDescent="0.2">
      <c r="C140" s="97">
        <v>243</v>
      </c>
      <c r="D140" s="3">
        <v>273</v>
      </c>
      <c r="F140" s="97">
        <v>211</v>
      </c>
      <c r="G140" s="3">
        <v>274</v>
      </c>
      <c r="I140" s="97">
        <v>206</v>
      </c>
      <c r="J140" s="3">
        <v>261</v>
      </c>
    </row>
    <row r="141" spans="3:10" x14ac:dyDescent="0.2">
      <c r="C141" s="97">
        <v>244</v>
      </c>
      <c r="D141" s="3">
        <v>274</v>
      </c>
      <c r="F141" s="97">
        <v>212</v>
      </c>
      <c r="G141" s="3">
        <v>275</v>
      </c>
      <c r="I141" s="97">
        <v>207</v>
      </c>
      <c r="J141" s="3">
        <v>263</v>
      </c>
    </row>
    <row r="142" spans="3:10" x14ac:dyDescent="0.2">
      <c r="C142" s="97">
        <v>245</v>
      </c>
      <c r="D142" s="3">
        <v>275</v>
      </c>
      <c r="F142" s="97">
        <v>213</v>
      </c>
      <c r="G142" s="3">
        <v>282</v>
      </c>
      <c r="I142" s="97">
        <v>208</v>
      </c>
      <c r="J142" s="3">
        <v>264</v>
      </c>
    </row>
    <row r="143" spans="3:10" x14ac:dyDescent="0.2">
      <c r="C143" s="97">
        <v>246</v>
      </c>
      <c r="D143" s="3">
        <v>282</v>
      </c>
      <c r="F143" s="97">
        <v>214</v>
      </c>
      <c r="G143" s="3">
        <v>285</v>
      </c>
      <c r="I143" s="97">
        <v>209</v>
      </c>
      <c r="J143" s="3">
        <v>267</v>
      </c>
    </row>
    <row r="144" spans="3:10" x14ac:dyDescent="0.2">
      <c r="C144" s="97">
        <v>247</v>
      </c>
      <c r="D144" s="3">
        <v>283</v>
      </c>
      <c r="F144" s="97">
        <v>215</v>
      </c>
      <c r="G144" s="3">
        <v>286</v>
      </c>
      <c r="I144" s="97">
        <v>210</v>
      </c>
      <c r="J144" s="3">
        <v>268</v>
      </c>
    </row>
    <row r="145" spans="3:10" x14ac:dyDescent="0.2">
      <c r="C145" s="97">
        <v>248</v>
      </c>
      <c r="D145" s="3">
        <v>284</v>
      </c>
      <c r="F145" s="97">
        <v>216</v>
      </c>
      <c r="G145" s="3">
        <v>287</v>
      </c>
      <c r="I145" s="97">
        <v>211</v>
      </c>
      <c r="J145" s="3">
        <v>269</v>
      </c>
    </row>
    <row r="146" spans="3:10" x14ac:dyDescent="0.2">
      <c r="C146" s="97">
        <v>249</v>
      </c>
      <c r="D146" s="3">
        <v>285</v>
      </c>
      <c r="F146" s="97">
        <v>217</v>
      </c>
      <c r="G146" s="3">
        <v>291</v>
      </c>
      <c r="I146" s="97">
        <v>212</v>
      </c>
      <c r="J146" s="3">
        <v>270</v>
      </c>
    </row>
    <row r="147" spans="3:10" x14ac:dyDescent="0.2">
      <c r="C147" s="97">
        <v>250</v>
      </c>
      <c r="D147" s="3">
        <v>286</v>
      </c>
      <c r="F147" s="97">
        <v>218</v>
      </c>
      <c r="G147" s="3">
        <v>292</v>
      </c>
      <c r="I147" s="97">
        <v>213</v>
      </c>
      <c r="J147" s="3">
        <v>271</v>
      </c>
    </row>
    <row r="148" spans="3:10" x14ac:dyDescent="0.2">
      <c r="C148" s="97">
        <v>251</v>
      </c>
      <c r="D148" s="3">
        <v>287</v>
      </c>
      <c r="F148" s="97">
        <v>219</v>
      </c>
      <c r="G148" s="3">
        <v>309</v>
      </c>
      <c r="I148" s="97">
        <v>214</v>
      </c>
      <c r="J148" s="3">
        <v>272</v>
      </c>
    </row>
    <row r="149" spans="3:10" x14ac:dyDescent="0.2">
      <c r="C149" s="97">
        <v>252</v>
      </c>
      <c r="D149" s="3">
        <v>288</v>
      </c>
      <c r="F149" s="97">
        <v>220</v>
      </c>
      <c r="G149" s="3">
        <v>310</v>
      </c>
      <c r="I149" s="97">
        <v>215</v>
      </c>
      <c r="J149" s="3">
        <v>273</v>
      </c>
    </row>
    <row r="150" spans="3:10" x14ac:dyDescent="0.2">
      <c r="C150" s="97">
        <v>255</v>
      </c>
      <c r="D150" s="3">
        <v>289</v>
      </c>
      <c r="F150" s="97">
        <v>221</v>
      </c>
      <c r="G150" s="3">
        <v>320</v>
      </c>
      <c r="I150" s="97">
        <v>216</v>
      </c>
      <c r="J150" s="3">
        <v>274</v>
      </c>
    </row>
    <row r="151" spans="3:10" x14ac:dyDescent="0.2">
      <c r="C151" s="97">
        <v>256</v>
      </c>
      <c r="D151" s="3">
        <v>291</v>
      </c>
      <c r="F151" s="97">
        <v>222</v>
      </c>
      <c r="G151" s="3">
        <v>321</v>
      </c>
      <c r="I151" s="97">
        <v>217</v>
      </c>
      <c r="J151" s="3">
        <v>275</v>
      </c>
    </row>
    <row r="152" spans="3:10" x14ac:dyDescent="0.2">
      <c r="C152" s="97">
        <v>257</v>
      </c>
      <c r="D152" s="3">
        <v>292</v>
      </c>
      <c r="F152" s="97">
        <v>223</v>
      </c>
      <c r="G152" s="3">
        <v>325</v>
      </c>
      <c r="I152" s="97">
        <v>218</v>
      </c>
      <c r="J152" s="3">
        <v>282</v>
      </c>
    </row>
    <row r="153" spans="3:10" x14ac:dyDescent="0.2">
      <c r="C153" s="97">
        <v>258</v>
      </c>
      <c r="D153" s="3">
        <v>294</v>
      </c>
      <c r="F153" s="97">
        <v>224</v>
      </c>
      <c r="G153" s="3">
        <v>333</v>
      </c>
      <c r="I153" s="97">
        <v>219</v>
      </c>
      <c r="J153" s="3">
        <v>283</v>
      </c>
    </row>
    <row r="154" spans="3:10" x14ac:dyDescent="0.2">
      <c r="C154" s="97">
        <v>264</v>
      </c>
      <c r="D154" s="3">
        <v>302</v>
      </c>
      <c r="F154" s="97">
        <v>225</v>
      </c>
      <c r="G154" s="3">
        <v>334</v>
      </c>
      <c r="I154" s="97">
        <v>220</v>
      </c>
      <c r="J154" s="3">
        <v>284</v>
      </c>
    </row>
    <row r="155" spans="3:10" x14ac:dyDescent="0.2">
      <c r="C155" s="97">
        <v>267</v>
      </c>
      <c r="D155" s="3">
        <v>303</v>
      </c>
      <c r="F155" s="97">
        <v>226</v>
      </c>
      <c r="G155" s="3">
        <v>335</v>
      </c>
      <c r="I155" s="97">
        <v>221</v>
      </c>
      <c r="J155" s="3">
        <v>285</v>
      </c>
    </row>
    <row r="156" spans="3:10" x14ac:dyDescent="0.2">
      <c r="C156" s="97">
        <v>268</v>
      </c>
      <c r="D156" s="3">
        <v>304</v>
      </c>
      <c r="F156" s="97">
        <v>227</v>
      </c>
      <c r="G156" s="3">
        <v>336</v>
      </c>
      <c r="I156" s="97">
        <v>222</v>
      </c>
      <c r="J156" s="3">
        <v>286</v>
      </c>
    </row>
    <row r="157" spans="3:10" x14ac:dyDescent="0.2">
      <c r="C157" s="97">
        <v>269</v>
      </c>
      <c r="D157" s="3">
        <v>305</v>
      </c>
      <c r="F157" s="97">
        <v>228</v>
      </c>
      <c r="G157" s="3">
        <v>337</v>
      </c>
      <c r="I157" s="97">
        <v>223</v>
      </c>
      <c r="J157" s="3">
        <v>287</v>
      </c>
    </row>
    <row r="158" spans="3:10" x14ac:dyDescent="0.2">
      <c r="C158" s="97">
        <v>270</v>
      </c>
      <c r="D158" s="3">
        <v>306</v>
      </c>
      <c r="F158" s="97">
        <v>229</v>
      </c>
      <c r="G158" s="3">
        <v>338</v>
      </c>
      <c r="I158" s="97">
        <v>224</v>
      </c>
      <c r="J158" s="3">
        <v>288</v>
      </c>
    </row>
    <row r="159" spans="3:10" x14ac:dyDescent="0.2">
      <c r="C159" s="97">
        <v>271</v>
      </c>
      <c r="D159" s="3">
        <v>309</v>
      </c>
      <c r="F159" s="97">
        <v>230</v>
      </c>
      <c r="G159" s="3">
        <v>339</v>
      </c>
      <c r="I159" s="97">
        <v>225</v>
      </c>
      <c r="J159" s="3">
        <v>289</v>
      </c>
    </row>
    <row r="160" spans="3:10" x14ac:dyDescent="0.2">
      <c r="C160" s="97">
        <v>272</v>
      </c>
      <c r="D160" s="3">
        <v>310</v>
      </c>
      <c r="F160" s="97">
        <v>231</v>
      </c>
      <c r="G160" s="3">
        <v>340</v>
      </c>
      <c r="I160" s="97">
        <v>226</v>
      </c>
      <c r="J160" s="3">
        <v>291</v>
      </c>
    </row>
    <row r="161" spans="3:10" x14ac:dyDescent="0.2">
      <c r="C161" s="97">
        <v>273</v>
      </c>
      <c r="D161" s="3">
        <v>320</v>
      </c>
      <c r="F161" s="97">
        <v>232</v>
      </c>
      <c r="G161" s="3">
        <v>341</v>
      </c>
      <c r="I161" s="97">
        <v>227</v>
      </c>
      <c r="J161" s="3">
        <v>292</v>
      </c>
    </row>
    <row r="162" spans="3:10" x14ac:dyDescent="0.2">
      <c r="C162" s="97">
        <v>274</v>
      </c>
      <c r="D162" s="3">
        <v>321</v>
      </c>
      <c r="F162" s="97">
        <v>233</v>
      </c>
      <c r="G162" s="3">
        <v>343</v>
      </c>
      <c r="I162" s="97">
        <v>228</v>
      </c>
      <c r="J162" s="3">
        <v>294</v>
      </c>
    </row>
    <row r="163" spans="3:10" x14ac:dyDescent="0.2">
      <c r="C163" s="97">
        <v>275</v>
      </c>
      <c r="D163" s="3">
        <v>326</v>
      </c>
      <c r="F163" s="97">
        <v>234</v>
      </c>
      <c r="G163" s="3">
        <v>344</v>
      </c>
      <c r="I163" s="97">
        <v>229</v>
      </c>
      <c r="J163" s="3">
        <v>302</v>
      </c>
    </row>
    <row r="164" spans="3:10" x14ac:dyDescent="0.2">
      <c r="C164" s="97">
        <v>282</v>
      </c>
      <c r="D164" s="3">
        <v>333</v>
      </c>
      <c r="F164" s="97">
        <v>235</v>
      </c>
      <c r="G164" s="3">
        <v>345</v>
      </c>
      <c r="I164" s="97">
        <v>230</v>
      </c>
      <c r="J164" s="3">
        <v>303</v>
      </c>
    </row>
    <row r="165" spans="3:10" x14ac:dyDescent="0.2">
      <c r="C165" s="97">
        <v>283</v>
      </c>
      <c r="D165" s="3">
        <v>334</v>
      </c>
      <c r="F165" s="97">
        <v>236</v>
      </c>
      <c r="G165" s="3">
        <v>346</v>
      </c>
      <c r="I165" s="97">
        <v>231</v>
      </c>
      <c r="J165" s="3">
        <v>304</v>
      </c>
    </row>
    <row r="166" spans="3:10" x14ac:dyDescent="0.2">
      <c r="C166" s="97">
        <v>284</v>
      </c>
      <c r="D166" s="3">
        <v>335</v>
      </c>
      <c r="F166" s="97">
        <v>237</v>
      </c>
      <c r="G166" s="3">
        <v>347</v>
      </c>
      <c r="I166" s="97">
        <v>232</v>
      </c>
      <c r="J166" s="3">
        <v>305</v>
      </c>
    </row>
    <row r="167" spans="3:10" x14ac:dyDescent="0.2">
      <c r="C167" s="97">
        <v>285</v>
      </c>
      <c r="D167" s="3">
        <v>336</v>
      </c>
      <c r="F167" s="97">
        <v>238</v>
      </c>
      <c r="G167" s="3">
        <v>348</v>
      </c>
      <c r="I167" s="97">
        <v>233</v>
      </c>
      <c r="J167" s="3">
        <v>306</v>
      </c>
    </row>
    <row r="168" spans="3:10" x14ac:dyDescent="0.2">
      <c r="C168" s="97">
        <v>286</v>
      </c>
      <c r="D168" s="3">
        <v>337</v>
      </c>
      <c r="F168" s="97">
        <v>239</v>
      </c>
      <c r="G168" s="3">
        <v>349</v>
      </c>
      <c r="I168" s="97">
        <v>234</v>
      </c>
      <c r="J168" s="3">
        <v>309</v>
      </c>
    </row>
    <row r="169" spans="3:10" x14ac:dyDescent="0.2">
      <c r="C169" s="97">
        <v>287</v>
      </c>
      <c r="D169" s="3">
        <v>338</v>
      </c>
      <c r="F169" s="97">
        <v>240</v>
      </c>
      <c r="G169" s="3">
        <v>350</v>
      </c>
      <c r="I169" s="97">
        <v>235</v>
      </c>
      <c r="J169" s="3">
        <v>310</v>
      </c>
    </row>
    <row r="170" spans="3:10" x14ac:dyDescent="0.2">
      <c r="C170" s="97">
        <v>288</v>
      </c>
      <c r="D170" s="3">
        <v>339</v>
      </c>
      <c r="F170" s="97">
        <v>241</v>
      </c>
      <c r="G170" s="3">
        <v>351</v>
      </c>
      <c r="I170" s="97">
        <v>236</v>
      </c>
      <c r="J170" s="3">
        <v>320</v>
      </c>
    </row>
    <row r="171" spans="3:10" x14ac:dyDescent="0.2">
      <c r="C171" s="97">
        <v>289</v>
      </c>
      <c r="D171" s="3">
        <v>340</v>
      </c>
      <c r="F171" s="97">
        <v>242</v>
      </c>
      <c r="G171" s="3">
        <v>352</v>
      </c>
      <c r="I171" s="97">
        <v>237</v>
      </c>
      <c r="J171" s="3">
        <v>321</v>
      </c>
    </row>
    <row r="172" spans="3:10" x14ac:dyDescent="0.2">
      <c r="C172" s="97">
        <v>291</v>
      </c>
      <c r="D172" s="3">
        <v>341</v>
      </c>
      <c r="F172" s="97">
        <v>243</v>
      </c>
      <c r="G172" s="3">
        <v>353</v>
      </c>
      <c r="I172" s="97">
        <v>238</v>
      </c>
      <c r="J172" s="3">
        <v>325</v>
      </c>
    </row>
    <row r="173" spans="3:10" x14ac:dyDescent="0.2">
      <c r="C173" s="97">
        <v>292</v>
      </c>
      <c r="D173" s="3">
        <v>343</v>
      </c>
      <c r="F173" s="97">
        <v>245</v>
      </c>
      <c r="G173" s="3">
        <v>357</v>
      </c>
      <c r="I173" s="97">
        <v>239</v>
      </c>
      <c r="J173" s="3">
        <v>326</v>
      </c>
    </row>
    <row r="174" spans="3:10" x14ac:dyDescent="0.2">
      <c r="C174" s="97">
        <v>294</v>
      </c>
      <c r="D174" s="3">
        <v>344</v>
      </c>
      <c r="F174" s="97">
        <v>255</v>
      </c>
      <c r="G174" s="3">
        <v>358</v>
      </c>
      <c r="I174" s="97">
        <v>240</v>
      </c>
      <c r="J174" s="3">
        <v>333</v>
      </c>
    </row>
    <row r="175" spans="3:10" x14ac:dyDescent="0.2">
      <c r="C175" s="97">
        <v>302</v>
      </c>
      <c r="D175" s="3">
        <v>345</v>
      </c>
      <c r="F175" s="97">
        <v>256</v>
      </c>
      <c r="G175" s="3">
        <v>359</v>
      </c>
      <c r="I175" s="97">
        <v>241</v>
      </c>
      <c r="J175" s="3">
        <v>334</v>
      </c>
    </row>
    <row r="176" spans="3:10" x14ac:dyDescent="0.2">
      <c r="C176" s="97">
        <v>303</v>
      </c>
      <c r="D176" s="3">
        <v>346</v>
      </c>
      <c r="F176" s="97">
        <v>257</v>
      </c>
      <c r="G176" s="3">
        <v>360</v>
      </c>
      <c r="I176" s="97">
        <v>242</v>
      </c>
      <c r="J176" s="3">
        <v>335</v>
      </c>
    </row>
    <row r="177" spans="3:10" x14ac:dyDescent="0.2">
      <c r="C177" s="97">
        <v>304</v>
      </c>
      <c r="D177" s="3">
        <v>347</v>
      </c>
      <c r="F177" s="97">
        <v>258</v>
      </c>
      <c r="G177" s="3">
        <v>361</v>
      </c>
      <c r="I177" s="97">
        <v>243</v>
      </c>
      <c r="J177" s="3">
        <v>336</v>
      </c>
    </row>
    <row r="178" spans="3:10" x14ac:dyDescent="0.2">
      <c r="C178" s="97">
        <v>305</v>
      </c>
      <c r="D178" s="3">
        <v>348</v>
      </c>
      <c r="F178" s="97">
        <v>260</v>
      </c>
      <c r="G178" s="3">
        <v>362</v>
      </c>
      <c r="I178" s="97">
        <v>244</v>
      </c>
      <c r="J178" s="3">
        <v>337</v>
      </c>
    </row>
    <row r="179" spans="3:10" x14ac:dyDescent="0.2">
      <c r="C179" s="97">
        <v>306</v>
      </c>
      <c r="D179" s="3">
        <v>349</v>
      </c>
      <c r="F179" s="97">
        <v>261</v>
      </c>
      <c r="G179" s="3">
        <v>363</v>
      </c>
      <c r="I179" s="97">
        <v>245</v>
      </c>
      <c r="J179" s="3">
        <v>338</v>
      </c>
    </row>
    <row r="180" spans="3:10" x14ac:dyDescent="0.2">
      <c r="C180" s="97">
        <v>309</v>
      </c>
      <c r="D180" s="3">
        <v>350</v>
      </c>
      <c r="F180" s="97">
        <v>263</v>
      </c>
      <c r="G180" s="3">
        <v>364</v>
      </c>
      <c r="I180" s="97">
        <v>246</v>
      </c>
      <c r="J180" s="3">
        <v>339</v>
      </c>
    </row>
    <row r="181" spans="3:10" x14ac:dyDescent="0.2">
      <c r="C181" s="97">
        <v>310</v>
      </c>
      <c r="D181" s="3">
        <v>351</v>
      </c>
      <c r="F181" s="97">
        <v>264</v>
      </c>
      <c r="G181" s="3">
        <v>365</v>
      </c>
      <c r="I181" s="97">
        <v>247</v>
      </c>
      <c r="J181" s="3">
        <v>340</v>
      </c>
    </row>
    <row r="182" spans="3:10" x14ac:dyDescent="0.2">
      <c r="C182" s="97">
        <v>320</v>
      </c>
      <c r="D182" s="3">
        <v>352</v>
      </c>
      <c r="F182" s="97">
        <v>268</v>
      </c>
      <c r="G182" s="3">
        <v>366</v>
      </c>
      <c r="I182" s="97">
        <v>248</v>
      </c>
      <c r="J182" s="3">
        <v>341</v>
      </c>
    </row>
    <row r="183" spans="3:10" x14ac:dyDescent="0.2">
      <c r="C183" s="97">
        <v>321</v>
      </c>
      <c r="D183" s="3">
        <v>353</v>
      </c>
      <c r="F183" s="97">
        <v>269</v>
      </c>
      <c r="G183" s="3">
        <v>367</v>
      </c>
      <c r="I183" s="97">
        <v>249</v>
      </c>
      <c r="J183" s="3">
        <v>343</v>
      </c>
    </row>
    <row r="184" spans="3:10" x14ac:dyDescent="0.2">
      <c r="C184" s="97">
        <v>326</v>
      </c>
      <c r="D184" s="3">
        <v>354</v>
      </c>
      <c r="F184" s="97">
        <v>270</v>
      </c>
      <c r="G184" s="3">
        <v>368</v>
      </c>
      <c r="I184" s="97">
        <v>250</v>
      </c>
      <c r="J184" s="3">
        <v>344</v>
      </c>
    </row>
    <row r="185" spans="3:10" x14ac:dyDescent="0.2">
      <c r="C185" s="97">
        <v>333</v>
      </c>
      <c r="D185" s="3">
        <v>356</v>
      </c>
      <c r="F185" s="97">
        <v>271</v>
      </c>
      <c r="G185" s="3">
        <v>369</v>
      </c>
      <c r="I185" s="97">
        <v>251</v>
      </c>
      <c r="J185" s="3">
        <v>345</v>
      </c>
    </row>
    <row r="186" spans="3:10" x14ac:dyDescent="0.2">
      <c r="C186" s="97">
        <v>334</v>
      </c>
      <c r="D186" s="3">
        <v>357</v>
      </c>
      <c r="F186" s="97">
        <v>272</v>
      </c>
      <c r="G186" s="3">
        <v>370</v>
      </c>
      <c r="I186" s="97">
        <v>252</v>
      </c>
      <c r="J186" s="3">
        <v>346</v>
      </c>
    </row>
    <row r="187" spans="3:10" x14ac:dyDescent="0.2">
      <c r="C187" s="97">
        <v>335</v>
      </c>
      <c r="D187" s="3">
        <v>358</v>
      </c>
      <c r="F187" s="97">
        <v>273</v>
      </c>
      <c r="G187" s="3">
        <v>371</v>
      </c>
      <c r="I187" s="97">
        <v>255</v>
      </c>
      <c r="J187" s="3">
        <v>347</v>
      </c>
    </row>
    <row r="188" spans="3:10" x14ac:dyDescent="0.2">
      <c r="C188" s="97">
        <v>336</v>
      </c>
      <c r="D188" s="3">
        <v>359</v>
      </c>
      <c r="F188" s="97">
        <v>274</v>
      </c>
      <c r="G188" s="3">
        <v>372</v>
      </c>
      <c r="I188" s="97">
        <v>256</v>
      </c>
      <c r="J188" s="3">
        <v>348</v>
      </c>
    </row>
    <row r="189" spans="3:10" x14ac:dyDescent="0.2">
      <c r="C189" s="97">
        <v>337</v>
      </c>
      <c r="D189" s="3">
        <v>360</v>
      </c>
      <c r="F189" s="97">
        <v>275</v>
      </c>
      <c r="G189" s="3">
        <v>373</v>
      </c>
      <c r="I189" s="97">
        <v>257</v>
      </c>
      <c r="J189" s="3">
        <v>349</v>
      </c>
    </row>
    <row r="190" spans="3:10" x14ac:dyDescent="0.2">
      <c r="C190" s="97">
        <v>338</v>
      </c>
      <c r="D190" s="3">
        <v>361</v>
      </c>
      <c r="F190" s="97">
        <v>282</v>
      </c>
      <c r="G190" s="3">
        <v>374</v>
      </c>
      <c r="I190" s="97">
        <v>258</v>
      </c>
      <c r="J190" s="3">
        <v>350</v>
      </c>
    </row>
    <row r="191" spans="3:10" x14ac:dyDescent="0.2">
      <c r="C191" s="97">
        <v>339</v>
      </c>
      <c r="D191" s="3">
        <v>362</v>
      </c>
      <c r="F191" s="97">
        <v>285</v>
      </c>
      <c r="G191" s="3">
        <v>375</v>
      </c>
      <c r="I191" s="97">
        <v>260</v>
      </c>
      <c r="J191" s="3">
        <v>351</v>
      </c>
    </row>
    <row r="192" spans="3:10" x14ac:dyDescent="0.2">
      <c r="C192" s="97">
        <v>340</v>
      </c>
      <c r="D192" s="3">
        <v>363</v>
      </c>
      <c r="F192" s="97">
        <v>286</v>
      </c>
      <c r="G192" s="3">
        <v>376</v>
      </c>
      <c r="I192" s="97">
        <v>261</v>
      </c>
      <c r="J192" s="3">
        <v>352</v>
      </c>
    </row>
    <row r="193" spans="3:10" x14ac:dyDescent="0.2">
      <c r="C193" s="97">
        <v>341</v>
      </c>
      <c r="D193" s="3">
        <v>364</v>
      </c>
      <c r="F193" s="97">
        <v>287</v>
      </c>
      <c r="G193" s="3">
        <v>377</v>
      </c>
      <c r="I193" s="97">
        <v>263</v>
      </c>
      <c r="J193" s="3">
        <v>353</v>
      </c>
    </row>
    <row r="194" spans="3:10" x14ac:dyDescent="0.2">
      <c r="C194" s="97">
        <v>343</v>
      </c>
      <c r="D194" s="3">
        <v>365</v>
      </c>
      <c r="F194" s="97">
        <v>291</v>
      </c>
      <c r="G194" s="3">
        <v>378</v>
      </c>
      <c r="I194" s="97">
        <v>264</v>
      </c>
      <c r="J194" s="3">
        <v>354</v>
      </c>
    </row>
    <row r="195" spans="3:10" x14ac:dyDescent="0.2">
      <c r="C195" s="97">
        <v>344</v>
      </c>
      <c r="D195" s="3">
        <v>366</v>
      </c>
      <c r="F195" s="97">
        <v>292</v>
      </c>
      <c r="G195" s="3">
        <v>379</v>
      </c>
      <c r="I195" s="97">
        <v>267</v>
      </c>
      <c r="J195" s="3">
        <v>356</v>
      </c>
    </row>
    <row r="196" spans="3:10" x14ac:dyDescent="0.2">
      <c r="C196" s="97">
        <v>345</v>
      </c>
      <c r="D196" s="3">
        <v>367</v>
      </c>
      <c r="F196" s="97">
        <v>309</v>
      </c>
      <c r="G196" s="3">
        <v>380</v>
      </c>
      <c r="I196" s="97">
        <v>268</v>
      </c>
      <c r="J196" s="3">
        <v>357</v>
      </c>
    </row>
    <row r="197" spans="3:10" x14ac:dyDescent="0.2">
      <c r="C197" s="97">
        <v>346</v>
      </c>
      <c r="D197" s="3">
        <v>368</v>
      </c>
      <c r="F197" s="97">
        <v>310</v>
      </c>
      <c r="G197" s="3">
        <v>381</v>
      </c>
      <c r="I197" s="97">
        <v>269</v>
      </c>
      <c r="J197" s="3">
        <v>358</v>
      </c>
    </row>
    <row r="198" spans="3:10" x14ac:dyDescent="0.2">
      <c r="C198" s="97">
        <v>347</v>
      </c>
      <c r="D198" s="3">
        <v>369</v>
      </c>
      <c r="F198" s="97">
        <v>320</v>
      </c>
      <c r="G198" s="3">
        <v>382</v>
      </c>
      <c r="I198" s="97">
        <v>270</v>
      </c>
      <c r="J198" s="3">
        <v>359</v>
      </c>
    </row>
    <row r="199" spans="3:10" x14ac:dyDescent="0.2">
      <c r="C199" s="97">
        <v>348</v>
      </c>
      <c r="D199" s="3">
        <v>370</v>
      </c>
      <c r="F199" s="97">
        <v>321</v>
      </c>
      <c r="G199" s="3">
        <v>383</v>
      </c>
      <c r="I199" s="97">
        <v>271</v>
      </c>
      <c r="J199" s="3">
        <v>360</v>
      </c>
    </row>
    <row r="200" spans="3:10" x14ac:dyDescent="0.2">
      <c r="C200" s="97">
        <v>349</v>
      </c>
      <c r="D200" s="3">
        <v>371</v>
      </c>
      <c r="F200" s="97">
        <v>325</v>
      </c>
      <c r="G200" s="3">
        <v>384</v>
      </c>
      <c r="I200" s="97">
        <v>272</v>
      </c>
      <c r="J200" s="3">
        <v>361</v>
      </c>
    </row>
    <row r="201" spans="3:10" x14ac:dyDescent="0.2">
      <c r="C201" s="97">
        <v>350</v>
      </c>
      <c r="D201" s="3">
        <v>372</v>
      </c>
      <c r="F201" s="97">
        <v>333</v>
      </c>
      <c r="G201" s="3">
        <v>385</v>
      </c>
      <c r="I201" s="97">
        <v>273</v>
      </c>
      <c r="J201" s="3">
        <v>362</v>
      </c>
    </row>
    <row r="202" spans="3:10" x14ac:dyDescent="0.2">
      <c r="C202" s="97">
        <v>351</v>
      </c>
      <c r="D202" s="3">
        <v>373</v>
      </c>
      <c r="F202" s="97">
        <v>334</v>
      </c>
      <c r="G202" s="3">
        <v>386</v>
      </c>
      <c r="I202" s="97">
        <v>274</v>
      </c>
      <c r="J202" s="3">
        <v>363</v>
      </c>
    </row>
    <row r="203" spans="3:10" x14ac:dyDescent="0.2">
      <c r="C203" s="97">
        <v>352</v>
      </c>
      <c r="D203" s="3">
        <v>374</v>
      </c>
      <c r="F203" s="97">
        <v>335</v>
      </c>
      <c r="G203" s="3">
        <v>387</v>
      </c>
      <c r="I203" s="97">
        <v>275</v>
      </c>
      <c r="J203" s="3">
        <v>364</v>
      </c>
    </row>
    <row r="204" spans="3:10" x14ac:dyDescent="0.2">
      <c r="C204" s="97">
        <v>353</v>
      </c>
      <c r="D204" s="3">
        <v>375</v>
      </c>
      <c r="F204" s="97">
        <v>336</v>
      </c>
      <c r="G204" s="3">
        <v>388</v>
      </c>
      <c r="I204" s="97">
        <v>282</v>
      </c>
      <c r="J204" s="3">
        <v>365</v>
      </c>
    </row>
    <row r="205" spans="3:10" x14ac:dyDescent="0.2">
      <c r="C205" s="97">
        <v>354</v>
      </c>
      <c r="D205" s="3">
        <v>376</v>
      </c>
      <c r="F205" s="97">
        <v>337</v>
      </c>
      <c r="G205" s="3">
        <v>389</v>
      </c>
      <c r="I205" s="97">
        <v>283</v>
      </c>
      <c r="J205" s="3">
        <v>366</v>
      </c>
    </row>
    <row r="206" spans="3:10" x14ac:dyDescent="0.2">
      <c r="C206" s="97">
        <v>356</v>
      </c>
      <c r="D206" s="3">
        <v>377</v>
      </c>
      <c r="F206" s="97">
        <v>338</v>
      </c>
      <c r="G206" s="3">
        <v>390</v>
      </c>
      <c r="I206" s="97">
        <v>284</v>
      </c>
      <c r="J206" s="3">
        <v>367</v>
      </c>
    </row>
    <row r="207" spans="3:10" x14ac:dyDescent="0.2">
      <c r="C207" s="97">
        <v>357</v>
      </c>
      <c r="D207" s="3">
        <v>378</v>
      </c>
      <c r="F207" s="97">
        <v>339</v>
      </c>
      <c r="G207" s="3">
        <v>391</v>
      </c>
      <c r="I207" s="97">
        <v>285</v>
      </c>
      <c r="J207" s="3">
        <v>368</v>
      </c>
    </row>
    <row r="208" spans="3:10" x14ac:dyDescent="0.2">
      <c r="C208" s="97">
        <v>358</v>
      </c>
      <c r="D208" s="3">
        <v>379</v>
      </c>
      <c r="F208" s="97">
        <v>340</v>
      </c>
      <c r="G208" s="3">
        <v>392</v>
      </c>
      <c r="I208" s="97">
        <v>286</v>
      </c>
      <c r="J208" s="3">
        <v>369</v>
      </c>
    </row>
    <row r="209" spans="3:10" x14ac:dyDescent="0.2">
      <c r="C209" s="97">
        <v>359</v>
      </c>
      <c r="D209" s="3">
        <v>380</v>
      </c>
      <c r="F209" s="97">
        <v>341</v>
      </c>
      <c r="G209" s="3">
        <v>393</v>
      </c>
      <c r="I209" s="97">
        <v>287</v>
      </c>
      <c r="J209" s="3">
        <v>370</v>
      </c>
    </row>
    <row r="210" spans="3:10" x14ac:dyDescent="0.2">
      <c r="C210" s="97">
        <v>360</v>
      </c>
      <c r="D210" s="3">
        <v>381</v>
      </c>
      <c r="F210" s="97">
        <v>343</v>
      </c>
      <c r="G210" s="3">
        <v>394</v>
      </c>
      <c r="I210" s="97">
        <v>288</v>
      </c>
      <c r="J210" s="3">
        <v>371</v>
      </c>
    </row>
    <row r="211" spans="3:10" x14ac:dyDescent="0.2">
      <c r="C211" s="97">
        <v>361</v>
      </c>
      <c r="D211" s="3">
        <v>382</v>
      </c>
      <c r="F211" s="97">
        <v>344</v>
      </c>
      <c r="G211" s="3">
        <v>395</v>
      </c>
      <c r="I211" s="97">
        <v>289</v>
      </c>
      <c r="J211" s="3">
        <v>372</v>
      </c>
    </row>
    <row r="212" spans="3:10" x14ac:dyDescent="0.2">
      <c r="C212" s="97">
        <v>362</v>
      </c>
      <c r="D212" s="3">
        <v>383</v>
      </c>
      <c r="F212" s="97">
        <v>345</v>
      </c>
      <c r="G212" s="3">
        <v>396</v>
      </c>
      <c r="I212" s="97">
        <v>291</v>
      </c>
      <c r="J212" s="3">
        <v>373</v>
      </c>
    </row>
    <row r="213" spans="3:10" x14ac:dyDescent="0.2">
      <c r="C213" s="97">
        <v>363</v>
      </c>
      <c r="D213" s="3">
        <v>384</v>
      </c>
      <c r="F213" s="97">
        <v>346</v>
      </c>
      <c r="G213" s="3">
        <v>397</v>
      </c>
      <c r="I213" s="97">
        <v>292</v>
      </c>
      <c r="J213" s="3">
        <v>374</v>
      </c>
    </row>
    <row r="214" spans="3:10" x14ac:dyDescent="0.2">
      <c r="C214" s="97">
        <v>364</v>
      </c>
      <c r="D214" s="3">
        <v>385</v>
      </c>
      <c r="F214" s="97">
        <v>347</v>
      </c>
      <c r="G214" s="3">
        <v>398</v>
      </c>
      <c r="I214" s="97">
        <v>294</v>
      </c>
      <c r="J214" s="3">
        <v>375</v>
      </c>
    </row>
    <row r="215" spans="3:10" x14ac:dyDescent="0.2">
      <c r="C215" s="97">
        <v>365</v>
      </c>
      <c r="D215" s="3">
        <v>386</v>
      </c>
      <c r="F215" s="97">
        <v>348</v>
      </c>
      <c r="G215" s="3">
        <v>399</v>
      </c>
      <c r="I215" s="97">
        <v>302</v>
      </c>
      <c r="J215" s="3">
        <v>376</v>
      </c>
    </row>
    <row r="216" spans="3:10" x14ac:dyDescent="0.2">
      <c r="C216" s="97">
        <v>366</v>
      </c>
      <c r="D216" s="3">
        <v>387</v>
      </c>
      <c r="F216" s="97">
        <v>349</v>
      </c>
      <c r="G216" s="3">
        <v>400</v>
      </c>
      <c r="I216" s="97">
        <v>303</v>
      </c>
      <c r="J216" s="3">
        <v>377</v>
      </c>
    </row>
    <row r="217" spans="3:10" x14ac:dyDescent="0.2">
      <c r="C217" s="97">
        <v>367</v>
      </c>
      <c r="D217" s="3">
        <v>388</v>
      </c>
      <c r="F217" s="97">
        <v>350</v>
      </c>
      <c r="G217" s="3">
        <v>401</v>
      </c>
      <c r="I217" s="97">
        <v>304</v>
      </c>
      <c r="J217" s="3">
        <v>378</v>
      </c>
    </row>
    <row r="218" spans="3:10" x14ac:dyDescent="0.2">
      <c r="C218" s="97">
        <v>368</v>
      </c>
      <c r="D218" s="3">
        <v>389</v>
      </c>
      <c r="F218" s="97">
        <v>351</v>
      </c>
      <c r="G218" s="3">
        <v>402</v>
      </c>
      <c r="I218" s="97">
        <v>305</v>
      </c>
      <c r="J218" s="3">
        <v>379</v>
      </c>
    </row>
    <row r="219" spans="3:10" x14ac:dyDescent="0.2">
      <c r="C219" s="97">
        <v>369</v>
      </c>
      <c r="D219" s="3">
        <v>390</v>
      </c>
      <c r="F219" s="97">
        <v>352</v>
      </c>
      <c r="G219" s="3">
        <v>403</v>
      </c>
      <c r="I219" s="97">
        <v>306</v>
      </c>
      <c r="J219" s="3">
        <v>380</v>
      </c>
    </row>
    <row r="220" spans="3:10" x14ac:dyDescent="0.2">
      <c r="C220" s="97">
        <v>370</v>
      </c>
      <c r="D220" s="3">
        <v>391</v>
      </c>
      <c r="F220" s="97">
        <v>353</v>
      </c>
      <c r="G220" s="3">
        <v>404</v>
      </c>
      <c r="I220" s="97">
        <v>309</v>
      </c>
      <c r="J220" s="3">
        <v>381</v>
      </c>
    </row>
    <row r="221" spans="3:10" x14ac:dyDescent="0.2">
      <c r="C221" s="97">
        <v>371</v>
      </c>
      <c r="D221" s="3">
        <v>392</v>
      </c>
      <c r="F221" s="97">
        <v>357</v>
      </c>
      <c r="G221" s="3">
        <v>405</v>
      </c>
      <c r="I221" s="97">
        <v>310</v>
      </c>
      <c r="J221" s="3">
        <v>382</v>
      </c>
    </row>
    <row r="222" spans="3:10" x14ac:dyDescent="0.2">
      <c r="C222" s="97">
        <v>372</v>
      </c>
      <c r="D222" s="3">
        <v>393</v>
      </c>
      <c r="F222" s="97">
        <v>358</v>
      </c>
      <c r="G222" s="3">
        <v>406</v>
      </c>
      <c r="I222" s="97">
        <v>320</v>
      </c>
      <c r="J222" s="3">
        <v>383</v>
      </c>
    </row>
    <row r="223" spans="3:10" x14ac:dyDescent="0.2">
      <c r="C223" s="97">
        <v>373</v>
      </c>
      <c r="D223" s="3">
        <v>394</v>
      </c>
      <c r="F223" s="97">
        <v>359</v>
      </c>
      <c r="G223" s="3">
        <v>407</v>
      </c>
      <c r="I223" s="97">
        <v>321</v>
      </c>
      <c r="J223" s="3">
        <v>384</v>
      </c>
    </row>
    <row r="224" spans="3:10" x14ac:dyDescent="0.2">
      <c r="C224" s="97">
        <v>374</v>
      </c>
      <c r="D224" s="3">
        <v>395</v>
      </c>
      <c r="F224" s="97">
        <v>360</v>
      </c>
      <c r="G224" s="3">
        <v>408</v>
      </c>
      <c r="I224" s="97">
        <v>325</v>
      </c>
      <c r="J224" s="3">
        <v>385</v>
      </c>
    </row>
    <row r="225" spans="3:10" x14ac:dyDescent="0.2">
      <c r="C225" s="97">
        <v>375</v>
      </c>
      <c r="D225" s="3">
        <v>396</v>
      </c>
      <c r="F225" s="97">
        <v>361</v>
      </c>
      <c r="G225" s="3">
        <v>411</v>
      </c>
      <c r="I225" s="97">
        <v>326</v>
      </c>
      <c r="J225" s="3">
        <v>386</v>
      </c>
    </row>
    <row r="226" spans="3:10" x14ac:dyDescent="0.2">
      <c r="C226" s="97">
        <v>376</v>
      </c>
      <c r="D226" s="3">
        <v>397</v>
      </c>
      <c r="F226" s="97">
        <v>362</v>
      </c>
      <c r="G226" s="3">
        <v>412</v>
      </c>
      <c r="I226" s="97">
        <v>333</v>
      </c>
      <c r="J226" s="3">
        <v>387</v>
      </c>
    </row>
    <row r="227" spans="3:10" x14ac:dyDescent="0.2">
      <c r="C227" s="97">
        <v>377</v>
      </c>
      <c r="D227" s="3">
        <v>398</v>
      </c>
      <c r="F227" s="97">
        <v>363</v>
      </c>
      <c r="G227" s="3">
        <v>413</v>
      </c>
      <c r="I227" s="97">
        <v>334</v>
      </c>
      <c r="J227" s="3">
        <v>388</v>
      </c>
    </row>
    <row r="228" spans="3:10" x14ac:dyDescent="0.2">
      <c r="C228" s="97">
        <v>378</v>
      </c>
      <c r="D228" s="3">
        <v>399</v>
      </c>
      <c r="F228" s="97">
        <v>364</v>
      </c>
      <c r="G228" s="3">
        <v>419</v>
      </c>
      <c r="I228" s="97">
        <v>335</v>
      </c>
      <c r="J228" s="3">
        <v>389</v>
      </c>
    </row>
    <row r="229" spans="3:10" x14ac:dyDescent="0.2">
      <c r="C229" s="97">
        <v>379</v>
      </c>
      <c r="D229" s="3">
        <v>400</v>
      </c>
      <c r="F229" s="97">
        <v>365</v>
      </c>
      <c r="G229" s="3">
        <v>433</v>
      </c>
      <c r="I229" s="97">
        <v>336</v>
      </c>
      <c r="J229" s="3">
        <v>390</v>
      </c>
    </row>
    <row r="230" spans="3:10" x14ac:dyDescent="0.2">
      <c r="C230" s="97">
        <v>380</v>
      </c>
      <c r="D230" s="3">
        <v>401</v>
      </c>
      <c r="F230" s="97">
        <v>366</v>
      </c>
      <c r="G230" s="3">
        <v>434</v>
      </c>
      <c r="I230" s="97">
        <v>337</v>
      </c>
      <c r="J230" s="3">
        <v>391</v>
      </c>
    </row>
    <row r="231" spans="3:10" x14ac:dyDescent="0.2">
      <c r="C231" s="97">
        <v>381</v>
      </c>
      <c r="D231" s="3">
        <v>402</v>
      </c>
      <c r="F231" s="97">
        <v>367</v>
      </c>
      <c r="G231" s="3">
        <v>435</v>
      </c>
      <c r="I231" s="97">
        <v>338</v>
      </c>
      <c r="J231" s="3">
        <v>392</v>
      </c>
    </row>
    <row r="232" spans="3:10" x14ac:dyDescent="0.2">
      <c r="C232" s="97">
        <v>382</v>
      </c>
      <c r="D232" s="3">
        <v>403</v>
      </c>
      <c r="F232" s="97">
        <v>368</v>
      </c>
      <c r="G232" s="3">
        <v>436</v>
      </c>
      <c r="I232" s="97">
        <v>339</v>
      </c>
      <c r="J232" s="3">
        <v>393</v>
      </c>
    </row>
    <row r="233" spans="3:10" x14ac:dyDescent="0.2">
      <c r="C233" s="97">
        <v>383</v>
      </c>
      <c r="D233" s="3">
        <v>404</v>
      </c>
      <c r="F233" s="97">
        <v>369</v>
      </c>
      <c r="G233" s="3">
        <v>455</v>
      </c>
      <c r="I233" s="97">
        <v>340</v>
      </c>
      <c r="J233" s="3">
        <v>394</v>
      </c>
    </row>
    <row r="234" spans="3:10" x14ac:dyDescent="0.2">
      <c r="C234" s="97">
        <v>384</v>
      </c>
      <c r="D234" s="3">
        <v>405</v>
      </c>
      <c r="F234" s="97">
        <v>370</v>
      </c>
      <c r="G234" s="3">
        <v>456</v>
      </c>
      <c r="I234" s="97">
        <v>341</v>
      </c>
      <c r="J234" s="3">
        <v>395</v>
      </c>
    </row>
    <row r="235" spans="3:10" x14ac:dyDescent="0.2">
      <c r="C235" s="97">
        <v>385</v>
      </c>
      <c r="D235" s="3">
        <v>406</v>
      </c>
      <c r="F235" s="97">
        <v>371</v>
      </c>
      <c r="G235" s="3">
        <v>457</v>
      </c>
      <c r="I235" s="97">
        <v>343</v>
      </c>
      <c r="J235" s="3">
        <v>396</v>
      </c>
    </row>
    <row r="236" spans="3:10" x14ac:dyDescent="0.2">
      <c r="C236" s="97">
        <v>386</v>
      </c>
      <c r="D236" s="3">
        <v>407</v>
      </c>
      <c r="F236" s="97">
        <v>372</v>
      </c>
      <c r="G236" s="3">
        <v>458</v>
      </c>
      <c r="I236" s="97">
        <v>344</v>
      </c>
      <c r="J236" s="3">
        <v>397</v>
      </c>
    </row>
    <row r="237" spans="3:10" x14ac:dyDescent="0.2">
      <c r="C237" s="97">
        <v>387</v>
      </c>
      <c r="D237" s="3">
        <v>409</v>
      </c>
      <c r="F237" s="97">
        <v>373</v>
      </c>
      <c r="I237" s="97">
        <v>345</v>
      </c>
      <c r="J237" s="3">
        <v>398</v>
      </c>
    </row>
    <row r="238" spans="3:10" x14ac:dyDescent="0.2">
      <c r="C238" s="97">
        <v>388</v>
      </c>
      <c r="D238" s="3">
        <v>410</v>
      </c>
      <c r="F238" s="97">
        <v>374</v>
      </c>
      <c r="I238" s="97">
        <v>346</v>
      </c>
      <c r="J238" s="3">
        <v>399</v>
      </c>
    </row>
    <row r="239" spans="3:10" x14ac:dyDescent="0.2">
      <c r="C239" s="97">
        <v>389</v>
      </c>
      <c r="D239" s="3">
        <v>411</v>
      </c>
      <c r="F239" s="97">
        <v>375</v>
      </c>
      <c r="I239" s="97">
        <v>347</v>
      </c>
      <c r="J239" s="3">
        <v>400</v>
      </c>
    </row>
    <row r="240" spans="3:10" x14ac:dyDescent="0.2">
      <c r="C240" s="97">
        <v>390</v>
      </c>
      <c r="D240" s="3">
        <v>412</v>
      </c>
      <c r="F240" s="97">
        <v>376</v>
      </c>
      <c r="I240" s="97">
        <v>348</v>
      </c>
      <c r="J240" s="3">
        <v>401</v>
      </c>
    </row>
    <row r="241" spans="3:10" x14ac:dyDescent="0.2">
      <c r="C241" s="97">
        <v>391</v>
      </c>
      <c r="D241" s="3">
        <v>413</v>
      </c>
      <c r="F241" s="97">
        <v>377</v>
      </c>
      <c r="I241" s="97">
        <v>349</v>
      </c>
      <c r="J241" s="3">
        <v>402</v>
      </c>
    </row>
    <row r="242" spans="3:10" x14ac:dyDescent="0.2">
      <c r="C242" s="97">
        <v>392</v>
      </c>
      <c r="D242" s="3">
        <v>414</v>
      </c>
      <c r="F242" s="97">
        <v>378</v>
      </c>
      <c r="I242" s="97">
        <v>350</v>
      </c>
      <c r="J242" s="3">
        <v>403</v>
      </c>
    </row>
    <row r="243" spans="3:10" x14ac:dyDescent="0.2">
      <c r="C243" s="97">
        <v>393</v>
      </c>
      <c r="D243" s="3">
        <v>415</v>
      </c>
      <c r="F243" s="97">
        <v>379</v>
      </c>
      <c r="I243" s="97">
        <v>351</v>
      </c>
      <c r="J243" s="3">
        <v>404</v>
      </c>
    </row>
    <row r="244" spans="3:10" x14ac:dyDescent="0.2">
      <c r="C244" s="97">
        <v>394</v>
      </c>
      <c r="D244" s="3">
        <v>416</v>
      </c>
      <c r="F244" s="97">
        <v>380</v>
      </c>
      <c r="I244" s="97">
        <v>352</v>
      </c>
      <c r="J244" s="3">
        <v>405</v>
      </c>
    </row>
    <row r="245" spans="3:10" x14ac:dyDescent="0.2">
      <c r="C245" s="97">
        <v>395</v>
      </c>
      <c r="D245" s="3">
        <v>417</v>
      </c>
      <c r="F245" s="97">
        <v>381</v>
      </c>
      <c r="I245" s="97">
        <v>353</v>
      </c>
      <c r="J245" s="3">
        <v>406</v>
      </c>
    </row>
    <row r="246" spans="3:10" x14ac:dyDescent="0.2">
      <c r="C246" s="97">
        <v>396</v>
      </c>
      <c r="D246" s="3">
        <v>418</v>
      </c>
      <c r="F246" s="97">
        <v>382</v>
      </c>
      <c r="I246" s="97">
        <v>354</v>
      </c>
      <c r="J246" s="3">
        <v>407</v>
      </c>
    </row>
    <row r="247" spans="3:10" x14ac:dyDescent="0.2">
      <c r="C247" s="97">
        <v>397</v>
      </c>
      <c r="D247" s="3">
        <v>419</v>
      </c>
      <c r="F247" s="97">
        <v>383</v>
      </c>
      <c r="I247" s="97">
        <v>356</v>
      </c>
      <c r="J247" s="3">
        <v>408</v>
      </c>
    </row>
    <row r="248" spans="3:10" x14ac:dyDescent="0.2">
      <c r="C248" s="97">
        <v>398</v>
      </c>
      <c r="D248" s="3">
        <v>455</v>
      </c>
      <c r="F248" s="97">
        <v>384</v>
      </c>
      <c r="I248" s="97">
        <v>357</v>
      </c>
      <c r="J248" s="3">
        <v>409</v>
      </c>
    </row>
    <row r="249" spans="3:10" x14ac:dyDescent="0.2">
      <c r="C249" s="97">
        <v>399</v>
      </c>
      <c r="D249" s="3">
        <v>456</v>
      </c>
      <c r="F249" s="97">
        <v>385</v>
      </c>
      <c r="I249" s="97">
        <v>358</v>
      </c>
      <c r="J249" s="3">
        <v>410</v>
      </c>
    </row>
    <row r="250" spans="3:10" x14ac:dyDescent="0.2">
      <c r="C250" s="97">
        <v>400</v>
      </c>
      <c r="D250" s="3">
        <v>457</v>
      </c>
      <c r="F250" s="97">
        <v>386</v>
      </c>
      <c r="I250" s="97">
        <v>359</v>
      </c>
      <c r="J250" s="3">
        <v>411</v>
      </c>
    </row>
    <row r="251" spans="3:10" x14ac:dyDescent="0.2">
      <c r="C251" s="97">
        <v>401</v>
      </c>
      <c r="F251" s="97">
        <v>387</v>
      </c>
      <c r="I251" s="97">
        <v>360</v>
      </c>
      <c r="J251" s="3">
        <v>412</v>
      </c>
    </row>
    <row r="252" spans="3:10" x14ac:dyDescent="0.2">
      <c r="C252" s="97">
        <v>402</v>
      </c>
      <c r="F252" s="97">
        <v>388</v>
      </c>
      <c r="I252" s="97">
        <v>361</v>
      </c>
      <c r="J252" s="3">
        <v>413</v>
      </c>
    </row>
    <row r="253" spans="3:10" x14ac:dyDescent="0.2">
      <c r="C253" s="97">
        <v>403</v>
      </c>
      <c r="F253" s="97">
        <v>389</v>
      </c>
      <c r="I253" s="97">
        <v>362</v>
      </c>
      <c r="J253" s="3">
        <v>414</v>
      </c>
    </row>
    <row r="254" spans="3:10" x14ac:dyDescent="0.2">
      <c r="C254" s="97">
        <v>404</v>
      </c>
      <c r="F254" s="97">
        <v>390</v>
      </c>
      <c r="I254" s="97">
        <v>363</v>
      </c>
      <c r="J254" s="3">
        <v>415</v>
      </c>
    </row>
    <row r="255" spans="3:10" x14ac:dyDescent="0.2">
      <c r="C255" s="97">
        <v>405</v>
      </c>
      <c r="F255" s="97">
        <v>391</v>
      </c>
      <c r="I255" s="97">
        <v>364</v>
      </c>
      <c r="J255" s="3">
        <v>416</v>
      </c>
    </row>
    <row r="256" spans="3:10" x14ac:dyDescent="0.2">
      <c r="C256" s="97">
        <v>406</v>
      </c>
      <c r="F256" s="97">
        <v>392</v>
      </c>
      <c r="I256" s="97">
        <v>365</v>
      </c>
      <c r="J256" s="3">
        <v>417</v>
      </c>
    </row>
    <row r="257" spans="3:10" x14ac:dyDescent="0.2">
      <c r="C257" s="97">
        <v>407</v>
      </c>
      <c r="F257" s="97">
        <v>393</v>
      </c>
      <c r="I257" s="97">
        <v>366</v>
      </c>
      <c r="J257" s="3">
        <v>418</v>
      </c>
    </row>
    <row r="258" spans="3:10" x14ac:dyDescent="0.2">
      <c r="C258" s="97">
        <v>409</v>
      </c>
      <c r="F258" s="97">
        <v>394</v>
      </c>
      <c r="I258" s="97">
        <v>367</v>
      </c>
      <c r="J258" s="3">
        <v>419</v>
      </c>
    </row>
    <row r="259" spans="3:10" x14ac:dyDescent="0.2">
      <c r="C259" s="97">
        <v>410</v>
      </c>
      <c r="F259" s="97">
        <v>395</v>
      </c>
      <c r="I259" s="97">
        <v>368</v>
      </c>
      <c r="J259" s="3">
        <v>433</v>
      </c>
    </row>
    <row r="260" spans="3:10" x14ac:dyDescent="0.2">
      <c r="C260" s="97">
        <v>411</v>
      </c>
      <c r="F260" s="97">
        <v>396</v>
      </c>
      <c r="I260" s="97">
        <v>369</v>
      </c>
      <c r="J260" s="3">
        <v>434</v>
      </c>
    </row>
    <row r="261" spans="3:10" x14ac:dyDescent="0.2">
      <c r="C261" s="97">
        <v>412</v>
      </c>
      <c r="F261" s="97">
        <v>397</v>
      </c>
      <c r="I261" s="97">
        <v>370</v>
      </c>
      <c r="J261" s="3">
        <v>435</v>
      </c>
    </row>
    <row r="262" spans="3:10" x14ac:dyDescent="0.2">
      <c r="C262" s="97">
        <v>413</v>
      </c>
      <c r="F262" s="97">
        <v>398</v>
      </c>
      <c r="I262" s="97">
        <v>371</v>
      </c>
      <c r="J262" s="3">
        <v>436</v>
      </c>
    </row>
    <row r="263" spans="3:10" x14ac:dyDescent="0.2">
      <c r="C263" s="97">
        <v>414</v>
      </c>
      <c r="F263" s="97">
        <v>399</v>
      </c>
      <c r="I263" s="97">
        <v>372</v>
      </c>
      <c r="J263" s="3">
        <v>455</v>
      </c>
    </row>
    <row r="264" spans="3:10" x14ac:dyDescent="0.2">
      <c r="C264" s="97">
        <v>415</v>
      </c>
      <c r="F264" s="97">
        <v>400</v>
      </c>
      <c r="I264" s="97">
        <v>373</v>
      </c>
      <c r="J264" s="3">
        <v>456</v>
      </c>
    </row>
    <row r="265" spans="3:10" x14ac:dyDescent="0.2">
      <c r="C265" s="97">
        <v>416</v>
      </c>
      <c r="F265" s="97">
        <v>401</v>
      </c>
      <c r="I265" s="97">
        <v>374</v>
      </c>
      <c r="J265" s="3">
        <v>457</v>
      </c>
    </row>
    <row r="266" spans="3:10" x14ac:dyDescent="0.2">
      <c r="C266" s="97">
        <v>417</v>
      </c>
      <c r="F266" s="97">
        <v>402</v>
      </c>
      <c r="I266" s="97">
        <v>375</v>
      </c>
      <c r="J266" s="3">
        <v>458</v>
      </c>
    </row>
    <row r="267" spans="3:10" x14ac:dyDescent="0.2">
      <c r="C267" s="97">
        <v>418</v>
      </c>
      <c r="F267" s="97">
        <v>403</v>
      </c>
      <c r="I267" s="97">
        <v>376</v>
      </c>
    </row>
    <row r="268" spans="3:10" x14ac:dyDescent="0.2">
      <c r="C268" s="97">
        <v>419</v>
      </c>
      <c r="F268" s="97">
        <v>404</v>
      </c>
      <c r="I268" s="97">
        <v>377</v>
      </c>
    </row>
    <row r="269" spans="3:10" x14ac:dyDescent="0.2">
      <c r="C269" s="97">
        <v>455</v>
      </c>
      <c r="F269" s="97">
        <v>405</v>
      </c>
      <c r="I269" s="97">
        <v>378</v>
      </c>
    </row>
    <row r="270" spans="3:10" x14ac:dyDescent="0.2">
      <c r="C270" s="97">
        <v>456</v>
      </c>
      <c r="F270" s="97">
        <v>406</v>
      </c>
      <c r="I270" s="97">
        <v>379</v>
      </c>
    </row>
    <row r="271" spans="3:10" x14ac:dyDescent="0.2">
      <c r="C271" s="97">
        <v>457</v>
      </c>
      <c r="F271" s="97">
        <v>407</v>
      </c>
      <c r="I271" s="97">
        <v>380</v>
      </c>
    </row>
    <row r="272" spans="3:10" x14ac:dyDescent="0.2">
      <c r="C272" s="97">
        <v>460</v>
      </c>
      <c r="F272" s="97">
        <v>408</v>
      </c>
      <c r="I272" s="97">
        <v>381</v>
      </c>
    </row>
    <row r="273" spans="3:9" x14ac:dyDescent="0.2">
      <c r="C273" s="97">
        <v>461</v>
      </c>
      <c r="F273" s="97">
        <v>411</v>
      </c>
      <c r="I273" s="97">
        <v>382</v>
      </c>
    </row>
    <row r="274" spans="3:9" x14ac:dyDescent="0.2">
      <c r="C274" s="97">
        <v>462</v>
      </c>
      <c r="F274" s="97">
        <v>412</v>
      </c>
      <c r="I274" s="97">
        <v>383</v>
      </c>
    </row>
    <row r="275" spans="3:9" x14ac:dyDescent="0.2">
      <c r="F275" s="97">
        <v>413</v>
      </c>
      <c r="I275" s="97">
        <v>384</v>
      </c>
    </row>
    <row r="276" spans="3:9" x14ac:dyDescent="0.2">
      <c r="F276" s="97">
        <v>419</v>
      </c>
      <c r="I276" s="97">
        <v>385</v>
      </c>
    </row>
    <row r="277" spans="3:9" x14ac:dyDescent="0.2">
      <c r="F277" s="97">
        <v>433</v>
      </c>
      <c r="I277" s="97">
        <v>386</v>
      </c>
    </row>
    <row r="278" spans="3:9" x14ac:dyDescent="0.2">
      <c r="F278" s="97">
        <v>434</v>
      </c>
      <c r="I278" s="97">
        <v>387</v>
      </c>
    </row>
    <row r="279" spans="3:9" x14ac:dyDescent="0.2">
      <c r="F279" s="97">
        <v>435</v>
      </c>
      <c r="I279" s="97">
        <v>388</v>
      </c>
    </row>
    <row r="280" spans="3:9" x14ac:dyDescent="0.2">
      <c r="F280" s="97">
        <v>436</v>
      </c>
      <c r="I280" s="97">
        <v>389</v>
      </c>
    </row>
    <row r="281" spans="3:9" x14ac:dyDescent="0.2">
      <c r="F281" s="97">
        <v>455</v>
      </c>
      <c r="I281" s="97">
        <v>390</v>
      </c>
    </row>
    <row r="282" spans="3:9" x14ac:dyDescent="0.2">
      <c r="F282" s="97">
        <v>456</v>
      </c>
      <c r="I282" s="97">
        <v>391</v>
      </c>
    </row>
    <row r="283" spans="3:9" x14ac:dyDescent="0.2">
      <c r="F283" s="97">
        <v>457</v>
      </c>
      <c r="I283" s="97">
        <v>392</v>
      </c>
    </row>
    <row r="284" spans="3:9" x14ac:dyDescent="0.2">
      <c r="F284" s="97">
        <v>458</v>
      </c>
      <c r="I284" s="97">
        <v>393</v>
      </c>
    </row>
    <row r="285" spans="3:9" x14ac:dyDescent="0.2">
      <c r="F285" s="97">
        <v>459</v>
      </c>
      <c r="I285" s="97">
        <v>394</v>
      </c>
    </row>
    <row r="286" spans="3:9" x14ac:dyDescent="0.2">
      <c r="I286" s="97">
        <v>395</v>
      </c>
    </row>
    <row r="287" spans="3:9" x14ac:dyDescent="0.2">
      <c r="I287" s="97">
        <v>396</v>
      </c>
    </row>
    <row r="288" spans="3:9" x14ac:dyDescent="0.2">
      <c r="I288" s="97">
        <v>397</v>
      </c>
    </row>
    <row r="289" spans="9:9" x14ac:dyDescent="0.2">
      <c r="I289" s="97">
        <v>398</v>
      </c>
    </row>
    <row r="290" spans="9:9" x14ac:dyDescent="0.2">
      <c r="I290" s="97">
        <v>399</v>
      </c>
    </row>
    <row r="291" spans="9:9" x14ac:dyDescent="0.2">
      <c r="I291" s="97">
        <v>400</v>
      </c>
    </row>
    <row r="292" spans="9:9" x14ac:dyDescent="0.2">
      <c r="I292" s="97">
        <v>401</v>
      </c>
    </row>
    <row r="293" spans="9:9" x14ac:dyDescent="0.2">
      <c r="I293" s="97">
        <v>402</v>
      </c>
    </row>
    <row r="294" spans="9:9" x14ac:dyDescent="0.2">
      <c r="I294" s="97">
        <v>403</v>
      </c>
    </row>
    <row r="295" spans="9:9" x14ac:dyDescent="0.2">
      <c r="I295" s="97">
        <v>404</v>
      </c>
    </row>
    <row r="296" spans="9:9" x14ac:dyDescent="0.2">
      <c r="I296" s="97">
        <v>405</v>
      </c>
    </row>
    <row r="297" spans="9:9" x14ac:dyDescent="0.2">
      <c r="I297" s="97">
        <v>406</v>
      </c>
    </row>
    <row r="298" spans="9:9" x14ac:dyDescent="0.2">
      <c r="I298" s="97">
        <v>407</v>
      </c>
    </row>
    <row r="299" spans="9:9" x14ac:dyDescent="0.2">
      <c r="I299" s="97">
        <v>408</v>
      </c>
    </row>
    <row r="300" spans="9:9" x14ac:dyDescent="0.2">
      <c r="I300" s="97">
        <v>409</v>
      </c>
    </row>
    <row r="301" spans="9:9" x14ac:dyDescent="0.2">
      <c r="I301" s="97">
        <v>410</v>
      </c>
    </row>
    <row r="302" spans="9:9" x14ac:dyDescent="0.2">
      <c r="I302" s="97">
        <v>411</v>
      </c>
    </row>
    <row r="303" spans="9:9" x14ac:dyDescent="0.2">
      <c r="I303" s="97">
        <v>412</v>
      </c>
    </row>
    <row r="304" spans="9:9" x14ac:dyDescent="0.2">
      <c r="I304" s="97">
        <v>413</v>
      </c>
    </row>
    <row r="305" spans="9:9" x14ac:dyDescent="0.2">
      <c r="I305" s="97">
        <v>414</v>
      </c>
    </row>
    <row r="306" spans="9:9" x14ac:dyDescent="0.2">
      <c r="I306" s="97">
        <v>415</v>
      </c>
    </row>
    <row r="307" spans="9:9" x14ac:dyDescent="0.2">
      <c r="I307" s="97">
        <v>416</v>
      </c>
    </row>
    <row r="308" spans="9:9" x14ac:dyDescent="0.2">
      <c r="I308" s="97">
        <v>417</v>
      </c>
    </row>
    <row r="309" spans="9:9" x14ac:dyDescent="0.2">
      <c r="I309" s="97">
        <v>418</v>
      </c>
    </row>
    <row r="310" spans="9:9" x14ac:dyDescent="0.2">
      <c r="I310" s="97">
        <v>419</v>
      </c>
    </row>
    <row r="311" spans="9:9" x14ac:dyDescent="0.2">
      <c r="I311" s="97">
        <v>433</v>
      </c>
    </row>
    <row r="312" spans="9:9" x14ac:dyDescent="0.2">
      <c r="I312" s="97">
        <v>434</v>
      </c>
    </row>
    <row r="313" spans="9:9" x14ac:dyDescent="0.2">
      <c r="I313" s="97">
        <v>435</v>
      </c>
    </row>
    <row r="314" spans="9:9" x14ac:dyDescent="0.2">
      <c r="I314" s="97">
        <v>436</v>
      </c>
    </row>
    <row r="315" spans="9:9" x14ac:dyDescent="0.2">
      <c r="I315" s="97">
        <v>455</v>
      </c>
    </row>
    <row r="316" spans="9:9" x14ac:dyDescent="0.2">
      <c r="I316" s="97">
        <v>456</v>
      </c>
    </row>
    <row r="317" spans="9:9" x14ac:dyDescent="0.2">
      <c r="I317" s="97">
        <v>457</v>
      </c>
    </row>
    <row r="318" spans="9:9" x14ac:dyDescent="0.2">
      <c r="I318" s="97">
        <v>458</v>
      </c>
    </row>
    <row r="319" spans="9:9" x14ac:dyDescent="0.2">
      <c r="I319" s="97">
        <v>459</v>
      </c>
    </row>
    <row r="320" spans="9:9" x14ac:dyDescent="0.2">
      <c r="I320" s="97">
        <v>460</v>
      </c>
    </row>
    <row r="321" spans="9:9" x14ac:dyDescent="0.2">
      <c r="I321" s="97">
        <v>461</v>
      </c>
    </row>
    <row r="322" spans="9:9" x14ac:dyDescent="0.2">
      <c r="I322" s="97">
        <v>462</v>
      </c>
    </row>
  </sheetData>
  <sortState xmlns:xlrd2="http://schemas.microsoft.com/office/spreadsheetml/2017/richdata2" ref="B3:B100">
    <sortCondition ref="B3:B10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F111A-61C4-4510-8E3B-3419FE7EFDEC}">
  <sheetPr codeName="Sheet36">
    <tabColor rgb="FFFF0000"/>
  </sheetPr>
  <dimension ref="A1:CB163"/>
  <sheetViews>
    <sheetView tabSelected="1" zoomScale="86" zoomScaleNormal="86" workbookViewId="0">
      <pane ySplit="2" topLeftCell="A66" activePane="bottomLeft" state="frozen"/>
      <selection pane="bottomLeft" activeCell="BT145" sqref="BT145"/>
    </sheetView>
  </sheetViews>
  <sheetFormatPr baseColWidth="10" defaultColWidth="8.5" defaultRowHeight="27.75" customHeight="1" x14ac:dyDescent="0.2"/>
  <cols>
    <col min="1" max="1" width="17" style="430" customWidth="1"/>
    <col min="2" max="5" width="5.5" customWidth="1"/>
    <col min="6" max="6" width="5.5" style="58" customWidth="1"/>
    <col min="7" max="7" width="5.5" customWidth="1"/>
    <col min="8" max="8" width="8.6640625" style="58" customWidth="1"/>
    <col min="9" max="9" width="17.33203125" customWidth="1"/>
    <col min="10" max="10" width="5.5" customWidth="1"/>
    <col min="11" max="34" width="15.83203125" customWidth="1"/>
    <col min="35" max="39" width="19.5" customWidth="1"/>
    <col min="40" max="40" width="26.5" customWidth="1"/>
    <col min="41" max="43" width="27.5" customWidth="1"/>
    <col min="44" max="45" width="22.83203125" customWidth="1"/>
    <col min="46" max="46" width="16.5" customWidth="1"/>
    <col min="47" max="57" width="19.5" customWidth="1"/>
    <col min="58" max="58" width="12.5" customWidth="1"/>
    <col min="59" max="68" width="14.83203125" customWidth="1"/>
    <col min="69" max="69" width="21.33203125" customWidth="1"/>
    <col min="70" max="70" width="17.5" customWidth="1"/>
    <col min="71" max="71" width="14.83203125" customWidth="1"/>
    <col min="72" max="72" width="17.83203125" customWidth="1"/>
    <col min="73" max="75" width="19.5" customWidth="1"/>
    <col min="76" max="76" width="13.5" customWidth="1"/>
    <col min="77" max="79" width="19.5" customWidth="1"/>
    <col min="80" max="80" width="18.5" customWidth="1"/>
  </cols>
  <sheetData>
    <row r="1" spans="1:80" ht="27.75" customHeight="1" x14ac:dyDescent="0.2">
      <c r="A1" s="426" t="s">
        <v>1275</v>
      </c>
      <c r="B1" s="251" t="s">
        <v>14</v>
      </c>
      <c r="C1" s="251" t="s">
        <v>16</v>
      </c>
      <c r="D1" s="251" t="s">
        <v>15</v>
      </c>
      <c r="E1" s="251" t="s">
        <v>1308</v>
      </c>
      <c r="F1" s="253" t="s">
        <v>1309</v>
      </c>
      <c r="G1" s="441" t="s">
        <v>1271</v>
      </c>
      <c r="H1" s="254" t="s">
        <v>19</v>
      </c>
      <c r="I1" s="254" t="s">
        <v>1250</v>
      </c>
      <c r="J1" s="441" t="s">
        <v>1364</v>
      </c>
      <c r="K1" s="255" t="s">
        <v>20</v>
      </c>
      <c r="L1" s="255" t="s">
        <v>21</v>
      </c>
      <c r="M1" s="255" t="s">
        <v>22</v>
      </c>
      <c r="N1" s="255" t="s">
        <v>23</v>
      </c>
      <c r="O1" s="255" t="s">
        <v>24</v>
      </c>
      <c r="P1" s="255" t="s">
        <v>25</v>
      </c>
      <c r="Q1" s="255" t="s">
        <v>26</v>
      </c>
      <c r="R1" s="256" t="s">
        <v>27</v>
      </c>
      <c r="S1" s="256" t="s">
        <v>28</v>
      </c>
      <c r="T1" s="256" t="s">
        <v>29</v>
      </c>
      <c r="U1" s="256" t="s">
        <v>30</v>
      </c>
      <c r="V1" s="256" t="s">
        <v>31</v>
      </c>
      <c r="W1" s="256" t="s">
        <v>32</v>
      </c>
      <c r="X1" s="256" t="s">
        <v>33</v>
      </c>
      <c r="Y1" s="257" t="s">
        <v>34</v>
      </c>
      <c r="Z1" s="257" t="s">
        <v>35</v>
      </c>
      <c r="AA1" s="257" t="s">
        <v>36</v>
      </c>
      <c r="AB1" s="257" t="s">
        <v>37</v>
      </c>
      <c r="AC1" s="257" t="s">
        <v>38</v>
      </c>
      <c r="AD1" s="257" t="s">
        <v>39</v>
      </c>
      <c r="AE1" s="257" t="s">
        <v>40</v>
      </c>
      <c r="AF1" s="258" t="s">
        <v>41</v>
      </c>
      <c r="AG1" s="259" t="s">
        <v>42</v>
      </c>
      <c r="AH1" s="260" t="s">
        <v>43</v>
      </c>
      <c r="AI1" s="260" t="s">
        <v>44</v>
      </c>
      <c r="AJ1" s="260" t="s">
        <v>45</v>
      </c>
      <c r="AK1" s="260" t="s">
        <v>46</v>
      </c>
      <c r="AL1" s="260" t="s">
        <v>47</v>
      </c>
      <c r="AM1" s="260" t="s">
        <v>1199</v>
      </c>
      <c r="AN1" s="260" t="s">
        <v>48</v>
      </c>
      <c r="AO1" s="260" t="s">
        <v>49</v>
      </c>
      <c r="AP1" s="326" t="s">
        <v>50</v>
      </c>
      <c r="AQ1" s="261" t="s">
        <v>1365</v>
      </c>
      <c r="AR1" s="260" t="s">
        <v>1366</v>
      </c>
      <c r="AS1" s="260" t="s">
        <v>1190</v>
      </c>
      <c r="AT1" s="261" t="s">
        <v>52</v>
      </c>
      <c r="AU1" s="262" t="s">
        <v>53</v>
      </c>
      <c r="AV1" s="327" t="s">
        <v>1226</v>
      </c>
      <c r="AW1" s="327" t="s">
        <v>1227</v>
      </c>
      <c r="AX1" s="327" t="s">
        <v>1265</v>
      </c>
      <c r="AY1" s="262" t="s">
        <v>1266</v>
      </c>
      <c r="AZ1" s="262" t="s">
        <v>54</v>
      </c>
      <c r="BA1" s="262" t="s">
        <v>55</v>
      </c>
      <c r="BB1" s="262" t="s">
        <v>56</v>
      </c>
      <c r="BC1" s="262" t="s">
        <v>57</v>
      </c>
      <c r="BD1" s="263" t="s">
        <v>58</v>
      </c>
      <c r="BE1" s="262" t="s">
        <v>1228</v>
      </c>
      <c r="BF1" s="263" t="s">
        <v>60</v>
      </c>
      <c r="BG1" s="264" t="s">
        <v>61</v>
      </c>
      <c r="BH1" s="264" t="s">
        <v>1233</v>
      </c>
      <c r="BI1" s="264" t="s">
        <v>1234</v>
      </c>
      <c r="BJ1" s="264" t="s">
        <v>1245</v>
      </c>
      <c r="BK1" s="264" t="s">
        <v>64</v>
      </c>
      <c r="BL1" s="264" t="s">
        <v>65</v>
      </c>
      <c r="BM1" s="264" t="s">
        <v>66</v>
      </c>
      <c r="BN1" s="264" t="s">
        <v>1246</v>
      </c>
      <c r="BO1" s="264" t="s">
        <v>68</v>
      </c>
      <c r="BP1" s="264" t="s">
        <v>69</v>
      </c>
      <c r="BQ1" s="265" t="s">
        <v>1248</v>
      </c>
      <c r="BR1" s="265" t="s">
        <v>1249</v>
      </c>
      <c r="BS1" s="264" t="s">
        <v>1247</v>
      </c>
      <c r="BT1" s="265" t="s">
        <v>70</v>
      </c>
      <c r="BU1" s="266" t="s">
        <v>71</v>
      </c>
      <c r="BV1" s="266" t="s">
        <v>72</v>
      </c>
      <c r="BW1" s="266" t="s">
        <v>73</v>
      </c>
      <c r="BX1" s="266" t="s">
        <v>74</v>
      </c>
      <c r="BY1" s="266" t="s">
        <v>75</v>
      </c>
      <c r="BZ1" s="266" t="s">
        <v>76</v>
      </c>
      <c r="CA1" s="266" t="s">
        <v>77</v>
      </c>
      <c r="CB1" s="266" t="s">
        <v>78</v>
      </c>
    </row>
    <row r="2" spans="1:80" ht="27.75" customHeight="1" thickBot="1" x14ac:dyDescent="0.25">
      <c r="A2" s="459"/>
      <c r="B2" s="460"/>
      <c r="C2" s="460"/>
      <c r="D2" s="460"/>
      <c r="E2" s="460"/>
      <c r="F2" s="460"/>
      <c r="G2" s="461"/>
      <c r="H2" s="460"/>
      <c r="I2" s="460"/>
      <c r="J2" s="461"/>
      <c r="K2" s="462">
        <v>101</v>
      </c>
      <c r="L2" s="462">
        <v>102</v>
      </c>
      <c r="M2" s="462">
        <v>103</v>
      </c>
      <c r="N2" s="462">
        <v>104</v>
      </c>
      <c r="O2" s="462">
        <v>105</v>
      </c>
      <c r="P2" s="462">
        <v>106</v>
      </c>
      <c r="Q2" s="462">
        <v>107</v>
      </c>
      <c r="R2" s="463">
        <v>201</v>
      </c>
      <c r="S2" s="463">
        <v>202</v>
      </c>
      <c r="T2" s="463">
        <v>203</v>
      </c>
      <c r="U2" s="463">
        <v>204</v>
      </c>
      <c r="V2" s="463">
        <v>205</v>
      </c>
      <c r="W2" s="463">
        <v>206</v>
      </c>
      <c r="X2" s="463">
        <v>207</v>
      </c>
      <c r="Y2" s="464">
        <v>301</v>
      </c>
      <c r="Z2" s="464">
        <v>302</v>
      </c>
      <c r="AA2" s="464">
        <v>303</v>
      </c>
      <c r="AB2" s="464">
        <v>304</v>
      </c>
      <c r="AC2" s="464">
        <v>305</v>
      </c>
      <c r="AD2" s="464">
        <v>306</v>
      </c>
      <c r="AE2" s="464">
        <v>307</v>
      </c>
      <c r="AF2" s="465">
        <v>401</v>
      </c>
      <c r="AG2" s="466">
        <v>501</v>
      </c>
      <c r="AH2" s="467">
        <v>601</v>
      </c>
      <c r="AI2" s="467">
        <v>602</v>
      </c>
      <c r="AJ2" s="467">
        <v>603</v>
      </c>
      <c r="AK2" s="467">
        <v>604</v>
      </c>
      <c r="AL2" s="467">
        <v>605</v>
      </c>
      <c r="AM2" s="467">
        <v>606</v>
      </c>
      <c r="AN2" s="467">
        <v>607</v>
      </c>
      <c r="AO2" s="467">
        <v>608</v>
      </c>
      <c r="AP2" s="468">
        <v>609</v>
      </c>
      <c r="AQ2" s="468">
        <v>610</v>
      </c>
      <c r="AR2" s="467">
        <v>611</v>
      </c>
      <c r="AS2" s="467">
        <v>612</v>
      </c>
      <c r="AT2" s="468">
        <v>613</v>
      </c>
      <c r="AU2" s="469">
        <v>701</v>
      </c>
      <c r="AV2" s="469">
        <v>702</v>
      </c>
      <c r="AW2" s="469">
        <v>703</v>
      </c>
      <c r="AX2" s="469">
        <v>704</v>
      </c>
      <c r="AY2" s="469">
        <v>705</v>
      </c>
      <c r="AZ2" s="469">
        <v>706</v>
      </c>
      <c r="BA2" s="469">
        <v>707</v>
      </c>
      <c r="BB2" s="469">
        <v>708</v>
      </c>
      <c r="BC2" s="469">
        <v>709</v>
      </c>
      <c r="BD2" s="470">
        <v>710</v>
      </c>
      <c r="BE2" s="469">
        <v>711</v>
      </c>
      <c r="BF2" s="470">
        <v>712</v>
      </c>
      <c r="BG2" s="471">
        <v>801</v>
      </c>
      <c r="BH2" s="471">
        <v>802</v>
      </c>
      <c r="BI2" s="471">
        <v>803</v>
      </c>
      <c r="BJ2" s="471">
        <v>804</v>
      </c>
      <c r="BK2" s="471">
        <v>805</v>
      </c>
      <c r="BL2" s="471">
        <v>806</v>
      </c>
      <c r="BM2" s="471">
        <v>807</v>
      </c>
      <c r="BN2" s="471">
        <v>808</v>
      </c>
      <c r="BO2" s="471">
        <v>809</v>
      </c>
      <c r="BP2" s="471">
        <v>810</v>
      </c>
      <c r="BQ2" s="472">
        <v>811</v>
      </c>
      <c r="BR2" s="472">
        <v>812</v>
      </c>
      <c r="BS2" s="471">
        <v>813</v>
      </c>
      <c r="BT2" s="472">
        <v>814</v>
      </c>
      <c r="BU2" s="473" t="s">
        <v>1368</v>
      </c>
      <c r="BV2" s="473" t="s">
        <v>1369</v>
      </c>
      <c r="BW2" s="473" t="s">
        <v>1370</v>
      </c>
      <c r="BX2" s="473" t="s">
        <v>1371</v>
      </c>
      <c r="BY2" s="473" t="s">
        <v>1372</v>
      </c>
      <c r="BZ2" s="473" t="s">
        <v>1373</v>
      </c>
      <c r="CA2" s="473" t="s">
        <v>1374</v>
      </c>
      <c r="CB2" s="473" t="s">
        <v>1375</v>
      </c>
    </row>
    <row r="3" spans="1:80" ht="27.75" customHeight="1" x14ac:dyDescent="0.2">
      <c r="A3" s="427">
        <v>1</v>
      </c>
      <c r="B3" s="278" t="s">
        <v>131</v>
      </c>
      <c r="C3" s="280" t="s">
        <v>12</v>
      </c>
      <c r="D3" s="279">
        <v>1</v>
      </c>
      <c r="E3" s="291" t="str">
        <f>VLOOKUP('Risk Only'!A3,'Descriptor maps'!$A$1:$F$1654,6,0)</f>
        <v>Name of Facility</v>
      </c>
      <c r="F3" s="242" t="s">
        <v>679</v>
      </c>
      <c r="G3" s="291" t="e" cm="1">
        <f t="array" ref="G3">INDEX('Descriptor maps'!$H$2:$H$1658,MATCH(1,('Descriptor maps'!$A$2:$A$1658='Risk Only'!$A3)*('Descriptor maps'!$G$2:$G$1658='Risk Only'!$F3),0))</f>
        <v>#N/A</v>
      </c>
      <c r="H3" s="292" t="e" cm="1">
        <f t="array" ref="H3">IF(ISNUMBER(F3)=TRUE,F3, INDEX('Descriptor maps'!$I$2:$I$1658,MATCH(1,('Descriptor maps'!$A$2:$A$1658='Risk Only'!$A3)*('Descriptor maps'!$G$2:$G$1658='Risk Only'!$F3),0)))</f>
        <v>#N/A</v>
      </c>
      <c r="I3" s="292" t="e" cm="1">
        <f t="array" ref="I3">INDEX('Descriptor maps'!$J$2:$J$1658,MATCH(1,('Descriptor maps'!$A$2:$A$1658=A3)*('Descriptor maps'!$G$2:$G$1658=F3),0))</f>
        <v>#N/A</v>
      </c>
      <c r="J3" s="442">
        <f t="shared" ref="J3:J34" si="0">COUNT(K3:CB3)</f>
        <v>0</v>
      </c>
      <c r="K3" s="284"/>
      <c r="L3" s="284"/>
      <c r="M3" s="284"/>
      <c r="N3" s="284"/>
      <c r="O3" s="284"/>
      <c r="P3" s="284"/>
      <c r="Q3" s="284"/>
      <c r="R3" s="284"/>
      <c r="S3" s="284"/>
      <c r="T3" s="284"/>
      <c r="U3" s="284"/>
      <c r="V3" s="284"/>
      <c r="W3" s="284"/>
      <c r="X3" s="284"/>
      <c r="Y3" s="284"/>
      <c r="Z3" s="284"/>
      <c r="AA3" s="284"/>
      <c r="AB3" s="284"/>
      <c r="AC3" s="284"/>
      <c r="AD3" s="284"/>
      <c r="AE3" s="284"/>
      <c r="AF3" s="284"/>
      <c r="AG3" s="284"/>
      <c r="AH3" s="284"/>
      <c r="AI3" s="284"/>
      <c r="AJ3" s="284"/>
      <c r="AK3" s="284"/>
      <c r="AL3" s="284"/>
      <c r="AM3" s="284"/>
      <c r="AN3" s="284"/>
      <c r="AO3" s="284"/>
      <c r="AP3" s="284"/>
      <c r="AQ3" s="284"/>
      <c r="AR3" s="284"/>
      <c r="AS3" s="284"/>
      <c r="AT3" s="284"/>
      <c r="AU3" s="284"/>
      <c r="AV3" s="284"/>
      <c r="AW3" s="284"/>
      <c r="AX3" s="284"/>
      <c r="AY3" s="284"/>
      <c r="AZ3" s="284"/>
      <c r="BA3" s="284"/>
      <c r="BB3" s="284"/>
      <c r="BC3" s="284"/>
      <c r="BD3" s="284"/>
      <c r="BE3" s="284"/>
      <c r="BF3" s="284"/>
      <c r="BG3" s="284"/>
      <c r="BH3" s="284"/>
      <c r="BI3" s="284"/>
      <c r="BJ3" s="284"/>
      <c r="BK3" s="284"/>
      <c r="BL3" s="284"/>
      <c r="BM3" s="284"/>
      <c r="BN3" s="284"/>
      <c r="BO3" s="284"/>
      <c r="BP3" s="284"/>
      <c r="BQ3" s="284"/>
      <c r="BR3" s="284"/>
      <c r="BS3" s="284"/>
      <c r="BT3" s="284"/>
      <c r="BU3" s="284"/>
      <c r="BV3" s="284"/>
      <c r="BW3" s="284"/>
      <c r="BX3" s="284"/>
      <c r="BY3" s="284"/>
      <c r="BZ3" s="284"/>
      <c r="CA3" s="284"/>
      <c r="CB3" s="284"/>
    </row>
    <row r="4" spans="1:80" ht="27.75" customHeight="1" x14ac:dyDescent="0.2">
      <c r="A4" s="427">
        <v>2</v>
      </c>
      <c r="B4" s="287" t="s">
        <v>131</v>
      </c>
      <c r="C4" s="226" t="s">
        <v>133</v>
      </c>
      <c r="D4" s="288">
        <v>2</v>
      </c>
      <c r="E4" s="291" t="str">
        <f>VLOOKUP('Risk Only'!A4,'Descriptor maps'!$A$1:$F$1654,6,0)</f>
        <v>Country</v>
      </c>
      <c r="F4" s="289" t="s">
        <v>657</v>
      </c>
      <c r="G4" s="291" t="e" cm="1">
        <f t="array" ref="G4">INDEX('Descriptor maps'!$H$2:$H$1658,MATCH(1,('Descriptor maps'!$A$2:$A$1658='Risk Only'!$A4)*('Descriptor maps'!$G$2:$G$1658='Risk Only'!$F4),0))</f>
        <v>#N/A</v>
      </c>
      <c r="H4" s="292" t="e" cm="1">
        <f t="array" ref="H4">IF(ISNUMBER(F4)=TRUE,F4, INDEX('Descriptor maps'!$I$2:$I$1658,MATCH(1,('Descriptor maps'!$A$2:$A$1658='Risk Only'!$A4)*('Descriptor maps'!$G$2:$G$1658='Risk Only'!$F4),0)))</f>
        <v>#N/A</v>
      </c>
      <c r="I4" s="292" t="e" cm="1">
        <f t="array" ref="I4">INDEX('Descriptor maps'!$J$2:$J$1658,MATCH(1,('Descriptor maps'!$A$2:$A$1658=A4)*('Descriptor maps'!$G$2:$G$1658=F4),0))</f>
        <v>#N/A</v>
      </c>
      <c r="J4" s="442">
        <f t="shared" si="0"/>
        <v>0</v>
      </c>
      <c r="K4" s="293"/>
      <c r="L4" s="293"/>
      <c r="M4" s="293"/>
      <c r="N4" s="293"/>
      <c r="O4" s="293"/>
      <c r="P4" s="293"/>
      <c r="Q4" s="293"/>
      <c r="R4" s="293"/>
      <c r="S4" s="293"/>
      <c r="T4" s="293"/>
      <c r="U4" s="293"/>
      <c r="V4" s="293"/>
      <c r="W4" s="293"/>
      <c r="X4" s="293"/>
      <c r="Y4" s="293"/>
      <c r="Z4" s="293"/>
      <c r="AA4" s="293"/>
      <c r="AB4" s="293"/>
      <c r="AC4" s="293"/>
      <c r="AD4" s="293"/>
      <c r="AE4" s="293"/>
      <c r="AF4" s="293"/>
      <c r="AG4" s="293"/>
      <c r="AH4" s="293"/>
      <c r="AI4" s="293"/>
      <c r="AJ4" s="293"/>
      <c r="AK4" s="293"/>
      <c r="AL4" s="293"/>
      <c r="AM4" s="293"/>
      <c r="AN4" s="293"/>
      <c r="AO4" s="293"/>
      <c r="AP4" s="293"/>
      <c r="AQ4" s="293"/>
      <c r="AR4" s="293"/>
      <c r="AS4" s="293"/>
      <c r="AT4" s="293"/>
      <c r="AU4" s="293"/>
      <c r="AV4" s="293"/>
      <c r="AW4" s="293"/>
      <c r="AX4" s="293"/>
      <c r="AY4" s="293"/>
      <c r="AZ4" s="293"/>
      <c r="BA4" s="293"/>
      <c r="BB4" s="293"/>
      <c r="BC4" s="293"/>
      <c r="BD4" s="293"/>
      <c r="BE4" s="293"/>
      <c r="BF4" s="293"/>
      <c r="BG4" s="293"/>
      <c r="BH4" s="293"/>
      <c r="BI4" s="293"/>
      <c r="BJ4" s="293"/>
      <c r="BK4" s="293"/>
      <c r="BL4" s="293"/>
      <c r="BM4" s="293"/>
      <c r="BN4" s="293"/>
      <c r="BO4" s="293"/>
      <c r="BP4" s="293"/>
      <c r="BQ4" s="293"/>
      <c r="BR4" s="293"/>
      <c r="BS4" s="293"/>
      <c r="BT4" s="293"/>
      <c r="BU4" s="293"/>
      <c r="BV4" s="293"/>
      <c r="BW4" s="293"/>
      <c r="BX4" s="293"/>
      <c r="BY4" s="293"/>
      <c r="BZ4" s="293"/>
      <c r="CA4" s="293"/>
      <c r="CB4" s="293"/>
    </row>
    <row r="5" spans="1:80" ht="27.75" customHeight="1" x14ac:dyDescent="0.2">
      <c r="A5" s="427">
        <v>3</v>
      </c>
      <c r="B5" s="287" t="s">
        <v>131</v>
      </c>
      <c r="C5" s="226" t="s">
        <v>133</v>
      </c>
      <c r="D5" s="288">
        <v>2</v>
      </c>
      <c r="E5" s="291" t="str">
        <f>VLOOKUP('Risk Only'!A5,'Descriptor maps'!$A$1:$F$1654,6,0)</f>
        <v>City</v>
      </c>
      <c r="F5" s="289" t="s">
        <v>5</v>
      </c>
      <c r="G5" s="291" t="e" cm="1">
        <f t="array" ref="G5">INDEX('Descriptor maps'!$H$2:$H$1658,MATCH(1,('Descriptor maps'!$A$2:$A$1658='Risk Only'!$A5)*('Descriptor maps'!$G$2:$G$1658='Risk Only'!$F5),0))</f>
        <v>#N/A</v>
      </c>
      <c r="H5" s="292" t="e" cm="1">
        <f t="array" ref="H5">IF(ISNUMBER(F5)=TRUE,F5, INDEX('Descriptor maps'!$I$2:$I$1658,MATCH(1,('Descriptor maps'!$A$2:$A$1658='Risk Only'!$A5)*('Descriptor maps'!$G$2:$G$1658='Risk Only'!$F5),0)))</f>
        <v>#N/A</v>
      </c>
      <c r="I5" s="292" t="e" cm="1">
        <f t="array" ref="I5">INDEX('Descriptor maps'!$J$2:$J$1658,MATCH(1,('Descriptor maps'!$A$2:$A$1658=A5)*('Descriptor maps'!$G$2:$G$1658=F5),0))</f>
        <v>#N/A</v>
      </c>
      <c r="J5" s="442">
        <f t="shared" si="0"/>
        <v>0</v>
      </c>
      <c r="K5" s="293"/>
      <c r="L5" s="293"/>
      <c r="M5" s="293"/>
      <c r="N5" s="293"/>
      <c r="O5" s="293"/>
      <c r="P5" s="293"/>
      <c r="Q5" s="293"/>
      <c r="R5" s="293"/>
      <c r="S5" s="293"/>
      <c r="T5" s="293"/>
      <c r="U5" s="293"/>
      <c r="V5" s="293"/>
      <c r="W5" s="293"/>
      <c r="X5" s="293"/>
      <c r="Y5" s="293"/>
      <c r="Z5" s="293"/>
      <c r="AA5" s="293"/>
      <c r="AB5" s="293"/>
      <c r="AC5" s="293"/>
      <c r="AD5" s="293"/>
      <c r="AE5" s="293"/>
      <c r="AF5" s="293"/>
      <c r="AG5" s="293"/>
      <c r="AH5" s="293"/>
      <c r="AI5" s="293"/>
      <c r="AJ5" s="293"/>
      <c r="AK5" s="293"/>
      <c r="AL5" s="293"/>
      <c r="AM5" s="293"/>
      <c r="AN5" s="293"/>
      <c r="AO5" s="293"/>
      <c r="AP5" s="293"/>
      <c r="AQ5" s="293"/>
      <c r="AR5" s="293"/>
      <c r="AS5" s="293"/>
      <c r="AT5" s="293"/>
      <c r="AU5" s="293"/>
      <c r="AV5" s="293"/>
      <c r="AW5" s="293"/>
      <c r="AX5" s="293"/>
      <c r="AY5" s="293"/>
      <c r="AZ5" s="293"/>
      <c r="BA5" s="293"/>
      <c r="BB5" s="293"/>
      <c r="BC5" s="293"/>
      <c r="BD5" s="293"/>
      <c r="BE5" s="293"/>
      <c r="BF5" s="293"/>
      <c r="BG5" s="293"/>
      <c r="BH5" s="293"/>
      <c r="BI5" s="293"/>
      <c r="BJ5" s="293"/>
      <c r="BK5" s="293"/>
      <c r="BL5" s="293"/>
      <c r="BM5" s="293"/>
      <c r="BN5" s="293"/>
      <c r="BO5" s="293"/>
      <c r="BP5" s="293"/>
      <c r="BQ5" s="293"/>
      <c r="BR5" s="293"/>
      <c r="BS5" s="293"/>
      <c r="BT5" s="293"/>
      <c r="BU5" s="293"/>
      <c r="BV5" s="293"/>
      <c r="BW5" s="293"/>
      <c r="BX5" s="293"/>
      <c r="BY5" s="293"/>
      <c r="BZ5" s="293"/>
      <c r="CA5" s="293"/>
      <c r="CB5" s="293"/>
    </row>
    <row r="6" spans="1:80" ht="27.75" customHeight="1" x14ac:dyDescent="0.2">
      <c r="A6" s="427">
        <v>4</v>
      </c>
      <c r="B6" s="287" t="s">
        <v>131</v>
      </c>
      <c r="C6" s="226" t="s">
        <v>133</v>
      </c>
      <c r="D6" s="288">
        <v>2</v>
      </c>
      <c r="E6" s="291" t="str">
        <f>VLOOKUP('Risk Only'!A6,'Descriptor maps'!$A$1:$F$1654,6,0)</f>
        <v>Site/Operation</v>
      </c>
      <c r="F6" s="289" t="s">
        <v>5</v>
      </c>
      <c r="G6" s="291" t="e" cm="1">
        <f t="array" ref="G6">INDEX('Descriptor maps'!$H$2:$H$1658,MATCH(1,('Descriptor maps'!$A$2:$A$1658='Risk Only'!$A6)*('Descriptor maps'!$G$2:$G$1658='Risk Only'!$F6),0))</f>
        <v>#N/A</v>
      </c>
      <c r="H6" s="292" t="e" cm="1">
        <f t="array" ref="H6">IF(ISNUMBER(F6)=TRUE,F6, INDEX('Descriptor maps'!$I$2:$I$1658,MATCH(1,('Descriptor maps'!$A$2:$A$1658='Risk Only'!$A6)*('Descriptor maps'!$G$2:$G$1658='Risk Only'!$F6),0)))</f>
        <v>#N/A</v>
      </c>
      <c r="I6" s="292" t="e" cm="1">
        <f t="array" ref="I6">INDEX('Descriptor maps'!$J$2:$J$1658,MATCH(1,('Descriptor maps'!$A$2:$A$1658=A6)*('Descriptor maps'!$G$2:$G$1658=F6),0))</f>
        <v>#N/A</v>
      </c>
      <c r="J6" s="442">
        <f t="shared" si="0"/>
        <v>0</v>
      </c>
      <c r="K6" s="293"/>
      <c r="L6" s="293"/>
      <c r="M6" s="293"/>
      <c r="N6" s="293"/>
      <c r="O6" s="293"/>
      <c r="P6" s="293"/>
      <c r="Q6" s="293"/>
      <c r="R6" s="293"/>
      <c r="S6" s="293"/>
      <c r="T6" s="293"/>
      <c r="U6" s="293"/>
      <c r="V6" s="293"/>
      <c r="W6" s="293"/>
      <c r="X6" s="293"/>
      <c r="Y6" s="293"/>
      <c r="Z6" s="293"/>
      <c r="AA6" s="293"/>
      <c r="AB6" s="293"/>
      <c r="AC6" s="293"/>
      <c r="AD6" s="293"/>
      <c r="AE6" s="293"/>
      <c r="AF6" s="293"/>
      <c r="AG6" s="293"/>
      <c r="AH6" s="293"/>
      <c r="AI6" s="293"/>
      <c r="AJ6" s="293"/>
      <c r="AK6" s="293"/>
      <c r="AL6" s="293"/>
      <c r="AM6" s="293"/>
      <c r="AN6" s="293"/>
      <c r="AO6" s="293"/>
      <c r="AP6" s="293"/>
      <c r="AQ6" s="293"/>
      <c r="AR6" s="293"/>
      <c r="AS6" s="293"/>
      <c r="AT6" s="293"/>
      <c r="AU6" s="293"/>
      <c r="AV6" s="293"/>
      <c r="AW6" s="293"/>
      <c r="AX6" s="293"/>
      <c r="AY6" s="293"/>
      <c r="AZ6" s="293"/>
      <c r="BA6" s="293"/>
      <c r="BB6" s="293"/>
      <c r="BC6" s="293"/>
      <c r="BD6" s="293"/>
      <c r="BE6" s="293"/>
      <c r="BF6" s="293"/>
      <c r="BG6" s="293"/>
      <c r="BH6" s="293"/>
      <c r="BI6" s="293"/>
      <c r="BJ6" s="293"/>
      <c r="BK6" s="293"/>
      <c r="BL6" s="293"/>
      <c r="BM6" s="293"/>
      <c r="BN6" s="293"/>
      <c r="BO6" s="293"/>
      <c r="BP6" s="293"/>
      <c r="BQ6" s="293"/>
      <c r="BR6" s="293"/>
      <c r="BS6" s="293"/>
      <c r="BT6" s="293"/>
      <c r="BU6" s="293"/>
      <c r="BV6" s="293"/>
      <c r="BW6" s="293"/>
      <c r="BX6" s="293"/>
      <c r="BY6" s="293"/>
      <c r="BZ6" s="293"/>
      <c r="CA6" s="293"/>
      <c r="CB6" s="293"/>
    </row>
    <row r="7" spans="1:80" ht="27.75" customHeight="1" x14ac:dyDescent="0.2">
      <c r="A7" s="427">
        <v>64</v>
      </c>
      <c r="B7" s="287" t="s">
        <v>131</v>
      </c>
      <c r="C7" s="226" t="s">
        <v>141</v>
      </c>
      <c r="D7" s="288">
        <v>4</v>
      </c>
      <c r="E7" s="291" t="str">
        <f>VLOOKUP('Risk Only'!A7,'Descriptor maps'!$A$1:$F$1654,6,0)</f>
        <v>Name of Embankment</v>
      </c>
      <c r="F7" s="289" t="s">
        <v>0</v>
      </c>
      <c r="G7" s="291" t="e" cm="1">
        <f t="array" ref="G7">INDEX('Descriptor maps'!$H$2:$H$1658,MATCH(1,('Descriptor maps'!$A$2:$A$1658='Risk Only'!$A7)*('Descriptor maps'!$G$2:$G$1658='Risk Only'!$F7),0))</f>
        <v>#N/A</v>
      </c>
      <c r="H7" s="292" t="e" cm="1">
        <f t="array" ref="H7">IF(ISNUMBER(F7)=TRUE,F7, INDEX('Descriptor maps'!$I$2:$I$1658,MATCH(1,('Descriptor maps'!$A$2:$A$1658='Risk Only'!$A7)*('Descriptor maps'!$G$2:$G$1658='Risk Only'!$F7),0)))</f>
        <v>#N/A</v>
      </c>
      <c r="I7" s="292" t="e" cm="1">
        <f t="array" ref="I7">INDEX('Descriptor maps'!$J$2:$J$1658,MATCH(1,('Descriptor maps'!$A$2:$A$1658=A7)*('Descriptor maps'!$G$2:$G$1658=F7),0))</f>
        <v>#N/A</v>
      </c>
      <c r="J7" s="442">
        <f t="shared" si="0"/>
        <v>0</v>
      </c>
      <c r="K7" s="293"/>
      <c r="L7" s="293"/>
      <c r="M7" s="293"/>
      <c r="N7" s="293"/>
      <c r="O7" s="293"/>
      <c r="P7" s="293"/>
      <c r="Q7" s="293"/>
      <c r="R7" s="293"/>
      <c r="S7" s="293"/>
      <c r="T7" s="293"/>
      <c r="U7" s="293"/>
      <c r="V7" s="293"/>
      <c r="W7" s="293"/>
      <c r="X7" s="293"/>
      <c r="Y7" s="293"/>
      <c r="Z7" s="293"/>
      <c r="AA7" s="293"/>
      <c r="AB7" s="293"/>
      <c r="AC7" s="293"/>
      <c r="AD7" s="293"/>
      <c r="AE7" s="293"/>
      <c r="AF7" s="293"/>
      <c r="AG7" s="293"/>
      <c r="AH7" s="293"/>
      <c r="AI7" s="293"/>
      <c r="AJ7" s="293"/>
      <c r="AK7" s="293"/>
      <c r="AL7" s="293"/>
      <c r="AM7" s="293"/>
      <c r="AN7" s="293"/>
      <c r="AO7" s="293"/>
      <c r="AP7" s="293"/>
      <c r="AQ7" s="293"/>
      <c r="AR7" s="293"/>
      <c r="AS7" s="293"/>
      <c r="AT7" s="293"/>
      <c r="AU7" s="293"/>
      <c r="AV7" s="293"/>
      <c r="AW7" s="293"/>
      <c r="AX7" s="293"/>
      <c r="AY7" s="293"/>
      <c r="AZ7" s="293"/>
      <c r="BA7" s="293"/>
      <c r="BB7" s="293"/>
      <c r="BC7" s="293"/>
      <c r="BD7" s="293"/>
      <c r="BE7" s="293"/>
      <c r="BF7" s="293"/>
      <c r="BG7" s="293"/>
      <c r="BH7" s="293"/>
      <c r="BI7" s="293"/>
      <c r="BJ7" s="293"/>
      <c r="BK7" s="293"/>
      <c r="BL7" s="293"/>
      <c r="BM7" s="293"/>
      <c r="BN7" s="293"/>
      <c r="BO7" s="293"/>
      <c r="BP7" s="293"/>
      <c r="BQ7" s="293"/>
      <c r="BR7" s="293"/>
      <c r="BS7" s="293"/>
      <c r="BT7" s="293"/>
      <c r="BU7" s="293"/>
      <c r="BV7" s="293"/>
      <c r="BW7" s="293"/>
      <c r="BX7" s="293"/>
      <c r="BY7" s="293"/>
      <c r="BZ7" s="293"/>
      <c r="CA7" s="293"/>
      <c r="CB7" s="293"/>
    </row>
    <row r="8" spans="1:80" ht="27.75" customHeight="1" x14ac:dyDescent="0.2">
      <c r="A8" s="427">
        <v>11</v>
      </c>
      <c r="B8" s="287" t="s">
        <v>131</v>
      </c>
      <c r="C8" s="226" t="s">
        <v>137</v>
      </c>
      <c r="D8" s="288">
        <v>3</v>
      </c>
      <c r="E8" s="291" t="str">
        <f>VLOOKUP('Risk Only'!A8,'Descriptor maps'!$A$1:$F$1654,6,0)</f>
        <v>ANCOLD Consequence Category</v>
      </c>
      <c r="F8" s="289" t="s">
        <v>660</v>
      </c>
      <c r="G8" s="291" cm="1">
        <f t="array" ref="G8">INDEX('Descriptor maps'!$H$2:$H$1658,MATCH(1,('Descriptor maps'!$A$2:$A$1658='Risk Only'!$A8)*('Descriptor maps'!$G$2:$G$1658='Risk Only'!$F8),0))</f>
        <v>0</v>
      </c>
      <c r="H8" s="292" cm="1">
        <f t="array" ref="H8">IF(ISNUMBER(F8)=TRUE,F8, INDEX('Descriptor maps'!$I$2:$I$1658,MATCH(1,('Descriptor maps'!$A$2:$A$1658='Risk Only'!$A8)*('Descriptor maps'!$G$2:$G$1658='Risk Only'!$F8),0)))</f>
        <v>0</v>
      </c>
      <c r="I8" s="292" cm="1">
        <f t="array" ref="I8">INDEX('Descriptor maps'!$J$2:$J$1658,MATCH(1,('Descriptor maps'!$A$2:$A$1658=A8)*('Descriptor maps'!$G$2:$G$1658=F8),0))</f>
        <v>0</v>
      </c>
      <c r="J8" s="442">
        <f t="shared" si="0"/>
        <v>0</v>
      </c>
      <c r="K8" s="293"/>
      <c r="L8" s="293"/>
      <c r="M8" s="293"/>
      <c r="N8" s="293"/>
      <c r="O8" s="293"/>
      <c r="P8" s="293"/>
      <c r="Q8" s="293"/>
      <c r="R8" s="293"/>
      <c r="S8" s="293"/>
      <c r="T8" s="293"/>
      <c r="U8" s="293"/>
      <c r="V8" s="293"/>
      <c r="W8" s="293"/>
      <c r="X8" s="293"/>
      <c r="Y8" s="293"/>
      <c r="Z8" s="293"/>
      <c r="AA8" s="293"/>
      <c r="AB8" s="293"/>
      <c r="AC8" s="293"/>
      <c r="AD8" s="293"/>
      <c r="AE8" s="293"/>
      <c r="AF8" s="293"/>
      <c r="AG8" s="293"/>
      <c r="AH8" s="293"/>
      <c r="AI8" s="293"/>
      <c r="AJ8" s="293"/>
      <c r="AK8" s="293"/>
      <c r="AL8" s="293"/>
      <c r="AM8" s="293"/>
      <c r="AN8" s="293"/>
      <c r="AO8" s="293"/>
      <c r="AP8" s="293"/>
      <c r="AQ8" s="293"/>
      <c r="AR8" s="293"/>
      <c r="AS8" s="293"/>
      <c r="AT8" s="293"/>
      <c r="AU8" s="293"/>
      <c r="AV8" s="293"/>
      <c r="AW8" s="293"/>
      <c r="AX8" s="293"/>
      <c r="AY8" s="293"/>
      <c r="AZ8" s="293"/>
      <c r="BA8" s="293"/>
      <c r="BB8" s="293"/>
      <c r="BC8" s="293"/>
      <c r="BD8" s="293"/>
      <c r="BE8" s="293"/>
      <c r="BF8" s="293"/>
      <c r="BG8" s="293"/>
      <c r="BH8" s="293"/>
      <c r="BI8" s="293"/>
      <c r="BJ8" s="293"/>
      <c r="BK8" s="293"/>
      <c r="BL8" s="293"/>
      <c r="BM8" s="293"/>
      <c r="BN8" s="293"/>
      <c r="BO8" s="293"/>
      <c r="BP8" s="293"/>
      <c r="BQ8" s="293"/>
      <c r="BR8" s="293"/>
      <c r="BS8" s="293"/>
      <c r="BT8" s="293"/>
      <c r="BU8" s="293"/>
      <c r="BV8" s="293"/>
      <c r="BW8" s="293"/>
      <c r="BX8" s="293"/>
      <c r="BY8" s="293"/>
      <c r="BZ8" s="293"/>
      <c r="CA8" s="293"/>
      <c r="CB8" s="293"/>
    </row>
    <row r="9" spans="1:80" ht="27.75" customHeight="1" x14ac:dyDescent="0.2">
      <c r="A9" s="427">
        <v>13</v>
      </c>
      <c r="B9" s="287" t="s">
        <v>131</v>
      </c>
      <c r="C9" s="226" t="s">
        <v>137</v>
      </c>
      <c r="D9" s="288">
        <v>3</v>
      </c>
      <c r="E9" s="291" t="str">
        <f>VLOOKUP('Risk Only'!A9,'Descriptor maps'!$A$1:$F$1654,6,0)</f>
        <v>Population at Risk (Flood Failure)</v>
      </c>
      <c r="F9" s="289">
        <v>100</v>
      </c>
      <c r="G9" s="291" t="e" cm="1">
        <f t="array" ref="G9">INDEX('Descriptor maps'!$H$2:$H$1658,MATCH(1,('Descriptor maps'!$A$2:$A$1658='Risk Only'!$A9)*('Descriptor maps'!$G$2:$G$1658='Risk Only'!$F9),0))</f>
        <v>#N/A</v>
      </c>
      <c r="H9" s="292" cm="1">
        <f t="array" ref="H9">IF(ISNUMBER(F9)=TRUE,F9, INDEX('Descriptor maps'!$I$2:$I$1658,MATCH(1,('Descriptor maps'!$A$2:$A$1658='Risk Only'!$A9)*('Descriptor maps'!$G$2:$G$1658='Risk Only'!$F9),0)))</f>
        <v>100</v>
      </c>
      <c r="I9" s="292" t="e" cm="1">
        <f t="array" ref="I9">INDEX('Descriptor maps'!$J$2:$J$1658,MATCH(1,('Descriptor maps'!$A$2:$A$1658=A9)*('Descriptor maps'!$G$2:$G$1658=F9),0))</f>
        <v>#N/A</v>
      </c>
      <c r="J9" s="442">
        <f t="shared" si="0"/>
        <v>0</v>
      </c>
      <c r="K9" s="293"/>
      <c r="L9" s="293"/>
      <c r="M9" s="293"/>
      <c r="N9" s="293"/>
      <c r="O9" s="293"/>
      <c r="P9" s="293"/>
      <c r="Q9" s="293"/>
      <c r="R9" s="293"/>
      <c r="S9" s="293"/>
      <c r="T9" s="293"/>
      <c r="U9" s="293"/>
      <c r="V9" s="293"/>
      <c r="W9" s="293"/>
      <c r="X9" s="293"/>
      <c r="Y9" s="293"/>
      <c r="Z9" s="293"/>
      <c r="AA9" s="293"/>
      <c r="AB9" s="293"/>
      <c r="AC9" s="293"/>
      <c r="AD9" s="293"/>
      <c r="AE9" s="293"/>
      <c r="AF9" s="293"/>
      <c r="AG9" s="293"/>
      <c r="AH9" s="293"/>
      <c r="AI9" s="293"/>
      <c r="AJ9" s="293"/>
      <c r="AK9" s="293"/>
      <c r="AL9" s="293"/>
      <c r="AM9" s="293"/>
      <c r="AN9" s="293"/>
      <c r="AO9" s="293"/>
      <c r="AP9" s="293"/>
      <c r="AQ9" s="293"/>
      <c r="AR9" s="293"/>
      <c r="AS9" s="293"/>
      <c r="AT9" s="293"/>
      <c r="AU9" s="293"/>
      <c r="AV9" s="293"/>
      <c r="AW9" s="293"/>
      <c r="AX9" s="293"/>
      <c r="AY9" s="293"/>
      <c r="AZ9" s="293"/>
      <c r="BA9" s="293"/>
      <c r="BB9" s="293"/>
      <c r="BC9" s="293"/>
      <c r="BD9" s="293"/>
      <c r="BE9" s="293"/>
      <c r="BF9" s="293"/>
      <c r="BG9" s="293"/>
      <c r="BH9" s="293"/>
      <c r="BI9" s="293"/>
      <c r="BJ9" s="293"/>
      <c r="BK9" s="293"/>
      <c r="BL9" s="293"/>
      <c r="BM9" s="293"/>
      <c r="BN9" s="293"/>
      <c r="BO9" s="293"/>
      <c r="BP9" s="293"/>
      <c r="BQ9" s="293"/>
      <c r="BR9" s="293"/>
      <c r="BS9" s="293"/>
      <c r="BT9" s="293"/>
      <c r="BU9" s="293"/>
      <c r="BV9" s="293"/>
      <c r="BW9" s="293"/>
      <c r="BX9" s="293"/>
      <c r="BY9" s="293"/>
      <c r="BZ9" s="293"/>
      <c r="CA9" s="293"/>
      <c r="CB9" s="293"/>
    </row>
    <row r="10" spans="1:80" ht="27.75" customHeight="1" x14ac:dyDescent="0.2">
      <c r="A10" s="427">
        <v>14</v>
      </c>
      <c r="B10" s="287" t="s">
        <v>131</v>
      </c>
      <c r="C10" s="226" t="s">
        <v>137</v>
      </c>
      <c r="D10" s="288">
        <v>3</v>
      </c>
      <c r="E10" s="291" t="str">
        <f>VLOOKUP('Risk Only'!A10,'Descriptor maps'!$A$1:$F$1654,6,0)</f>
        <v>Population at Risk (Sunny Day Failure)</v>
      </c>
      <c r="F10" s="289">
        <v>100</v>
      </c>
      <c r="G10" s="291" t="e" cm="1">
        <f t="array" ref="G10">INDEX('Descriptor maps'!$H$2:$H$1658,MATCH(1,('Descriptor maps'!$A$2:$A$1658='Risk Only'!$A10)*('Descriptor maps'!$G$2:$G$1658='Risk Only'!$F10),0))</f>
        <v>#N/A</v>
      </c>
      <c r="H10" s="292" cm="1">
        <f t="array" ref="H10">IF(ISNUMBER(F10)=TRUE,F10, INDEX('Descriptor maps'!$I$2:$I$1658,MATCH(1,('Descriptor maps'!$A$2:$A$1658='Risk Only'!$A10)*('Descriptor maps'!$G$2:$G$1658='Risk Only'!$F10),0)))</f>
        <v>100</v>
      </c>
      <c r="I10" s="292" t="e" cm="1">
        <f t="array" ref="I10">INDEX('Descriptor maps'!$J$2:$J$1658,MATCH(1,('Descriptor maps'!$A$2:$A$1658=A10)*('Descriptor maps'!$G$2:$G$1658=F10),0))</f>
        <v>#N/A</v>
      </c>
      <c r="J10" s="442">
        <f t="shared" si="0"/>
        <v>0</v>
      </c>
      <c r="K10" s="293"/>
      <c r="L10" s="293"/>
      <c r="M10" s="293"/>
      <c r="N10" s="293"/>
      <c r="O10" s="293"/>
      <c r="P10" s="293"/>
      <c r="Q10" s="293"/>
      <c r="R10" s="293"/>
      <c r="S10" s="293"/>
      <c r="T10" s="293"/>
      <c r="U10" s="293"/>
      <c r="V10" s="293"/>
      <c r="W10" s="293"/>
      <c r="X10" s="293"/>
      <c r="Y10" s="293"/>
      <c r="Z10" s="293"/>
      <c r="AA10" s="293"/>
      <c r="AB10" s="293"/>
      <c r="AC10" s="293"/>
      <c r="AD10" s="293"/>
      <c r="AE10" s="293"/>
      <c r="AF10" s="293"/>
      <c r="AG10" s="293"/>
      <c r="AH10" s="293"/>
      <c r="AI10" s="293"/>
      <c r="AJ10" s="293"/>
      <c r="AK10" s="293"/>
      <c r="AL10" s="293"/>
      <c r="AM10" s="293"/>
      <c r="AN10" s="293"/>
      <c r="AO10" s="293"/>
      <c r="AP10" s="293"/>
      <c r="AQ10" s="293"/>
      <c r="AR10" s="293"/>
      <c r="AS10" s="293"/>
      <c r="AT10" s="293"/>
      <c r="AU10" s="293"/>
      <c r="AV10" s="293"/>
      <c r="AW10" s="293"/>
      <c r="AX10" s="293"/>
      <c r="AY10" s="293"/>
      <c r="AZ10" s="293"/>
      <c r="BA10" s="293"/>
      <c r="BB10" s="293"/>
      <c r="BC10" s="293"/>
      <c r="BD10" s="293"/>
      <c r="BE10" s="293"/>
      <c r="BF10" s="293"/>
      <c r="BG10" s="293"/>
      <c r="BH10" s="293"/>
      <c r="BI10" s="293"/>
      <c r="BJ10" s="293"/>
      <c r="BK10" s="293"/>
      <c r="BL10" s="293"/>
      <c r="BM10" s="293"/>
      <c r="BN10" s="293"/>
      <c r="BO10" s="293"/>
      <c r="BP10" s="293"/>
      <c r="BQ10" s="293"/>
      <c r="BR10" s="293"/>
      <c r="BS10" s="293"/>
      <c r="BT10" s="293"/>
      <c r="BU10" s="293"/>
      <c r="BV10" s="293"/>
      <c r="BW10" s="293"/>
      <c r="BX10" s="293"/>
      <c r="BY10" s="293"/>
      <c r="BZ10" s="293"/>
      <c r="CA10" s="293"/>
      <c r="CB10" s="293"/>
    </row>
    <row r="11" spans="1:80" ht="27.75" customHeight="1" x14ac:dyDescent="0.2">
      <c r="A11" s="427">
        <v>463</v>
      </c>
      <c r="B11" s="287" t="s">
        <v>174</v>
      </c>
      <c r="C11" s="226" t="s">
        <v>191</v>
      </c>
      <c r="D11" s="288">
        <v>8</v>
      </c>
      <c r="E11" s="291" t="str">
        <f>VLOOKUP('Risk Only'!A11,'Descriptor maps'!$A$1:$F$1654,6,0)</f>
        <v>Incremental Potential Loss of Life (Flood Failure)</v>
      </c>
      <c r="F11" s="289">
        <v>10</v>
      </c>
      <c r="G11" s="291" t="e" cm="1">
        <f t="array" ref="G11">INDEX('Descriptor maps'!$H$2:$H$1658,MATCH(1,('Descriptor maps'!$A$2:$A$1658='Risk Only'!$A11)*('Descriptor maps'!$G$2:$G$1658='Risk Only'!$F11),0))</f>
        <v>#N/A</v>
      </c>
      <c r="H11" s="292" cm="1">
        <f t="array" ref="H11">IF(ISNUMBER(F11)=TRUE,F11, INDEX('Descriptor maps'!$I$2:$I$1658,MATCH(1,('Descriptor maps'!$A$2:$A$1658='Risk Only'!$A11)*('Descriptor maps'!$G$2:$G$1658='Risk Only'!$F11),0)))</f>
        <v>10</v>
      </c>
      <c r="I11" s="292" t="e" cm="1">
        <f t="array" ref="I11">INDEX('Descriptor maps'!$J$2:$J$1658,MATCH(1,('Descriptor maps'!$A$2:$A$1658=A11)*('Descriptor maps'!$G$2:$G$1658=F11),0))</f>
        <v>#N/A</v>
      </c>
      <c r="J11" s="442">
        <f t="shared" si="0"/>
        <v>0</v>
      </c>
      <c r="K11" s="293"/>
      <c r="L11" s="293"/>
      <c r="M11" s="293"/>
      <c r="N11" s="293"/>
      <c r="O11" s="293"/>
      <c r="P11" s="293"/>
      <c r="Q11" s="293"/>
      <c r="R11" s="293"/>
      <c r="S11" s="293"/>
      <c r="T11" s="293"/>
      <c r="U11" s="293"/>
      <c r="V11" s="293"/>
      <c r="W11" s="293"/>
      <c r="X11" s="293"/>
      <c r="Y11" s="293"/>
      <c r="Z11" s="293"/>
      <c r="AA11" s="293"/>
      <c r="AB11" s="293"/>
      <c r="AC11" s="293"/>
      <c r="AD11" s="293"/>
      <c r="AE11" s="293"/>
      <c r="AF11" s="293"/>
      <c r="AG11" s="293"/>
      <c r="AH11" s="293"/>
      <c r="AI11" s="293"/>
      <c r="AJ11" s="293"/>
      <c r="AK11" s="293"/>
      <c r="AL11" s="293"/>
      <c r="AM11" s="293"/>
      <c r="AN11" s="293"/>
      <c r="AO11" s="293"/>
      <c r="AP11" s="293"/>
      <c r="AQ11" s="293"/>
      <c r="AR11" s="293"/>
      <c r="AS11" s="293"/>
      <c r="AT11" s="293"/>
      <c r="AU11" s="293"/>
      <c r="AV11" s="293"/>
      <c r="AW11" s="293"/>
      <c r="AX11" s="293"/>
      <c r="AY11" s="293"/>
      <c r="AZ11" s="293"/>
      <c r="BA11" s="293"/>
      <c r="BB11" s="293"/>
      <c r="BC11" s="293"/>
      <c r="BD11" s="293"/>
      <c r="BE11" s="293"/>
      <c r="BF11" s="293"/>
      <c r="BG11" s="293"/>
      <c r="BH11" s="293"/>
      <c r="BI11" s="293"/>
      <c r="BJ11" s="293"/>
      <c r="BK11" s="293"/>
      <c r="BL11" s="293"/>
      <c r="BM11" s="293"/>
      <c r="BN11" s="293"/>
      <c r="BO11" s="293"/>
      <c r="BP11" s="293"/>
      <c r="BQ11" s="293"/>
      <c r="BR11" s="293"/>
      <c r="BS11" s="293"/>
      <c r="BT11" s="293"/>
      <c r="BU11" s="293"/>
      <c r="BV11" s="293"/>
      <c r="BW11" s="293"/>
      <c r="BX11" s="293"/>
      <c r="BY11" s="293"/>
      <c r="BZ11" s="293"/>
      <c r="CA11" s="293"/>
      <c r="CB11" s="293"/>
    </row>
    <row r="12" spans="1:80" ht="27.75" customHeight="1" x14ac:dyDescent="0.2">
      <c r="A12" s="427">
        <v>464</v>
      </c>
      <c r="B12" s="287" t="s">
        <v>174</v>
      </c>
      <c r="C12" s="226" t="s">
        <v>191</v>
      </c>
      <c r="D12" s="288">
        <v>8</v>
      </c>
      <c r="E12" s="291" t="str">
        <f>VLOOKUP('Risk Only'!A12,'Descriptor maps'!$A$1:$F$1654,6,0)</f>
        <v>Incremental Potential Loss of Life (Sunny Day Failure)</v>
      </c>
      <c r="F12" s="289">
        <v>10</v>
      </c>
      <c r="G12" s="291" t="e" cm="1">
        <f t="array" ref="G12">INDEX('Descriptor maps'!$H$2:$H$1658,MATCH(1,('Descriptor maps'!$A$2:$A$1658='Risk Only'!$A12)*('Descriptor maps'!$G$2:$G$1658='Risk Only'!$F12),0))</f>
        <v>#N/A</v>
      </c>
      <c r="H12" s="292" cm="1">
        <f t="array" ref="H12">IF(ISNUMBER(F12)=TRUE,F12, INDEX('Descriptor maps'!$I$2:$I$1658,MATCH(1,('Descriptor maps'!$A$2:$A$1658='Risk Only'!$A12)*('Descriptor maps'!$G$2:$G$1658='Risk Only'!$F12),0)))</f>
        <v>10</v>
      </c>
      <c r="I12" s="292" t="e" cm="1">
        <f t="array" ref="I12">INDEX('Descriptor maps'!$J$2:$J$1658,MATCH(1,('Descriptor maps'!$A$2:$A$1658=A12)*('Descriptor maps'!$G$2:$G$1658=F12),0))</f>
        <v>#N/A</v>
      </c>
      <c r="J12" s="442">
        <f t="shared" si="0"/>
        <v>0</v>
      </c>
      <c r="K12" s="293"/>
      <c r="L12" s="293"/>
      <c r="M12" s="293"/>
      <c r="N12" s="293"/>
      <c r="O12" s="293"/>
      <c r="P12" s="293"/>
      <c r="Q12" s="293"/>
      <c r="R12" s="293"/>
      <c r="S12" s="293"/>
      <c r="T12" s="293"/>
      <c r="U12" s="293"/>
      <c r="V12" s="293"/>
      <c r="W12" s="293"/>
      <c r="X12" s="293"/>
      <c r="Y12" s="293"/>
      <c r="Z12" s="293"/>
      <c r="AA12" s="293"/>
      <c r="AB12" s="293"/>
      <c r="AC12" s="293"/>
      <c r="AD12" s="293"/>
      <c r="AE12" s="293"/>
      <c r="AF12" s="293"/>
      <c r="AG12" s="293"/>
      <c r="AH12" s="293"/>
      <c r="AI12" s="293"/>
      <c r="AJ12" s="293"/>
      <c r="AK12" s="293"/>
      <c r="AL12" s="293"/>
      <c r="AM12" s="293"/>
      <c r="AN12" s="293"/>
      <c r="AO12" s="293"/>
      <c r="AP12" s="293"/>
      <c r="AQ12" s="293"/>
      <c r="AR12" s="293"/>
      <c r="AS12" s="293"/>
      <c r="AT12" s="293"/>
      <c r="AU12" s="293"/>
      <c r="AV12" s="293"/>
      <c r="AW12" s="293"/>
      <c r="AX12" s="293"/>
      <c r="AY12" s="293"/>
      <c r="AZ12" s="293"/>
      <c r="BA12" s="293"/>
      <c r="BB12" s="293"/>
      <c r="BC12" s="293"/>
      <c r="BD12" s="293"/>
      <c r="BE12" s="293"/>
      <c r="BF12" s="293"/>
      <c r="BG12" s="293"/>
      <c r="BH12" s="293"/>
      <c r="BI12" s="293"/>
      <c r="BJ12" s="293"/>
      <c r="BK12" s="293"/>
      <c r="BL12" s="293"/>
      <c r="BM12" s="293"/>
      <c r="BN12" s="293"/>
      <c r="BO12" s="293"/>
      <c r="BP12" s="293"/>
      <c r="BQ12" s="293"/>
      <c r="BR12" s="293"/>
      <c r="BS12" s="293"/>
      <c r="BT12" s="293"/>
      <c r="BU12" s="293"/>
      <c r="BV12" s="293"/>
      <c r="BW12" s="293"/>
      <c r="BX12" s="293"/>
      <c r="BY12" s="293"/>
      <c r="BZ12" s="293"/>
      <c r="CA12" s="293"/>
      <c r="CB12" s="293"/>
    </row>
    <row r="13" spans="1:80" ht="27.75" customHeight="1" x14ac:dyDescent="0.2">
      <c r="A13" s="427">
        <v>17</v>
      </c>
      <c r="B13" s="287" t="s">
        <v>131</v>
      </c>
      <c r="C13" s="226" t="s">
        <v>141</v>
      </c>
      <c r="D13" s="288">
        <v>4</v>
      </c>
      <c r="E13" s="291" t="str">
        <f>VLOOKUP('Risk Only'!A13,'Descriptor maps'!$A$1:$F$1654,6,0)</f>
        <v>Was the embankment raised in the last five years?</v>
      </c>
      <c r="F13" s="289" t="s">
        <v>8</v>
      </c>
      <c r="G13" s="291" cm="1">
        <f t="array" ref="G13">INDEX('Descriptor maps'!$H$2:$H$1658,MATCH(1,('Descriptor maps'!$A$2:$A$1658='Risk Only'!$A13)*('Descriptor maps'!$G$2:$G$1658='Risk Only'!$F13),0))</f>
        <v>4</v>
      </c>
      <c r="H13" s="292" cm="1">
        <f t="array" ref="H13">IF(ISNUMBER(F13)=TRUE,F13, INDEX('Descriptor maps'!$I$2:$I$1658,MATCH(1,('Descriptor maps'!$A$2:$A$1658='Risk Only'!$A13)*('Descriptor maps'!$G$2:$G$1658='Risk Only'!$F13),0)))</f>
        <v>0</v>
      </c>
      <c r="I13" s="292" cm="1">
        <f t="array" ref="I13">INDEX('Descriptor maps'!$J$2:$J$1658,MATCH(1,('Descriptor maps'!$A$2:$A$1658=A13)*('Descriptor maps'!$G$2:$G$1658=F13),0))</f>
        <v>0</v>
      </c>
      <c r="J13" s="442">
        <f t="shared" si="0"/>
        <v>3</v>
      </c>
      <c r="K13" s="293"/>
      <c r="L13" s="293"/>
      <c r="M13" s="293"/>
      <c r="N13" s="293"/>
      <c r="O13" s="293"/>
      <c r="P13" s="293"/>
      <c r="Q13" s="293"/>
      <c r="R13" s="293"/>
      <c r="S13" s="293"/>
      <c r="T13" s="293"/>
      <c r="U13" s="293"/>
      <c r="V13" s="293"/>
      <c r="W13" s="293"/>
      <c r="X13" s="293"/>
      <c r="Y13" s="293"/>
      <c r="Z13" s="293"/>
      <c r="AA13" s="293"/>
      <c r="AB13" s="293"/>
      <c r="AC13" s="293"/>
      <c r="AD13" s="293"/>
      <c r="AE13" s="293"/>
      <c r="AF13" s="293"/>
      <c r="AG13" s="293"/>
      <c r="AH13" s="293"/>
      <c r="AI13" s="293"/>
      <c r="AJ13" s="293"/>
      <c r="AK13" s="293"/>
      <c r="AL13" s="293"/>
      <c r="AM13" s="293"/>
      <c r="AN13" s="293"/>
      <c r="AO13" s="293"/>
      <c r="AP13" s="293"/>
      <c r="AQ13" s="293">
        <f>1*H13</f>
        <v>0</v>
      </c>
      <c r="AR13" s="293"/>
      <c r="AS13" s="293"/>
      <c r="AT13" s="293"/>
      <c r="AU13" s="293"/>
      <c r="AV13" s="293"/>
      <c r="AW13" s="293"/>
      <c r="AX13" s="293"/>
      <c r="AY13" s="293"/>
      <c r="AZ13" s="293"/>
      <c r="BA13" s="293"/>
      <c r="BB13" s="293"/>
      <c r="BC13" s="293"/>
      <c r="BD13" s="293"/>
      <c r="BE13" s="293">
        <f>H13</f>
        <v>0</v>
      </c>
      <c r="BF13" s="293"/>
      <c r="BG13" s="293"/>
      <c r="BH13" s="293"/>
      <c r="BI13" s="293"/>
      <c r="BJ13" s="293"/>
      <c r="BK13" s="293"/>
      <c r="BL13" s="293"/>
      <c r="BM13" s="293"/>
      <c r="BN13" s="293"/>
      <c r="BO13" s="293"/>
      <c r="BP13" s="293"/>
      <c r="BQ13" s="293"/>
      <c r="BR13" s="293"/>
      <c r="BS13" s="293">
        <f>H13</f>
        <v>0</v>
      </c>
      <c r="BT13" s="293"/>
      <c r="BU13" s="293"/>
      <c r="BV13" s="293"/>
      <c r="BW13" s="293"/>
      <c r="BX13" s="293"/>
      <c r="BY13" s="293"/>
      <c r="BZ13" s="293"/>
      <c r="CA13" s="293"/>
      <c r="CB13" s="293"/>
    </row>
    <row r="14" spans="1:80" ht="27.75" customHeight="1" x14ac:dyDescent="0.2">
      <c r="A14" s="427">
        <v>66</v>
      </c>
      <c r="B14" s="287" t="s">
        <v>131</v>
      </c>
      <c r="C14" s="226" t="s">
        <v>141</v>
      </c>
      <c r="D14" s="288">
        <v>4</v>
      </c>
      <c r="E14" s="291" t="str">
        <f>VLOOKUP('Risk Only'!A14,'Descriptor maps'!$A$1:$F$1654,6,0)</f>
        <v>Embankment Type</v>
      </c>
      <c r="F14" s="289" t="s">
        <v>788</v>
      </c>
      <c r="G14" s="291" cm="1">
        <f t="array" ref="G14">INDEX('Descriptor maps'!$H$2:$H$1658,MATCH(1,('Descriptor maps'!$A$2:$A$1658='Risk Only'!$A14)*('Descriptor maps'!$G$2:$G$1658='Risk Only'!$F14),0))</f>
        <v>0</v>
      </c>
      <c r="H14" s="292" cm="1">
        <f t="array" ref="H14">IF(ISNUMBER(F14)=TRUE,F14, INDEX('Descriptor maps'!$I$2:$I$1658,MATCH(1,('Descriptor maps'!$A$2:$A$1658='Risk Only'!$A14)*('Descriptor maps'!$G$2:$G$1658='Risk Only'!$F14),0)))</f>
        <v>2080</v>
      </c>
      <c r="I14" s="292" cm="1">
        <f t="array" ref="I14">INDEX('Descriptor maps'!$J$2:$J$1658,MATCH(1,('Descriptor maps'!$A$2:$A$1658=A14)*('Descriptor maps'!$G$2:$G$1658=F14),0))</f>
        <v>190</v>
      </c>
      <c r="J14" s="442">
        <f t="shared" si="0"/>
        <v>2</v>
      </c>
      <c r="K14" s="293"/>
      <c r="L14" s="293"/>
      <c r="M14" s="293"/>
      <c r="N14" s="293"/>
      <c r="O14" s="293"/>
      <c r="P14" s="293"/>
      <c r="Q14" s="293"/>
      <c r="R14" s="293"/>
      <c r="S14" s="293"/>
      <c r="T14" s="293"/>
      <c r="U14" s="293"/>
      <c r="V14" s="293"/>
      <c r="W14" s="293"/>
      <c r="X14" s="293"/>
      <c r="Y14" s="293"/>
      <c r="Z14" s="293"/>
      <c r="AA14" s="293"/>
      <c r="AB14" s="293"/>
      <c r="AC14" s="293"/>
      <c r="AD14" s="293"/>
      <c r="AE14" s="293"/>
      <c r="AF14" s="293"/>
      <c r="AG14" s="293"/>
      <c r="AH14" s="293"/>
      <c r="AI14" s="293"/>
      <c r="AJ14" s="293"/>
      <c r="AK14" s="293"/>
      <c r="AL14" s="293"/>
      <c r="AM14" s="293"/>
      <c r="AN14" s="293"/>
      <c r="AO14" s="293"/>
      <c r="AP14" s="293"/>
      <c r="AQ14" s="293">
        <f>1*H14</f>
        <v>2080</v>
      </c>
      <c r="AR14" s="293">
        <f>I14</f>
        <v>190</v>
      </c>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row>
    <row r="15" spans="1:80" ht="27.75" customHeight="1" x14ac:dyDescent="0.2">
      <c r="A15" s="427">
        <v>68</v>
      </c>
      <c r="B15" s="287" t="s">
        <v>131</v>
      </c>
      <c r="C15" s="226" t="s">
        <v>141</v>
      </c>
      <c r="D15" s="288">
        <v>4</v>
      </c>
      <c r="E15" s="291" t="str">
        <f>VLOOKUP('Risk Only'!A15,'Descriptor maps'!$A$1:$F$1654,6,0)</f>
        <v>Raise Method</v>
      </c>
      <c r="F15" s="289" t="s">
        <v>1078</v>
      </c>
      <c r="G15" s="291" cm="1">
        <f t="array" ref="G15">INDEX('Descriptor maps'!$H$2:$H$1658,MATCH(1,('Descriptor maps'!$A$2:$A$1658='Risk Only'!$A15)*('Descriptor maps'!$G$2:$G$1658='Risk Only'!$F15),0))</f>
        <v>4</v>
      </c>
      <c r="H15" s="292" cm="1">
        <f t="array" ref="H15">IF(ISNUMBER(F15)=TRUE,F15, INDEX('Descriptor maps'!$I$2:$I$1658,MATCH(1,('Descriptor maps'!$A$2:$A$1658='Risk Only'!$A15)*('Descriptor maps'!$G$2:$G$1658='Risk Only'!$F15),0)))</f>
        <v>4</v>
      </c>
      <c r="I15" s="292" cm="1">
        <f t="array" ref="I15">INDEX('Descriptor maps'!$J$2:$J$1658,MATCH(1,('Descriptor maps'!$A$2:$A$1658=A15)*('Descriptor maps'!$G$2:$G$1658=F15),0))</f>
        <v>0</v>
      </c>
      <c r="J15" s="442">
        <f t="shared" si="0"/>
        <v>0</v>
      </c>
      <c r="K15" s="293"/>
      <c r="L15" s="293"/>
      <c r="M15" s="293"/>
      <c r="N15" s="293"/>
      <c r="O15" s="293"/>
      <c r="P15" s="293"/>
      <c r="Q15" s="293"/>
      <c r="R15" s="293"/>
      <c r="S15" s="293"/>
      <c r="T15" s="293"/>
      <c r="U15" s="293"/>
      <c r="V15" s="293"/>
      <c r="W15" s="293"/>
      <c r="X15" s="293"/>
      <c r="Y15" s="293"/>
      <c r="Z15" s="293"/>
      <c r="AA15" s="293"/>
      <c r="AB15" s="293"/>
      <c r="AC15" s="293"/>
      <c r="AD15" s="293"/>
      <c r="AE15" s="293"/>
      <c r="AF15" s="293"/>
      <c r="AG15" s="293"/>
      <c r="AH15" s="293"/>
      <c r="AI15" s="293"/>
      <c r="AJ15" s="293"/>
      <c r="AK15" s="293"/>
      <c r="AL15" s="293"/>
      <c r="AM15" s="293"/>
      <c r="AN15" s="293"/>
      <c r="AO15" s="293"/>
      <c r="AP15" s="293"/>
      <c r="AQ15" s="293"/>
      <c r="AR15" s="293"/>
      <c r="AS15" s="293"/>
      <c r="AT15" s="293"/>
      <c r="AU15" s="293"/>
      <c r="AV15" s="293"/>
      <c r="AW15" s="293"/>
      <c r="AX15" s="293"/>
      <c r="AY15" s="293"/>
      <c r="AZ15" s="293"/>
      <c r="BA15" s="293"/>
      <c r="BB15" s="293"/>
      <c r="BC15" s="293"/>
      <c r="BD15" s="293"/>
      <c r="BE15" s="293"/>
      <c r="BF15" s="293"/>
      <c r="BG15" s="293"/>
      <c r="BH15" s="293"/>
      <c r="BI15" s="293"/>
      <c r="BJ15" s="293"/>
      <c r="BK15" s="293"/>
      <c r="BL15" s="293"/>
      <c r="BM15" s="293"/>
      <c r="BN15" s="293"/>
      <c r="BO15" s="293"/>
      <c r="BP15" s="293"/>
      <c r="BQ15" s="293"/>
      <c r="BR15" s="293"/>
      <c r="BS15" s="293"/>
      <c r="BT15" s="293"/>
      <c r="BU15" s="293"/>
      <c r="BV15" s="293"/>
      <c r="BW15" s="293"/>
      <c r="BX15" s="293"/>
      <c r="BY15" s="293"/>
      <c r="BZ15" s="293"/>
      <c r="CA15" s="293"/>
      <c r="CB15" s="293"/>
    </row>
    <row r="16" spans="1:80" ht="27.75" customHeight="1" x14ac:dyDescent="0.2">
      <c r="A16" s="427">
        <v>69</v>
      </c>
      <c r="B16" s="287" t="s">
        <v>131</v>
      </c>
      <c r="C16" s="226" t="s">
        <v>141</v>
      </c>
      <c r="D16" s="288">
        <v>4</v>
      </c>
      <c r="E16" s="291" t="str">
        <f>VLOOKUP('Risk Only'!A16,'Descriptor maps'!$A$1:$F$1654,6,0)</f>
        <v>Maximum embankment height above ground level (m)</v>
      </c>
      <c r="F16" s="289">
        <v>22</v>
      </c>
      <c r="G16" s="291" t="e" cm="1">
        <f t="array" ref="G16">INDEX('Descriptor maps'!$H$2:$H$1658,MATCH(1,('Descriptor maps'!$A$2:$A$1658='Risk Only'!$A16)*('Descriptor maps'!$G$2:$G$1658='Risk Only'!$F16),0))</f>
        <v>#N/A</v>
      </c>
      <c r="H16" s="292" cm="1">
        <f t="array" ref="H16">IF(ISNUMBER(F16)=TRUE,F16, INDEX('Descriptor maps'!$I$2:$I$1658,MATCH(1,('Descriptor maps'!$A$2:$A$1658='Risk Only'!$A16)*('Descriptor maps'!$G$2:$G$1658='Risk Only'!$F16),0)))</f>
        <v>22</v>
      </c>
      <c r="I16" s="292" t="e" cm="1">
        <f t="array" ref="I16">INDEX('Descriptor maps'!$J$2:$J$1658,MATCH(1,('Descriptor maps'!$A$2:$A$1658=A16)*('Descriptor maps'!$G$2:$G$1658=F16),0))</f>
        <v>#N/A</v>
      </c>
      <c r="J16" s="442">
        <f t="shared" si="0"/>
        <v>1</v>
      </c>
      <c r="K16" s="293"/>
      <c r="L16" s="293"/>
      <c r="M16" s="293"/>
      <c r="N16" s="293"/>
      <c r="O16" s="293"/>
      <c r="P16" s="293"/>
      <c r="Q16" s="293"/>
      <c r="R16" s="293"/>
      <c r="S16" s="293"/>
      <c r="T16" s="293"/>
      <c r="U16" s="293"/>
      <c r="V16" s="293"/>
      <c r="W16" s="293"/>
      <c r="X16" s="293"/>
      <c r="Y16" s="293"/>
      <c r="Z16" s="293"/>
      <c r="AA16" s="293"/>
      <c r="AB16" s="293"/>
      <c r="AC16" s="293"/>
      <c r="AD16" s="293"/>
      <c r="AE16" s="293"/>
      <c r="AF16" s="293"/>
      <c r="AG16" s="293">
        <f>H16</f>
        <v>22</v>
      </c>
      <c r="AH16" s="293"/>
      <c r="AI16" s="293"/>
      <c r="AJ16" s="293"/>
      <c r="AK16" s="293"/>
      <c r="AL16" s="293"/>
      <c r="AM16" s="293"/>
      <c r="AN16" s="293"/>
      <c r="AO16" s="293"/>
      <c r="AP16" s="293"/>
      <c r="AQ16" s="293"/>
      <c r="AR16" s="293"/>
      <c r="AS16" s="293"/>
      <c r="AT16" s="293"/>
      <c r="AU16" s="293"/>
      <c r="AV16" s="293"/>
      <c r="AW16" s="293"/>
      <c r="AX16" s="293"/>
      <c r="AY16" s="293"/>
      <c r="AZ16" s="293"/>
      <c r="BA16" s="293"/>
      <c r="BB16" s="293"/>
      <c r="BC16" s="293"/>
      <c r="BD16" s="293"/>
      <c r="BE16" s="293"/>
      <c r="BF16" s="293"/>
      <c r="BG16" s="293"/>
      <c r="BH16" s="293"/>
      <c r="BI16" s="293"/>
      <c r="BJ16" s="293"/>
      <c r="BK16" s="293"/>
      <c r="BL16" s="293"/>
      <c r="BM16" s="293"/>
      <c r="BN16" s="293"/>
      <c r="BO16" s="293"/>
      <c r="BP16" s="293"/>
      <c r="BQ16" s="293"/>
      <c r="BR16" s="293"/>
      <c r="BS16" s="293"/>
      <c r="BT16" s="293"/>
      <c r="BU16" s="293"/>
      <c r="BV16" s="293"/>
      <c r="BW16" s="293"/>
      <c r="BX16" s="293"/>
      <c r="BY16" s="293"/>
      <c r="BZ16" s="293"/>
      <c r="CA16" s="293"/>
      <c r="CB16" s="293"/>
    </row>
    <row r="17" spans="1:80" ht="27.75" customHeight="1" x14ac:dyDescent="0.2">
      <c r="A17" s="427">
        <v>75</v>
      </c>
      <c r="B17" s="287" t="s">
        <v>131</v>
      </c>
      <c r="C17" s="226" t="s">
        <v>147</v>
      </c>
      <c r="D17" s="288">
        <v>5</v>
      </c>
      <c r="E17" s="291" t="str">
        <f>VLOOKUP('Risk Only'!A17,'Descriptor maps'!$A$1:$F$1654,6,0)</f>
        <v xml:space="preserve">Based on the latest assessment, what is the slope stability FoS considering drained shear strength of materials along a slip surface, movement of which would result in release of stored materials. </v>
      </c>
      <c r="F17" s="289">
        <v>1.7</v>
      </c>
      <c r="G17" s="291" t="e" cm="1">
        <f t="array" ref="G17">INDEX('Descriptor maps'!$H$2:$H$1658,MATCH(1,('Descriptor maps'!$A$2:$A$1658='Risk Only'!$A17)*('Descriptor maps'!$G$2:$G$1658='Risk Only'!$F17),0))</f>
        <v>#N/A</v>
      </c>
      <c r="H17" s="292" cm="1">
        <f t="array" ref="H17">IF(ISNUMBER(F17)=TRUE,F17, INDEX('Descriptor maps'!$I$2:$I$1658,MATCH(1,('Descriptor maps'!$A$2:$A$1658='Risk Only'!$A17)*('Descriptor maps'!$G$2:$G$1658='Risk Only'!$F17),0)))</f>
        <v>1.7</v>
      </c>
      <c r="I17" s="292">
        <v>0</v>
      </c>
      <c r="J17" s="442">
        <f t="shared" si="0"/>
        <v>1</v>
      </c>
      <c r="K17" s="293"/>
      <c r="L17" s="293"/>
      <c r="M17" s="293"/>
      <c r="N17" s="293"/>
      <c r="O17" s="293"/>
      <c r="P17" s="293"/>
      <c r="Q17" s="293">
        <f>H17</f>
        <v>1.7</v>
      </c>
      <c r="R17" s="293"/>
      <c r="S17" s="293"/>
      <c r="T17" s="293"/>
      <c r="U17" s="293"/>
      <c r="V17" s="293"/>
      <c r="W17" s="293"/>
      <c r="X17" s="293"/>
      <c r="Y17" s="293"/>
      <c r="Z17" s="293"/>
      <c r="AA17" s="293"/>
      <c r="AB17" s="293"/>
      <c r="AC17" s="293"/>
      <c r="AD17" s="293"/>
      <c r="AE17" s="293"/>
      <c r="AF17" s="293"/>
      <c r="AG17" s="293"/>
      <c r="AH17" s="293"/>
      <c r="AI17" s="293"/>
      <c r="AJ17" s="293"/>
      <c r="AK17" s="293"/>
      <c r="AL17" s="293"/>
      <c r="AM17" s="293"/>
      <c r="AN17" s="293"/>
      <c r="AO17" s="293"/>
      <c r="AP17" s="293"/>
      <c r="AQ17" s="293"/>
      <c r="AR17" s="293"/>
      <c r="AS17" s="293"/>
      <c r="AT17" s="293"/>
      <c r="AU17" s="293"/>
      <c r="AV17" s="293"/>
      <c r="AW17" s="293"/>
      <c r="AX17" s="293"/>
      <c r="AY17" s="293"/>
      <c r="AZ17" s="293"/>
      <c r="BA17" s="293"/>
      <c r="BB17" s="293"/>
      <c r="BC17" s="293"/>
      <c r="BD17" s="293"/>
      <c r="BE17" s="293"/>
      <c r="BF17" s="293"/>
      <c r="BG17" s="293"/>
      <c r="BH17" s="293"/>
      <c r="BI17" s="293"/>
      <c r="BJ17" s="293"/>
      <c r="BK17" s="293"/>
      <c r="BL17" s="293"/>
      <c r="BM17" s="293"/>
      <c r="BN17" s="293"/>
      <c r="BO17" s="293"/>
      <c r="BP17" s="293"/>
      <c r="BQ17" s="293"/>
      <c r="BR17" s="293"/>
      <c r="BS17" s="293"/>
      <c r="BT17" s="293"/>
      <c r="BU17" s="293"/>
      <c r="BV17" s="293"/>
      <c r="BW17" s="293"/>
      <c r="BX17" s="293"/>
      <c r="BY17" s="293"/>
      <c r="BZ17" s="293"/>
      <c r="CA17" s="293"/>
      <c r="CB17" s="293"/>
    </row>
    <row r="18" spans="1:80" ht="27.75" customHeight="1" x14ac:dyDescent="0.2">
      <c r="A18" s="427">
        <v>76</v>
      </c>
      <c r="B18" s="287" t="s">
        <v>131</v>
      </c>
      <c r="C18" s="226" t="s">
        <v>147</v>
      </c>
      <c r="D18" s="288">
        <v>5</v>
      </c>
      <c r="E18" s="291" t="str">
        <f>VLOOKUP('Risk Only'!A18,'Descriptor maps'!$A$1:$F$1654,6,0)</f>
        <v xml:space="preserve">Based on the latest assessment, what is the slope stability FoS considering undrained shear strength of materials along a slip surface, movement of which would result in release of stored materials. </v>
      </c>
      <c r="F18" s="289">
        <v>1.7</v>
      </c>
      <c r="G18" s="291" t="e" cm="1">
        <f t="array" ref="G18">INDEX('Descriptor maps'!$H$2:$H$1658,MATCH(1,('Descriptor maps'!$A$2:$A$1658='Risk Only'!$A18)*('Descriptor maps'!$G$2:$G$1658='Risk Only'!$F18),0))</f>
        <v>#N/A</v>
      </c>
      <c r="H18" s="292" cm="1">
        <f t="array" ref="H18">IF(ISNUMBER(F18)=TRUE,F18, INDEX('Descriptor maps'!$I$2:$I$1658,MATCH(1,('Descriptor maps'!$A$2:$A$1658='Risk Only'!$A18)*('Descriptor maps'!$G$2:$G$1658='Risk Only'!$F18),0)))</f>
        <v>1.7</v>
      </c>
      <c r="I18" s="292" t="e" cm="1">
        <f t="array" ref="I18">INDEX('Descriptor maps'!$J$2:$J$1658,MATCH(1,('Descriptor maps'!$A$2:$A$1658=A18)*('Descriptor maps'!$G$2:$G$1658=F18),0))</f>
        <v>#N/A</v>
      </c>
      <c r="J18" s="442">
        <f t="shared" si="0"/>
        <v>1</v>
      </c>
      <c r="K18" s="293"/>
      <c r="L18" s="293"/>
      <c r="M18" s="293"/>
      <c r="N18" s="293"/>
      <c r="O18" s="293"/>
      <c r="P18" s="293"/>
      <c r="Q18" s="293"/>
      <c r="R18" s="293"/>
      <c r="S18" s="293"/>
      <c r="T18" s="293"/>
      <c r="U18" s="293"/>
      <c r="V18" s="293"/>
      <c r="W18" s="293"/>
      <c r="X18" s="293">
        <f>H18</f>
        <v>1.7</v>
      </c>
      <c r="Y18" s="293"/>
      <c r="Z18" s="293"/>
      <c r="AA18" s="293"/>
      <c r="AB18" s="293"/>
      <c r="AC18" s="293"/>
      <c r="AD18" s="293"/>
      <c r="AE18" s="293"/>
      <c r="AF18" s="293"/>
      <c r="AG18" s="293"/>
      <c r="AH18" s="293"/>
      <c r="AI18" s="293"/>
      <c r="AJ18" s="293"/>
      <c r="AK18" s="293"/>
      <c r="AL18" s="293"/>
      <c r="AM18" s="293"/>
      <c r="AN18" s="293"/>
      <c r="AO18" s="293"/>
      <c r="AP18" s="293"/>
      <c r="AQ18" s="293"/>
      <c r="AR18" s="293"/>
      <c r="AS18" s="293"/>
      <c r="AT18" s="293"/>
      <c r="AU18" s="293"/>
      <c r="AV18" s="293"/>
      <c r="AW18" s="293"/>
      <c r="AX18" s="293"/>
      <c r="AY18" s="293"/>
      <c r="AZ18" s="293"/>
      <c r="BA18" s="293"/>
      <c r="BB18" s="293"/>
      <c r="BC18" s="293"/>
      <c r="BD18" s="293"/>
      <c r="BE18" s="293"/>
      <c r="BF18" s="293"/>
      <c r="BG18" s="293"/>
      <c r="BH18" s="293"/>
      <c r="BI18" s="293"/>
      <c r="BJ18" s="293"/>
      <c r="BK18" s="293"/>
      <c r="BL18" s="293"/>
      <c r="BM18" s="293"/>
      <c r="BN18" s="293"/>
      <c r="BO18" s="293"/>
      <c r="BP18" s="293"/>
      <c r="BQ18" s="293"/>
      <c r="BR18" s="293"/>
      <c r="BS18" s="293"/>
      <c r="BT18" s="293"/>
      <c r="BU18" s="293"/>
      <c r="BV18" s="293"/>
      <c r="BW18" s="293"/>
      <c r="BX18" s="293"/>
      <c r="BY18" s="293"/>
      <c r="BZ18" s="293"/>
      <c r="CA18" s="293"/>
      <c r="CB18" s="293"/>
    </row>
    <row r="19" spans="1:80" ht="27.75" customHeight="1" x14ac:dyDescent="0.2">
      <c r="A19" s="427">
        <v>77</v>
      </c>
      <c r="B19" s="287" t="s">
        <v>131</v>
      </c>
      <c r="C19" s="226" t="s">
        <v>147</v>
      </c>
      <c r="D19" s="288">
        <v>5</v>
      </c>
      <c r="E19" s="291" t="str">
        <f>VLOOKUP('Risk Only'!A19,'Descriptor maps'!$A$1:$F$1654,6,0)</f>
        <v xml:space="preserve">Based on the latest assessment, what is the slope stability FoS considering post-seismic shear strength of materials along a slip surface, movement of which would result in release of stored materials. </v>
      </c>
      <c r="F19" s="289">
        <v>1.7</v>
      </c>
      <c r="G19" s="291" t="e" cm="1">
        <f t="array" ref="G19">INDEX('Descriptor maps'!$H$2:$H$1658,MATCH(1,('Descriptor maps'!$A$2:$A$1658='Risk Only'!$A19)*('Descriptor maps'!$G$2:$G$1658='Risk Only'!$F19),0))</f>
        <v>#N/A</v>
      </c>
      <c r="H19" s="292" cm="1">
        <f t="array" ref="H19">IF(ISNUMBER(F19)=TRUE,F19, INDEX('Descriptor maps'!$I$2:$I$1658,MATCH(1,('Descriptor maps'!$A$2:$A$1658='Risk Only'!$A19)*('Descriptor maps'!$G$2:$G$1658='Risk Only'!$F19),0)))</f>
        <v>1.7</v>
      </c>
      <c r="I19" s="292" t="e" cm="1">
        <f t="array" ref="I19">INDEX('Descriptor maps'!$J$2:$J$1658,MATCH(1,('Descriptor maps'!$A$2:$A$1658=A19)*('Descriptor maps'!$G$2:$G$1658=F19),0))</f>
        <v>#N/A</v>
      </c>
      <c r="J19" s="442">
        <f t="shared" si="0"/>
        <v>1</v>
      </c>
      <c r="K19" s="293"/>
      <c r="L19" s="293"/>
      <c r="M19" s="293"/>
      <c r="N19" s="293"/>
      <c r="O19" s="293"/>
      <c r="P19" s="293"/>
      <c r="Q19" s="293"/>
      <c r="R19" s="293"/>
      <c r="S19" s="293"/>
      <c r="T19" s="293"/>
      <c r="U19" s="293"/>
      <c r="V19" s="293"/>
      <c r="W19" s="293"/>
      <c r="X19" s="293"/>
      <c r="Y19" s="293"/>
      <c r="Z19" s="293"/>
      <c r="AA19" s="293"/>
      <c r="AB19" s="293"/>
      <c r="AC19" s="293"/>
      <c r="AD19" s="293"/>
      <c r="AE19" s="293">
        <f>H19</f>
        <v>1.7</v>
      </c>
      <c r="AF19" s="293"/>
      <c r="AG19" s="293"/>
      <c r="AH19" s="293"/>
      <c r="AI19" s="293"/>
      <c r="AJ19" s="293"/>
      <c r="AK19" s="293"/>
      <c r="AL19" s="293"/>
      <c r="AM19" s="293"/>
      <c r="AN19" s="293"/>
      <c r="AO19" s="293"/>
      <c r="AP19" s="293"/>
      <c r="AQ19" s="293"/>
      <c r="AR19" s="293"/>
      <c r="AS19" s="293"/>
      <c r="AT19" s="293"/>
      <c r="AU19" s="293"/>
      <c r="AV19" s="293"/>
      <c r="AW19" s="293"/>
      <c r="AX19" s="293"/>
      <c r="AY19" s="293"/>
      <c r="AZ19" s="293"/>
      <c r="BA19" s="293"/>
      <c r="BB19" s="293"/>
      <c r="BC19" s="293"/>
      <c r="BD19" s="293"/>
      <c r="BE19" s="293"/>
      <c r="BF19" s="293"/>
      <c r="BG19" s="293"/>
      <c r="BH19" s="293"/>
      <c r="BI19" s="293"/>
      <c r="BJ19" s="293"/>
      <c r="BK19" s="293"/>
      <c r="BL19" s="293"/>
      <c r="BM19" s="293"/>
      <c r="BN19" s="293"/>
      <c r="BO19" s="293"/>
      <c r="BP19" s="293"/>
      <c r="BQ19" s="293"/>
      <c r="BR19" s="293"/>
      <c r="BS19" s="293"/>
      <c r="BT19" s="293"/>
      <c r="BU19" s="293"/>
      <c r="BV19" s="293"/>
      <c r="BW19" s="293"/>
      <c r="BX19" s="293"/>
      <c r="BY19" s="293"/>
      <c r="BZ19" s="293"/>
      <c r="CA19" s="293"/>
      <c r="CB19" s="293"/>
    </row>
    <row r="20" spans="1:80" ht="27.75" customHeight="1" x14ac:dyDescent="0.2">
      <c r="A20" s="427">
        <v>78</v>
      </c>
      <c r="B20" s="287" t="s">
        <v>131</v>
      </c>
      <c r="C20" s="226" t="s">
        <v>147</v>
      </c>
      <c r="D20" s="288">
        <v>5</v>
      </c>
      <c r="E20" s="291" t="str">
        <f>VLOOKUP('Risk Only'!A20,'Descriptor maps'!$A$1:$F$1654,6,0)</f>
        <v>Is there a documented evidence that an embankment chimney filter is present?</v>
      </c>
      <c r="F20" s="289" t="s">
        <v>8</v>
      </c>
      <c r="G20" s="291" cm="1">
        <f t="array" ref="G20">INDEX('Descriptor maps'!$H$2:$H$1658,MATCH(1,('Descriptor maps'!$A$2:$A$1658='Risk Only'!$A20)*('Descriptor maps'!$G$2:$G$1658='Risk Only'!$F20),0))</f>
        <v>4</v>
      </c>
      <c r="H20" s="292" cm="1">
        <f t="array" ref="H20">IF(ISNUMBER(F20)=TRUE,F20, INDEX('Descriptor maps'!$I$2:$I$1658,MATCH(1,('Descriptor maps'!$A$2:$A$1658='Risk Only'!$A20)*('Descriptor maps'!$G$2:$G$1658='Risk Only'!$F20),0)))</f>
        <v>0</v>
      </c>
      <c r="I20" s="292" cm="1">
        <f t="array" ref="I20">INDEX('Descriptor maps'!$J$2:$J$1658,MATCH(1,('Descriptor maps'!$A$2:$A$1658=A20)*('Descriptor maps'!$G$2:$G$1658=F20),0))</f>
        <v>0</v>
      </c>
      <c r="J20" s="442">
        <f t="shared" si="0"/>
        <v>1</v>
      </c>
      <c r="K20" s="293"/>
      <c r="L20" s="293"/>
      <c r="M20" s="293"/>
      <c r="N20" s="293"/>
      <c r="O20" s="293"/>
      <c r="P20" s="293"/>
      <c r="Q20" s="293"/>
      <c r="R20" s="293"/>
      <c r="S20" s="293"/>
      <c r="T20" s="293"/>
      <c r="U20" s="293"/>
      <c r="V20" s="293"/>
      <c r="W20" s="293"/>
      <c r="X20" s="293"/>
      <c r="Y20" s="293"/>
      <c r="Z20" s="293"/>
      <c r="AA20" s="293"/>
      <c r="AB20" s="293"/>
      <c r="AC20" s="293"/>
      <c r="AD20" s="293"/>
      <c r="AE20" s="293"/>
      <c r="AF20" s="293"/>
      <c r="AG20" s="293"/>
      <c r="AH20" s="293">
        <f>1*$G20</f>
        <v>4</v>
      </c>
      <c r="AI20" s="293"/>
      <c r="AJ20" s="293"/>
      <c r="AK20" s="293"/>
      <c r="AL20" s="293"/>
      <c r="AM20" s="293"/>
      <c r="AN20" s="293"/>
      <c r="AO20" s="293"/>
      <c r="AP20" s="293"/>
      <c r="AQ20" s="293"/>
      <c r="AR20" s="293"/>
      <c r="AS20" s="293"/>
      <c r="AT20" s="293"/>
      <c r="AU20" s="293"/>
      <c r="AV20" s="293"/>
      <c r="AW20" s="293"/>
      <c r="AX20" s="293"/>
      <c r="AY20" s="293"/>
      <c r="AZ20" s="293"/>
      <c r="BA20" s="293"/>
      <c r="BB20" s="293"/>
      <c r="BC20" s="293"/>
      <c r="BD20" s="293"/>
      <c r="BE20" s="293"/>
      <c r="BF20" s="293"/>
      <c r="BG20" s="293"/>
      <c r="BH20" s="293"/>
      <c r="BI20" s="293"/>
      <c r="BJ20" s="293"/>
      <c r="BK20" s="293"/>
      <c r="BL20" s="293"/>
      <c r="BM20" s="293"/>
      <c r="BN20" s="293"/>
      <c r="BO20" s="293"/>
      <c r="BP20" s="293"/>
      <c r="BQ20" s="293"/>
      <c r="BR20" s="293"/>
      <c r="BS20" s="293"/>
      <c r="BT20" s="293"/>
      <c r="BU20" s="293"/>
      <c r="BV20" s="293"/>
      <c r="BW20" s="293"/>
      <c r="BX20" s="293"/>
      <c r="BY20" s="293"/>
      <c r="BZ20" s="293"/>
      <c r="CA20" s="293"/>
      <c r="CB20" s="293"/>
    </row>
    <row r="21" spans="1:80" ht="27.75" customHeight="1" x14ac:dyDescent="0.2">
      <c r="A21" s="427">
        <v>79</v>
      </c>
      <c r="B21" s="287" t="s">
        <v>131</v>
      </c>
      <c r="C21" s="226" t="s">
        <v>147</v>
      </c>
      <c r="D21" s="288">
        <v>5</v>
      </c>
      <c r="E21" s="291" t="str">
        <f>VLOOKUP('Risk Only'!A21,'Descriptor maps'!$A$1:$F$1654,6,0)</f>
        <v>Is there a documented evidence that a blanket filter is present?</v>
      </c>
      <c r="F21" s="289" t="s">
        <v>8</v>
      </c>
      <c r="G21" s="291" cm="1">
        <f t="array" ref="G21">INDEX('Descriptor maps'!$H$2:$H$1658,MATCH(1,('Descriptor maps'!$A$2:$A$1658='Risk Only'!$A21)*('Descriptor maps'!$G$2:$G$1658='Risk Only'!$F21),0))</f>
        <v>4</v>
      </c>
      <c r="H21" s="292" cm="1">
        <f t="array" ref="H21">IF(ISNUMBER(F21)=TRUE,F21, INDEX('Descriptor maps'!$I$2:$I$1658,MATCH(1,('Descriptor maps'!$A$2:$A$1658='Risk Only'!$A21)*('Descriptor maps'!$G$2:$G$1658='Risk Only'!$F21),0)))</f>
        <v>0</v>
      </c>
      <c r="I21" s="292" cm="1">
        <f t="array" ref="I21">INDEX('Descriptor maps'!$J$2:$J$1658,MATCH(1,('Descriptor maps'!$A$2:$A$1658=A21)*('Descriptor maps'!$G$2:$G$1658=F21),0))</f>
        <v>0</v>
      </c>
      <c r="J21" s="442">
        <f t="shared" si="0"/>
        <v>1</v>
      </c>
      <c r="K21" s="293"/>
      <c r="L21" s="293"/>
      <c r="M21" s="293"/>
      <c r="N21" s="293"/>
      <c r="O21" s="293"/>
      <c r="P21" s="293"/>
      <c r="Q21" s="293"/>
      <c r="R21" s="293"/>
      <c r="S21" s="293"/>
      <c r="T21" s="293"/>
      <c r="U21" s="293"/>
      <c r="V21" s="293"/>
      <c r="W21" s="293"/>
      <c r="X21" s="293"/>
      <c r="Y21" s="293"/>
      <c r="Z21" s="293"/>
      <c r="AA21" s="293"/>
      <c r="AB21" s="293"/>
      <c r="AC21" s="293"/>
      <c r="AD21" s="293"/>
      <c r="AE21" s="293"/>
      <c r="AF21" s="293"/>
      <c r="AG21" s="293"/>
      <c r="AH21" s="293"/>
      <c r="AI21" s="293"/>
      <c r="AJ21" s="293"/>
      <c r="AK21" s="293"/>
      <c r="AL21" s="293"/>
      <c r="AM21" s="293"/>
      <c r="AN21" s="293"/>
      <c r="AO21" s="293"/>
      <c r="AP21" s="293"/>
      <c r="AQ21" s="293"/>
      <c r="AR21" s="293"/>
      <c r="AS21" s="293"/>
      <c r="AT21" s="293"/>
      <c r="AU21" s="293">
        <f>1*$H21</f>
        <v>0</v>
      </c>
      <c r="AV21" s="293"/>
      <c r="AW21" s="293"/>
      <c r="AX21" s="293"/>
      <c r="AY21" s="293"/>
      <c r="AZ21" s="293"/>
      <c r="BA21" s="293"/>
      <c r="BB21" s="293"/>
      <c r="BC21" s="293"/>
      <c r="BD21" s="293"/>
      <c r="BE21" s="293"/>
      <c r="BF21" s="293"/>
      <c r="BG21" s="293"/>
      <c r="BH21" s="293"/>
      <c r="BI21" s="293"/>
      <c r="BJ21" s="293"/>
      <c r="BK21" s="293"/>
      <c r="BL21" s="293"/>
      <c r="BM21" s="293"/>
      <c r="BN21" s="293"/>
      <c r="BO21" s="293"/>
      <c r="BP21" s="293"/>
      <c r="BQ21" s="293"/>
      <c r="BR21" s="293"/>
      <c r="BS21" s="293"/>
      <c r="BT21" s="293"/>
      <c r="BU21" s="293"/>
      <c r="BV21" s="293"/>
      <c r="BW21" s="293"/>
      <c r="BX21" s="293"/>
      <c r="BY21" s="293"/>
      <c r="BZ21" s="293"/>
      <c r="CA21" s="293"/>
      <c r="CB21" s="293"/>
    </row>
    <row r="22" spans="1:80" ht="27.75" customHeight="1" x14ac:dyDescent="0.2">
      <c r="A22" s="427">
        <v>80</v>
      </c>
      <c r="B22" s="287" t="s">
        <v>131</v>
      </c>
      <c r="C22" s="226" t="s">
        <v>153</v>
      </c>
      <c r="D22" s="288">
        <v>6</v>
      </c>
      <c r="E22" s="291" t="str">
        <f>VLOOKUP('Risk Only'!A22,'Descriptor maps'!$A$1:$F$1654,6,0)</f>
        <v>What is the geological origin of the embankment core material?</v>
      </c>
      <c r="F22" s="289" t="s">
        <v>692</v>
      </c>
      <c r="G22" s="291" cm="1">
        <f t="array" ref="G22">INDEX('Descriptor maps'!$H$2:$H$1658,MATCH(1,('Descriptor maps'!$A$2:$A$1658='Risk Only'!$A22)*('Descriptor maps'!$G$2:$G$1658='Risk Only'!$F22),0))</f>
        <v>0</v>
      </c>
      <c r="H22" s="292" cm="1">
        <f t="array" ref="H22">IF(ISNUMBER(F22)=TRUE,F22, INDEX('Descriptor maps'!$I$2:$I$1658,MATCH(1,('Descriptor maps'!$A$2:$A$1658='Risk Only'!$A22)*('Descriptor maps'!$G$2:$G$1658='Risk Only'!$F22),0)))</f>
        <v>1</v>
      </c>
      <c r="I22" s="292" cm="1">
        <f t="array" ref="I22">INDEX('Descriptor maps'!$J$2:$J$1658,MATCH(1,('Descriptor maps'!$A$2:$A$1658=A22)*('Descriptor maps'!$G$2:$G$1658=F22),0))</f>
        <v>0</v>
      </c>
      <c r="J22" s="442">
        <f t="shared" si="0"/>
        <v>2</v>
      </c>
      <c r="K22" s="293"/>
      <c r="L22" s="293"/>
      <c r="M22" s="293"/>
      <c r="N22" s="293"/>
      <c r="O22" s="293"/>
      <c r="P22" s="293"/>
      <c r="Q22" s="293"/>
      <c r="R22" s="293"/>
      <c r="S22" s="293"/>
      <c r="T22" s="293"/>
      <c r="U22" s="293"/>
      <c r="V22" s="293"/>
      <c r="W22" s="293"/>
      <c r="X22" s="293"/>
      <c r="Y22" s="293"/>
      <c r="Z22" s="293"/>
      <c r="AA22" s="293"/>
      <c r="AB22" s="293"/>
      <c r="AC22" s="293"/>
      <c r="AD22" s="293"/>
      <c r="AE22" s="293"/>
      <c r="AF22" s="293"/>
      <c r="AG22" s="293"/>
      <c r="AH22" s="293"/>
      <c r="AI22" s="293">
        <f>1*$H22</f>
        <v>1</v>
      </c>
      <c r="AJ22" s="293"/>
      <c r="AK22" s="293"/>
      <c r="AL22" s="293"/>
      <c r="AM22" s="293"/>
      <c r="AN22" s="293"/>
      <c r="AO22" s="293"/>
      <c r="AP22" s="293"/>
      <c r="AQ22" s="293"/>
      <c r="AR22" s="293"/>
      <c r="AS22" s="293"/>
      <c r="AT22" s="293"/>
      <c r="AU22" s="293"/>
      <c r="AV22" s="293"/>
      <c r="AW22" s="293"/>
      <c r="AX22" s="293"/>
      <c r="AY22" s="293"/>
      <c r="AZ22" s="293"/>
      <c r="BA22" s="293"/>
      <c r="BB22" s="293"/>
      <c r="BC22" s="293"/>
      <c r="BD22" s="293"/>
      <c r="BE22" s="293"/>
      <c r="BF22" s="293"/>
      <c r="BG22" s="293"/>
      <c r="BH22" s="293"/>
      <c r="BI22" s="293"/>
      <c r="BJ22" s="293"/>
      <c r="BK22" s="293"/>
      <c r="BL22" s="293">
        <f>1*$H22</f>
        <v>1</v>
      </c>
      <c r="BM22" s="293"/>
      <c r="BN22" s="293"/>
      <c r="BO22" s="293"/>
      <c r="BP22" s="293"/>
      <c r="BQ22" s="293"/>
      <c r="BR22" s="293"/>
      <c r="BS22" s="293"/>
      <c r="BT22" s="293"/>
      <c r="BU22" s="293"/>
      <c r="BV22" s="293"/>
      <c r="BW22" s="293"/>
      <c r="BX22" s="293"/>
      <c r="BY22" s="293"/>
      <c r="BZ22" s="293"/>
      <c r="CA22" s="293"/>
      <c r="CB22" s="293"/>
    </row>
    <row r="23" spans="1:80" ht="27.75" customHeight="1" x14ac:dyDescent="0.2">
      <c r="A23" s="427">
        <v>81</v>
      </c>
      <c r="B23" s="287" t="s">
        <v>131</v>
      </c>
      <c r="C23" s="226" t="s">
        <v>153</v>
      </c>
      <c r="D23" s="288">
        <v>6</v>
      </c>
      <c r="E23" s="291" t="str">
        <f>VLOOKUP('Risk Only'!A23,'Descriptor maps'!$A$1:$F$1654,6,0)</f>
        <v>What is the soil type of the embankment core material?</v>
      </c>
      <c r="F23" s="289" t="s">
        <v>670</v>
      </c>
      <c r="G23" s="291" cm="1">
        <f t="array" ref="G23">INDEX('Descriptor maps'!$H$2:$H$1658,MATCH(1,('Descriptor maps'!$A$2:$A$1658='Risk Only'!$A23)*('Descriptor maps'!$G$2:$G$1658='Risk Only'!$F23),0))</f>
        <v>0</v>
      </c>
      <c r="H23" s="292" cm="1">
        <f t="array" ref="H23">IF(ISNUMBER(F23)=TRUE,F23, INDEX('Descriptor maps'!$I$2:$I$1658,MATCH(1,('Descriptor maps'!$A$2:$A$1658='Risk Only'!$A23)*('Descriptor maps'!$G$2:$G$1658='Risk Only'!$F23),0)))</f>
        <v>0.8</v>
      </c>
      <c r="I23" s="292" cm="1">
        <f t="array" ref="I23">INDEX('Descriptor maps'!$J$2:$J$1658,MATCH(1,('Descriptor maps'!$A$2:$A$1658=A23)*('Descriptor maps'!$G$2:$G$1658=F23),0))</f>
        <v>0</v>
      </c>
      <c r="J23" s="442">
        <f t="shared" si="0"/>
        <v>2</v>
      </c>
      <c r="K23" s="293"/>
      <c r="L23" s="293"/>
      <c r="M23" s="293"/>
      <c r="N23" s="293"/>
      <c r="O23" s="293"/>
      <c r="P23" s="293"/>
      <c r="Q23" s="293"/>
      <c r="R23" s="293"/>
      <c r="S23" s="293"/>
      <c r="T23" s="293"/>
      <c r="U23" s="293"/>
      <c r="V23" s="293"/>
      <c r="W23" s="293"/>
      <c r="X23" s="293"/>
      <c r="Y23" s="293"/>
      <c r="Z23" s="293"/>
      <c r="AA23" s="293"/>
      <c r="AB23" s="293"/>
      <c r="AC23" s="293"/>
      <c r="AD23" s="293"/>
      <c r="AE23" s="293"/>
      <c r="AF23" s="293"/>
      <c r="AG23" s="293"/>
      <c r="AH23" s="293"/>
      <c r="AI23" s="293"/>
      <c r="AJ23" s="293">
        <f>1*$H23</f>
        <v>0.8</v>
      </c>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f>1*$H23</f>
        <v>0.8</v>
      </c>
      <c r="BN23" s="293"/>
      <c r="BO23" s="293"/>
      <c r="BP23" s="293"/>
      <c r="BQ23" s="293"/>
      <c r="BR23" s="293"/>
      <c r="BS23" s="293"/>
      <c r="BT23" s="293"/>
      <c r="BU23" s="293"/>
      <c r="BV23" s="293"/>
      <c r="BW23" s="293"/>
      <c r="BX23" s="293"/>
      <c r="BY23" s="293"/>
      <c r="BZ23" s="293"/>
      <c r="CA23" s="293"/>
      <c r="CB23" s="293"/>
    </row>
    <row r="24" spans="1:80" ht="27.75" customHeight="1" x14ac:dyDescent="0.2">
      <c r="A24" s="427">
        <v>82</v>
      </c>
      <c r="B24" s="287" t="s">
        <v>131</v>
      </c>
      <c r="C24" s="226" t="s">
        <v>153</v>
      </c>
      <c r="D24" s="288">
        <v>6</v>
      </c>
      <c r="E24" s="291" t="str">
        <f>VLOOKUP('Risk Only'!A24,'Descriptor maps'!$A$1:$F$1654,6,0)</f>
        <v>What is the type of foundation material below the cutoff (if constructed) or below the low permeability zone of the embankment (if a cutoff was not constructed)?</v>
      </c>
      <c r="F24" s="289" t="s">
        <v>709</v>
      </c>
      <c r="G24" s="291" cm="1">
        <f t="array" ref="G24">INDEX('Descriptor maps'!$H$2:$H$1658,MATCH(1,('Descriptor maps'!$A$2:$A$1658='Risk Only'!$A24)*('Descriptor maps'!$G$2:$G$1658='Risk Only'!$F24),0))</f>
        <v>0</v>
      </c>
      <c r="H24" s="292" cm="1">
        <f t="array" ref="H24">IF(ISNUMBER(F24)=TRUE,F24, INDEX('Descriptor maps'!$I$2:$I$1658,MATCH(1,('Descriptor maps'!$A$2:$A$1658='Risk Only'!$A24)*('Descriptor maps'!$G$2:$G$1658='Risk Only'!$F24),0)))</f>
        <v>0.05</v>
      </c>
      <c r="I24" s="292" cm="1">
        <f t="array" ref="I24">INDEX('Descriptor maps'!$J$2:$J$1658,MATCH(1,('Descriptor maps'!$A$2:$A$1658=A24)*('Descriptor maps'!$G$2:$G$1658=F24),0))</f>
        <v>0</v>
      </c>
      <c r="J24" s="442">
        <f t="shared" si="0"/>
        <v>1</v>
      </c>
      <c r="K24" s="293"/>
      <c r="L24" s="293"/>
      <c r="M24" s="293"/>
      <c r="N24" s="293"/>
      <c r="O24" s="293"/>
      <c r="P24" s="293"/>
      <c r="Q24" s="293"/>
      <c r="R24" s="293"/>
      <c r="S24" s="293"/>
      <c r="T24" s="293"/>
      <c r="U24" s="293"/>
      <c r="V24" s="293"/>
      <c r="W24" s="293"/>
      <c r="X24" s="293"/>
      <c r="Y24" s="293"/>
      <c r="Z24" s="293"/>
      <c r="AA24" s="293"/>
      <c r="AB24" s="293"/>
      <c r="AC24" s="293"/>
      <c r="AD24" s="293"/>
      <c r="AE24" s="293"/>
      <c r="AF24" s="293"/>
      <c r="AG24" s="293"/>
      <c r="AH24" s="293"/>
      <c r="AI24" s="293"/>
      <c r="AJ24" s="293"/>
      <c r="AK24" s="293"/>
      <c r="AL24" s="293"/>
      <c r="AM24" s="293"/>
      <c r="AN24" s="293"/>
      <c r="AO24" s="293"/>
      <c r="AP24" s="293"/>
      <c r="AQ24" s="293"/>
      <c r="AR24" s="293"/>
      <c r="AS24" s="293"/>
      <c r="AT24" s="293"/>
      <c r="AU24" s="293"/>
      <c r="AV24" s="293">
        <f>1*$H24</f>
        <v>0.05</v>
      </c>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c r="BT24" s="293"/>
      <c r="BU24" s="293"/>
      <c r="BV24" s="293"/>
      <c r="BW24" s="293"/>
      <c r="BX24" s="293"/>
      <c r="BY24" s="293"/>
      <c r="BZ24" s="293"/>
      <c r="CA24" s="293"/>
      <c r="CB24" s="293"/>
    </row>
    <row r="25" spans="1:80" ht="27.75" customHeight="1" x14ac:dyDescent="0.2">
      <c r="A25" s="427">
        <v>83</v>
      </c>
      <c r="B25" s="287" t="s">
        <v>131</v>
      </c>
      <c r="C25" s="226" t="s">
        <v>153</v>
      </c>
      <c r="D25" s="288">
        <v>6</v>
      </c>
      <c r="E25" s="291" t="str">
        <f>VLOOKUP('Risk Only'!A25,'Descriptor maps'!$A$1:$F$1654,6,0)</f>
        <v>What is the geology of foundations below the cutoff (if constructed) or below the low permeability zone of the embankment (if a cutoff was not constructed)?</v>
      </c>
      <c r="F25" s="289" t="s">
        <v>693</v>
      </c>
      <c r="G25" s="291" cm="1">
        <f t="array" ref="G25">INDEX('Descriptor maps'!$H$2:$H$1658,MATCH(1,('Descriptor maps'!$A$2:$A$1658='Risk Only'!$A25)*('Descriptor maps'!$G$2:$G$1658='Risk Only'!$F25),0))</f>
        <v>0</v>
      </c>
      <c r="H25" s="292" cm="1">
        <f t="array" ref="H25">IF(ISNUMBER(F25)=TRUE,F25, INDEX('Descriptor maps'!$I$2:$I$1658,MATCH(1,('Descriptor maps'!$A$2:$A$1658='Risk Only'!$A25)*('Descriptor maps'!$G$2:$G$1658='Risk Only'!$F25),0)))</f>
        <v>1.2</v>
      </c>
      <c r="I25" s="292" cm="1">
        <f t="array" ref="I25">INDEX('Descriptor maps'!$J$2:$J$1658,MATCH(1,('Descriptor maps'!$A$2:$A$1658=A25)*('Descriptor maps'!$G$2:$G$1658=F25),0))</f>
        <v>0.4</v>
      </c>
      <c r="J25" s="442">
        <f t="shared" si="0"/>
        <v>2</v>
      </c>
      <c r="K25" s="293"/>
      <c r="L25" s="293"/>
      <c r="M25" s="293"/>
      <c r="N25" s="293"/>
      <c r="O25" s="293"/>
      <c r="P25" s="293"/>
      <c r="Q25" s="293"/>
      <c r="R25" s="293"/>
      <c r="S25" s="293"/>
      <c r="T25" s="293"/>
      <c r="U25" s="293"/>
      <c r="V25" s="293"/>
      <c r="W25" s="293"/>
      <c r="X25" s="293"/>
      <c r="Y25" s="293"/>
      <c r="Z25" s="293"/>
      <c r="AA25" s="293"/>
      <c r="AB25" s="293"/>
      <c r="AC25" s="293"/>
      <c r="AD25" s="293"/>
      <c r="AE25" s="293"/>
      <c r="AF25" s="293"/>
      <c r="AG25" s="293"/>
      <c r="AH25" s="293"/>
      <c r="AI25" s="293"/>
      <c r="AJ25" s="293"/>
      <c r="AK25" s="293"/>
      <c r="AL25" s="293"/>
      <c r="AM25" s="293"/>
      <c r="AN25" s="293"/>
      <c r="AO25" s="293"/>
      <c r="AP25" s="293"/>
      <c r="AQ25" s="293"/>
      <c r="AR25" s="293"/>
      <c r="AS25" s="293"/>
      <c r="AT25" s="293"/>
      <c r="AU25" s="293"/>
      <c r="AV25" s="293"/>
      <c r="AW25" s="293"/>
      <c r="AX25" s="293"/>
      <c r="AY25" s="293"/>
      <c r="AZ25" s="293">
        <f>H25</f>
        <v>1.2</v>
      </c>
      <c r="BA25" s="293"/>
      <c r="BB25" s="293"/>
      <c r="BC25" s="293"/>
      <c r="BD25" s="293"/>
      <c r="BE25" s="293"/>
      <c r="BF25" s="293"/>
      <c r="BG25" s="293"/>
      <c r="BH25" s="293">
        <f>I25</f>
        <v>0.4</v>
      </c>
      <c r="BI25" s="293"/>
      <c r="BJ25" s="293"/>
      <c r="BK25" s="293"/>
      <c r="BL25" s="293"/>
      <c r="BM25" s="293"/>
      <c r="BN25" s="293"/>
      <c r="BO25" s="293"/>
      <c r="BP25" s="293"/>
      <c r="BQ25" s="293"/>
      <c r="BR25" s="293"/>
      <c r="BS25" s="293"/>
      <c r="BT25" s="293"/>
      <c r="BU25" s="293"/>
      <c r="BV25" s="293"/>
      <c r="BW25" s="293"/>
      <c r="BX25" s="293"/>
      <c r="BY25" s="293"/>
      <c r="BZ25" s="293"/>
      <c r="CA25" s="293"/>
      <c r="CB25" s="293"/>
    </row>
    <row r="26" spans="1:80" ht="27.75" customHeight="1" x14ac:dyDescent="0.2">
      <c r="A26" s="427">
        <v>84</v>
      </c>
      <c r="B26" s="287" t="s">
        <v>131</v>
      </c>
      <c r="C26" s="226" t="s">
        <v>153</v>
      </c>
      <c r="D26" s="288">
        <v>6</v>
      </c>
      <c r="E26" s="291" t="str">
        <f>VLOOKUP('Risk Only'!A26,'Descriptor maps'!$A$1:$F$1654,6,0)</f>
        <v>What is the type of the foundation cutoff?</v>
      </c>
      <c r="F26" s="289" t="s">
        <v>1251</v>
      </c>
      <c r="G26" s="291" cm="1">
        <f t="array" ref="G26">INDEX('Descriptor maps'!$H$2:$H$1658,MATCH(1,('Descriptor maps'!$A$2:$A$1658='Risk Only'!$A26)*('Descriptor maps'!$G$2:$G$1658='Risk Only'!$F26),0))</f>
        <v>0</v>
      </c>
      <c r="H26" s="292" cm="1">
        <f t="array" ref="H26">IF(ISNUMBER(F26)=TRUE,F26, INDEX('Descriptor maps'!$I$2:$I$1658,MATCH(1,('Descriptor maps'!$A$2:$A$1658='Risk Only'!$A26)*('Descriptor maps'!$G$2:$G$1658='Risk Only'!$F26),0)))</f>
        <v>0.59999999999999987</v>
      </c>
      <c r="I26" s="292" cm="1">
        <f t="array" ref="I26">INDEX('Descriptor maps'!$J$2:$J$1658,MATCH(1,('Descriptor maps'!$A$2:$A$1658=A26)*('Descriptor maps'!$G$2:$G$1658=F26),0))</f>
        <v>0.10000000000000002</v>
      </c>
      <c r="J26" s="442">
        <f t="shared" si="0"/>
        <v>2</v>
      </c>
      <c r="K26" s="293"/>
      <c r="L26" s="293"/>
      <c r="M26" s="293"/>
      <c r="N26" s="293"/>
      <c r="O26" s="293"/>
      <c r="P26" s="293"/>
      <c r="Q26" s="293"/>
      <c r="R26" s="293"/>
      <c r="S26" s="293"/>
      <c r="T26" s="293"/>
      <c r="U26" s="293"/>
      <c r="V26" s="293"/>
      <c r="W26" s="293"/>
      <c r="X26" s="293"/>
      <c r="Y26" s="293"/>
      <c r="Z26" s="293"/>
      <c r="AA26" s="293"/>
      <c r="AB26" s="293"/>
      <c r="AC26" s="293"/>
      <c r="AD26" s="293"/>
      <c r="AE26" s="293"/>
      <c r="AF26" s="293"/>
      <c r="AG26" s="293"/>
      <c r="AH26" s="293"/>
      <c r="AI26" s="293"/>
      <c r="AJ26" s="293"/>
      <c r="AK26" s="293"/>
      <c r="AL26" s="293"/>
      <c r="AM26" s="293"/>
      <c r="AN26" s="293"/>
      <c r="AO26" s="293"/>
      <c r="AP26" s="293"/>
      <c r="AQ26" s="293"/>
      <c r="AR26" s="293"/>
      <c r="AS26" s="293"/>
      <c r="AT26" s="293"/>
      <c r="AU26" s="293"/>
      <c r="AV26" s="293"/>
      <c r="AW26" s="293">
        <f>1*$H26</f>
        <v>0.59999999999999987</v>
      </c>
      <c r="AX26" s="293">
        <f>I26</f>
        <v>0.10000000000000002</v>
      </c>
      <c r="AY26" s="293"/>
      <c r="AZ26" s="293"/>
      <c r="BA26" s="293"/>
      <c r="BB26" s="293"/>
      <c r="BC26" s="293"/>
      <c r="BD26" s="293"/>
      <c r="BE26" s="293"/>
      <c r="BF26" s="293"/>
      <c r="BG26" s="293"/>
      <c r="BH26" s="293"/>
      <c r="BI26" s="293"/>
      <c r="BJ26" s="293"/>
      <c r="BK26" s="293"/>
      <c r="BL26" s="293"/>
      <c r="BM26" s="293"/>
      <c r="BN26" s="293"/>
      <c r="BO26" s="293"/>
      <c r="BP26" s="293"/>
      <c r="BQ26" s="293"/>
      <c r="BR26" s="293"/>
      <c r="BS26" s="293"/>
      <c r="BT26" s="293"/>
      <c r="BU26" s="293"/>
      <c r="BV26" s="293"/>
      <c r="BW26" s="293"/>
      <c r="BX26" s="293"/>
      <c r="BY26" s="293"/>
      <c r="BZ26" s="293"/>
      <c r="CA26" s="293"/>
      <c r="CB26" s="293"/>
    </row>
    <row r="27" spans="1:80" ht="27.75" customHeight="1" x14ac:dyDescent="0.2">
      <c r="A27" s="427">
        <v>86</v>
      </c>
      <c r="B27" s="287" t="s">
        <v>131</v>
      </c>
      <c r="C27" s="226" t="s">
        <v>153</v>
      </c>
      <c r="D27" s="288">
        <v>6</v>
      </c>
      <c r="E27" s="291" t="str">
        <f>VLOOKUP('Risk Only'!A27,'Descriptor maps'!$A$1:$F$1654,6,0)</f>
        <v>What is the foundation cutoff trench geometry?</v>
      </c>
      <c r="F27" s="289" t="s">
        <v>1232</v>
      </c>
      <c r="G27" s="291" cm="1">
        <f t="array" ref="G27">INDEX('Descriptor maps'!$H$2:$H$1658,MATCH(1,('Descriptor maps'!$A$2:$A$1658='Risk Only'!$A27)*('Descriptor maps'!$G$2:$G$1658='Risk Only'!$F27),0))</f>
        <v>3</v>
      </c>
      <c r="H27" s="292" cm="1">
        <f t="array" ref="H27">IF(ISNUMBER(F27)=TRUE,F27, INDEX('Descriptor maps'!$I$2:$I$1658,MATCH(1,('Descriptor maps'!$A$2:$A$1658='Risk Only'!$A27)*('Descriptor maps'!$G$2:$G$1658='Risk Only'!$F27),0)))</f>
        <v>3</v>
      </c>
      <c r="I27" s="292" cm="1">
        <f t="array" ref="I27">INDEX('Descriptor maps'!$J$2:$J$1658,MATCH(1,('Descriptor maps'!$A$2:$A$1658=A27)*('Descriptor maps'!$G$2:$G$1658=F27),0))</f>
        <v>1</v>
      </c>
      <c r="J27" s="442">
        <f t="shared" si="0"/>
        <v>1</v>
      </c>
      <c r="K27" s="293"/>
      <c r="L27" s="293"/>
      <c r="M27" s="293"/>
      <c r="N27" s="293"/>
      <c r="O27" s="293"/>
      <c r="P27" s="293"/>
      <c r="Q27" s="293"/>
      <c r="R27" s="293"/>
      <c r="S27" s="293"/>
      <c r="T27" s="293"/>
      <c r="U27" s="293"/>
      <c r="V27" s="293"/>
      <c r="W27" s="293"/>
      <c r="X27" s="293"/>
      <c r="Y27" s="293"/>
      <c r="Z27" s="293"/>
      <c r="AA27" s="293"/>
      <c r="AB27" s="293"/>
      <c r="AC27" s="293"/>
      <c r="AD27" s="293"/>
      <c r="AE27" s="293"/>
      <c r="AF27" s="293"/>
      <c r="AG27" s="293"/>
      <c r="AH27" s="293"/>
      <c r="AI27" s="293"/>
      <c r="AJ27" s="293"/>
      <c r="AK27" s="293"/>
      <c r="AL27" s="293"/>
      <c r="AM27" s="293"/>
      <c r="AN27" s="293"/>
      <c r="AO27" s="293"/>
      <c r="AP27" s="293"/>
      <c r="AQ27" s="293"/>
      <c r="AR27" s="293"/>
      <c r="AS27" s="293"/>
      <c r="AT27" s="293"/>
      <c r="AU27" s="293"/>
      <c r="AV27" s="293"/>
      <c r="AW27" s="293"/>
      <c r="AX27" s="293"/>
      <c r="AY27" s="293"/>
      <c r="AZ27" s="293"/>
      <c r="BA27" s="293"/>
      <c r="BB27" s="293"/>
      <c r="BC27" s="293"/>
      <c r="BD27" s="293"/>
      <c r="BE27" s="293"/>
      <c r="BF27" s="293"/>
      <c r="BG27" s="293">
        <f>I27</f>
        <v>1</v>
      </c>
      <c r="BH27" s="293"/>
      <c r="BI27" s="293"/>
      <c r="BJ27" s="293"/>
      <c r="BK27" s="293"/>
      <c r="BL27" s="293"/>
      <c r="BM27" s="293"/>
      <c r="BN27" s="293"/>
      <c r="BO27" s="293"/>
      <c r="BP27" s="293"/>
      <c r="BQ27" s="293"/>
      <c r="BR27" s="293"/>
      <c r="BS27" s="293"/>
      <c r="BT27" s="293"/>
      <c r="BU27" s="293"/>
      <c r="BV27" s="293"/>
      <c r="BW27" s="293"/>
      <c r="BX27" s="293"/>
      <c r="BY27" s="293"/>
      <c r="BZ27" s="293"/>
      <c r="CA27" s="293"/>
      <c r="CB27" s="293"/>
    </row>
    <row r="28" spans="1:80" ht="27.75" customHeight="1" x14ac:dyDescent="0.2">
      <c r="A28" s="427">
        <v>87</v>
      </c>
      <c r="B28" s="287" t="s">
        <v>131</v>
      </c>
      <c r="C28" s="226" t="s">
        <v>153</v>
      </c>
      <c r="D28" s="288">
        <v>6</v>
      </c>
      <c r="E28" s="291" t="str">
        <f>VLOOKUP('Risk Only'!A28,'Descriptor maps'!$A$1:$F$1654,6,0)</f>
        <v xml:space="preserve">Is there documented evidence that the foundation slopes were treated with the objective to remove vertical faces, overhangs and irregularities by cutting and/or filling? </v>
      </c>
      <c r="F28" s="289" t="s">
        <v>1198</v>
      </c>
      <c r="G28" s="291" cm="1">
        <f t="array" ref="G28">INDEX('Descriptor maps'!$H$2:$H$1658,MATCH(1,('Descriptor maps'!$A$2:$A$1658='Risk Only'!$A28)*('Descriptor maps'!$G$2:$G$1658='Risk Only'!$F28),0))</f>
        <v>1</v>
      </c>
      <c r="H28" s="292" cm="1">
        <f t="array" ref="H28">IF(ISNUMBER(F28)=TRUE,F28, INDEX('Descriptor maps'!$I$2:$I$1658,MATCH(1,('Descriptor maps'!$A$2:$A$1658='Risk Only'!$A28)*('Descriptor maps'!$G$2:$G$1658='Risk Only'!$F28),0)))</f>
        <v>1</v>
      </c>
      <c r="I28" s="292" cm="1">
        <f t="array" ref="I28">INDEX('Descriptor maps'!$J$2:$J$1658,MATCH(1,('Descriptor maps'!$A$2:$A$1658=A28)*('Descriptor maps'!$G$2:$G$1658=F28),0))</f>
        <v>0.9</v>
      </c>
      <c r="J28" s="442">
        <f t="shared" si="0"/>
        <v>2</v>
      </c>
      <c r="K28" s="293"/>
      <c r="L28" s="293"/>
      <c r="M28" s="293"/>
      <c r="N28" s="293"/>
      <c r="O28" s="293"/>
      <c r="P28" s="293"/>
      <c r="Q28" s="293"/>
      <c r="R28" s="293"/>
      <c r="S28" s="293"/>
      <c r="T28" s="293"/>
      <c r="U28" s="293"/>
      <c r="V28" s="293"/>
      <c r="W28" s="293"/>
      <c r="X28" s="293"/>
      <c r="Y28" s="293"/>
      <c r="Z28" s="293"/>
      <c r="AA28" s="293"/>
      <c r="AB28" s="293"/>
      <c r="AC28" s="293"/>
      <c r="AD28" s="293"/>
      <c r="AE28" s="293"/>
      <c r="AF28" s="293"/>
      <c r="AG28" s="293"/>
      <c r="AH28" s="293"/>
      <c r="AI28" s="293"/>
      <c r="AJ28" s="293"/>
      <c r="AK28" s="293"/>
      <c r="AL28" s="293"/>
      <c r="AM28" s="293">
        <f>1*$H28</f>
        <v>1</v>
      </c>
      <c r="AN28" s="293"/>
      <c r="AO28" s="293"/>
      <c r="AP28" s="293"/>
      <c r="AQ28" s="293"/>
      <c r="AR28" s="293"/>
      <c r="AS28" s="293"/>
      <c r="AT28" s="293"/>
      <c r="AU28" s="293"/>
      <c r="AV28" s="293"/>
      <c r="AW28" s="293"/>
      <c r="AX28" s="293"/>
      <c r="AY28" s="293"/>
      <c r="AZ28" s="293"/>
      <c r="BA28" s="293"/>
      <c r="BB28" s="293"/>
      <c r="BC28" s="293"/>
      <c r="BD28" s="293"/>
      <c r="BE28" s="293"/>
      <c r="BF28" s="293"/>
      <c r="BG28" s="293"/>
      <c r="BH28" s="293"/>
      <c r="BI28" s="293"/>
      <c r="BJ28" s="293"/>
      <c r="BK28" s="293"/>
      <c r="BL28" s="293"/>
      <c r="BM28" s="293"/>
      <c r="BN28" s="293">
        <f>I28</f>
        <v>0.9</v>
      </c>
      <c r="BO28" s="293"/>
      <c r="BP28" s="293"/>
      <c r="BQ28" s="293"/>
      <c r="BR28" s="293"/>
      <c r="BS28" s="293"/>
      <c r="BT28" s="293"/>
      <c r="BU28" s="293"/>
      <c r="BV28" s="293"/>
      <c r="BW28" s="293"/>
      <c r="BX28" s="293"/>
      <c r="BY28" s="293"/>
      <c r="BZ28" s="293"/>
      <c r="CA28" s="293"/>
      <c r="CB28" s="293"/>
    </row>
    <row r="29" spans="1:80" ht="27.75" customHeight="1" x14ac:dyDescent="0.2">
      <c r="A29" s="427">
        <v>88</v>
      </c>
      <c r="B29" s="287" t="s">
        <v>131</v>
      </c>
      <c r="C29" s="226" t="s">
        <v>153</v>
      </c>
      <c r="D29" s="288">
        <v>6</v>
      </c>
      <c r="E29" s="291" t="str">
        <f>VLOOKUP('Risk Only'!A29,'Descriptor maps'!$A$1:$F$1654,6,0)</f>
        <v>What were the conditions and treatment of the foundation interface within the cutoff trench or beneath the low permeability zone (if cutoff is not in place)?</v>
      </c>
      <c r="F29" s="289" t="s">
        <v>1270</v>
      </c>
      <c r="G29" s="291" cm="1">
        <f t="array" ref="G29">INDEX('Descriptor maps'!$H$2:$H$1658,MATCH(1,('Descriptor maps'!$A$2:$A$1658='Risk Only'!$A29)*('Descriptor maps'!$G$2:$G$1658='Risk Only'!$F29),0))</f>
        <v>1</v>
      </c>
      <c r="H29" s="292" cm="1">
        <f t="array" ref="H29">IF(ISNUMBER(F29)=TRUE,F29, INDEX('Descriptor maps'!$I$2:$I$1658,MATCH(1,('Descriptor maps'!$A$2:$A$1658='Risk Only'!$A29)*('Descriptor maps'!$G$2:$G$1658='Risk Only'!$F29),0)))</f>
        <v>0.4</v>
      </c>
      <c r="I29" s="292" cm="1">
        <f t="array" ref="I29">INDEX('Descriptor maps'!$J$2:$J$1658,MATCH(1,('Descriptor maps'!$A$2:$A$1658=A29)*('Descriptor maps'!$G$2:$G$1658=F29),0))</f>
        <v>0</v>
      </c>
      <c r="J29" s="442">
        <f t="shared" si="0"/>
        <v>1</v>
      </c>
      <c r="K29" s="293"/>
      <c r="L29" s="293"/>
      <c r="M29" s="293"/>
      <c r="N29" s="293"/>
      <c r="O29" s="293"/>
      <c r="P29" s="293"/>
      <c r="Q29" s="293"/>
      <c r="R29" s="293"/>
      <c r="S29" s="293"/>
      <c r="T29" s="293"/>
      <c r="U29" s="293"/>
      <c r="V29" s="293"/>
      <c r="W29" s="293"/>
      <c r="X29" s="293"/>
      <c r="Y29" s="293"/>
      <c r="Z29" s="293"/>
      <c r="AA29" s="293"/>
      <c r="AB29" s="293"/>
      <c r="AC29" s="293"/>
      <c r="AD29" s="293"/>
      <c r="AE29" s="293"/>
      <c r="AF29" s="293"/>
      <c r="AG29" s="293"/>
      <c r="AH29" s="293"/>
      <c r="AI29" s="293"/>
      <c r="AJ29" s="293"/>
      <c r="AK29" s="293"/>
      <c r="AL29" s="293"/>
      <c r="AM29" s="293"/>
      <c r="AN29" s="293"/>
      <c r="AO29" s="293"/>
      <c r="AP29" s="293"/>
      <c r="AQ29" s="293"/>
      <c r="AR29" s="293"/>
      <c r="AS29" s="293"/>
      <c r="AT29" s="293"/>
      <c r="AU29" s="293"/>
      <c r="AV29" s="293"/>
      <c r="AW29" s="293"/>
      <c r="AX29" s="293"/>
      <c r="AY29" s="293"/>
      <c r="AZ29" s="293"/>
      <c r="BA29" s="293"/>
      <c r="BB29" s="293"/>
      <c r="BC29" s="293"/>
      <c r="BD29" s="293"/>
      <c r="BE29" s="293"/>
      <c r="BF29" s="293"/>
      <c r="BG29" s="293"/>
      <c r="BH29" s="293"/>
      <c r="BI29" s="293"/>
      <c r="BJ29" s="293">
        <f>H29</f>
        <v>0.4</v>
      </c>
      <c r="BK29" s="293"/>
      <c r="BL29" s="293"/>
      <c r="BM29" s="293"/>
      <c r="BN29" s="293"/>
      <c r="BO29" s="293"/>
      <c r="BP29" s="293"/>
      <c r="BQ29" s="293"/>
      <c r="BR29" s="293"/>
      <c r="BS29" s="293"/>
      <c r="BT29" s="293"/>
      <c r="BU29" s="293"/>
      <c r="BV29" s="293"/>
      <c r="BW29" s="293"/>
      <c r="BX29" s="293"/>
      <c r="BY29" s="293"/>
      <c r="BZ29" s="293"/>
      <c r="CA29" s="293"/>
      <c r="CB29" s="293"/>
    </row>
    <row r="30" spans="1:80" ht="27.75" customHeight="1" x14ac:dyDescent="0.2">
      <c r="A30" s="427">
        <v>89</v>
      </c>
      <c r="B30" s="287" t="s">
        <v>131</v>
      </c>
      <c r="C30" s="226" t="s">
        <v>153</v>
      </c>
      <c r="D30" s="288">
        <v>6</v>
      </c>
      <c r="E30" s="291" t="str">
        <f>VLOOKUP('Risk Only'!A30,'Descriptor maps'!$A$1:$F$1654,6,0)</f>
        <v>Foundation Grouting</v>
      </c>
      <c r="F30" s="289" t="s">
        <v>671</v>
      </c>
      <c r="G30" s="291" cm="1">
        <f t="array" ref="G30">INDEX('Descriptor maps'!$H$2:$H$1658,MATCH(1,('Descriptor maps'!$A$2:$A$1658='Risk Only'!$A30)*('Descriptor maps'!$G$2:$G$1658='Risk Only'!$F30),0))</f>
        <v>0</v>
      </c>
      <c r="H30" s="292" cm="1">
        <f t="array" ref="H30">IF(ISNUMBER(F30)=TRUE,F30, INDEX('Descriptor maps'!$I$2:$I$1658,MATCH(1,('Descriptor maps'!$A$2:$A$1658='Risk Only'!$A30)*('Descriptor maps'!$G$2:$G$1658='Risk Only'!$F30),0)))</f>
        <v>1</v>
      </c>
      <c r="I30" s="292" cm="1">
        <f t="array" ref="I30">INDEX('Descriptor maps'!$J$2:$J$1658,MATCH(1,('Descriptor maps'!$A$2:$A$1658=A30)*('Descriptor maps'!$G$2:$G$1658=F30),0))</f>
        <v>0</v>
      </c>
      <c r="J30" s="442">
        <f t="shared" si="0"/>
        <v>1</v>
      </c>
      <c r="K30" s="293"/>
      <c r="L30" s="293"/>
      <c r="M30" s="293"/>
      <c r="N30" s="293"/>
      <c r="O30" s="293"/>
      <c r="P30" s="293"/>
      <c r="Q30" s="293"/>
      <c r="R30" s="293"/>
      <c r="S30" s="293"/>
      <c r="T30" s="293"/>
      <c r="U30" s="293"/>
      <c r="V30" s="293"/>
      <c r="W30" s="293"/>
      <c r="X30" s="293"/>
      <c r="Y30" s="293"/>
      <c r="Z30" s="293"/>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3"/>
      <c r="BA30" s="293"/>
      <c r="BB30" s="293"/>
      <c r="BC30" s="293"/>
      <c r="BD30" s="293"/>
      <c r="BE30" s="293"/>
      <c r="BF30" s="293"/>
      <c r="BG30" s="293"/>
      <c r="BH30" s="293"/>
      <c r="BI30" s="293"/>
      <c r="BJ30" s="293"/>
      <c r="BK30" s="293">
        <f>1*$H30</f>
        <v>1</v>
      </c>
      <c r="BL30" s="293"/>
      <c r="BM30" s="293"/>
      <c r="BN30" s="293"/>
      <c r="BO30" s="293"/>
      <c r="BP30" s="293"/>
      <c r="BQ30" s="293"/>
      <c r="BR30" s="293"/>
      <c r="BS30" s="293"/>
      <c r="BT30" s="293"/>
      <c r="BU30" s="293"/>
      <c r="BV30" s="293"/>
      <c r="BW30" s="293"/>
      <c r="BX30" s="293"/>
      <c r="BY30" s="293"/>
      <c r="BZ30" s="293"/>
      <c r="CA30" s="293"/>
      <c r="CB30" s="293"/>
    </row>
    <row r="31" spans="1:80" ht="27.75" customHeight="1" x14ac:dyDescent="0.2">
      <c r="A31" s="427">
        <v>90</v>
      </c>
      <c r="B31" s="287" t="s">
        <v>131</v>
      </c>
      <c r="C31" s="226" t="s">
        <v>153</v>
      </c>
      <c r="D31" s="288">
        <v>6</v>
      </c>
      <c r="E31" s="291" t="str">
        <f>VLOOKUP('Risk Only'!A31,'Descriptor maps'!$A$1:$F$1654,6,0)</f>
        <v>What is the Safety Evaluation Earthquake used in design? (Input return annual probability).</v>
      </c>
      <c r="F31" s="289">
        <v>1.0000000000000001E-5</v>
      </c>
      <c r="G31" s="291" t="e" cm="1">
        <f t="array" ref="G31">INDEX('Descriptor maps'!$H$2:$H$1658,MATCH(1,('Descriptor maps'!$A$2:$A$1658='Risk Only'!$A31)*('Descriptor maps'!$G$2:$G$1658='Risk Only'!$F31),0))</f>
        <v>#N/A</v>
      </c>
      <c r="H31" s="292" cm="1">
        <f t="array" ref="H31">IF(ISNUMBER(F31)=TRUE,F31, INDEX('Descriptor maps'!$I$2:$I$1658,MATCH(1,('Descriptor maps'!$A$2:$A$1658='Risk Only'!$A31)*('Descriptor maps'!$G$2:$G$1658='Risk Only'!$F31),0)))</f>
        <v>1.0000000000000001E-5</v>
      </c>
      <c r="I31" s="292" t="e" cm="1">
        <f t="array" ref="I31">INDEX('Descriptor maps'!$J$2:$J$1658,MATCH(1,('Descriptor maps'!$A$2:$A$1658=A31)*('Descriptor maps'!$G$2:$G$1658=F31),0))</f>
        <v>#N/A</v>
      </c>
      <c r="J31" s="442">
        <f t="shared" si="0"/>
        <v>1</v>
      </c>
      <c r="K31" s="293"/>
      <c r="L31" s="293"/>
      <c r="M31" s="293"/>
      <c r="N31" s="293"/>
      <c r="O31" s="293"/>
      <c r="P31" s="293"/>
      <c r="Q31" s="293"/>
      <c r="R31" s="293"/>
      <c r="S31" s="293"/>
      <c r="T31" s="293"/>
      <c r="U31" s="293"/>
      <c r="V31" s="293"/>
      <c r="W31" s="293"/>
      <c r="X31" s="293"/>
      <c r="Y31" s="293"/>
      <c r="Z31" s="293"/>
      <c r="AA31" s="293"/>
      <c r="AB31" s="293"/>
      <c r="AC31" s="293"/>
      <c r="AD31" s="293"/>
      <c r="AE31" s="293">
        <f>H31</f>
        <v>1.0000000000000001E-5</v>
      </c>
      <c r="AF31" s="293"/>
      <c r="AG31" s="293"/>
      <c r="AH31" s="293"/>
      <c r="AI31" s="293"/>
      <c r="AJ31" s="293"/>
      <c r="AK31" s="293"/>
      <c r="AL31" s="293"/>
      <c r="AM31" s="293"/>
      <c r="AN31" s="293"/>
      <c r="AO31" s="293"/>
      <c r="AP31" s="293"/>
      <c r="AQ31" s="293"/>
      <c r="AR31" s="293"/>
      <c r="AS31" s="293"/>
      <c r="AT31" s="293"/>
      <c r="AU31" s="293"/>
      <c r="AV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c r="BT31" s="293"/>
      <c r="BU31" s="293"/>
      <c r="BV31" s="293"/>
      <c r="BW31" s="293"/>
      <c r="BX31" s="293"/>
      <c r="BY31" s="293"/>
      <c r="BZ31" s="293"/>
      <c r="CA31" s="293"/>
      <c r="CB31" s="293"/>
    </row>
    <row r="32" spans="1:80" ht="27.75" customHeight="1" x14ac:dyDescent="0.2">
      <c r="A32" s="427">
        <v>91</v>
      </c>
      <c r="B32" s="287" t="s">
        <v>131</v>
      </c>
      <c r="C32" s="226" t="s">
        <v>153</v>
      </c>
      <c r="D32" s="288">
        <v>6</v>
      </c>
      <c r="E32" s="291" t="str">
        <f>VLOOKUP('Risk Only'!A32,'Descriptor maps'!$A$1:$F$1654,6,0)</f>
        <v>What is the geology of the foundations below the downstream shoulder of the dam?</v>
      </c>
      <c r="F32" s="381" t="s">
        <v>1083</v>
      </c>
      <c r="G32" s="291" cm="1">
        <f t="array" ref="G32">INDEX('Descriptor maps'!$H$2:$H$1658,MATCH(1,('Descriptor maps'!$A$2:$A$1658='Risk Only'!$A32)*('Descriptor maps'!$G$2:$G$1658='Risk Only'!$F32),0))</f>
        <v>0</v>
      </c>
      <c r="H32" s="292" cm="1">
        <f t="array" ref="H32">IF(ISNUMBER(F32)=TRUE,F32, INDEX('Descriptor maps'!$I$2:$I$1658,MATCH(1,('Descriptor maps'!$A$2:$A$1658='Risk Only'!$A32)*('Descriptor maps'!$G$2:$G$1658='Risk Only'!$F32),0)))</f>
        <v>2.5</v>
      </c>
      <c r="I32" s="292" cm="1">
        <f t="array" ref="I32">INDEX('Descriptor maps'!$J$2:$J$1658,MATCH(1,('Descriptor maps'!$A$2:$A$1658=A32)*('Descriptor maps'!$G$2:$G$1658=F32),0))</f>
        <v>0</v>
      </c>
      <c r="J32" s="442">
        <f t="shared" si="0"/>
        <v>1</v>
      </c>
      <c r="K32" s="293"/>
      <c r="L32" s="293"/>
      <c r="M32" s="293"/>
      <c r="N32" s="293"/>
      <c r="O32" s="293"/>
      <c r="P32" s="293"/>
      <c r="Q32" s="293"/>
      <c r="R32" s="293"/>
      <c r="S32" s="293"/>
      <c r="T32" s="293"/>
      <c r="U32" s="293"/>
      <c r="V32" s="293"/>
      <c r="W32" s="293"/>
      <c r="X32" s="293"/>
      <c r="Y32" s="293"/>
      <c r="Z32" s="293"/>
      <c r="AA32" s="293"/>
      <c r="AB32" s="293"/>
      <c r="AC32" s="293"/>
      <c r="AD32" s="293"/>
      <c r="AE32" s="293"/>
      <c r="AF32" s="293"/>
      <c r="AG32" s="293"/>
      <c r="AH32" s="293"/>
      <c r="AI32" s="293"/>
      <c r="AJ32" s="293"/>
      <c r="AK32" s="293"/>
      <c r="AL32" s="293"/>
      <c r="AM32" s="293"/>
      <c r="AN32" s="293"/>
      <c r="AO32" s="293"/>
      <c r="AP32" s="293"/>
      <c r="AQ32" s="293"/>
      <c r="AR32" s="293"/>
      <c r="AS32" s="293"/>
      <c r="AT32" s="293"/>
      <c r="AU32" s="293"/>
      <c r="AV32" s="293"/>
      <c r="AW32" s="293"/>
      <c r="AX32" s="293"/>
      <c r="AY32" s="293"/>
      <c r="AZ32" s="293"/>
      <c r="BA32" s="293"/>
      <c r="BB32" s="293"/>
      <c r="BC32" s="293"/>
      <c r="BD32" s="293"/>
      <c r="BE32" s="293"/>
      <c r="BF32" s="293"/>
      <c r="BG32" s="293"/>
      <c r="BH32" s="293"/>
      <c r="BI32" s="293">
        <f>H32</f>
        <v>2.5</v>
      </c>
      <c r="BJ32" s="293"/>
      <c r="BK32" s="293"/>
      <c r="BL32" s="293"/>
      <c r="BM32" s="293"/>
      <c r="BN32" s="293"/>
      <c r="BO32" s="293"/>
      <c r="BP32" s="293"/>
      <c r="BQ32" s="293"/>
      <c r="BR32" s="293"/>
      <c r="BS32" s="293"/>
      <c r="BT32" s="293"/>
      <c r="BU32" s="293"/>
      <c r="BV32" s="293"/>
      <c r="BW32" s="293"/>
      <c r="BX32" s="293"/>
      <c r="BY32" s="293"/>
      <c r="BZ32" s="293"/>
      <c r="CA32" s="293"/>
      <c r="CB32" s="293"/>
    </row>
    <row r="33" spans="1:80" ht="27.75" customHeight="1" x14ac:dyDescent="0.2">
      <c r="A33" s="427">
        <v>92</v>
      </c>
      <c r="B33" s="287" t="s">
        <v>131</v>
      </c>
      <c r="C33" s="226" t="s">
        <v>153</v>
      </c>
      <c r="D33" s="288">
        <v>6</v>
      </c>
      <c r="E33" s="291" t="str">
        <f>VLOOKUP('Risk Only'!A33,'Descriptor maps'!$A$1:$F$1654,6,0)</f>
        <v>Is there documented evidence that the design of the conduit through the embankment has been designed using defensible methods, including the provision and design of appropriate filters, to achieve the objective of limiting the likelihood of structural failure and internal erosion due to the conduit?</v>
      </c>
      <c r="F33" s="289" t="s">
        <v>1191</v>
      </c>
      <c r="G33" s="291" cm="1">
        <f t="array" ref="G33">INDEX('Descriptor maps'!$H$2:$H$1658,MATCH(1,('Descriptor maps'!$A$2:$A$1658='Risk Only'!$A33)*('Descriptor maps'!$G$2:$G$1658='Risk Only'!$F33),0))</f>
        <v>0</v>
      </c>
      <c r="H33" s="292" cm="1">
        <f t="array" ref="H33">IF(ISNUMBER(F33)=TRUE,F33, INDEX('Descriptor maps'!$I$2:$I$1658,MATCH(1,('Descriptor maps'!$A$2:$A$1658='Risk Only'!$A33)*('Descriptor maps'!$G$2:$G$1658='Risk Only'!$F33),0)))</f>
        <v>0</v>
      </c>
      <c r="I33" s="292" cm="1">
        <f t="array" ref="I33">INDEX('Descriptor maps'!$J$2:$J$1658,MATCH(1,('Descriptor maps'!$A$2:$A$1658=A33)*('Descriptor maps'!$G$2:$G$1658=F33),0))</f>
        <v>0.5</v>
      </c>
      <c r="J33" s="442">
        <f t="shared" si="0"/>
        <v>1</v>
      </c>
      <c r="K33" s="293"/>
      <c r="L33" s="293"/>
      <c r="M33" s="293"/>
      <c r="N33" s="293"/>
      <c r="O33" s="293"/>
      <c r="P33" s="293"/>
      <c r="Q33" s="293"/>
      <c r="R33" s="293"/>
      <c r="S33" s="293"/>
      <c r="T33" s="293"/>
      <c r="U33" s="293"/>
      <c r="V33" s="293"/>
      <c r="W33" s="293"/>
      <c r="X33" s="293"/>
      <c r="Y33" s="293"/>
      <c r="Z33" s="293"/>
      <c r="AA33" s="293"/>
      <c r="AB33" s="293"/>
      <c r="AC33" s="293"/>
      <c r="AD33" s="293"/>
      <c r="AE33" s="293"/>
      <c r="AF33" s="293"/>
      <c r="AG33" s="293"/>
      <c r="AH33" s="293"/>
      <c r="AI33" s="293"/>
      <c r="AJ33" s="293"/>
      <c r="AK33" s="293"/>
      <c r="AL33" s="293">
        <f>I33</f>
        <v>0.5</v>
      </c>
      <c r="AM33" s="293"/>
      <c r="AN33" s="293"/>
      <c r="AO33" s="293"/>
      <c r="AP33" s="293"/>
      <c r="AQ33" s="293"/>
      <c r="AR33" s="293"/>
      <c r="AS33" s="293"/>
      <c r="AT33" s="293"/>
      <c r="AU33" s="293"/>
      <c r="AV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c r="BT33" s="293"/>
      <c r="BU33" s="293"/>
      <c r="BV33" s="293"/>
      <c r="BW33" s="293"/>
      <c r="BX33" s="293"/>
      <c r="BY33" s="293"/>
      <c r="BZ33" s="293"/>
      <c r="CA33" s="293"/>
      <c r="CB33" s="293"/>
    </row>
    <row r="34" spans="1:80" ht="27.75" customHeight="1" x14ac:dyDescent="0.2">
      <c r="A34" s="427">
        <v>114</v>
      </c>
      <c r="B34" s="287" t="s">
        <v>131</v>
      </c>
      <c r="C34" s="226" t="s">
        <v>153</v>
      </c>
      <c r="D34" s="288">
        <v>6</v>
      </c>
      <c r="E34" s="291" t="str">
        <f>VLOOKUP('Risk Only'!A34,'Descriptor maps'!$A$1:$F$1654,6,0)</f>
        <v xml:space="preserve">What is the vertical distance between the dam crest and the maximum measured or modelled  phreatic line at the upstream face? </v>
      </c>
      <c r="F34" s="289">
        <v>4</v>
      </c>
      <c r="G34" s="291" t="e" cm="1">
        <f t="array" ref="G34">INDEX('Descriptor maps'!$H$2:$H$1658,MATCH(1,('Descriptor maps'!$A$2:$A$1658='Risk Only'!$A34)*('Descriptor maps'!$G$2:$G$1658='Risk Only'!$F34),0))</f>
        <v>#N/A</v>
      </c>
      <c r="H34" s="292" cm="1">
        <f t="array" ref="H34">IF(ISNUMBER(F34)=TRUE,F34, INDEX('Descriptor maps'!$I$2:$I$1658,MATCH(1,('Descriptor maps'!$A$2:$A$1658='Risk Only'!$A34)*('Descriptor maps'!$G$2:$G$1658='Risk Only'!$F34),0)))</f>
        <v>4</v>
      </c>
      <c r="I34" s="292" t="e" cm="1">
        <f t="array" ref="I34">INDEX('Descriptor maps'!$J$2:$J$1658,MATCH(1,('Descriptor maps'!$A$2:$A$1658=A34)*('Descriptor maps'!$G$2:$G$1658=F34),0))</f>
        <v>#N/A</v>
      </c>
      <c r="J34" s="442">
        <f t="shared" si="0"/>
        <v>1</v>
      </c>
      <c r="K34" s="293"/>
      <c r="L34" s="293"/>
      <c r="M34" s="293"/>
      <c r="N34" s="293"/>
      <c r="O34" s="293"/>
      <c r="P34" s="293"/>
      <c r="Q34" s="293"/>
      <c r="R34" s="293"/>
      <c r="S34" s="293"/>
      <c r="T34" s="293"/>
      <c r="U34" s="293"/>
      <c r="V34" s="293"/>
      <c r="W34" s="293"/>
      <c r="X34" s="293"/>
      <c r="Y34" s="293"/>
      <c r="Z34" s="293"/>
      <c r="AA34" s="293"/>
      <c r="AB34" s="293"/>
      <c r="AC34" s="293"/>
      <c r="AD34" s="293"/>
      <c r="AE34" s="293"/>
      <c r="AF34" s="293"/>
      <c r="AG34" s="293">
        <v>4</v>
      </c>
      <c r="AH34" s="293"/>
      <c r="AI34" s="293"/>
      <c r="AJ34" s="293"/>
      <c r="AK34" s="293"/>
      <c r="AL34" s="293"/>
      <c r="AM34" s="293"/>
      <c r="AN34" s="293"/>
      <c r="AO34" s="293"/>
      <c r="AP34" s="293"/>
      <c r="AQ34" s="293"/>
      <c r="AR34" s="293"/>
      <c r="AS34" s="293"/>
      <c r="AT34" s="293"/>
      <c r="AU34" s="293"/>
      <c r="AV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c r="BT34" s="293"/>
      <c r="BU34" s="293"/>
      <c r="BV34" s="293"/>
      <c r="BW34" s="293"/>
      <c r="BX34" s="293"/>
      <c r="BY34" s="293"/>
      <c r="BZ34" s="293"/>
      <c r="CA34" s="293"/>
      <c r="CB34" s="293"/>
    </row>
    <row r="35" spans="1:80" ht="27.75" customHeight="1" x14ac:dyDescent="0.2">
      <c r="A35" s="427">
        <v>123</v>
      </c>
      <c r="B35" s="287" t="s">
        <v>131</v>
      </c>
      <c r="C35" s="226" t="s">
        <v>153</v>
      </c>
      <c r="D35" s="288">
        <v>6</v>
      </c>
      <c r="E35" s="291" t="str">
        <f>VLOOKUP('Risk Only'!A35,'Descriptor maps'!$A$1:$F$1654,6,0)</f>
        <v>Design Flood event (Insert Return Period)</v>
      </c>
      <c r="F35" s="289">
        <v>9.9999999999999995E-7</v>
      </c>
      <c r="G35" s="291" t="e" cm="1">
        <f t="array" ref="G35">INDEX('Descriptor maps'!$H$2:$H$1658,MATCH(1,('Descriptor maps'!$A$2:$A$1658='Risk Only'!$A35)*('Descriptor maps'!$G$2:$G$1658='Risk Only'!$F35),0))</f>
        <v>#N/A</v>
      </c>
      <c r="H35" s="292" cm="1">
        <f t="array" ref="H35">IF(ISNUMBER(F35)=TRUE,F35, INDEX('Descriptor maps'!$I$2:$I$1658,MATCH(1,('Descriptor maps'!$A$2:$A$1658='Risk Only'!$A35)*('Descriptor maps'!$G$2:$G$1658='Risk Only'!$F35),0)))</f>
        <v>9.9999999999999995E-7</v>
      </c>
      <c r="I35" s="292" t="e" cm="1">
        <f t="array" ref="I35">INDEX('Descriptor maps'!$J$2:$J$1658,MATCH(1,('Descriptor maps'!$A$2:$A$1658=A35)*('Descriptor maps'!$G$2:$G$1658=F35),0))</f>
        <v>#N/A</v>
      </c>
      <c r="J35" s="442">
        <f t="shared" ref="J35:J66" si="1">COUNT(K35:CB35)</f>
        <v>1</v>
      </c>
      <c r="K35" s="293"/>
      <c r="L35" s="293"/>
      <c r="M35" s="293"/>
      <c r="N35" s="293"/>
      <c r="O35" s="293"/>
      <c r="P35" s="293"/>
      <c r="Q35" s="293"/>
      <c r="R35" s="293"/>
      <c r="S35" s="293"/>
      <c r="T35" s="293"/>
      <c r="U35" s="293"/>
      <c r="V35" s="293"/>
      <c r="W35" s="293"/>
      <c r="X35" s="293"/>
      <c r="Y35" s="293"/>
      <c r="Z35" s="293"/>
      <c r="AA35" s="293"/>
      <c r="AB35" s="293"/>
      <c r="AC35" s="293"/>
      <c r="AD35" s="293"/>
      <c r="AE35" s="293"/>
      <c r="AF35" s="293">
        <f>H35</f>
        <v>9.9999999999999995E-7</v>
      </c>
      <c r="AG35" s="293"/>
      <c r="AH35" s="293"/>
      <c r="AI35" s="293"/>
      <c r="AJ35" s="293"/>
      <c r="AK35" s="293"/>
      <c r="AL35" s="293"/>
      <c r="AM35" s="293"/>
      <c r="AN35" s="293"/>
      <c r="AO35" s="293"/>
      <c r="AP35" s="293"/>
      <c r="AQ35" s="293"/>
      <c r="AR35" s="293"/>
      <c r="AS35" s="293"/>
      <c r="AT35" s="293"/>
      <c r="AU35" s="293"/>
      <c r="AV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c r="BT35" s="293"/>
      <c r="BU35" s="293"/>
      <c r="BV35" s="293"/>
      <c r="BW35" s="293"/>
      <c r="BX35" s="293"/>
      <c r="BY35" s="293"/>
      <c r="BZ35" s="293"/>
      <c r="CA35" s="293"/>
      <c r="CB35" s="293"/>
    </row>
    <row r="36" spans="1:80" ht="27.75" customHeight="1" x14ac:dyDescent="0.2">
      <c r="A36" s="427">
        <v>159</v>
      </c>
      <c r="B36" s="287" t="s">
        <v>131</v>
      </c>
      <c r="C36" s="226" t="s">
        <v>174</v>
      </c>
      <c r="D36" s="288">
        <v>7</v>
      </c>
      <c r="E36" s="380" t="str">
        <f>VLOOKUP('Risk Only'!A36,'Descriptor maps'!$A$1:$F$1654,6,0)</f>
        <v>Is there documented evidence to demonstrate that the Potential Failure Mode Assessment was undertaken using defensible methods that are commensurate with the complexity and potential consequences of the facility, to achieve the objective of understanding the progression of potential failure modes from hazard to failure?</v>
      </c>
      <c r="F36" s="296" t="s">
        <v>1193</v>
      </c>
      <c r="G36" s="291" cm="1">
        <f t="array" ref="G36">INDEX('Descriptor maps'!$H$2:$H$1658,MATCH(1,('Descriptor maps'!$A$2:$A$1658='Risk Only'!$A36)*('Descriptor maps'!$G$2:$G$1658='Risk Only'!$F36),0))</f>
        <v>2</v>
      </c>
      <c r="H36" s="292" cm="1">
        <f t="array" ref="H36">IF(ISNUMBER(F36)=TRUE,F36, INDEX('Descriptor maps'!$I$2:$I$1658,MATCH(1,('Descriptor maps'!$A$2:$A$1658='Risk Only'!$A36)*('Descriptor maps'!$G$2:$G$1658='Risk Only'!$F36),0)))</f>
        <v>2</v>
      </c>
      <c r="I36" s="292" cm="1">
        <f t="array" ref="I36">INDEX('Descriptor maps'!$J$2:$J$1658,MATCH(1,('Descriptor maps'!$A$2:$A$1658=A36)*('Descriptor maps'!$G$2:$G$1658=F36),0))</f>
        <v>0</v>
      </c>
      <c r="J36" s="442">
        <f t="shared" si="1"/>
        <v>3</v>
      </c>
      <c r="K36" s="293"/>
      <c r="L36" s="293"/>
      <c r="M36" s="293">
        <f>H36</f>
        <v>2</v>
      </c>
      <c r="N36" s="293"/>
      <c r="O36" s="293"/>
      <c r="P36" s="293"/>
      <c r="Q36" s="293"/>
      <c r="R36" s="293"/>
      <c r="S36" s="293"/>
      <c r="T36" s="293">
        <f t="shared" ref="R36:T39" si="2">1*$H36</f>
        <v>2</v>
      </c>
      <c r="U36" s="293"/>
      <c r="V36" s="293"/>
      <c r="W36" s="293"/>
      <c r="X36" s="293"/>
      <c r="Y36" s="293"/>
      <c r="Z36" s="293"/>
      <c r="AA36" s="293">
        <f t="shared" ref="Y36:AA39" si="3">1*$H36</f>
        <v>2</v>
      </c>
      <c r="AB36" s="293"/>
      <c r="AC36" s="293"/>
      <c r="AD36" s="293"/>
      <c r="AE36" s="293"/>
      <c r="AF36" s="293"/>
      <c r="AG36" s="293"/>
      <c r="AH36" s="293"/>
      <c r="AI36" s="293"/>
      <c r="AJ36" s="293"/>
      <c r="AK36" s="293"/>
      <c r="AL36" s="293"/>
      <c r="AM36" s="293"/>
      <c r="AN36" s="293"/>
      <c r="AO36" s="293"/>
      <c r="AP36" s="293"/>
      <c r="AQ36" s="293"/>
      <c r="AR36" s="293"/>
      <c r="AS36" s="293"/>
      <c r="AT36" s="293"/>
      <c r="AU36" s="293"/>
      <c r="AV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c r="BT36" s="293"/>
      <c r="BU36" s="293"/>
      <c r="BV36" s="293"/>
      <c r="BW36" s="293"/>
      <c r="BX36" s="293"/>
      <c r="BY36" s="293"/>
      <c r="BZ36" s="293"/>
      <c r="CA36" s="293"/>
      <c r="CB36" s="293"/>
    </row>
    <row r="37" spans="1:80" ht="27.75" customHeight="1" x14ac:dyDescent="0.2">
      <c r="A37" s="427">
        <v>160</v>
      </c>
      <c r="B37" s="287" t="s">
        <v>131</v>
      </c>
      <c r="C37" s="226" t="s">
        <v>174</v>
      </c>
      <c r="D37" s="288">
        <v>7</v>
      </c>
      <c r="E37" s="380" t="str">
        <f>VLOOKUP('Risk Only'!A37,'Descriptor maps'!$A$1:$F$1654,6,0)</f>
        <v xml:space="preserve">Is there documented evidence that the outcomes of the Potential Failure Mode Assessment were considered throughout the design process with the objective of minimising the likelihood of failure under the identified failure modes? </v>
      </c>
      <c r="F37" s="296" t="s">
        <v>1193</v>
      </c>
      <c r="G37" s="291" cm="1">
        <f t="array" ref="G37">INDEX('Descriptor maps'!$H$2:$H$1658,MATCH(1,('Descriptor maps'!$A$2:$A$1658='Risk Only'!$A37)*('Descriptor maps'!$G$2:$G$1658='Risk Only'!$F37),0))</f>
        <v>2</v>
      </c>
      <c r="H37" s="292" cm="1">
        <f t="array" ref="H37">IF(ISNUMBER(F37)=TRUE,F37, INDEX('Descriptor maps'!$I$2:$I$1658,MATCH(1,('Descriptor maps'!$A$2:$A$1658='Risk Only'!$A37)*('Descriptor maps'!$G$2:$G$1658='Risk Only'!$F37),0)))</f>
        <v>2</v>
      </c>
      <c r="I37" s="292" cm="1">
        <f t="array" ref="I37">INDEX('Descriptor maps'!$J$2:$J$1658,MATCH(1,('Descriptor maps'!$A$2:$A$1658=A37)*('Descriptor maps'!$G$2:$G$1658=F37),0))</f>
        <v>0</v>
      </c>
      <c r="J37" s="442">
        <f t="shared" si="1"/>
        <v>9</v>
      </c>
      <c r="K37" s="293">
        <f>$H37</f>
        <v>2</v>
      </c>
      <c r="L37" s="293">
        <f>$H37</f>
        <v>2</v>
      </c>
      <c r="M37" s="293">
        <f>$H37</f>
        <v>2</v>
      </c>
      <c r="N37" s="293"/>
      <c r="O37" s="293"/>
      <c r="P37" s="293"/>
      <c r="Q37" s="293"/>
      <c r="R37" s="293">
        <f>$H37</f>
        <v>2</v>
      </c>
      <c r="S37" s="293">
        <f>$H37</f>
        <v>2</v>
      </c>
      <c r="T37" s="293">
        <f>1*$H37</f>
        <v>2</v>
      </c>
      <c r="U37" s="293"/>
      <c r="V37" s="293"/>
      <c r="W37" s="293"/>
      <c r="X37" s="293"/>
      <c r="Y37" s="293">
        <f>$H37</f>
        <v>2</v>
      </c>
      <c r="Z37" s="293">
        <f>$H37</f>
        <v>2</v>
      </c>
      <c r="AA37" s="293">
        <f t="shared" si="3"/>
        <v>2</v>
      </c>
      <c r="AB37" s="293"/>
      <c r="AC37" s="293"/>
      <c r="AD37" s="293"/>
      <c r="AE37" s="293"/>
      <c r="AF37" s="293"/>
      <c r="AG37" s="293"/>
      <c r="AH37" s="293"/>
      <c r="AI37" s="293"/>
      <c r="AJ37" s="293"/>
      <c r="AK37" s="293"/>
      <c r="AL37" s="293"/>
      <c r="AM37" s="293"/>
      <c r="AN37" s="293"/>
      <c r="AO37" s="293"/>
      <c r="AP37" s="293"/>
      <c r="AQ37" s="293"/>
      <c r="AR37" s="293"/>
      <c r="AS37" s="293"/>
      <c r="AT37" s="293"/>
      <c r="AU37" s="293"/>
      <c r="AV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c r="BT37" s="293"/>
      <c r="BU37" s="293"/>
      <c r="BV37" s="293"/>
      <c r="BW37" s="293"/>
      <c r="BX37" s="293"/>
      <c r="BY37" s="293"/>
      <c r="BZ37" s="293"/>
      <c r="CA37" s="293"/>
      <c r="CB37" s="293"/>
    </row>
    <row r="38" spans="1:80" ht="27.75" customHeight="1" x14ac:dyDescent="0.2">
      <c r="A38" s="427">
        <v>134</v>
      </c>
      <c r="B38" s="287" t="s">
        <v>131</v>
      </c>
      <c r="C38" s="226" t="s">
        <v>153</v>
      </c>
      <c r="D38" s="288">
        <v>6</v>
      </c>
      <c r="E38" s="380" t="str">
        <f>VLOOKUP('Risk Only'!A38,'Descriptor maps'!$A$1:$F$1654,6,0)</f>
        <v>Is there documented evidence that the geological model is based on and shows the outcomes of the geological mapping, with the objective of providing a factual and complete description of the geological setting and geological units at the area of the embankment?</v>
      </c>
      <c r="F38" s="296" t="s">
        <v>1192</v>
      </c>
      <c r="G38" s="291" cm="1">
        <f t="array" ref="G38">INDEX('Descriptor maps'!$H$2:$H$1658,MATCH(1,('Descriptor maps'!$A$2:$A$1658='Risk Only'!$A38)*('Descriptor maps'!$G$2:$G$1658='Risk Only'!$F38),0))</f>
        <v>1</v>
      </c>
      <c r="H38" s="292" cm="1">
        <f t="array" ref="H38">IF(ISNUMBER(F38)=TRUE,F38, INDEX('Descriptor maps'!$I$2:$I$1658,MATCH(1,('Descriptor maps'!$A$2:$A$1658='Risk Only'!$A38)*('Descriptor maps'!$G$2:$G$1658='Risk Only'!$F38),0)))</f>
        <v>1</v>
      </c>
      <c r="I38" s="292" cm="1">
        <f t="array" ref="I38">INDEX('Descriptor maps'!$J$2:$J$1658,MATCH(1,('Descriptor maps'!$A$2:$A$1658=A38)*('Descriptor maps'!$G$2:$G$1658=F38),0))</f>
        <v>0</v>
      </c>
      <c r="J38" s="442">
        <f t="shared" si="1"/>
        <v>3</v>
      </c>
      <c r="K38" s="293">
        <f t="shared" ref="K38:K39" si="4">1*$H38</f>
        <v>1</v>
      </c>
      <c r="L38" s="293"/>
      <c r="M38" s="293"/>
      <c r="N38" s="293"/>
      <c r="O38" s="293"/>
      <c r="P38" s="293"/>
      <c r="Q38" s="293"/>
      <c r="R38" s="293">
        <f t="shared" si="2"/>
        <v>1</v>
      </c>
      <c r="S38" s="293"/>
      <c r="T38" s="293"/>
      <c r="U38" s="293"/>
      <c r="V38" s="293"/>
      <c r="W38" s="293"/>
      <c r="X38" s="293"/>
      <c r="Y38" s="293">
        <f t="shared" si="3"/>
        <v>1</v>
      </c>
      <c r="Z38" s="293"/>
      <c r="AA38" s="293"/>
      <c r="AB38" s="293"/>
      <c r="AC38" s="293"/>
      <c r="AD38" s="293"/>
      <c r="AE38" s="293"/>
      <c r="AF38" s="293"/>
      <c r="AG38" s="293"/>
      <c r="AH38" s="293"/>
      <c r="AI38" s="293"/>
      <c r="AJ38" s="293"/>
      <c r="AK38" s="293"/>
      <c r="AL38" s="293"/>
      <c r="AM38" s="293"/>
      <c r="AN38" s="293"/>
      <c r="AO38" s="293"/>
      <c r="AP38" s="293"/>
      <c r="AQ38" s="293"/>
      <c r="AR38" s="293"/>
      <c r="AS38" s="293"/>
      <c r="AT38" s="293"/>
      <c r="AU38" s="293"/>
      <c r="AV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c r="BT38" s="293"/>
      <c r="BU38" s="293"/>
      <c r="BV38" s="293"/>
      <c r="BW38" s="293"/>
      <c r="BX38" s="293"/>
      <c r="BY38" s="293"/>
      <c r="BZ38" s="293"/>
      <c r="CA38" s="293"/>
      <c r="CB38" s="293"/>
    </row>
    <row r="39" spans="1:80" ht="27.75" customHeight="1" x14ac:dyDescent="0.2">
      <c r="A39" s="427">
        <v>135</v>
      </c>
      <c r="B39" s="287" t="s">
        <v>131</v>
      </c>
      <c r="C39" s="226" t="s">
        <v>153</v>
      </c>
      <c r="D39" s="288">
        <v>6</v>
      </c>
      <c r="E39" s="291" t="str">
        <f>VLOOKUP('Risk Only'!A39,'Descriptor maps'!$A$1:$F$1654,6,0)</f>
        <v>Is there documented evidence that the geological model is based on and presents the outcomes of the field investigations with the objective of providing a factual and complete description of the geological setting and geological units at the area of the embankment?</v>
      </c>
      <c r="F39" s="296" t="s">
        <v>1193</v>
      </c>
      <c r="G39" s="291" cm="1">
        <f t="array" ref="G39">INDEX('Descriptor maps'!$H$2:$H$1658,MATCH(1,('Descriptor maps'!$A$2:$A$1658='Risk Only'!$A39)*('Descriptor maps'!$G$2:$G$1658='Risk Only'!$F39),0))</f>
        <v>2</v>
      </c>
      <c r="H39" s="292" cm="1">
        <f t="array" ref="H39">IF(ISNUMBER(F39)=TRUE,F39, INDEX('Descriptor maps'!$I$2:$I$1658,MATCH(1,('Descriptor maps'!$A$2:$A$1658='Risk Only'!$A39)*('Descriptor maps'!$G$2:$G$1658='Risk Only'!$F39),0)))</f>
        <v>2</v>
      </c>
      <c r="I39" s="292" cm="1">
        <f t="array" ref="I39">INDEX('Descriptor maps'!$J$2:$J$1658,MATCH(1,('Descriptor maps'!$A$2:$A$1658=A39)*('Descriptor maps'!$G$2:$G$1658=F39),0))</f>
        <v>0</v>
      </c>
      <c r="J39" s="442">
        <f t="shared" si="1"/>
        <v>3</v>
      </c>
      <c r="K39" s="293">
        <f t="shared" si="4"/>
        <v>2</v>
      </c>
      <c r="L39" s="293"/>
      <c r="M39" s="293"/>
      <c r="N39" s="293"/>
      <c r="O39" s="293"/>
      <c r="P39" s="293"/>
      <c r="Q39" s="293"/>
      <c r="R39" s="293">
        <f t="shared" si="2"/>
        <v>2</v>
      </c>
      <c r="S39" s="293"/>
      <c r="T39" s="293"/>
      <c r="U39" s="293"/>
      <c r="V39" s="293"/>
      <c r="W39" s="293"/>
      <c r="X39" s="293"/>
      <c r="Y39" s="293">
        <f t="shared" si="3"/>
        <v>2</v>
      </c>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c r="BT39" s="293"/>
      <c r="BU39" s="293"/>
      <c r="BV39" s="293"/>
      <c r="BW39" s="293"/>
      <c r="BX39" s="293"/>
      <c r="BY39" s="293"/>
      <c r="BZ39" s="293"/>
      <c r="CA39" s="293"/>
      <c r="CB39" s="293"/>
    </row>
    <row r="40" spans="1:80" ht="27.75" customHeight="1" x14ac:dyDescent="0.2">
      <c r="A40" s="427">
        <v>136</v>
      </c>
      <c r="B40" s="287" t="s">
        <v>131</v>
      </c>
      <c r="C40" s="226" t="s">
        <v>153</v>
      </c>
      <c r="D40" s="288">
        <v>6</v>
      </c>
      <c r="E40" s="291" t="str">
        <f>VLOOKUP('Risk Only'!A40,'Descriptor maps'!$A$1:$F$1654,6,0)</f>
        <v>Is there documented evidence that the geological model is incorporates the results of relevant laboratory testing with the objective of providing a factual and complete description of the geological setting and geological units at the area of the embankment?</v>
      </c>
      <c r="F40" s="296" t="s">
        <v>1193</v>
      </c>
      <c r="G40" s="291" cm="1">
        <f t="array" ref="G40">INDEX('Descriptor maps'!$H$2:$H$1658,MATCH(1,('Descriptor maps'!$A$2:$A$1658='Risk Only'!$A40)*('Descriptor maps'!$G$2:$G$1658='Risk Only'!$F40),0))</f>
        <v>2</v>
      </c>
      <c r="H40" s="292" cm="1">
        <f t="array" ref="H40">IF(ISNUMBER(F40)=TRUE,F40, INDEX('Descriptor maps'!$I$2:$I$1658,MATCH(1,('Descriptor maps'!$A$2:$A$1658='Risk Only'!$A40)*('Descriptor maps'!$G$2:$G$1658='Risk Only'!$F40),0)))</f>
        <v>2</v>
      </c>
      <c r="I40" s="292" cm="1">
        <f t="array" ref="I40">INDEX('Descriptor maps'!$J$2:$J$1658,MATCH(1,('Descriptor maps'!$A$2:$A$1658=A40)*('Descriptor maps'!$G$2:$G$1658=F40),0))</f>
        <v>0</v>
      </c>
      <c r="J40" s="442">
        <f t="shared" si="1"/>
        <v>3</v>
      </c>
      <c r="K40" s="293"/>
      <c r="L40" s="293">
        <f>H40</f>
        <v>2</v>
      </c>
      <c r="M40" s="293"/>
      <c r="N40" s="293"/>
      <c r="O40" s="293"/>
      <c r="P40" s="293"/>
      <c r="Q40" s="293"/>
      <c r="R40" s="293"/>
      <c r="S40" s="293">
        <f>H40</f>
        <v>2</v>
      </c>
      <c r="T40" s="293"/>
      <c r="U40" s="293"/>
      <c r="V40" s="293"/>
      <c r="W40" s="293"/>
      <c r="X40" s="293"/>
      <c r="Y40" s="293"/>
      <c r="Z40" s="293">
        <f>H40</f>
        <v>2</v>
      </c>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c r="BT40" s="293"/>
      <c r="BU40" s="293"/>
      <c r="BV40" s="293"/>
      <c r="BW40" s="293"/>
      <c r="BX40" s="293"/>
      <c r="BY40" s="293"/>
      <c r="BZ40" s="293"/>
      <c r="CA40" s="293"/>
      <c r="CB40" s="293"/>
    </row>
    <row r="41" spans="1:80" ht="27.75" customHeight="1" x14ac:dyDescent="0.2">
      <c r="A41" s="427">
        <v>137</v>
      </c>
      <c r="B41" s="287" t="s">
        <v>131</v>
      </c>
      <c r="C41" s="226" t="s">
        <v>153</v>
      </c>
      <c r="D41" s="288">
        <v>6</v>
      </c>
      <c r="E41" s="291" t="str">
        <f>VLOOKUP('Risk Only'!A41,'Descriptor maps'!$A$1:$F$1654,6,0)</f>
        <v>Is there documented evidence that geotechnical analytical model(s) used for the embankment design and/or assessment was derived from the geological model, with the objective of providing representative properties required for specific loading conditions associated with the potential failure mode(s)?</v>
      </c>
      <c r="F41" s="296" t="s">
        <v>1192</v>
      </c>
      <c r="G41" s="291" cm="1">
        <f t="array" ref="G41">INDEX('Descriptor maps'!$H$2:$H$1658,MATCH(1,('Descriptor maps'!$A$2:$A$1658='Risk Only'!$A41)*('Descriptor maps'!$G$2:$G$1658='Risk Only'!$F41),0))</f>
        <v>1</v>
      </c>
      <c r="H41" s="292" cm="1">
        <f t="array" ref="H41">IF(ISNUMBER(F41)=TRUE,F41, INDEX('Descriptor maps'!$I$2:$I$1658,MATCH(1,('Descriptor maps'!$A$2:$A$1658='Risk Only'!$A41)*('Descriptor maps'!$G$2:$G$1658='Risk Only'!$F41),0)))</f>
        <v>1</v>
      </c>
      <c r="I41" s="292" cm="1">
        <f t="array" ref="I41">INDEX('Descriptor maps'!$J$2:$J$1658,MATCH(1,('Descriptor maps'!$A$2:$A$1658=A41)*('Descriptor maps'!$G$2:$G$1658=F41),0))</f>
        <v>0</v>
      </c>
      <c r="J41" s="442">
        <f t="shared" si="1"/>
        <v>3</v>
      </c>
      <c r="K41" s="293">
        <f>$H41</f>
        <v>1</v>
      </c>
      <c r="L41" s="293"/>
      <c r="M41" s="293"/>
      <c r="N41" s="293"/>
      <c r="O41" s="293"/>
      <c r="P41" s="293"/>
      <c r="Q41" s="293"/>
      <c r="R41" s="293">
        <f>$H41</f>
        <v>1</v>
      </c>
      <c r="S41" s="293"/>
      <c r="T41" s="293"/>
      <c r="U41" s="293"/>
      <c r="V41" s="293"/>
      <c r="W41" s="293"/>
      <c r="X41" s="293"/>
      <c r="Y41" s="293">
        <f>$H41</f>
        <v>1</v>
      </c>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c r="BT41" s="293"/>
      <c r="BU41" s="293"/>
      <c r="BV41" s="293"/>
      <c r="BW41" s="293"/>
      <c r="BX41" s="293"/>
      <c r="BY41" s="293"/>
      <c r="BZ41" s="293"/>
      <c r="CA41" s="293"/>
      <c r="CB41" s="293"/>
    </row>
    <row r="42" spans="1:80" ht="27.75" customHeight="1" x14ac:dyDescent="0.2">
      <c r="A42" s="427">
        <v>189</v>
      </c>
      <c r="B42" s="287" t="s">
        <v>131</v>
      </c>
      <c r="C42" s="226" t="s">
        <v>174</v>
      </c>
      <c r="D42" s="288">
        <v>7</v>
      </c>
      <c r="E42" s="291" t="str">
        <f>VLOOKUP('Risk Only'!A42,'Descriptor maps'!$A$1:$F$1654,6,0)</f>
        <v>Is there documented evidence that the stability of the facility has been assessed under suitable loading conditions (e.g. normal operating conditions, extreme loading conditions) based on the likely operating and extreme conditions and identified consequence category of the facility, to achieve the objective of the stability modelling reflecting various conditions the facility may be exposed to as required by relevant design standards and guidelines?</v>
      </c>
      <c r="F42" s="296" t="s">
        <v>1192</v>
      </c>
      <c r="G42" s="291" cm="1">
        <f t="array" ref="G42">INDEX('Descriptor maps'!$H$2:$H$1658,MATCH(1,('Descriptor maps'!$A$2:$A$1658='Risk Only'!$A42)*('Descriptor maps'!$G$2:$G$1658='Risk Only'!$F42),0))</f>
        <v>1</v>
      </c>
      <c r="H42" s="292" cm="1">
        <f t="array" ref="H42">IF(ISNUMBER(F42)=TRUE,F42, INDEX('Descriptor maps'!$I$2:$I$1658,MATCH(1,('Descriptor maps'!$A$2:$A$1658='Risk Only'!$A42)*('Descriptor maps'!$G$2:$G$1658='Risk Only'!$F42),0)))</f>
        <v>1</v>
      </c>
      <c r="I42" s="292" cm="1">
        <f t="array" ref="I42">INDEX('Descriptor maps'!$J$2:$J$1658,MATCH(1,('Descriptor maps'!$A$2:$A$1658=A42)*('Descriptor maps'!$G$2:$G$1658=F42),0))</f>
        <v>0</v>
      </c>
      <c r="J42" s="442">
        <f t="shared" si="1"/>
        <v>3</v>
      </c>
      <c r="K42" s="293"/>
      <c r="L42" s="293"/>
      <c r="M42" s="293">
        <f>1*$H42</f>
        <v>1</v>
      </c>
      <c r="N42" s="293"/>
      <c r="O42" s="293"/>
      <c r="P42" s="293"/>
      <c r="Q42" s="293"/>
      <c r="R42" s="293"/>
      <c r="S42" s="293"/>
      <c r="T42" s="293">
        <f>1*$H42</f>
        <v>1</v>
      </c>
      <c r="U42" s="293"/>
      <c r="V42" s="293"/>
      <c r="W42" s="293"/>
      <c r="X42" s="293"/>
      <c r="Y42" s="293"/>
      <c r="Z42" s="293"/>
      <c r="AA42" s="293">
        <f>1*$H42</f>
        <v>1</v>
      </c>
      <c r="AB42" s="293"/>
      <c r="AC42" s="293"/>
      <c r="AD42" s="293"/>
      <c r="AE42" s="293"/>
      <c r="AF42" s="293"/>
      <c r="AG42" s="293"/>
      <c r="AH42" s="293"/>
      <c r="AI42" s="293"/>
      <c r="AJ42" s="293"/>
      <c r="AK42" s="293"/>
      <c r="AL42" s="293"/>
      <c r="AM42" s="293"/>
      <c r="AN42" s="293"/>
      <c r="AO42" s="293"/>
      <c r="AP42" s="293"/>
      <c r="AQ42" s="293"/>
      <c r="AR42" s="293"/>
      <c r="AS42" s="293"/>
      <c r="AT42" s="293"/>
      <c r="AU42" s="293"/>
      <c r="AV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c r="BT42" s="293"/>
      <c r="BU42" s="293"/>
      <c r="BV42" s="293"/>
      <c r="BW42" s="293"/>
      <c r="BX42" s="293"/>
      <c r="BY42" s="293"/>
      <c r="BZ42" s="293"/>
      <c r="CA42" s="293"/>
      <c r="CB42" s="293"/>
    </row>
    <row r="43" spans="1:80" ht="27.75" customHeight="1" x14ac:dyDescent="0.2">
      <c r="A43" s="427">
        <v>190</v>
      </c>
      <c r="B43" s="287" t="s">
        <v>131</v>
      </c>
      <c r="C43" s="226" t="s">
        <v>174</v>
      </c>
      <c r="D43" s="288">
        <v>7</v>
      </c>
      <c r="E43" s="291" t="str">
        <f>VLOOKUP('Risk Only'!A43,'Descriptor maps'!$A$1:$F$1654,6,0)</f>
        <v>Is there documented evidence that the computational model(s) used for the embankment stability assessment(s) was derived from the analytical model using defendable engineering principles with the objective of presenting design material zones and properties for specific loading conditions?</v>
      </c>
      <c r="F43" s="296" t="s">
        <v>1193</v>
      </c>
      <c r="G43" s="291" cm="1">
        <f t="array" ref="G43">INDEX('Descriptor maps'!$H$2:$H$1658,MATCH(1,('Descriptor maps'!$A$2:$A$1658='Risk Only'!$A43)*('Descriptor maps'!$G$2:$G$1658='Risk Only'!$F43),0))</f>
        <v>2</v>
      </c>
      <c r="H43" s="292" cm="1">
        <f t="array" ref="H43">IF(ISNUMBER(F43)=TRUE,F43, INDEX('Descriptor maps'!$I$2:$I$1658,MATCH(1,('Descriptor maps'!$A$2:$A$1658='Risk Only'!$A43)*('Descriptor maps'!$G$2:$G$1658='Risk Only'!$F43),0)))</f>
        <v>2</v>
      </c>
      <c r="I43" s="292" cm="1">
        <f t="array" ref="I43">INDEX('Descriptor maps'!$J$2:$J$1658,MATCH(1,('Descriptor maps'!$A$2:$A$1658=A43)*('Descriptor maps'!$G$2:$G$1658=F43),0))</f>
        <v>0</v>
      </c>
      <c r="J43" s="442">
        <f t="shared" si="1"/>
        <v>3</v>
      </c>
      <c r="K43" s="293"/>
      <c r="L43" s="293"/>
      <c r="M43" s="293">
        <f>1*$H43</f>
        <v>2</v>
      </c>
      <c r="N43" s="293"/>
      <c r="O43" s="293"/>
      <c r="P43" s="293"/>
      <c r="Q43" s="293"/>
      <c r="R43" s="293"/>
      <c r="S43" s="293"/>
      <c r="T43" s="293">
        <f>1*$H43</f>
        <v>2</v>
      </c>
      <c r="U43" s="293"/>
      <c r="V43" s="293"/>
      <c r="W43" s="293"/>
      <c r="X43" s="293"/>
      <c r="Y43" s="293"/>
      <c r="Z43" s="293"/>
      <c r="AA43" s="293">
        <f>1*$H43</f>
        <v>2</v>
      </c>
      <c r="AB43" s="293"/>
      <c r="AC43" s="293"/>
      <c r="AD43" s="293"/>
      <c r="AE43" s="293"/>
      <c r="AF43" s="293"/>
      <c r="AG43" s="293"/>
      <c r="AH43" s="293"/>
      <c r="AI43" s="293"/>
      <c r="AJ43" s="293"/>
      <c r="AK43" s="293"/>
      <c r="AL43" s="293"/>
      <c r="AM43" s="293"/>
      <c r="AN43" s="293"/>
      <c r="AO43" s="293"/>
      <c r="AP43" s="293"/>
      <c r="AQ43" s="293"/>
      <c r="AR43" s="293"/>
      <c r="AS43" s="293"/>
      <c r="AT43" s="293"/>
      <c r="AU43" s="293"/>
      <c r="AV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c r="BT43" s="293"/>
      <c r="BU43" s="293"/>
      <c r="BV43" s="293"/>
      <c r="BW43" s="293"/>
      <c r="BX43" s="293"/>
      <c r="BY43" s="293"/>
      <c r="BZ43" s="293"/>
      <c r="CA43" s="293"/>
      <c r="CB43" s="293"/>
    </row>
    <row r="44" spans="1:80" ht="27.75" customHeight="1" x14ac:dyDescent="0.2">
      <c r="A44" s="427">
        <v>186</v>
      </c>
      <c r="B44" s="287" t="s">
        <v>131</v>
      </c>
      <c r="C44" s="226" t="s">
        <v>174</v>
      </c>
      <c r="D44" s="288">
        <v>7</v>
      </c>
      <c r="E44" s="291" t="str">
        <f>VLOOKUP('Risk Only'!A44,'Descriptor maps'!$A$1:$F$1654,6,0)</f>
        <v>Is there documented evidence that stability analyses for drained conditions were undertaken at suitable locations, to achieve the objective of the drained stability analyses taking into account variability of cross-section, embankment material properties, foundation material properties and loading conditions?</v>
      </c>
      <c r="F44" s="296" t="s">
        <v>1193</v>
      </c>
      <c r="G44" s="291" cm="1">
        <f t="array" ref="G44">INDEX('Descriptor maps'!$H$2:$H$1658,MATCH(1,('Descriptor maps'!$A$2:$A$1658='Risk Only'!$A44)*('Descriptor maps'!$G$2:$G$1658='Risk Only'!$F44),0))</f>
        <v>2</v>
      </c>
      <c r="H44" s="292" cm="1">
        <f t="array" ref="H44">IF(ISNUMBER(F44)=TRUE,F44, INDEX('Descriptor maps'!$I$2:$I$1658,MATCH(1,('Descriptor maps'!$A$2:$A$1658='Risk Only'!$A44)*('Descriptor maps'!$G$2:$G$1658='Risk Only'!$F44),0)))</f>
        <v>2</v>
      </c>
      <c r="I44" s="292" cm="1">
        <f t="array" ref="I44">INDEX('Descriptor maps'!$J$2:$J$1658,MATCH(1,('Descriptor maps'!$A$2:$A$1658=A44)*('Descriptor maps'!$G$2:$G$1658=F44),0))</f>
        <v>0</v>
      </c>
      <c r="J44" s="442">
        <f t="shared" si="1"/>
        <v>1</v>
      </c>
      <c r="K44" s="293"/>
      <c r="L44" s="293"/>
      <c r="M44" s="293">
        <f>1*$H44</f>
        <v>2</v>
      </c>
      <c r="N44" s="293"/>
      <c r="O44" s="293"/>
      <c r="P44" s="293"/>
      <c r="Q44" s="293"/>
      <c r="R44" s="293"/>
      <c r="S44" s="293"/>
      <c r="T44" s="293"/>
      <c r="U44" s="293"/>
      <c r="V44" s="293"/>
      <c r="W44" s="293"/>
      <c r="X44" s="293"/>
      <c r="Y44" s="29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c r="BT44" s="293"/>
      <c r="BU44" s="293"/>
      <c r="BV44" s="293"/>
      <c r="BW44" s="293"/>
      <c r="BX44" s="293"/>
      <c r="BY44" s="293"/>
      <c r="BZ44" s="293"/>
      <c r="CA44" s="293"/>
      <c r="CB44" s="293"/>
    </row>
    <row r="45" spans="1:80" ht="27.75" customHeight="1" x14ac:dyDescent="0.2">
      <c r="A45" s="427">
        <v>187</v>
      </c>
      <c r="B45" s="287" t="s">
        <v>131</v>
      </c>
      <c r="C45" s="226" t="s">
        <v>174</v>
      </c>
      <c r="D45" s="288">
        <v>7</v>
      </c>
      <c r="E45" s="291" t="str">
        <f>VLOOKUP('Risk Only'!A45,'Descriptor maps'!$A$1:$F$1654,6,0)</f>
        <v>Is there documented evidence that stability analyses for undrained conditions were undertaken at suitable locations, to achieve the objective of the undrained stability analyses taking into account variability of cross-section, embankment material properties, foundation material properties and loading conditions?</v>
      </c>
      <c r="F45" s="296" t="s">
        <v>1193</v>
      </c>
      <c r="G45" s="291" cm="1">
        <f t="array" ref="G45">INDEX('Descriptor maps'!$H$2:$H$1658,MATCH(1,('Descriptor maps'!$A$2:$A$1658='Risk Only'!$A45)*('Descriptor maps'!$G$2:$G$1658='Risk Only'!$F45),0))</f>
        <v>2</v>
      </c>
      <c r="H45" s="292" cm="1">
        <f t="array" ref="H45">IF(ISNUMBER(F45)=TRUE,F45, INDEX('Descriptor maps'!$I$2:$I$1658,MATCH(1,('Descriptor maps'!$A$2:$A$1658='Risk Only'!$A45)*('Descriptor maps'!$G$2:$G$1658='Risk Only'!$F45),0)))</f>
        <v>2</v>
      </c>
      <c r="I45" s="292" cm="1">
        <f t="array" ref="I45">INDEX('Descriptor maps'!$J$2:$J$1658,MATCH(1,('Descriptor maps'!$A$2:$A$1658=A45)*('Descriptor maps'!$G$2:$G$1658=F45),0))</f>
        <v>0</v>
      </c>
      <c r="J45" s="442">
        <f t="shared" si="1"/>
        <v>1</v>
      </c>
      <c r="K45" s="293"/>
      <c r="L45" s="293"/>
      <c r="M45" s="293"/>
      <c r="N45" s="293"/>
      <c r="O45" s="293"/>
      <c r="P45" s="293"/>
      <c r="Q45" s="293"/>
      <c r="R45" s="293"/>
      <c r="S45" s="293"/>
      <c r="T45" s="293">
        <f>1*$H45</f>
        <v>2</v>
      </c>
      <c r="U45" s="293"/>
      <c r="V45" s="293"/>
      <c r="W45" s="293"/>
      <c r="X45" s="293"/>
      <c r="Y45" s="29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c r="BT45" s="293"/>
      <c r="BU45" s="293"/>
      <c r="BV45" s="293"/>
      <c r="BW45" s="293"/>
      <c r="BX45" s="293"/>
      <c r="BY45" s="293"/>
      <c r="BZ45" s="293"/>
      <c r="CA45" s="293"/>
      <c r="CB45" s="293"/>
    </row>
    <row r="46" spans="1:80" ht="27.75" customHeight="1" x14ac:dyDescent="0.2">
      <c r="A46" s="427">
        <v>142</v>
      </c>
      <c r="B46" s="287" t="s">
        <v>131</v>
      </c>
      <c r="C46" s="226" t="s">
        <v>153</v>
      </c>
      <c r="D46" s="288">
        <v>6</v>
      </c>
      <c r="E46" s="291" t="str">
        <f>VLOOKUP('Risk Only'!A46,'Descriptor maps'!$A$1:$F$1654,6,0)</f>
        <v xml:space="preserve">Is there documented evidence that the seismic hazard assessment for the embankment was based on objectively measure data and current defensible methods with the objective of providing relevant seismic loading condition(s) for the embankment design/assessment? </v>
      </c>
      <c r="F46" s="296" t="s">
        <v>1193</v>
      </c>
      <c r="G46" s="291" cm="1">
        <f t="array" ref="G46">INDEX('Descriptor maps'!$H$2:$H$1658,MATCH(1,('Descriptor maps'!$A$2:$A$1658='Risk Only'!$A46)*('Descriptor maps'!$G$2:$G$1658='Risk Only'!$F46),0))</f>
        <v>2</v>
      </c>
      <c r="H46" s="292" cm="1">
        <f t="array" ref="H46">IF(ISNUMBER(F46)=TRUE,F46, INDEX('Descriptor maps'!$I$2:$I$1658,MATCH(1,('Descriptor maps'!$A$2:$A$1658='Risk Only'!$A46)*('Descriptor maps'!$G$2:$G$1658='Risk Only'!$F46),0)))</f>
        <v>2</v>
      </c>
      <c r="I46" s="292" cm="1">
        <f t="array" ref="I46">INDEX('Descriptor maps'!$J$2:$J$1658,MATCH(1,('Descriptor maps'!$A$2:$A$1658=A46)*('Descriptor maps'!$G$2:$G$1658=F46),0))</f>
        <v>0</v>
      </c>
      <c r="J46" s="442">
        <f t="shared" si="1"/>
        <v>1</v>
      </c>
      <c r="K46" s="293"/>
      <c r="L46" s="293"/>
      <c r="M46" s="293"/>
      <c r="N46" s="293"/>
      <c r="O46" s="293"/>
      <c r="P46" s="293"/>
      <c r="Q46" s="293"/>
      <c r="R46" s="293"/>
      <c r="S46" s="293"/>
      <c r="T46" s="293"/>
      <c r="U46" s="293"/>
      <c r="V46" s="293"/>
      <c r="W46" s="293"/>
      <c r="X46" s="293"/>
      <c r="Y46" s="293">
        <f>1*$H46</f>
        <v>2</v>
      </c>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c r="BT46" s="293"/>
      <c r="BU46" s="293"/>
      <c r="BV46" s="293"/>
      <c r="BW46" s="293"/>
      <c r="BX46" s="293"/>
      <c r="BY46" s="293"/>
      <c r="BZ46" s="293"/>
      <c r="CA46" s="293"/>
      <c r="CB46" s="293"/>
    </row>
    <row r="47" spans="1:80" ht="27.75" customHeight="1" x14ac:dyDescent="0.2">
      <c r="A47" s="427">
        <v>143</v>
      </c>
      <c r="B47" s="287" t="s">
        <v>131</v>
      </c>
      <c r="C47" s="226" t="s">
        <v>153</v>
      </c>
      <c r="D47" s="288">
        <v>6</v>
      </c>
      <c r="E47" s="291" t="str">
        <f>VLOOKUP('Risk Only'!A47,'Descriptor maps'!$A$1:$F$1654,6,0)</f>
        <v>Is there documented evidence that the seismic loadings used in the embankment stability assessment were derived from the seismic hazard assessment with the objective of presenting representative seismic parameters for verifying the embankment performance under and after a seismic event?</v>
      </c>
      <c r="F47" s="296" t="s">
        <v>1192</v>
      </c>
      <c r="G47" s="291" cm="1">
        <f t="array" ref="G47">INDEX('Descriptor maps'!$H$2:$H$1658,MATCH(1,('Descriptor maps'!$A$2:$A$1658='Risk Only'!$A47)*('Descriptor maps'!$G$2:$G$1658='Risk Only'!$F47),0))</f>
        <v>1</v>
      </c>
      <c r="H47" s="292" cm="1">
        <f t="array" ref="H47">IF(ISNUMBER(F47)=TRUE,F47, INDEX('Descriptor maps'!$I$2:$I$1658,MATCH(1,('Descriptor maps'!$A$2:$A$1658='Risk Only'!$A47)*('Descriptor maps'!$G$2:$G$1658='Risk Only'!$F47),0)))</f>
        <v>1</v>
      </c>
      <c r="I47" s="292" cm="1">
        <f t="array" ref="I47">INDEX('Descriptor maps'!$J$2:$J$1658,MATCH(1,('Descriptor maps'!$A$2:$A$1658=A47)*('Descriptor maps'!$G$2:$G$1658=F47),0))</f>
        <v>0</v>
      </c>
      <c r="J47" s="442">
        <f t="shared" si="1"/>
        <v>1</v>
      </c>
      <c r="K47" s="293"/>
      <c r="L47" s="293"/>
      <c r="M47" s="293"/>
      <c r="N47" s="293"/>
      <c r="O47" s="293"/>
      <c r="P47" s="293"/>
      <c r="Q47" s="293"/>
      <c r="R47" s="293"/>
      <c r="S47" s="293"/>
      <c r="T47" s="293"/>
      <c r="U47" s="293"/>
      <c r="V47" s="293"/>
      <c r="W47" s="293"/>
      <c r="X47" s="293"/>
      <c r="Y47" s="293">
        <f>1*$H47</f>
        <v>1</v>
      </c>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c r="BT47" s="293"/>
      <c r="BU47" s="293"/>
      <c r="BV47" s="293"/>
      <c r="BW47" s="293"/>
      <c r="BX47" s="293"/>
      <c r="BY47" s="293"/>
      <c r="BZ47" s="293"/>
      <c r="CA47" s="293"/>
      <c r="CB47" s="293"/>
    </row>
    <row r="48" spans="1:80" ht="27.75" customHeight="1" x14ac:dyDescent="0.2">
      <c r="A48" s="427">
        <v>188</v>
      </c>
      <c r="B48" s="287" t="s">
        <v>131</v>
      </c>
      <c r="C48" s="226" t="s">
        <v>174</v>
      </c>
      <c r="D48" s="288">
        <v>7</v>
      </c>
      <c r="E48" s="291" t="str">
        <f>VLOOKUP('Risk Only'!A48,'Descriptor maps'!$A$1:$F$1654,6,0)</f>
        <v>Is there documented evidence that stability analyses for post-seismic conditions were undertaken at suitable locations, to achieve the objective of the post-seismic stability analyses taking into account variability of cross-section, embankment material properties, foundation material properties and loading conditions?</v>
      </c>
      <c r="F48" s="296" t="s">
        <v>1193</v>
      </c>
      <c r="G48" s="291" cm="1">
        <f t="array" ref="G48">INDEX('Descriptor maps'!$H$2:$H$1658,MATCH(1,('Descriptor maps'!$A$2:$A$1658='Risk Only'!$A48)*('Descriptor maps'!$G$2:$G$1658='Risk Only'!$F48),0))</f>
        <v>2</v>
      </c>
      <c r="H48" s="292" cm="1">
        <f t="array" ref="H48">IF(ISNUMBER(F48)=TRUE,F48, INDEX('Descriptor maps'!$I$2:$I$1658,MATCH(1,('Descriptor maps'!$A$2:$A$1658='Risk Only'!$A48)*('Descriptor maps'!$G$2:$G$1658='Risk Only'!$F48),0)))</f>
        <v>2</v>
      </c>
      <c r="I48" s="292" cm="1">
        <f t="array" ref="I48">INDEX('Descriptor maps'!$J$2:$J$1658,MATCH(1,('Descriptor maps'!$A$2:$A$1658=A48)*('Descriptor maps'!$G$2:$G$1658=F48),0))</f>
        <v>0</v>
      </c>
      <c r="J48" s="442">
        <f t="shared" si="1"/>
        <v>1</v>
      </c>
      <c r="K48" s="293"/>
      <c r="L48" s="293"/>
      <c r="M48" s="293"/>
      <c r="N48" s="293"/>
      <c r="O48" s="293"/>
      <c r="P48" s="293"/>
      <c r="Q48" s="293"/>
      <c r="R48" s="293"/>
      <c r="S48" s="293"/>
      <c r="T48" s="293"/>
      <c r="U48" s="293"/>
      <c r="V48" s="293"/>
      <c r="W48" s="293"/>
      <c r="X48" s="293"/>
      <c r="Y48" s="293"/>
      <c r="Z48" s="293"/>
      <c r="AA48" s="293">
        <f t="shared" ref="AA48:AA52" si="5">1*$H48</f>
        <v>2</v>
      </c>
      <c r="AB48" s="293"/>
      <c r="AC48" s="293"/>
      <c r="AD48" s="293"/>
      <c r="AE48" s="293"/>
      <c r="AF48" s="293"/>
      <c r="AG48" s="293"/>
      <c r="AH48" s="293"/>
      <c r="AI48" s="293"/>
      <c r="AJ48" s="293"/>
      <c r="AK48" s="293"/>
      <c r="AL48" s="293"/>
      <c r="AM48" s="293"/>
      <c r="AN48" s="293"/>
      <c r="AO48" s="293"/>
      <c r="AP48" s="293"/>
      <c r="AQ48" s="293"/>
      <c r="AR48" s="293"/>
      <c r="AS48" s="293"/>
      <c r="AT48" s="293"/>
      <c r="AU48" s="293"/>
      <c r="AV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c r="BT48" s="293"/>
      <c r="BU48" s="293"/>
      <c r="BV48" s="293"/>
      <c r="BW48" s="293"/>
      <c r="BX48" s="293"/>
      <c r="BY48" s="293"/>
      <c r="BZ48" s="293"/>
      <c r="CA48" s="293"/>
      <c r="CB48" s="293"/>
    </row>
    <row r="49" spans="1:80" ht="27.75" customHeight="1" x14ac:dyDescent="0.2">
      <c r="A49" s="427">
        <v>191</v>
      </c>
      <c r="B49" s="287" t="s">
        <v>131</v>
      </c>
      <c r="C49" s="226" t="s">
        <v>174</v>
      </c>
      <c r="D49" s="288">
        <v>7</v>
      </c>
      <c r="E49" s="291" t="str">
        <f>VLOOKUP('Risk Only'!A49,'Descriptor maps'!$A$1:$F$1654,6,0)</f>
        <v>Is there documented evidence that modelled phreatic conditions for each scenario were based on objectively measured data or suitable assessment of pore pressure conditions for each scenario (e.g. seepage modelling, accounting for development of excess pore water pressures, etc.), to achieve the objective of accounting for pore pressures in the confining structures?</v>
      </c>
      <c r="F49" s="296" t="s">
        <v>1193</v>
      </c>
      <c r="G49" s="291" cm="1">
        <f t="array" ref="G49">INDEX('Descriptor maps'!$H$2:$H$1658,MATCH(1,('Descriptor maps'!$A$2:$A$1658='Risk Only'!$A49)*('Descriptor maps'!$G$2:$G$1658='Risk Only'!$F49),0))</f>
        <v>2</v>
      </c>
      <c r="H49" s="292" cm="1">
        <f t="array" ref="H49">IF(ISNUMBER(F49)=TRUE,F49, INDEX('Descriptor maps'!$I$2:$I$1658,MATCH(1,('Descriptor maps'!$A$2:$A$1658='Risk Only'!$A49)*('Descriptor maps'!$G$2:$G$1658='Risk Only'!$F49),0)))</f>
        <v>2</v>
      </c>
      <c r="I49" s="292" cm="1">
        <f t="array" ref="I49">INDEX('Descriptor maps'!$J$2:$J$1658,MATCH(1,('Descriptor maps'!$A$2:$A$1658=A49)*('Descriptor maps'!$G$2:$G$1658=F49),0))</f>
        <v>0</v>
      </c>
      <c r="J49" s="442">
        <f t="shared" si="1"/>
        <v>3</v>
      </c>
      <c r="K49" s="293"/>
      <c r="L49" s="293"/>
      <c r="M49" s="293">
        <f>1*$H49</f>
        <v>2</v>
      </c>
      <c r="N49" s="293"/>
      <c r="O49" s="293"/>
      <c r="P49" s="293"/>
      <c r="Q49" s="293"/>
      <c r="R49" s="293"/>
      <c r="S49" s="293"/>
      <c r="T49" s="293">
        <f>1*$H49</f>
        <v>2</v>
      </c>
      <c r="U49" s="293"/>
      <c r="V49" s="293"/>
      <c r="W49" s="293"/>
      <c r="X49" s="293"/>
      <c r="Y49" s="293"/>
      <c r="Z49" s="293"/>
      <c r="AA49" s="293">
        <f t="shared" si="5"/>
        <v>2</v>
      </c>
      <c r="AB49" s="293"/>
      <c r="AC49" s="293"/>
      <c r="AD49" s="293"/>
      <c r="AE49" s="293"/>
      <c r="AF49" s="293"/>
      <c r="AG49" s="293"/>
      <c r="AH49" s="293"/>
      <c r="AI49" s="293"/>
      <c r="AJ49" s="293"/>
      <c r="AK49" s="293"/>
      <c r="AL49" s="293"/>
      <c r="AM49" s="293"/>
      <c r="AN49" s="293"/>
      <c r="AO49" s="293"/>
      <c r="AP49" s="293"/>
      <c r="AQ49" s="293"/>
      <c r="AR49" s="293"/>
      <c r="AS49" s="293"/>
      <c r="AT49" s="293"/>
      <c r="AU49" s="293"/>
      <c r="AV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c r="BT49" s="293"/>
      <c r="BU49" s="293"/>
      <c r="BV49" s="293"/>
      <c r="BW49" s="293"/>
      <c r="BX49" s="293"/>
      <c r="BY49" s="293"/>
      <c r="BZ49" s="293"/>
      <c r="CA49" s="293"/>
      <c r="CB49" s="293"/>
    </row>
    <row r="50" spans="1:80" ht="27.75" customHeight="1" x14ac:dyDescent="0.2">
      <c r="A50" s="427">
        <v>192</v>
      </c>
      <c r="B50" s="287" t="s">
        <v>131</v>
      </c>
      <c r="C50" s="226" t="s">
        <v>174</v>
      </c>
      <c r="D50" s="288">
        <v>7</v>
      </c>
      <c r="E50" s="291" t="str">
        <f>VLOOKUP('Risk Only'!A50,'Descriptor maps'!$A$1:$F$1654,6,0)</f>
        <v xml:space="preserve">Are the stability assessment results presented with the objective of clearly showing the boundary conditions, materials zoning, geometry and all parameters and loading conditions used? </v>
      </c>
      <c r="F50" s="296" t="s">
        <v>1192</v>
      </c>
      <c r="G50" s="291" cm="1">
        <f t="array" ref="G50">INDEX('Descriptor maps'!$H$2:$H$1658,MATCH(1,('Descriptor maps'!$A$2:$A$1658='Risk Only'!$A50)*('Descriptor maps'!$G$2:$G$1658='Risk Only'!$F50),0))</f>
        <v>1</v>
      </c>
      <c r="H50" s="292" cm="1">
        <f t="array" ref="H50">IF(ISNUMBER(F50)=TRUE,F50, INDEX('Descriptor maps'!$I$2:$I$1658,MATCH(1,('Descriptor maps'!$A$2:$A$1658='Risk Only'!$A50)*('Descriptor maps'!$G$2:$G$1658='Risk Only'!$F50),0)))</f>
        <v>1</v>
      </c>
      <c r="I50" s="292" cm="1">
        <f t="array" ref="I50">INDEX('Descriptor maps'!$J$2:$J$1658,MATCH(1,('Descriptor maps'!$A$2:$A$1658=A50)*('Descriptor maps'!$G$2:$G$1658=F50),0))</f>
        <v>0</v>
      </c>
      <c r="J50" s="442">
        <f t="shared" si="1"/>
        <v>3</v>
      </c>
      <c r="K50" s="293"/>
      <c r="L50" s="293"/>
      <c r="M50" s="293">
        <f>1*$H50</f>
        <v>1</v>
      </c>
      <c r="N50" s="293"/>
      <c r="O50" s="293"/>
      <c r="P50" s="293"/>
      <c r="Q50" s="293"/>
      <c r="R50" s="293"/>
      <c r="S50" s="293"/>
      <c r="T50" s="293">
        <f>1*$H50</f>
        <v>1</v>
      </c>
      <c r="U50" s="293"/>
      <c r="V50" s="293"/>
      <c r="W50" s="293"/>
      <c r="X50" s="293"/>
      <c r="Y50" s="293"/>
      <c r="Z50" s="293"/>
      <c r="AA50" s="293">
        <f t="shared" si="5"/>
        <v>1</v>
      </c>
      <c r="AB50" s="293"/>
      <c r="AC50" s="293"/>
      <c r="AD50" s="293"/>
      <c r="AE50" s="293"/>
      <c r="AF50" s="293"/>
      <c r="AG50" s="293"/>
      <c r="AH50" s="293"/>
      <c r="AI50" s="293"/>
      <c r="AJ50" s="293"/>
      <c r="AK50" s="293"/>
      <c r="AL50" s="293"/>
      <c r="AM50" s="293"/>
      <c r="AN50" s="293"/>
      <c r="AO50" s="293"/>
      <c r="AP50" s="293"/>
      <c r="AQ50" s="293"/>
      <c r="AR50" s="293"/>
      <c r="AS50" s="293"/>
      <c r="AT50" s="293"/>
      <c r="AU50" s="293"/>
      <c r="AV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c r="BT50" s="293"/>
      <c r="BU50" s="293"/>
      <c r="BV50" s="293"/>
      <c r="BW50" s="293"/>
      <c r="BX50" s="293"/>
      <c r="BY50" s="293"/>
      <c r="BZ50" s="293"/>
      <c r="CA50" s="293"/>
      <c r="CB50" s="293"/>
    </row>
    <row r="51" spans="1:80" ht="27.75" customHeight="1" x14ac:dyDescent="0.2">
      <c r="A51" s="427">
        <v>244</v>
      </c>
      <c r="B51" s="287" t="s">
        <v>131</v>
      </c>
      <c r="C51" s="226" t="s">
        <v>174</v>
      </c>
      <c r="D51" s="288">
        <v>7</v>
      </c>
      <c r="E51" s="291" t="str">
        <f>VLOOKUP('Risk Only'!A51,'Descriptor maps'!$A$1:$F$1654,6,0)</f>
        <v>Is there documented evidence that independent reviews were completed for all design studies by appropriately qualified reviewers, to achieve the objective of producing defensible design studies and to meet the requirements of relevant standards and guidelines?</v>
      </c>
      <c r="F51" s="296" t="s">
        <v>1192</v>
      </c>
      <c r="G51" s="291" cm="1">
        <f t="array" ref="G51">INDEX('Descriptor maps'!$H$2:$H$1658,MATCH(1,('Descriptor maps'!$A$2:$A$1658='Risk Only'!$A51)*('Descriptor maps'!$G$2:$G$1658='Risk Only'!$F51),0))</f>
        <v>1</v>
      </c>
      <c r="H51" s="292" cm="1">
        <f t="array" ref="H51">IF(ISNUMBER(F51)=TRUE,F51, INDEX('Descriptor maps'!$I$2:$I$1658,MATCH(1,('Descriptor maps'!$A$2:$A$1658='Risk Only'!$A51)*('Descriptor maps'!$G$2:$G$1658='Risk Only'!$F51),0)))</f>
        <v>1</v>
      </c>
      <c r="I51" s="292" cm="1">
        <f t="array" ref="I51">INDEX('Descriptor maps'!$J$2:$J$1658,MATCH(1,('Descriptor maps'!$A$2:$A$1658=A51)*('Descriptor maps'!$G$2:$G$1658=F51),0))</f>
        <v>0</v>
      </c>
      <c r="J51" s="442">
        <f t="shared" si="1"/>
        <v>10</v>
      </c>
      <c r="K51" s="293">
        <f>1*$H51</f>
        <v>1</v>
      </c>
      <c r="L51" s="293">
        <f>1*$H51</f>
        <v>1</v>
      </c>
      <c r="M51" s="293">
        <f>1*$H51</f>
        <v>1</v>
      </c>
      <c r="N51" s="293"/>
      <c r="O51" s="293"/>
      <c r="P51" s="293"/>
      <c r="Q51" s="293"/>
      <c r="R51" s="293">
        <f>1*$H51</f>
        <v>1</v>
      </c>
      <c r="S51" s="293">
        <f>1*$H51</f>
        <v>1</v>
      </c>
      <c r="T51" s="293">
        <f>1*$H51</f>
        <v>1</v>
      </c>
      <c r="U51" s="293"/>
      <c r="V51" s="293"/>
      <c r="W51" s="293"/>
      <c r="X51" s="293"/>
      <c r="Y51" s="293">
        <f>1*$H51</f>
        <v>1</v>
      </c>
      <c r="Z51" s="293">
        <f>1*$H51</f>
        <v>1</v>
      </c>
      <c r="AA51" s="293">
        <f t="shared" si="5"/>
        <v>1</v>
      </c>
      <c r="AB51" s="293"/>
      <c r="AC51" s="293"/>
      <c r="AD51" s="293"/>
      <c r="AE51" s="293"/>
      <c r="AF51" s="293"/>
      <c r="AG51" s="293"/>
      <c r="AH51" s="293">
        <v>1</v>
      </c>
      <c r="AI51" s="293"/>
      <c r="AJ51" s="293"/>
      <c r="AK51" s="293"/>
      <c r="AL51" s="293"/>
      <c r="AM51" s="293"/>
      <c r="AN51" s="293"/>
      <c r="AO51" s="293"/>
      <c r="AP51" s="293"/>
      <c r="AQ51" s="293"/>
      <c r="AR51" s="293"/>
      <c r="AS51" s="293"/>
      <c r="AT51" s="293"/>
      <c r="AU51" s="293"/>
      <c r="AV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c r="BT51" s="293"/>
      <c r="BU51" s="293"/>
      <c r="BV51" s="293"/>
      <c r="BW51" s="293"/>
      <c r="BX51" s="293"/>
      <c r="BY51" s="293"/>
      <c r="BZ51" s="293"/>
      <c r="CA51" s="293"/>
      <c r="CB51" s="293"/>
    </row>
    <row r="52" spans="1:80" ht="27.75" customHeight="1" x14ac:dyDescent="0.2">
      <c r="A52" s="427">
        <v>364</v>
      </c>
      <c r="B52" s="287" t="s">
        <v>131</v>
      </c>
      <c r="C52" s="226" t="s">
        <v>174</v>
      </c>
      <c r="D52" s="288">
        <v>7</v>
      </c>
      <c r="E52" s="291" t="str">
        <f>VLOOKUP('Risk Only'!A52,'Descriptor maps'!$A$1:$F$1654,6,0)</f>
        <v>Is there documented evidence that the outcomes of the design reviews for all stages were incorporated in the design and that all comments were closed, to achieve the objective of confirming that the design was completed in accordance with the current engineering practices?</v>
      </c>
      <c r="F52" s="296" t="s">
        <v>1192</v>
      </c>
      <c r="G52" s="291" cm="1">
        <f t="array" ref="G52">INDEX('Descriptor maps'!$H$2:$H$1658,MATCH(1,('Descriptor maps'!$A$2:$A$1658='Risk Only'!$A52)*('Descriptor maps'!$G$2:$G$1658='Risk Only'!$F52),0))</f>
        <v>1</v>
      </c>
      <c r="H52" s="292" cm="1">
        <f t="array" ref="H52">IF(ISNUMBER(F52)=TRUE,F52, INDEX('Descriptor maps'!$I$2:$I$1658,MATCH(1,('Descriptor maps'!$A$2:$A$1658='Risk Only'!$A52)*('Descriptor maps'!$G$2:$G$1658='Risk Only'!$F52),0)))</f>
        <v>1</v>
      </c>
      <c r="I52" s="292" cm="1">
        <f t="array" ref="I52">INDEX('Descriptor maps'!$J$2:$J$1658,MATCH(1,('Descriptor maps'!$A$2:$A$1658=A52)*('Descriptor maps'!$G$2:$G$1658=F52),0))</f>
        <v>0</v>
      </c>
      <c r="J52" s="442">
        <f t="shared" si="1"/>
        <v>10</v>
      </c>
      <c r="K52" s="293">
        <f>1*$H52</f>
        <v>1</v>
      </c>
      <c r="L52" s="293">
        <f>1*$H52</f>
        <v>1</v>
      </c>
      <c r="M52" s="293">
        <f>1*$H52</f>
        <v>1</v>
      </c>
      <c r="N52" s="293"/>
      <c r="O52" s="293"/>
      <c r="P52" s="293"/>
      <c r="Q52" s="293"/>
      <c r="R52" s="293">
        <f>1*$H52</f>
        <v>1</v>
      </c>
      <c r="S52" s="293">
        <f>1*$H52</f>
        <v>1</v>
      </c>
      <c r="T52" s="293">
        <f>1*$H52</f>
        <v>1</v>
      </c>
      <c r="U52" s="293"/>
      <c r="V52" s="293"/>
      <c r="W52" s="293"/>
      <c r="X52" s="293"/>
      <c r="Y52" s="293">
        <f>1*$H52</f>
        <v>1</v>
      </c>
      <c r="Z52" s="293">
        <f>1*$H52</f>
        <v>1</v>
      </c>
      <c r="AA52" s="293">
        <f t="shared" si="5"/>
        <v>1</v>
      </c>
      <c r="AB52" s="293"/>
      <c r="AC52" s="293"/>
      <c r="AD52" s="293"/>
      <c r="AE52" s="293"/>
      <c r="AF52" s="293"/>
      <c r="AG52" s="293"/>
      <c r="AH52" s="293">
        <v>1</v>
      </c>
      <c r="AI52" s="293"/>
      <c r="AJ52" s="293"/>
      <c r="AK52" s="293"/>
      <c r="AL52" s="293"/>
      <c r="AM52" s="293"/>
      <c r="AN52" s="293"/>
      <c r="AO52" s="293"/>
      <c r="AP52" s="293"/>
      <c r="AQ52" s="293"/>
      <c r="AR52" s="293"/>
      <c r="AS52" s="293"/>
      <c r="AT52" s="293"/>
      <c r="AU52" s="293"/>
      <c r="AV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c r="BT52" s="293"/>
      <c r="BU52" s="293"/>
      <c r="BV52" s="293"/>
      <c r="BW52" s="293"/>
      <c r="BX52" s="293"/>
      <c r="BY52" s="293"/>
      <c r="BZ52" s="293"/>
      <c r="CA52" s="293"/>
      <c r="CB52" s="293"/>
    </row>
    <row r="53" spans="1:80" ht="27.75" customHeight="1" x14ac:dyDescent="0.2">
      <c r="A53" s="427">
        <v>271</v>
      </c>
      <c r="B53" s="287" t="s">
        <v>131</v>
      </c>
      <c r="C53" s="226" t="s">
        <v>174</v>
      </c>
      <c r="D53" s="288">
        <v>7</v>
      </c>
      <c r="E53" s="291" t="str">
        <f>VLOOKUP('Risk Only'!A53,'Descriptor maps'!$A$1:$F$1654,6,0)</f>
        <v>Is there documented evidence that Technical Specifications were produced for construction of all expansions, remedial works and closure works to achieve the objective of providing requirements and direction to the construction team to meet the design intent?</v>
      </c>
      <c r="F53" s="296" t="s">
        <v>1192</v>
      </c>
      <c r="G53" s="291" cm="1">
        <f t="array" ref="G53">INDEX('Descriptor maps'!$H$2:$H$1658,MATCH(1,('Descriptor maps'!$A$2:$A$1658='Risk Only'!$A53)*('Descriptor maps'!$G$2:$G$1658='Risk Only'!$F53),0))</f>
        <v>1</v>
      </c>
      <c r="H53" s="292" cm="1">
        <f t="array" ref="H53">IF(ISNUMBER(F53)=TRUE,F53, INDEX('Descriptor maps'!$I$2:$I$1658,MATCH(1,('Descriptor maps'!$A$2:$A$1658='Risk Only'!$A53)*('Descriptor maps'!$G$2:$G$1658='Risk Only'!$F53),0)))</f>
        <v>1</v>
      </c>
      <c r="I53" s="292" cm="1">
        <f t="array" ref="I53">INDEX('Descriptor maps'!$J$2:$J$1658,MATCH(1,('Descriptor maps'!$A$2:$A$1658=A53)*('Descriptor maps'!$G$2:$G$1658=F53),0))</f>
        <v>0</v>
      </c>
      <c r="J53" s="442">
        <f t="shared" si="1"/>
        <v>6</v>
      </c>
      <c r="K53" s="293"/>
      <c r="L53" s="293"/>
      <c r="M53" s="293"/>
      <c r="N53" s="293">
        <f>1*$H53</f>
        <v>1</v>
      </c>
      <c r="O53" s="293"/>
      <c r="P53" s="293"/>
      <c r="Q53" s="293"/>
      <c r="R53" s="293"/>
      <c r="S53" s="293"/>
      <c r="T53" s="293"/>
      <c r="U53" s="293">
        <f>1*$H53</f>
        <v>1</v>
      </c>
      <c r="V53" s="293"/>
      <c r="W53" s="293"/>
      <c r="X53" s="293"/>
      <c r="Y53" s="293"/>
      <c r="Z53" s="293"/>
      <c r="AA53" s="293"/>
      <c r="AB53" s="293">
        <f>1*$H53</f>
        <v>1</v>
      </c>
      <c r="AC53" s="293"/>
      <c r="AD53" s="293"/>
      <c r="AE53" s="293"/>
      <c r="AF53" s="293"/>
      <c r="AG53" s="293"/>
      <c r="AH53" s="293">
        <f>1*$H53</f>
        <v>1</v>
      </c>
      <c r="AI53" s="293"/>
      <c r="AJ53" s="293"/>
      <c r="AK53" s="293">
        <f>1*$H53</f>
        <v>1</v>
      </c>
      <c r="AL53" s="293"/>
      <c r="AM53" s="293"/>
      <c r="AN53" s="293"/>
      <c r="AO53" s="293"/>
      <c r="AP53" s="293"/>
      <c r="AQ53" s="293"/>
      <c r="AR53" s="293"/>
      <c r="AS53" s="293"/>
      <c r="AT53" s="293"/>
      <c r="AU53" s="293"/>
      <c r="AV53" s="293"/>
      <c r="AW53" s="293"/>
      <c r="AX53" s="293"/>
      <c r="AY53" s="293">
        <f t="shared" ref="AY53:AY58" si="6">H53</f>
        <v>1</v>
      </c>
      <c r="AZ53" s="293"/>
      <c r="BA53" s="293"/>
      <c r="BB53" s="293"/>
      <c r="BC53" s="293"/>
      <c r="BD53" s="293"/>
      <c r="BE53" s="293"/>
      <c r="BF53" s="293"/>
      <c r="BG53" s="293"/>
      <c r="BH53" s="293"/>
      <c r="BI53" s="293"/>
      <c r="BJ53" s="293"/>
      <c r="BK53" s="293"/>
      <c r="BL53" s="293"/>
      <c r="BM53" s="293"/>
      <c r="BN53" s="293"/>
      <c r="BO53" s="293"/>
      <c r="BP53" s="293"/>
      <c r="BQ53" s="293"/>
      <c r="BR53" s="293"/>
      <c r="BS53" s="293"/>
      <c r="BT53" s="293"/>
      <c r="BU53" s="293"/>
      <c r="BV53" s="293"/>
      <c r="BW53" s="293"/>
      <c r="BX53" s="293"/>
      <c r="BY53" s="293"/>
      <c r="BZ53" s="293"/>
      <c r="CA53" s="293"/>
      <c r="CB53" s="293"/>
    </row>
    <row r="54" spans="1:80" ht="27.75" customHeight="1" x14ac:dyDescent="0.2">
      <c r="A54" s="427">
        <v>270</v>
      </c>
      <c r="B54" s="287" t="s">
        <v>131</v>
      </c>
      <c r="C54" s="226" t="s">
        <v>174</v>
      </c>
      <c r="D54" s="288">
        <v>7</v>
      </c>
      <c r="E54" s="291" t="str">
        <f>VLOOKUP('Risk Only'!A54,'Descriptor maps'!$A$1:$F$1654,6,0)</f>
        <v>Is there documented evidence that there was appropriately qualified and experienced supervisors present during construction of all expansions, remedial works and closure works to achieve the objective of ensuring that construction activities adhered to the requirements of technical specificationd and that the design intent was met?</v>
      </c>
      <c r="F54" s="296" t="s">
        <v>1192</v>
      </c>
      <c r="G54" s="291" cm="1">
        <f t="array" ref="G54">INDEX('Descriptor maps'!$H$2:$H$1658,MATCH(1,('Descriptor maps'!$A$2:$A$1658='Risk Only'!$A54)*('Descriptor maps'!$G$2:$G$1658='Risk Only'!$F54),0))</f>
        <v>1</v>
      </c>
      <c r="H54" s="292" cm="1">
        <f t="array" ref="H54">IF(ISNUMBER(F54)=TRUE,F54, INDEX('Descriptor maps'!$I$2:$I$1658,MATCH(1,('Descriptor maps'!$A$2:$A$1658='Risk Only'!$A54)*('Descriptor maps'!$G$2:$G$1658='Risk Only'!$F54),0)))</f>
        <v>1</v>
      </c>
      <c r="I54" s="292" cm="1">
        <f t="array" ref="I54">INDEX('Descriptor maps'!$J$2:$J$1658,MATCH(1,('Descriptor maps'!$A$2:$A$1658=A54)*('Descriptor maps'!$G$2:$G$1658=F54),0))</f>
        <v>0</v>
      </c>
      <c r="J54" s="442">
        <f t="shared" si="1"/>
        <v>6</v>
      </c>
      <c r="K54" s="293"/>
      <c r="L54" s="293"/>
      <c r="M54" s="293"/>
      <c r="N54" s="293">
        <f t="shared" ref="N54:N58" si="7">1*$H54</f>
        <v>1</v>
      </c>
      <c r="O54" s="293"/>
      <c r="P54" s="293"/>
      <c r="Q54" s="293"/>
      <c r="R54" s="293"/>
      <c r="S54" s="293"/>
      <c r="T54" s="293"/>
      <c r="U54" s="293">
        <f t="shared" ref="U54:U58" si="8">1*$H54</f>
        <v>1</v>
      </c>
      <c r="V54" s="293"/>
      <c r="W54" s="293"/>
      <c r="X54" s="293"/>
      <c r="Y54" s="293"/>
      <c r="Z54" s="293"/>
      <c r="AA54" s="293"/>
      <c r="AB54" s="293">
        <f t="shared" ref="AB54:AB58" si="9">1*$H54</f>
        <v>1</v>
      </c>
      <c r="AC54" s="293"/>
      <c r="AD54" s="293"/>
      <c r="AE54" s="293"/>
      <c r="AF54" s="293"/>
      <c r="AG54" s="293"/>
      <c r="AH54" s="293">
        <f t="shared" ref="AH54:AH58" si="10">1*$H54</f>
        <v>1</v>
      </c>
      <c r="AI54" s="293"/>
      <c r="AJ54" s="293"/>
      <c r="AK54" s="293">
        <f t="shared" ref="AK54:AK58" si="11">1*$H54</f>
        <v>1</v>
      </c>
      <c r="AL54" s="293"/>
      <c r="AM54" s="293"/>
      <c r="AN54" s="293"/>
      <c r="AO54" s="293"/>
      <c r="AP54" s="293"/>
      <c r="AQ54" s="293"/>
      <c r="AR54" s="293"/>
      <c r="AS54" s="293"/>
      <c r="AT54" s="293"/>
      <c r="AU54" s="293"/>
      <c r="AV54" s="293"/>
      <c r="AW54" s="293"/>
      <c r="AX54" s="293"/>
      <c r="AY54" s="293">
        <f t="shared" si="6"/>
        <v>1</v>
      </c>
      <c r="AZ54" s="293"/>
      <c r="BA54" s="293"/>
      <c r="BB54" s="293"/>
      <c r="BC54" s="293"/>
      <c r="BD54" s="293"/>
      <c r="BE54" s="293"/>
      <c r="BF54" s="293"/>
      <c r="BG54" s="293"/>
      <c r="BH54" s="293"/>
      <c r="BI54" s="293"/>
      <c r="BJ54" s="293"/>
      <c r="BK54" s="293"/>
      <c r="BL54" s="293"/>
      <c r="BM54" s="293"/>
      <c r="BN54" s="293"/>
      <c r="BO54" s="293"/>
      <c r="BP54" s="293"/>
      <c r="BQ54" s="293"/>
      <c r="BR54" s="293"/>
      <c r="BS54" s="293"/>
      <c r="BT54" s="293"/>
      <c r="BU54" s="293"/>
      <c r="BV54" s="293"/>
      <c r="BW54" s="293"/>
      <c r="BX54" s="293"/>
      <c r="BY54" s="293"/>
      <c r="BZ54" s="293"/>
      <c r="CA54" s="293"/>
      <c r="CB54" s="293"/>
    </row>
    <row r="55" spans="1:80" ht="27.75" customHeight="1" x14ac:dyDescent="0.2">
      <c r="A55" s="427">
        <v>272</v>
      </c>
      <c r="B55" s="287" t="s">
        <v>131</v>
      </c>
      <c r="C55" s="226" t="s">
        <v>174</v>
      </c>
      <c r="D55" s="288">
        <v>7</v>
      </c>
      <c r="E55" s="291" t="str">
        <f>VLOOKUP('Risk Only'!A55,'Descriptor maps'!$A$1:$F$1654,6,0)</f>
        <v>Is there documented evidence that testing for verification of construction activities was carried out to achieve the objective of demonstrating that construction activities complied with the Technical Specifications?</v>
      </c>
      <c r="F55" s="296" t="s">
        <v>1192</v>
      </c>
      <c r="G55" s="291" cm="1">
        <f t="array" ref="G55">INDEX('Descriptor maps'!$H$2:$H$1658,MATCH(1,('Descriptor maps'!$A$2:$A$1658='Risk Only'!$A55)*('Descriptor maps'!$G$2:$G$1658='Risk Only'!$F55),0))</f>
        <v>1</v>
      </c>
      <c r="H55" s="292" cm="1">
        <f t="array" ref="H55">IF(ISNUMBER(F55)=TRUE,F55, INDEX('Descriptor maps'!$I$2:$I$1658,MATCH(1,('Descriptor maps'!$A$2:$A$1658='Risk Only'!$A55)*('Descriptor maps'!$G$2:$G$1658='Risk Only'!$F55),0)))</f>
        <v>1</v>
      </c>
      <c r="I55" s="292" cm="1">
        <f t="array" ref="I55">INDEX('Descriptor maps'!$J$2:$J$1658,MATCH(1,('Descriptor maps'!$A$2:$A$1658=A55)*('Descriptor maps'!$G$2:$G$1658=F55),0))</f>
        <v>0</v>
      </c>
      <c r="J55" s="442">
        <f t="shared" si="1"/>
        <v>6</v>
      </c>
      <c r="K55" s="293"/>
      <c r="L55" s="293"/>
      <c r="M55" s="293"/>
      <c r="N55" s="293">
        <f t="shared" si="7"/>
        <v>1</v>
      </c>
      <c r="O55" s="293"/>
      <c r="P55" s="293"/>
      <c r="Q55" s="293"/>
      <c r="R55" s="293"/>
      <c r="S55" s="293"/>
      <c r="T55" s="293"/>
      <c r="U55" s="293">
        <f t="shared" si="8"/>
        <v>1</v>
      </c>
      <c r="V55" s="293"/>
      <c r="W55" s="293"/>
      <c r="X55" s="293"/>
      <c r="Y55" s="293"/>
      <c r="Z55" s="293"/>
      <c r="AA55" s="293"/>
      <c r="AB55" s="293">
        <f t="shared" si="9"/>
        <v>1</v>
      </c>
      <c r="AC55" s="293"/>
      <c r="AD55" s="293"/>
      <c r="AE55" s="293"/>
      <c r="AF55" s="293"/>
      <c r="AG55" s="293"/>
      <c r="AH55" s="293">
        <f t="shared" si="10"/>
        <v>1</v>
      </c>
      <c r="AI55" s="293"/>
      <c r="AJ55" s="293"/>
      <c r="AK55" s="293">
        <f t="shared" si="11"/>
        <v>1</v>
      </c>
      <c r="AL55" s="293"/>
      <c r="AM55" s="293"/>
      <c r="AN55" s="293"/>
      <c r="AO55" s="293"/>
      <c r="AP55" s="293"/>
      <c r="AQ55" s="293"/>
      <c r="AR55" s="293"/>
      <c r="AS55" s="293"/>
      <c r="AT55" s="293"/>
      <c r="AU55" s="293"/>
      <c r="AV55" s="293"/>
      <c r="AW55" s="293"/>
      <c r="AX55" s="293"/>
      <c r="AY55" s="293">
        <f t="shared" si="6"/>
        <v>1</v>
      </c>
      <c r="AZ55" s="293"/>
      <c r="BA55" s="293"/>
      <c r="BB55" s="293"/>
      <c r="BC55" s="293"/>
      <c r="BD55" s="293"/>
      <c r="BE55" s="293"/>
      <c r="BF55" s="293"/>
      <c r="BG55" s="293"/>
      <c r="BH55" s="293"/>
      <c r="BI55" s="293"/>
      <c r="BJ55" s="293"/>
      <c r="BK55" s="293"/>
      <c r="BL55" s="293"/>
      <c r="BM55" s="293"/>
      <c r="BN55" s="293"/>
      <c r="BO55" s="293"/>
      <c r="BP55" s="293"/>
      <c r="BQ55" s="293"/>
      <c r="BR55" s="293"/>
      <c r="BS55" s="293"/>
      <c r="BT55" s="293"/>
      <c r="BU55" s="293"/>
      <c r="BV55" s="293"/>
      <c r="BW55" s="293"/>
      <c r="BX55" s="293"/>
      <c r="BY55" s="293"/>
      <c r="BZ55" s="293"/>
      <c r="CA55" s="293"/>
      <c r="CB55" s="293"/>
    </row>
    <row r="56" spans="1:80" ht="27.75" customHeight="1" x14ac:dyDescent="0.2">
      <c r="A56" s="427">
        <v>273</v>
      </c>
      <c r="B56" s="287" t="s">
        <v>131</v>
      </c>
      <c r="C56" s="226" t="s">
        <v>174</v>
      </c>
      <c r="D56" s="288">
        <v>7</v>
      </c>
      <c r="E56" s="291" t="str">
        <f>VLOOKUP('Risk Only'!A56,'Descriptor maps'!$A$1:$F$1654,6,0)</f>
        <v>Is there documented evidence that deviations from the Technical Specifications were identified and documented, to achieve the objective of documenting all pertinent construction activities and assessing and understanding the effect of any deviances to the risk profile of the facility?</v>
      </c>
      <c r="F56" s="296" t="s">
        <v>1192</v>
      </c>
      <c r="G56" s="291" cm="1">
        <f t="array" ref="G56">INDEX('Descriptor maps'!$H$2:$H$1658,MATCH(1,('Descriptor maps'!$A$2:$A$1658='Risk Only'!$A56)*('Descriptor maps'!$G$2:$G$1658='Risk Only'!$F56),0))</f>
        <v>1</v>
      </c>
      <c r="H56" s="292" cm="1">
        <f t="array" ref="H56">IF(ISNUMBER(F56)=TRUE,F56, INDEX('Descriptor maps'!$I$2:$I$1658,MATCH(1,('Descriptor maps'!$A$2:$A$1658='Risk Only'!$A56)*('Descriptor maps'!$G$2:$G$1658='Risk Only'!$F56),0)))</f>
        <v>1</v>
      </c>
      <c r="I56" s="292" cm="1">
        <f t="array" ref="I56">INDEX('Descriptor maps'!$J$2:$J$1658,MATCH(1,('Descriptor maps'!$A$2:$A$1658=A56)*('Descriptor maps'!$G$2:$G$1658=F56),0))</f>
        <v>0</v>
      </c>
      <c r="J56" s="442">
        <f t="shared" si="1"/>
        <v>6</v>
      </c>
      <c r="K56" s="293"/>
      <c r="L56" s="293"/>
      <c r="M56" s="293"/>
      <c r="N56" s="293">
        <f t="shared" si="7"/>
        <v>1</v>
      </c>
      <c r="O56" s="293"/>
      <c r="P56" s="293"/>
      <c r="Q56" s="293"/>
      <c r="R56" s="293"/>
      <c r="S56" s="293"/>
      <c r="T56" s="293"/>
      <c r="U56" s="293">
        <f t="shared" si="8"/>
        <v>1</v>
      </c>
      <c r="V56" s="293"/>
      <c r="W56" s="293"/>
      <c r="X56" s="293"/>
      <c r="Y56" s="293"/>
      <c r="Z56" s="293"/>
      <c r="AA56" s="293"/>
      <c r="AB56" s="293">
        <f t="shared" si="9"/>
        <v>1</v>
      </c>
      <c r="AC56" s="293"/>
      <c r="AD56" s="293"/>
      <c r="AE56" s="293"/>
      <c r="AF56" s="293"/>
      <c r="AG56" s="293"/>
      <c r="AH56" s="293">
        <f t="shared" si="10"/>
        <v>1</v>
      </c>
      <c r="AI56" s="293"/>
      <c r="AJ56" s="293"/>
      <c r="AK56" s="293">
        <f t="shared" si="11"/>
        <v>1</v>
      </c>
      <c r="AL56" s="293"/>
      <c r="AM56" s="293"/>
      <c r="AN56" s="293"/>
      <c r="AO56" s="293"/>
      <c r="AP56" s="293"/>
      <c r="AQ56" s="293"/>
      <c r="AR56" s="293"/>
      <c r="AS56" s="293"/>
      <c r="AT56" s="293"/>
      <c r="AU56" s="293"/>
      <c r="AV56" s="293"/>
      <c r="AW56" s="293"/>
      <c r="AX56" s="293"/>
      <c r="AY56" s="293">
        <f t="shared" si="6"/>
        <v>1</v>
      </c>
      <c r="AZ56" s="293"/>
      <c r="BA56" s="293"/>
      <c r="BB56" s="293"/>
      <c r="BC56" s="293"/>
      <c r="BD56" s="293"/>
      <c r="BE56" s="293"/>
      <c r="BF56" s="293"/>
      <c r="BG56" s="293"/>
      <c r="BH56" s="293"/>
      <c r="BI56" s="293"/>
      <c r="BJ56" s="293"/>
      <c r="BK56" s="293"/>
      <c r="BL56" s="293"/>
      <c r="BM56" s="293"/>
      <c r="BN56" s="293"/>
      <c r="BO56" s="293"/>
      <c r="BP56" s="293"/>
      <c r="BQ56" s="293"/>
      <c r="BR56" s="293"/>
      <c r="BS56" s="293"/>
      <c r="BT56" s="293"/>
      <c r="BU56" s="293"/>
      <c r="BV56" s="293"/>
      <c r="BW56" s="293"/>
      <c r="BX56" s="293"/>
      <c r="BY56" s="293"/>
      <c r="BZ56" s="293"/>
      <c r="CA56" s="293"/>
      <c r="CB56" s="293"/>
    </row>
    <row r="57" spans="1:80" ht="27.75" customHeight="1" x14ac:dyDescent="0.2">
      <c r="A57" s="427">
        <v>274</v>
      </c>
      <c r="B57" s="287" t="s">
        <v>131</v>
      </c>
      <c r="C57" s="226" t="s">
        <v>174</v>
      </c>
      <c r="D57" s="288">
        <v>7</v>
      </c>
      <c r="E57" s="291" t="str">
        <f>VLOOKUP('Risk Only'!A57,'Descriptor maps'!$A$1:$F$1654,6,0)</f>
        <v>Have the As-Constructed data from each construction project been collated and documented, to achieve the objective of adding to the facility knowledge base and adhering to the requirements of relevant standards and guidelines?</v>
      </c>
      <c r="F57" s="296" t="s">
        <v>1192</v>
      </c>
      <c r="G57" s="291" cm="1">
        <f t="array" ref="G57">INDEX('Descriptor maps'!$H$2:$H$1658,MATCH(1,('Descriptor maps'!$A$2:$A$1658='Risk Only'!$A57)*('Descriptor maps'!$G$2:$G$1658='Risk Only'!$F57),0))</f>
        <v>1</v>
      </c>
      <c r="H57" s="292" cm="1">
        <f t="array" ref="H57">IF(ISNUMBER(F57)=TRUE,F57, INDEX('Descriptor maps'!$I$2:$I$1658,MATCH(1,('Descriptor maps'!$A$2:$A$1658='Risk Only'!$A57)*('Descriptor maps'!$G$2:$G$1658='Risk Only'!$F57),0)))</f>
        <v>1</v>
      </c>
      <c r="I57" s="292" cm="1">
        <f t="array" ref="I57">INDEX('Descriptor maps'!$J$2:$J$1658,MATCH(1,('Descriptor maps'!$A$2:$A$1658=A57)*('Descriptor maps'!$G$2:$G$1658=F57),0))</f>
        <v>0</v>
      </c>
      <c r="J57" s="442">
        <f t="shared" si="1"/>
        <v>6</v>
      </c>
      <c r="K57" s="293"/>
      <c r="L57" s="293"/>
      <c r="M57" s="293"/>
      <c r="N57" s="293">
        <f t="shared" si="7"/>
        <v>1</v>
      </c>
      <c r="O57" s="293"/>
      <c r="P57" s="293"/>
      <c r="Q57" s="293"/>
      <c r="R57" s="293"/>
      <c r="S57" s="293"/>
      <c r="T57" s="293"/>
      <c r="U57" s="293">
        <f t="shared" si="8"/>
        <v>1</v>
      </c>
      <c r="V57" s="293"/>
      <c r="W57" s="293"/>
      <c r="X57" s="293"/>
      <c r="Y57" s="293"/>
      <c r="Z57" s="293"/>
      <c r="AA57" s="293"/>
      <c r="AB57" s="293">
        <f t="shared" si="9"/>
        <v>1</v>
      </c>
      <c r="AC57" s="293"/>
      <c r="AD57" s="293"/>
      <c r="AE57" s="293"/>
      <c r="AF57" s="293"/>
      <c r="AG57" s="293"/>
      <c r="AH57" s="293">
        <f t="shared" si="10"/>
        <v>1</v>
      </c>
      <c r="AI57" s="293"/>
      <c r="AJ57" s="293"/>
      <c r="AK57" s="293">
        <f t="shared" si="11"/>
        <v>1</v>
      </c>
      <c r="AL57" s="293"/>
      <c r="AM57" s="293"/>
      <c r="AN57" s="293"/>
      <c r="AO57" s="293"/>
      <c r="AP57" s="293"/>
      <c r="AQ57" s="293"/>
      <c r="AR57" s="293"/>
      <c r="AS57" s="293"/>
      <c r="AT57" s="293"/>
      <c r="AU57" s="293"/>
      <c r="AV57" s="293"/>
      <c r="AW57" s="293"/>
      <c r="AX57" s="293"/>
      <c r="AY57" s="293">
        <f t="shared" si="6"/>
        <v>1</v>
      </c>
      <c r="AZ57" s="293"/>
      <c r="BA57" s="293"/>
      <c r="BB57" s="293"/>
      <c r="BC57" s="293"/>
      <c r="BD57" s="293"/>
      <c r="BE57" s="293"/>
      <c r="BF57" s="293"/>
      <c r="BG57" s="293"/>
      <c r="BH57" s="293"/>
      <c r="BI57" s="293"/>
      <c r="BJ57" s="293"/>
      <c r="BK57" s="293"/>
      <c r="BL57" s="293"/>
      <c r="BM57" s="293"/>
      <c r="BN57" s="293"/>
      <c r="BO57" s="293"/>
      <c r="BP57" s="293"/>
      <c r="BQ57" s="293"/>
      <c r="BR57" s="293"/>
      <c r="BS57" s="293"/>
      <c r="BT57" s="293"/>
      <c r="BU57" s="293"/>
      <c r="BV57" s="293"/>
      <c r="BW57" s="293"/>
      <c r="BX57" s="293"/>
      <c r="BY57" s="293"/>
      <c r="BZ57" s="293"/>
      <c r="CA57" s="293"/>
      <c r="CB57" s="293"/>
    </row>
    <row r="58" spans="1:80" ht="27.75" customHeight="1" x14ac:dyDescent="0.2">
      <c r="A58" s="427">
        <v>275</v>
      </c>
      <c r="B58" s="287" t="s">
        <v>131</v>
      </c>
      <c r="C58" s="226" t="s">
        <v>174</v>
      </c>
      <c r="D58" s="288">
        <v>7</v>
      </c>
      <c r="E58" s="291" t="str">
        <f>VLOOKUP('Risk Only'!A58,'Descriptor maps'!$A$1:$F$1654,6,0)</f>
        <v>Have Construction Reports for each construction project been produced, to achieve the objective of adding to the facility knowledge base and adhering to the requirements of relevant standards and guidelines?</v>
      </c>
      <c r="F58" s="296" t="s">
        <v>1192</v>
      </c>
      <c r="G58" s="291" cm="1">
        <f t="array" ref="G58">INDEX('Descriptor maps'!$H$2:$H$1658,MATCH(1,('Descriptor maps'!$A$2:$A$1658='Risk Only'!$A58)*('Descriptor maps'!$G$2:$G$1658='Risk Only'!$F58),0))</f>
        <v>1</v>
      </c>
      <c r="H58" s="292" cm="1">
        <f t="array" ref="H58">IF(ISNUMBER(F58)=TRUE,F58, INDEX('Descriptor maps'!$I$2:$I$1658,MATCH(1,('Descriptor maps'!$A$2:$A$1658='Risk Only'!$A58)*('Descriptor maps'!$G$2:$G$1658='Risk Only'!$F58),0)))</f>
        <v>1</v>
      </c>
      <c r="I58" s="292" cm="1">
        <f t="array" ref="I58">INDEX('Descriptor maps'!$J$2:$J$1658,MATCH(1,('Descriptor maps'!$A$2:$A$1658=A58)*('Descriptor maps'!$G$2:$G$1658=F58),0))</f>
        <v>0</v>
      </c>
      <c r="J58" s="442">
        <f t="shared" si="1"/>
        <v>6</v>
      </c>
      <c r="K58" s="293"/>
      <c r="L58" s="293"/>
      <c r="M58" s="293"/>
      <c r="N58" s="293">
        <f t="shared" si="7"/>
        <v>1</v>
      </c>
      <c r="O58" s="293"/>
      <c r="P58" s="293"/>
      <c r="Q58" s="293"/>
      <c r="R58" s="293"/>
      <c r="S58" s="293"/>
      <c r="T58" s="293"/>
      <c r="U58" s="293">
        <f t="shared" si="8"/>
        <v>1</v>
      </c>
      <c r="V58" s="293"/>
      <c r="W58" s="293"/>
      <c r="X58" s="293"/>
      <c r="Y58" s="293"/>
      <c r="Z58" s="293"/>
      <c r="AA58" s="293"/>
      <c r="AB58" s="293">
        <f t="shared" si="9"/>
        <v>1</v>
      </c>
      <c r="AC58" s="293"/>
      <c r="AD58" s="293"/>
      <c r="AE58" s="293"/>
      <c r="AF58" s="293"/>
      <c r="AG58" s="293"/>
      <c r="AH58" s="293">
        <f t="shared" si="10"/>
        <v>1</v>
      </c>
      <c r="AI58" s="293"/>
      <c r="AJ58" s="293"/>
      <c r="AK58" s="293">
        <f t="shared" si="11"/>
        <v>1</v>
      </c>
      <c r="AL58" s="293"/>
      <c r="AM58" s="293"/>
      <c r="AN58" s="293"/>
      <c r="AO58" s="293"/>
      <c r="AP58" s="293"/>
      <c r="AQ58" s="293"/>
      <c r="AR58" s="293"/>
      <c r="AS58" s="293"/>
      <c r="AT58" s="293"/>
      <c r="AU58" s="293"/>
      <c r="AV58" s="293"/>
      <c r="AW58" s="293"/>
      <c r="AX58" s="293"/>
      <c r="AY58" s="293">
        <f t="shared" si="6"/>
        <v>1</v>
      </c>
      <c r="AZ58" s="293"/>
      <c r="BA58" s="293"/>
      <c r="BB58" s="293"/>
      <c r="BC58" s="293"/>
      <c r="BD58" s="293"/>
      <c r="BE58" s="293"/>
      <c r="BF58" s="293"/>
      <c r="BG58" s="293"/>
      <c r="BH58" s="293"/>
      <c r="BI58" s="293"/>
      <c r="BJ58" s="293"/>
      <c r="BK58" s="293"/>
      <c r="BL58" s="293"/>
      <c r="BM58" s="293"/>
      <c r="BN58" s="293"/>
      <c r="BO58" s="293"/>
      <c r="BP58" s="293"/>
      <c r="BQ58" s="293"/>
      <c r="BR58" s="293"/>
      <c r="BS58" s="293"/>
      <c r="BT58" s="293"/>
      <c r="BU58" s="293"/>
      <c r="BV58" s="293"/>
      <c r="BW58" s="293"/>
      <c r="BX58" s="293"/>
      <c r="BY58" s="293"/>
      <c r="BZ58" s="293"/>
      <c r="CA58" s="293"/>
      <c r="CB58" s="293"/>
    </row>
    <row r="59" spans="1:80" ht="27.75" customHeight="1" x14ac:dyDescent="0.2">
      <c r="A59" s="427">
        <v>358</v>
      </c>
      <c r="B59" s="287" t="s">
        <v>131</v>
      </c>
      <c r="C59" s="226" t="s">
        <v>174</v>
      </c>
      <c r="D59" s="288">
        <v>7</v>
      </c>
      <c r="E59" s="291" t="str">
        <f>VLOOKUP('Risk Only'!A59,'Descriptor maps'!$A$1:$F$1654,6,0)</f>
        <v>Is there documented evidence that regular inspections are being properly carried out at the required frequency to achieve the objective of identifying visual signs of maloperation or structural distress?</v>
      </c>
      <c r="F59" s="296" t="s">
        <v>1193</v>
      </c>
      <c r="G59" s="291" cm="1">
        <f t="array" ref="G59">INDEX('Descriptor maps'!$H$2:$H$1658,MATCH(1,('Descriptor maps'!$A$2:$A$1658='Risk Only'!$A59)*('Descriptor maps'!$G$2:$G$1658='Risk Only'!$F59),0))</f>
        <v>2</v>
      </c>
      <c r="H59" s="292" cm="1">
        <f t="array" ref="H59">IF(ISNUMBER(F59)=TRUE,F59, INDEX('Descriptor maps'!$I$2:$I$1658,MATCH(1,('Descriptor maps'!$A$2:$A$1658='Risk Only'!$A59)*('Descriptor maps'!$G$2:$G$1658='Risk Only'!$F59),0)))</f>
        <v>2</v>
      </c>
      <c r="I59" s="292" cm="1">
        <f t="array" ref="I59">INDEX('Descriptor maps'!$J$2:$J$1658,MATCH(1,('Descriptor maps'!$A$2:$A$1658=A59)*('Descriptor maps'!$G$2:$G$1658=F59),0))</f>
        <v>0</v>
      </c>
      <c r="J59" s="442">
        <f t="shared" si="1"/>
        <v>6</v>
      </c>
      <c r="K59" s="293"/>
      <c r="L59" s="293"/>
      <c r="M59" s="293"/>
      <c r="N59" s="293"/>
      <c r="O59" s="293">
        <f t="shared" ref="O59:O76" si="12">1*$H59</f>
        <v>2</v>
      </c>
      <c r="P59" s="293"/>
      <c r="Q59" s="293"/>
      <c r="R59" s="293"/>
      <c r="S59" s="293"/>
      <c r="T59" s="293"/>
      <c r="U59" s="293"/>
      <c r="V59" s="293">
        <f t="shared" ref="V59:V76" si="13">1*$H59</f>
        <v>2</v>
      </c>
      <c r="W59" s="293"/>
      <c r="X59" s="293"/>
      <c r="Y59" s="293"/>
      <c r="Z59" s="293"/>
      <c r="AA59" s="293"/>
      <c r="AB59" s="293"/>
      <c r="AC59" s="293">
        <f t="shared" ref="AC59:AC76" si="14">1*$H59</f>
        <v>2</v>
      </c>
      <c r="AD59" s="293"/>
      <c r="AE59" s="293"/>
      <c r="AF59" s="293"/>
      <c r="AG59" s="293"/>
      <c r="AH59" s="293"/>
      <c r="AI59" s="293"/>
      <c r="AJ59" s="293"/>
      <c r="AK59" s="293"/>
      <c r="AL59" s="293"/>
      <c r="AM59" s="293"/>
      <c r="AN59" s="293"/>
      <c r="AO59" s="293">
        <f>H59</f>
        <v>2</v>
      </c>
      <c r="AP59" s="293"/>
      <c r="AQ59" s="293"/>
      <c r="AR59" s="293"/>
      <c r="AS59" s="293"/>
      <c r="AT59" s="293"/>
      <c r="AU59" s="293"/>
      <c r="AV59" s="293"/>
      <c r="AW59" s="293"/>
      <c r="AX59" s="293"/>
      <c r="AY59" s="293"/>
      <c r="AZ59" s="293"/>
      <c r="BA59" s="293"/>
      <c r="BB59" s="293"/>
      <c r="BC59" s="293">
        <f>1*$H59</f>
        <v>2</v>
      </c>
      <c r="BD59" s="293"/>
      <c r="BE59" s="293"/>
      <c r="BF59" s="293"/>
      <c r="BG59" s="293"/>
      <c r="BH59" s="293"/>
      <c r="BI59" s="293"/>
      <c r="BJ59" s="293"/>
      <c r="BK59" s="293"/>
      <c r="BL59" s="293"/>
      <c r="BM59" s="293"/>
      <c r="BN59" s="293"/>
      <c r="BO59" s="293"/>
      <c r="BP59" s="293">
        <f>1*$H59</f>
        <v>2</v>
      </c>
      <c r="BQ59" s="293"/>
      <c r="BR59" s="293"/>
      <c r="BS59" s="293"/>
      <c r="BT59" s="293"/>
      <c r="BU59" s="293"/>
      <c r="BV59" s="293"/>
      <c r="BW59" s="293"/>
      <c r="BX59" s="293"/>
      <c r="BY59" s="293"/>
      <c r="BZ59" s="293"/>
      <c r="CA59" s="293"/>
      <c r="CB59" s="293"/>
    </row>
    <row r="60" spans="1:80" ht="27.75" customHeight="1" x14ac:dyDescent="0.2">
      <c r="A60" s="427">
        <v>359</v>
      </c>
      <c r="B60" s="287" t="s">
        <v>131</v>
      </c>
      <c r="C60" s="226" t="s">
        <v>174</v>
      </c>
      <c r="D60" s="288">
        <v>7</v>
      </c>
      <c r="E60" s="291" t="str">
        <f>VLOOKUP('Risk Only'!A60,'Descriptor maps'!$A$1:$F$1654,6,0)</f>
        <v>Is there documented evidence that annual inspections by qualified personnel are being appropriately and properly carried out, to achieve the objective of reviewing the performance, behaviour, management and operation of the facility?</v>
      </c>
      <c r="F60" s="296" t="s">
        <v>1193</v>
      </c>
      <c r="G60" s="291" cm="1">
        <f t="array" ref="G60">INDEX('Descriptor maps'!$H$2:$H$1658,MATCH(1,('Descriptor maps'!$A$2:$A$1658='Risk Only'!$A60)*('Descriptor maps'!$G$2:$G$1658='Risk Only'!$F60),0))</f>
        <v>2</v>
      </c>
      <c r="H60" s="292" cm="1">
        <f t="array" ref="H60">IF(ISNUMBER(F60)=TRUE,F60, INDEX('Descriptor maps'!$I$2:$I$1658,MATCH(1,('Descriptor maps'!$A$2:$A$1658='Risk Only'!$A60)*('Descriptor maps'!$G$2:$G$1658='Risk Only'!$F60),0)))</f>
        <v>2</v>
      </c>
      <c r="I60" s="292" cm="1">
        <f t="array" ref="I60">INDEX('Descriptor maps'!$J$2:$J$1658,MATCH(1,('Descriptor maps'!$A$2:$A$1658=A60)*('Descriptor maps'!$G$2:$G$1658=F60),0))</f>
        <v>0</v>
      </c>
      <c r="J60" s="442">
        <f t="shared" si="1"/>
        <v>3</v>
      </c>
      <c r="K60" s="293"/>
      <c r="L60" s="293"/>
      <c r="M60" s="293"/>
      <c r="N60" s="293"/>
      <c r="O60" s="293">
        <f t="shared" si="12"/>
        <v>2</v>
      </c>
      <c r="P60" s="293"/>
      <c r="Q60" s="293"/>
      <c r="R60" s="293"/>
      <c r="S60" s="293"/>
      <c r="T60" s="293"/>
      <c r="U60" s="293"/>
      <c r="V60" s="293">
        <f t="shared" si="13"/>
        <v>2</v>
      </c>
      <c r="W60" s="293"/>
      <c r="X60" s="293"/>
      <c r="Y60" s="293"/>
      <c r="Z60" s="293"/>
      <c r="AA60" s="293"/>
      <c r="AB60" s="293"/>
      <c r="AC60" s="293">
        <f t="shared" si="14"/>
        <v>2</v>
      </c>
      <c r="AD60" s="293"/>
      <c r="AE60" s="293"/>
      <c r="AF60" s="293"/>
      <c r="AG60" s="293"/>
      <c r="AH60" s="293"/>
      <c r="AI60" s="293"/>
      <c r="AJ60" s="293"/>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c r="BT60" s="293"/>
      <c r="BU60" s="293"/>
      <c r="BV60" s="293"/>
      <c r="BW60" s="293"/>
      <c r="BX60" s="293"/>
      <c r="BY60" s="293"/>
      <c r="BZ60" s="293"/>
      <c r="CA60" s="293"/>
      <c r="CB60" s="293"/>
    </row>
    <row r="61" spans="1:80" ht="27.75" customHeight="1" x14ac:dyDescent="0.2">
      <c r="A61" s="427">
        <v>360</v>
      </c>
      <c r="B61" s="287" t="s">
        <v>131</v>
      </c>
      <c r="C61" s="226" t="s">
        <v>174</v>
      </c>
      <c r="D61" s="288">
        <v>7</v>
      </c>
      <c r="E61" s="291" t="str">
        <f>VLOOKUP('Risk Only'!A61,'Descriptor maps'!$A$1:$F$1654,6,0)</f>
        <v>Is there documented evidence that Comprehensive Reviews by qualified personnel are being appropriately and properly carried out, to achieve the objective of reviewing the performance, design intent, assumptions, inputs, design activities, estimated consequences of failure, management, governance and operation of the facility?</v>
      </c>
      <c r="F61" s="296" t="s">
        <v>1195</v>
      </c>
      <c r="G61" s="291" cm="1">
        <f t="array" ref="G61">INDEX('Descriptor maps'!$H$2:$H$1658,MATCH(1,('Descriptor maps'!$A$2:$A$1658='Risk Only'!$A61)*('Descriptor maps'!$G$2:$G$1658='Risk Only'!$F61),0))</f>
        <v>4</v>
      </c>
      <c r="H61" s="292" cm="1">
        <f t="array" ref="H61">IF(ISNUMBER(F61)=TRUE,F61, INDEX('Descriptor maps'!$I$2:$I$1658,MATCH(1,('Descriptor maps'!$A$2:$A$1658='Risk Only'!$A61)*('Descriptor maps'!$G$2:$G$1658='Risk Only'!$F61),0)))</f>
        <v>4</v>
      </c>
      <c r="I61" s="292" cm="1">
        <f t="array" ref="I61">INDEX('Descriptor maps'!$J$2:$J$1658,MATCH(1,('Descriptor maps'!$A$2:$A$1658=A61)*('Descriptor maps'!$G$2:$G$1658=F61),0))</f>
        <v>0</v>
      </c>
      <c r="J61" s="442">
        <f t="shared" si="1"/>
        <v>3</v>
      </c>
      <c r="K61" s="293"/>
      <c r="L61" s="293"/>
      <c r="M61" s="293"/>
      <c r="N61" s="293"/>
      <c r="O61" s="293">
        <f t="shared" si="12"/>
        <v>4</v>
      </c>
      <c r="P61" s="293"/>
      <c r="Q61" s="293"/>
      <c r="R61" s="293"/>
      <c r="S61" s="293"/>
      <c r="T61" s="293"/>
      <c r="U61" s="293"/>
      <c r="V61" s="293">
        <f t="shared" si="13"/>
        <v>4</v>
      </c>
      <c r="W61" s="293"/>
      <c r="X61" s="293"/>
      <c r="Y61" s="293"/>
      <c r="Z61" s="293"/>
      <c r="AA61" s="293"/>
      <c r="AB61" s="293"/>
      <c r="AC61" s="293">
        <f t="shared" si="14"/>
        <v>4</v>
      </c>
      <c r="AD61" s="293"/>
      <c r="AE61" s="293"/>
      <c r="AF61" s="293"/>
      <c r="AG61" s="293"/>
      <c r="AH61" s="293"/>
      <c r="AI61" s="293"/>
      <c r="AJ61" s="293"/>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c r="BT61" s="293"/>
      <c r="BU61" s="293"/>
      <c r="BV61" s="293"/>
      <c r="BW61" s="293"/>
      <c r="BX61" s="293"/>
      <c r="BY61" s="293"/>
      <c r="BZ61" s="293"/>
      <c r="CA61" s="293"/>
      <c r="CB61" s="293"/>
    </row>
    <row r="62" spans="1:80" ht="27.75" customHeight="1" x14ac:dyDescent="0.2">
      <c r="A62" s="427">
        <v>361</v>
      </c>
      <c r="B62" s="287" t="s">
        <v>131</v>
      </c>
      <c r="C62" s="226" t="s">
        <v>174</v>
      </c>
      <c r="D62" s="288">
        <v>7</v>
      </c>
      <c r="E62" s="291" t="str">
        <f>VLOOKUP('Risk Only'!A62,'Descriptor maps'!$A$1:$F$1654,6,0)</f>
        <v>Is there documented evidence that maintenance on the facility is being carried out when actions are identified in a timely manner to achieve the objective of addressing hazards to the integrity of the facility as soon as practicable?</v>
      </c>
      <c r="F62" s="296" t="s">
        <v>1194</v>
      </c>
      <c r="G62" s="291" cm="1">
        <f t="array" ref="G62">INDEX('Descriptor maps'!$H$2:$H$1658,MATCH(1,('Descriptor maps'!$A$2:$A$1658='Risk Only'!$A62)*('Descriptor maps'!$G$2:$G$1658='Risk Only'!$F62),0))</f>
        <v>3</v>
      </c>
      <c r="H62" s="292" cm="1">
        <f t="array" ref="H62">IF(ISNUMBER(F62)=TRUE,F62, INDEX('Descriptor maps'!$I$2:$I$1658,MATCH(1,('Descriptor maps'!$A$2:$A$1658='Risk Only'!$A62)*('Descriptor maps'!$G$2:$G$1658='Risk Only'!$F62),0)))</f>
        <v>3</v>
      </c>
      <c r="I62" s="292" cm="1">
        <f t="array" ref="I62">INDEX('Descriptor maps'!$J$2:$J$1658,MATCH(1,('Descriptor maps'!$A$2:$A$1658=A62)*('Descriptor maps'!$G$2:$G$1658=F62),0))</f>
        <v>0</v>
      </c>
      <c r="J62" s="442">
        <f t="shared" si="1"/>
        <v>3</v>
      </c>
      <c r="K62" s="293"/>
      <c r="L62" s="293"/>
      <c r="M62" s="293"/>
      <c r="N62" s="293"/>
      <c r="O62" s="293">
        <f t="shared" si="12"/>
        <v>3</v>
      </c>
      <c r="P62" s="293"/>
      <c r="Q62" s="293"/>
      <c r="R62" s="293"/>
      <c r="S62" s="293"/>
      <c r="T62" s="293"/>
      <c r="U62" s="293"/>
      <c r="V62" s="293">
        <f t="shared" si="13"/>
        <v>3</v>
      </c>
      <c r="W62" s="293"/>
      <c r="X62" s="293"/>
      <c r="Y62" s="293"/>
      <c r="Z62" s="293"/>
      <c r="AA62" s="293"/>
      <c r="AB62" s="293"/>
      <c r="AC62" s="293">
        <f t="shared" si="14"/>
        <v>3</v>
      </c>
      <c r="AD62" s="293"/>
      <c r="AE62" s="293"/>
      <c r="AF62" s="293"/>
      <c r="AG62" s="293"/>
      <c r="AH62" s="293"/>
      <c r="AI62" s="293"/>
      <c r="AJ62" s="293"/>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c r="BT62" s="293"/>
      <c r="BU62" s="293"/>
      <c r="BV62" s="293"/>
      <c r="BW62" s="293"/>
      <c r="BX62" s="293"/>
      <c r="BY62" s="293"/>
      <c r="BZ62" s="293"/>
      <c r="CA62" s="293"/>
      <c r="CB62" s="293"/>
    </row>
    <row r="63" spans="1:80" ht="27.75" customHeight="1" x14ac:dyDescent="0.2">
      <c r="A63" s="427">
        <v>366</v>
      </c>
      <c r="B63" s="287" t="s">
        <v>131</v>
      </c>
      <c r="C63" s="226" t="s">
        <v>174</v>
      </c>
      <c r="D63" s="288">
        <v>7</v>
      </c>
      <c r="E63" s="291" t="str">
        <f>VLOOKUP('Risk Only'!A63,'Descriptor maps'!$A$1:$F$1654,6,0)</f>
        <v>Is there documented evidence that the arrangement of the pore water pressure instrumentation within the embankment is based on or supported by the failure mode assessment to achieve the objective of informing critical controls?</v>
      </c>
      <c r="F63" s="296" t="s">
        <v>1193</v>
      </c>
      <c r="G63" s="291" cm="1">
        <f t="array" ref="G63">INDEX('Descriptor maps'!$H$2:$H$1658,MATCH(1,('Descriptor maps'!$A$2:$A$1658='Risk Only'!$A63)*('Descriptor maps'!$G$2:$G$1658='Risk Only'!$F63),0))</f>
        <v>2</v>
      </c>
      <c r="H63" s="292" cm="1">
        <f t="array" ref="H63">IF(ISNUMBER(F63)=TRUE,F63, INDEX('Descriptor maps'!$I$2:$I$1658,MATCH(1,('Descriptor maps'!$A$2:$A$1658='Risk Only'!$A63)*('Descriptor maps'!$G$2:$G$1658='Risk Only'!$F63),0)))</f>
        <v>2</v>
      </c>
      <c r="I63" s="292" cm="1">
        <f t="array" ref="I63">INDEX('Descriptor maps'!$J$2:$J$1658,MATCH(1,('Descriptor maps'!$A$2:$A$1658=A63)*('Descriptor maps'!$G$2:$G$1658=F63),0))</f>
        <v>0</v>
      </c>
      <c r="J63" s="442">
        <f t="shared" si="1"/>
        <v>3</v>
      </c>
      <c r="K63" s="293"/>
      <c r="L63" s="293"/>
      <c r="M63" s="293"/>
      <c r="N63" s="293"/>
      <c r="O63" s="293">
        <f t="shared" si="12"/>
        <v>2</v>
      </c>
      <c r="P63" s="293"/>
      <c r="Q63" s="293"/>
      <c r="R63" s="293"/>
      <c r="S63" s="293"/>
      <c r="T63" s="293"/>
      <c r="U63" s="293"/>
      <c r="V63" s="293">
        <f t="shared" si="13"/>
        <v>2</v>
      </c>
      <c r="W63" s="293"/>
      <c r="X63" s="293"/>
      <c r="Y63" s="293"/>
      <c r="Z63" s="293"/>
      <c r="AA63" s="293"/>
      <c r="AB63" s="293"/>
      <c r="AC63" s="293">
        <f t="shared" si="14"/>
        <v>2</v>
      </c>
      <c r="AD63" s="293"/>
      <c r="AE63" s="293"/>
      <c r="AF63" s="293"/>
      <c r="AG63" s="293"/>
      <c r="AH63" s="293"/>
      <c r="AI63" s="293"/>
      <c r="AJ63" s="293"/>
      <c r="AK63" s="293"/>
      <c r="AL63" s="293"/>
      <c r="AM63" s="293"/>
      <c r="AN63" s="293"/>
      <c r="AO63" s="293"/>
      <c r="AP63" s="293"/>
      <c r="AQ63" s="293"/>
      <c r="AR63" s="293"/>
      <c r="AS63" s="293"/>
      <c r="AT63" s="293"/>
      <c r="AU63" s="293"/>
      <c r="AV63" s="293"/>
      <c r="AW63" s="293"/>
      <c r="AX63" s="293"/>
      <c r="AY63" s="293"/>
      <c r="AZ63" s="293"/>
      <c r="BA63" s="293"/>
      <c r="BB63" s="293"/>
      <c r="BC63" s="293"/>
      <c r="BD63" s="293"/>
      <c r="BE63" s="293"/>
      <c r="BF63" s="293"/>
      <c r="BG63" s="293"/>
      <c r="BH63" s="293"/>
      <c r="BI63" s="293"/>
      <c r="BJ63" s="293"/>
      <c r="BK63" s="293"/>
      <c r="BL63" s="293"/>
      <c r="BM63" s="293"/>
      <c r="BN63" s="293"/>
      <c r="BO63" s="293"/>
      <c r="BP63" s="293"/>
      <c r="BQ63" s="293"/>
      <c r="BR63" s="293"/>
      <c r="BS63" s="293"/>
      <c r="BT63" s="293"/>
      <c r="BU63" s="293"/>
      <c r="BV63" s="293"/>
      <c r="BW63" s="293"/>
      <c r="BX63" s="293"/>
      <c r="BY63" s="293"/>
      <c r="BZ63" s="293"/>
      <c r="CA63" s="293"/>
      <c r="CB63" s="293"/>
    </row>
    <row r="64" spans="1:80" ht="27.75" customHeight="1" x14ac:dyDescent="0.2">
      <c r="A64" s="427">
        <v>367</v>
      </c>
      <c r="B64" s="287" t="s">
        <v>131</v>
      </c>
      <c r="C64" s="226" t="s">
        <v>174</v>
      </c>
      <c r="D64" s="288">
        <v>7</v>
      </c>
      <c r="E64" s="291" t="str">
        <f>VLOOKUP('Risk Only'!A64,'Descriptor maps'!$A$1:$F$1654,6,0)</f>
        <v>Is there documented evidence that the arrangement of the pore water pressure instrumentation within the foundations is based on or supported by the failure mode assessment to achieve the objective of informing critical controls?</v>
      </c>
      <c r="F64" s="296" t="s">
        <v>1193</v>
      </c>
      <c r="G64" s="291" cm="1">
        <f t="array" ref="G64">INDEX('Descriptor maps'!$H$2:$H$1658,MATCH(1,('Descriptor maps'!$A$2:$A$1658='Risk Only'!$A64)*('Descriptor maps'!$G$2:$G$1658='Risk Only'!$F64),0))</f>
        <v>2</v>
      </c>
      <c r="H64" s="292" cm="1">
        <f t="array" ref="H64">IF(ISNUMBER(F64)=TRUE,F64, INDEX('Descriptor maps'!$I$2:$I$1658,MATCH(1,('Descriptor maps'!$A$2:$A$1658='Risk Only'!$A64)*('Descriptor maps'!$G$2:$G$1658='Risk Only'!$F64),0)))</f>
        <v>2</v>
      </c>
      <c r="I64" s="292" cm="1">
        <f t="array" ref="I64">INDEX('Descriptor maps'!$J$2:$J$1658,MATCH(1,('Descriptor maps'!$A$2:$A$1658=A64)*('Descriptor maps'!$G$2:$G$1658=F64),0))</f>
        <v>0</v>
      </c>
      <c r="J64" s="442">
        <f t="shared" si="1"/>
        <v>3</v>
      </c>
      <c r="K64" s="293"/>
      <c r="L64" s="293"/>
      <c r="M64" s="293"/>
      <c r="N64" s="293"/>
      <c r="O64" s="293">
        <f t="shared" si="12"/>
        <v>2</v>
      </c>
      <c r="P64" s="293"/>
      <c r="Q64" s="293"/>
      <c r="R64" s="293"/>
      <c r="S64" s="293"/>
      <c r="T64" s="293"/>
      <c r="U64" s="293"/>
      <c r="V64" s="293">
        <f t="shared" si="13"/>
        <v>2</v>
      </c>
      <c r="W64" s="293"/>
      <c r="X64" s="293"/>
      <c r="Y64" s="293"/>
      <c r="Z64" s="293"/>
      <c r="AA64" s="293"/>
      <c r="AB64" s="293"/>
      <c r="AC64" s="293">
        <f t="shared" si="14"/>
        <v>2</v>
      </c>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3"/>
      <c r="AZ64" s="293"/>
      <c r="BA64" s="293"/>
      <c r="BB64" s="293"/>
      <c r="BC64" s="293"/>
      <c r="BD64" s="293"/>
      <c r="BE64" s="293"/>
      <c r="BF64" s="293"/>
      <c r="BG64" s="293"/>
      <c r="BH64" s="293"/>
      <c r="BI64" s="293"/>
      <c r="BJ64" s="293"/>
      <c r="BK64" s="293"/>
      <c r="BL64" s="293"/>
      <c r="BM64" s="293"/>
      <c r="BN64" s="293"/>
      <c r="BO64" s="293"/>
      <c r="BP64" s="293"/>
      <c r="BQ64" s="293"/>
      <c r="BR64" s="293"/>
      <c r="BS64" s="293"/>
      <c r="BT64" s="293"/>
      <c r="BU64" s="293"/>
      <c r="BV64" s="293"/>
      <c r="BW64" s="293"/>
      <c r="BX64" s="293"/>
      <c r="BY64" s="293"/>
      <c r="BZ64" s="293"/>
      <c r="CA64" s="293"/>
      <c r="CB64" s="293"/>
    </row>
    <row r="65" spans="1:80" ht="27.75" customHeight="1" x14ac:dyDescent="0.2">
      <c r="A65" s="427">
        <v>368</v>
      </c>
      <c r="B65" s="287" t="s">
        <v>174</v>
      </c>
      <c r="C65" s="226" t="s">
        <v>191</v>
      </c>
      <c r="D65" s="288">
        <v>8</v>
      </c>
      <c r="E65" s="291" t="str">
        <f>VLOOKUP('Risk Only'!A65,'Descriptor maps'!$A$1:$F$1654,6,0)</f>
        <v>Is there documented evidence that the arrangement of the surface deformation instruments is based on or supported by the failure mode assessment to achieve the objective of informing critical controls?</v>
      </c>
      <c r="F65" s="296" t="s">
        <v>1193</v>
      </c>
      <c r="G65" s="291" cm="1">
        <f t="array" ref="G65">INDEX('Descriptor maps'!$H$2:$H$1658,MATCH(1,('Descriptor maps'!$A$2:$A$1658='Risk Only'!$A65)*('Descriptor maps'!$G$2:$G$1658='Risk Only'!$F65),0))</f>
        <v>2</v>
      </c>
      <c r="H65" s="292" cm="1">
        <f t="array" ref="H65">IF(ISNUMBER(F65)=TRUE,F65, INDEX('Descriptor maps'!$I$2:$I$1658,MATCH(1,('Descriptor maps'!$A$2:$A$1658='Risk Only'!$A65)*('Descriptor maps'!$G$2:$G$1658='Risk Only'!$F65),0)))</f>
        <v>2</v>
      </c>
      <c r="I65" s="292" cm="1">
        <f t="array" ref="I65">INDEX('Descriptor maps'!$J$2:$J$1658,MATCH(1,('Descriptor maps'!$A$2:$A$1658=A65)*('Descriptor maps'!$G$2:$G$1658=F65),0))</f>
        <v>0</v>
      </c>
      <c r="J65" s="442">
        <f t="shared" si="1"/>
        <v>3</v>
      </c>
      <c r="K65" s="293"/>
      <c r="L65" s="293"/>
      <c r="M65" s="293"/>
      <c r="N65" s="293"/>
      <c r="O65" s="293">
        <f t="shared" si="12"/>
        <v>2</v>
      </c>
      <c r="P65" s="293"/>
      <c r="Q65" s="293"/>
      <c r="R65" s="293"/>
      <c r="S65" s="293"/>
      <c r="T65" s="293"/>
      <c r="U65" s="293"/>
      <c r="V65" s="293">
        <f t="shared" si="13"/>
        <v>2</v>
      </c>
      <c r="W65" s="293"/>
      <c r="X65" s="293"/>
      <c r="Y65" s="293"/>
      <c r="Z65" s="293"/>
      <c r="AA65" s="293"/>
      <c r="AB65" s="293"/>
      <c r="AC65" s="293">
        <f t="shared" si="14"/>
        <v>2</v>
      </c>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3"/>
      <c r="AZ65" s="293"/>
      <c r="BA65" s="293"/>
      <c r="BB65" s="293"/>
      <c r="BC65" s="293"/>
      <c r="BD65" s="293"/>
      <c r="BE65" s="293"/>
      <c r="BF65" s="293"/>
      <c r="BG65" s="293"/>
      <c r="BH65" s="293"/>
      <c r="BI65" s="293"/>
      <c r="BJ65" s="293"/>
      <c r="BK65" s="293"/>
      <c r="BL65" s="293"/>
      <c r="BM65" s="293"/>
      <c r="BN65" s="293"/>
      <c r="BO65" s="293"/>
      <c r="BP65" s="293"/>
      <c r="BQ65" s="293"/>
      <c r="BR65" s="293"/>
      <c r="BS65" s="293"/>
      <c r="BT65" s="293"/>
      <c r="BU65" s="293"/>
      <c r="BV65" s="293"/>
      <c r="BW65" s="293"/>
      <c r="BX65" s="293"/>
      <c r="BY65" s="293"/>
      <c r="BZ65" s="293"/>
      <c r="CA65" s="293"/>
      <c r="CB65" s="293"/>
    </row>
    <row r="66" spans="1:80" ht="27.75" customHeight="1" x14ac:dyDescent="0.2">
      <c r="A66" s="427">
        <v>369</v>
      </c>
      <c r="B66" s="287" t="s">
        <v>174</v>
      </c>
      <c r="C66" s="226" t="s">
        <v>191</v>
      </c>
      <c r="D66" s="288">
        <v>8</v>
      </c>
      <c r="E66" s="291" t="str">
        <f>VLOOKUP('Risk Only'!A66,'Descriptor maps'!$A$1:$F$1654,6,0)</f>
        <v>Is there documented evidence that the arrangement of the internal embankment deformation instruments is based on or supported by the failure mode assessment to achieve the objective of informing critical controls?</v>
      </c>
      <c r="F66" s="296" t="s">
        <v>1195</v>
      </c>
      <c r="G66" s="291" cm="1">
        <f t="array" ref="G66">INDEX('Descriptor maps'!$H$2:$H$1658,MATCH(1,('Descriptor maps'!$A$2:$A$1658='Risk Only'!$A66)*('Descriptor maps'!$G$2:$G$1658='Risk Only'!$F66),0))</f>
        <v>4</v>
      </c>
      <c r="H66" s="292" cm="1">
        <f t="array" ref="H66">IF(ISNUMBER(F66)=TRUE,F66, INDEX('Descriptor maps'!$I$2:$I$1658,MATCH(1,('Descriptor maps'!$A$2:$A$1658='Risk Only'!$A66)*('Descriptor maps'!$G$2:$G$1658='Risk Only'!$F66),0)))</f>
        <v>4</v>
      </c>
      <c r="I66" s="292" cm="1">
        <f t="array" ref="I66">INDEX('Descriptor maps'!$J$2:$J$1658,MATCH(1,('Descriptor maps'!$A$2:$A$1658=A66)*('Descriptor maps'!$G$2:$G$1658=F66),0))</f>
        <v>0</v>
      </c>
      <c r="J66" s="442">
        <f t="shared" si="1"/>
        <v>3</v>
      </c>
      <c r="K66" s="293"/>
      <c r="L66" s="293"/>
      <c r="M66" s="293"/>
      <c r="N66" s="293"/>
      <c r="O66" s="293">
        <f t="shared" si="12"/>
        <v>4</v>
      </c>
      <c r="P66" s="293"/>
      <c r="Q66" s="293"/>
      <c r="R66" s="293"/>
      <c r="S66" s="293"/>
      <c r="T66" s="293"/>
      <c r="U66" s="293"/>
      <c r="V66" s="293">
        <f t="shared" si="13"/>
        <v>4</v>
      </c>
      <c r="W66" s="293"/>
      <c r="X66" s="293"/>
      <c r="Y66" s="293"/>
      <c r="Z66" s="293"/>
      <c r="AA66" s="293"/>
      <c r="AB66" s="293"/>
      <c r="AC66" s="293">
        <f t="shared" si="14"/>
        <v>4</v>
      </c>
      <c r="AD66" s="293"/>
      <c r="AE66" s="293"/>
      <c r="AF66" s="293"/>
      <c r="AG66" s="293"/>
      <c r="AH66" s="293"/>
      <c r="AI66" s="293"/>
      <c r="AJ66" s="293"/>
      <c r="AK66" s="293"/>
      <c r="AL66" s="293"/>
      <c r="AM66" s="293"/>
      <c r="AN66" s="293"/>
      <c r="AO66" s="293"/>
      <c r="AP66" s="293"/>
      <c r="AQ66" s="293"/>
      <c r="AR66" s="293"/>
      <c r="AS66" s="293"/>
      <c r="AT66" s="293"/>
      <c r="AU66" s="293"/>
      <c r="AV66" s="293"/>
      <c r="AW66" s="293"/>
      <c r="AX66" s="293"/>
      <c r="AY66" s="293"/>
      <c r="AZ66" s="293"/>
      <c r="BA66" s="293"/>
      <c r="BB66" s="293"/>
      <c r="BC66" s="293"/>
      <c r="BD66" s="293"/>
      <c r="BE66" s="293"/>
      <c r="BF66" s="293"/>
      <c r="BG66" s="293"/>
      <c r="BH66" s="293"/>
      <c r="BI66" s="293"/>
      <c r="BJ66" s="293"/>
      <c r="BK66" s="293"/>
      <c r="BL66" s="293"/>
      <c r="BM66" s="293"/>
      <c r="BN66" s="293"/>
      <c r="BO66" s="293"/>
      <c r="BP66" s="293"/>
      <c r="BQ66" s="293"/>
      <c r="BR66" s="293"/>
      <c r="BS66" s="293"/>
      <c r="BT66" s="293"/>
      <c r="BU66" s="293"/>
      <c r="BV66" s="293"/>
      <c r="BW66" s="293"/>
      <c r="BX66" s="293"/>
      <c r="BY66" s="293"/>
      <c r="BZ66" s="293"/>
      <c r="CA66" s="293"/>
      <c r="CB66" s="293"/>
    </row>
    <row r="67" spans="1:80" ht="27.75" customHeight="1" x14ac:dyDescent="0.2">
      <c r="A67" s="427">
        <v>370</v>
      </c>
      <c r="B67" s="287" t="s">
        <v>174</v>
      </c>
      <c r="C67" s="226" t="s">
        <v>191</v>
      </c>
      <c r="D67" s="288">
        <v>8</v>
      </c>
      <c r="E67" s="291" t="str">
        <f>VLOOKUP('Risk Only'!A67,'Descriptor maps'!$A$1:$F$1654,6,0)</f>
        <v>Is there documented evidence that the arrangement of the seepage monitoring instruments is based on or supported by the failure mode assessment to achieve the objective of informing critical controls?</v>
      </c>
      <c r="F67" s="296" t="s">
        <v>1193</v>
      </c>
      <c r="G67" s="291" cm="1">
        <f t="array" ref="G67">INDEX('Descriptor maps'!$H$2:$H$1658,MATCH(1,('Descriptor maps'!$A$2:$A$1658='Risk Only'!$A67)*('Descriptor maps'!$G$2:$G$1658='Risk Only'!$F67),0))</f>
        <v>2</v>
      </c>
      <c r="H67" s="292" cm="1">
        <f t="array" ref="H67">IF(ISNUMBER(F67)=TRUE,F67, INDEX('Descriptor maps'!$I$2:$I$1658,MATCH(1,('Descriptor maps'!$A$2:$A$1658='Risk Only'!$A67)*('Descriptor maps'!$G$2:$G$1658='Risk Only'!$F67),0)))</f>
        <v>2</v>
      </c>
      <c r="I67" s="292" cm="1">
        <f t="array" ref="I67">INDEX('Descriptor maps'!$J$2:$J$1658,MATCH(1,('Descriptor maps'!$A$2:$A$1658=A67)*('Descriptor maps'!$G$2:$G$1658=F67),0))</f>
        <v>0</v>
      </c>
      <c r="J67" s="442">
        <f t="shared" ref="J67:J81" si="15">COUNT(K67:CB67)</f>
        <v>3</v>
      </c>
      <c r="K67" s="293"/>
      <c r="L67" s="293"/>
      <c r="M67" s="293"/>
      <c r="N67" s="293"/>
      <c r="O67" s="293">
        <f t="shared" si="12"/>
        <v>2</v>
      </c>
      <c r="P67" s="293"/>
      <c r="Q67" s="293"/>
      <c r="R67" s="293"/>
      <c r="S67" s="293"/>
      <c r="T67" s="293"/>
      <c r="U67" s="293"/>
      <c r="V67" s="293">
        <f t="shared" si="13"/>
        <v>2</v>
      </c>
      <c r="W67" s="293"/>
      <c r="X67" s="293"/>
      <c r="Y67" s="293"/>
      <c r="Z67" s="293"/>
      <c r="AA67" s="293"/>
      <c r="AB67" s="293"/>
      <c r="AC67" s="293">
        <f t="shared" si="14"/>
        <v>2</v>
      </c>
      <c r="AD67" s="293"/>
      <c r="AE67" s="293"/>
      <c r="AF67" s="293"/>
      <c r="AG67" s="293"/>
      <c r="AH67" s="293"/>
      <c r="AI67" s="293"/>
      <c r="AJ67" s="293"/>
      <c r="AK67" s="293"/>
      <c r="AL67" s="293"/>
      <c r="AM67" s="293"/>
      <c r="AN67" s="293"/>
      <c r="AO67" s="293"/>
      <c r="AP67" s="293"/>
      <c r="AQ67" s="293"/>
      <c r="AR67" s="293"/>
      <c r="AS67" s="293"/>
      <c r="AT67" s="293"/>
      <c r="AU67" s="293"/>
      <c r="AV67" s="293"/>
      <c r="AW67" s="293"/>
      <c r="AX67" s="293"/>
      <c r="AY67" s="293"/>
      <c r="AZ67" s="293"/>
      <c r="BA67" s="293"/>
      <c r="BB67" s="293"/>
      <c r="BC67" s="293"/>
      <c r="BD67" s="293"/>
      <c r="BE67" s="293"/>
      <c r="BF67" s="293"/>
      <c r="BG67" s="293"/>
      <c r="BH67" s="293"/>
      <c r="BI67" s="293"/>
      <c r="BJ67" s="293"/>
      <c r="BK67" s="293"/>
      <c r="BL67" s="293"/>
      <c r="BM67" s="293"/>
      <c r="BN67" s="293"/>
      <c r="BO67" s="293"/>
      <c r="BP67" s="293"/>
      <c r="BQ67" s="293"/>
      <c r="BR67" s="293"/>
      <c r="BS67" s="293"/>
      <c r="BT67" s="293"/>
      <c r="BU67" s="293"/>
      <c r="BV67" s="293"/>
      <c r="BW67" s="293"/>
      <c r="BX67" s="293"/>
      <c r="BY67" s="293"/>
      <c r="BZ67" s="293"/>
      <c r="CA67" s="293"/>
      <c r="CB67" s="293"/>
    </row>
    <row r="68" spans="1:80" ht="27.75" customHeight="1" x14ac:dyDescent="0.2">
      <c r="A68" s="427">
        <v>372</v>
      </c>
      <c r="B68" s="287" t="s">
        <v>174</v>
      </c>
      <c r="C68" s="226" t="s">
        <v>191</v>
      </c>
      <c r="D68" s="288">
        <v>8</v>
      </c>
      <c r="E68" s="291" t="str">
        <f>VLOOKUP('Risk Only'!A68,'Descriptor maps'!$A$1:$F$1654,6,0)</f>
        <v>Is there documented evidence that foundation pore pressure data was collected and reviewed appropriately and at the minimum required frequencies to achieve the objective of determining if the pore pressures are in line with the expected performance of the structure?</v>
      </c>
      <c r="F68" s="296" t="s">
        <v>1194</v>
      </c>
      <c r="G68" s="291" cm="1">
        <f t="array" ref="G68">INDEX('Descriptor maps'!$H$2:$H$1658,MATCH(1,('Descriptor maps'!$A$2:$A$1658='Risk Only'!$A68)*('Descriptor maps'!$G$2:$G$1658='Risk Only'!$F68),0))</f>
        <v>3</v>
      </c>
      <c r="H68" s="292" cm="1">
        <f t="array" ref="H68">IF(ISNUMBER(F68)=TRUE,F68, INDEX('Descriptor maps'!$I$2:$I$1658,MATCH(1,('Descriptor maps'!$A$2:$A$1658='Risk Only'!$A68)*('Descriptor maps'!$G$2:$G$1658='Risk Only'!$F68),0)))</f>
        <v>3</v>
      </c>
      <c r="I68" s="292" cm="1">
        <f t="array" ref="I68">INDEX('Descriptor maps'!$J$2:$J$1658,MATCH(1,('Descriptor maps'!$A$2:$A$1658=A68)*('Descriptor maps'!$G$2:$G$1658=F68),0))</f>
        <v>0</v>
      </c>
      <c r="J68" s="442">
        <f t="shared" si="15"/>
        <v>3</v>
      </c>
      <c r="K68" s="293"/>
      <c r="L68" s="293"/>
      <c r="M68" s="293"/>
      <c r="N68" s="293"/>
      <c r="O68" s="293">
        <f t="shared" si="12"/>
        <v>3</v>
      </c>
      <c r="P68" s="293"/>
      <c r="Q68" s="293"/>
      <c r="R68" s="293"/>
      <c r="S68" s="293"/>
      <c r="T68" s="293"/>
      <c r="U68" s="293"/>
      <c r="V68" s="293">
        <f t="shared" si="13"/>
        <v>3</v>
      </c>
      <c r="W68" s="293"/>
      <c r="X68" s="293"/>
      <c r="Y68" s="293"/>
      <c r="Z68" s="293"/>
      <c r="AA68" s="293"/>
      <c r="AB68" s="293"/>
      <c r="AC68" s="293">
        <f t="shared" si="14"/>
        <v>3</v>
      </c>
      <c r="AD68" s="293"/>
      <c r="AE68" s="293"/>
      <c r="AF68" s="293"/>
      <c r="AG68" s="293"/>
      <c r="AH68" s="293"/>
      <c r="AI68" s="293"/>
      <c r="AJ68" s="293"/>
      <c r="AK68" s="293"/>
      <c r="AL68" s="293"/>
      <c r="AM68" s="293"/>
      <c r="AN68" s="293"/>
      <c r="AO68" s="293"/>
      <c r="AP68" s="293"/>
      <c r="AQ68" s="293"/>
      <c r="AR68" s="293"/>
      <c r="AS68" s="293"/>
      <c r="AT68" s="293"/>
      <c r="AU68" s="293"/>
      <c r="AV68" s="293"/>
      <c r="AW68" s="293"/>
      <c r="AX68" s="293"/>
      <c r="AY68" s="293"/>
      <c r="AZ68" s="293"/>
      <c r="BA68" s="293"/>
      <c r="BB68" s="293"/>
      <c r="BC68" s="293"/>
      <c r="BD68" s="293"/>
      <c r="BE68" s="293"/>
      <c r="BF68" s="293"/>
      <c r="BG68" s="293"/>
      <c r="BH68" s="293"/>
      <c r="BI68" s="293"/>
      <c r="BJ68" s="293"/>
      <c r="BK68" s="293"/>
      <c r="BL68" s="293"/>
      <c r="BM68" s="293"/>
      <c r="BN68" s="293"/>
      <c r="BO68" s="293"/>
      <c r="BP68" s="293"/>
      <c r="BQ68" s="293"/>
      <c r="BR68" s="293"/>
      <c r="BS68" s="293"/>
      <c r="BT68" s="293"/>
      <c r="BU68" s="293"/>
      <c r="BV68" s="293"/>
      <c r="BW68" s="293"/>
      <c r="BX68" s="293"/>
      <c r="BY68" s="293"/>
      <c r="BZ68" s="293"/>
      <c r="CA68" s="293"/>
      <c r="CB68" s="293"/>
    </row>
    <row r="69" spans="1:80" ht="27.75" customHeight="1" x14ac:dyDescent="0.2">
      <c r="A69" s="427">
        <v>375</v>
      </c>
      <c r="B69" s="287" t="s">
        <v>174</v>
      </c>
      <c r="C69" s="226" t="s">
        <v>191</v>
      </c>
      <c r="D69" s="288">
        <v>8</v>
      </c>
      <c r="E69" s="291" t="str">
        <f>VLOOKUP('Risk Only'!A69,'Descriptor maps'!$A$1:$F$1654,6,0)</f>
        <v>Is there documented evidence that embankment pore pressure data was collected and reviewed appropriately and at the minimum required frequencies to achieve the objective of determining if the pore pressures are in line with the expected performance of the structure?</v>
      </c>
      <c r="F69" s="296" t="s">
        <v>1193</v>
      </c>
      <c r="G69" s="291" cm="1">
        <f t="array" ref="G69">INDEX('Descriptor maps'!$H$2:$H$1658,MATCH(1,('Descriptor maps'!$A$2:$A$1658='Risk Only'!$A69)*('Descriptor maps'!$G$2:$G$1658='Risk Only'!$F69),0))</f>
        <v>2</v>
      </c>
      <c r="H69" s="292" cm="1">
        <f t="array" ref="H69">IF(ISNUMBER(F69)=TRUE,F69, INDEX('Descriptor maps'!$I$2:$I$1658,MATCH(1,('Descriptor maps'!$A$2:$A$1658='Risk Only'!$A69)*('Descriptor maps'!$G$2:$G$1658='Risk Only'!$F69),0)))</f>
        <v>2</v>
      </c>
      <c r="I69" s="292" cm="1">
        <f t="array" ref="I69">INDEX('Descriptor maps'!$J$2:$J$1658,MATCH(1,('Descriptor maps'!$A$2:$A$1658=A69)*('Descriptor maps'!$G$2:$G$1658=F69),0))</f>
        <v>0</v>
      </c>
      <c r="J69" s="442">
        <f t="shared" si="15"/>
        <v>4</v>
      </c>
      <c r="K69" s="293"/>
      <c r="L69" s="293"/>
      <c r="M69" s="293"/>
      <c r="N69" s="293"/>
      <c r="O69" s="293">
        <f t="shared" si="12"/>
        <v>2</v>
      </c>
      <c r="P69" s="293"/>
      <c r="Q69" s="293"/>
      <c r="R69" s="293"/>
      <c r="S69" s="293"/>
      <c r="T69" s="293"/>
      <c r="U69" s="293"/>
      <c r="V69" s="293">
        <f t="shared" si="13"/>
        <v>2</v>
      </c>
      <c r="W69" s="293"/>
      <c r="X69" s="293"/>
      <c r="Y69" s="293"/>
      <c r="Z69" s="293"/>
      <c r="AA69" s="293"/>
      <c r="AB69" s="293"/>
      <c r="AC69" s="293">
        <f t="shared" si="14"/>
        <v>2</v>
      </c>
      <c r="AD69" s="293"/>
      <c r="AE69" s="293"/>
      <c r="AF69" s="293"/>
      <c r="AG69" s="293"/>
      <c r="AH69" s="293"/>
      <c r="AI69" s="293"/>
      <c r="AJ69" s="293"/>
      <c r="AK69" s="293"/>
      <c r="AL69" s="293"/>
      <c r="AM69" s="293"/>
      <c r="AN69" s="293"/>
      <c r="AO69" s="293"/>
      <c r="AP69" s="293"/>
      <c r="AQ69" s="293"/>
      <c r="AR69" s="293"/>
      <c r="AS69" s="293"/>
      <c r="AT69" s="293"/>
      <c r="AU69" s="293"/>
      <c r="AV69" s="293"/>
      <c r="AW69" s="293"/>
      <c r="AX69" s="293"/>
      <c r="AY69" s="293"/>
      <c r="AZ69" s="293"/>
      <c r="BA69" s="293"/>
      <c r="BB69" s="293">
        <f>H69</f>
        <v>2</v>
      </c>
      <c r="BC69" s="293"/>
      <c r="BD69" s="293"/>
      <c r="BE69" s="293"/>
      <c r="BF69" s="293"/>
      <c r="BG69" s="293"/>
      <c r="BH69" s="293"/>
      <c r="BI69" s="293"/>
      <c r="BJ69" s="293"/>
      <c r="BK69" s="293"/>
      <c r="BL69" s="293"/>
      <c r="BM69" s="293"/>
      <c r="BN69" s="293"/>
      <c r="BO69" s="293"/>
      <c r="BP69" s="293"/>
      <c r="BQ69" s="293"/>
      <c r="BR69" s="293"/>
      <c r="BS69" s="293"/>
      <c r="BT69" s="293"/>
      <c r="BU69" s="293"/>
      <c r="BV69" s="293"/>
      <c r="BW69" s="293"/>
      <c r="BX69" s="293"/>
      <c r="BY69" s="293"/>
      <c r="BZ69" s="293"/>
      <c r="CA69" s="293"/>
      <c r="CB69" s="293"/>
    </row>
    <row r="70" spans="1:80" ht="27.75" customHeight="1" x14ac:dyDescent="0.2">
      <c r="A70" s="427">
        <v>376</v>
      </c>
      <c r="B70" s="287" t="s">
        <v>174</v>
      </c>
      <c r="C70" s="226" t="s">
        <v>191</v>
      </c>
      <c r="D70" s="288">
        <v>8</v>
      </c>
      <c r="E70" s="291" t="str">
        <f>VLOOKUP('Risk Only'!A70,'Descriptor maps'!$A$1:$F$1654,6,0)</f>
        <v>What was the documented conclusion of the embankment pore pressure data assessment?</v>
      </c>
      <c r="F70" s="296" t="s">
        <v>1345</v>
      </c>
      <c r="G70" s="291" cm="1">
        <f t="array" ref="G70">INDEX('Descriptor maps'!$H$2:$H$1658,MATCH(1,('Descriptor maps'!$A$2:$A$1658='Risk Only'!$A70)*('Descriptor maps'!$G$2:$G$1658='Risk Only'!$F70),0))</f>
        <v>1</v>
      </c>
      <c r="H70" s="292" cm="1">
        <f t="array" ref="H70">IF(ISNUMBER(F70)=TRUE,F70, INDEX('Descriptor maps'!$I$2:$I$1658,MATCH(1,('Descriptor maps'!$A$2:$A$1658='Risk Only'!$A70)*('Descriptor maps'!$G$2:$G$1658='Risk Only'!$F70),0)))</f>
        <v>1</v>
      </c>
      <c r="I70" s="292" cm="1">
        <f t="array" ref="I70">INDEX('Descriptor maps'!$J$2:$J$1658,MATCH(1,('Descriptor maps'!$A$2:$A$1658=A70)*('Descriptor maps'!$G$2:$G$1658=F70),0))</f>
        <v>0</v>
      </c>
      <c r="J70" s="442">
        <f t="shared" si="15"/>
        <v>4</v>
      </c>
      <c r="K70" s="293"/>
      <c r="L70" s="293"/>
      <c r="M70" s="293"/>
      <c r="N70" s="293"/>
      <c r="O70" s="293">
        <f t="shared" si="12"/>
        <v>1</v>
      </c>
      <c r="P70" s="293"/>
      <c r="Q70" s="293"/>
      <c r="R70" s="293"/>
      <c r="S70" s="293"/>
      <c r="T70" s="293"/>
      <c r="U70" s="293"/>
      <c r="V70" s="293">
        <f t="shared" si="13"/>
        <v>1</v>
      </c>
      <c r="W70" s="293"/>
      <c r="X70" s="293"/>
      <c r="Y70" s="293"/>
      <c r="Z70" s="293"/>
      <c r="AA70" s="293"/>
      <c r="AB70" s="293"/>
      <c r="AC70" s="293">
        <f t="shared" si="14"/>
        <v>1</v>
      </c>
      <c r="AD70" s="293"/>
      <c r="AE70" s="293"/>
      <c r="AF70" s="293"/>
      <c r="AG70" s="293"/>
      <c r="AH70" s="293"/>
      <c r="AI70" s="293"/>
      <c r="AJ70" s="293"/>
      <c r="AK70" s="293"/>
      <c r="AL70" s="293"/>
      <c r="AM70" s="293"/>
      <c r="AN70" s="293"/>
      <c r="AO70" s="293"/>
      <c r="AP70" s="293"/>
      <c r="AQ70" s="293"/>
      <c r="AR70" s="293"/>
      <c r="AS70" s="293"/>
      <c r="AT70" s="293"/>
      <c r="AU70" s="293"/>
      <c r="AV70" s="293"/>
      <c r="AW70" s="293"/>
      <c r="AX70" s="293"/>
      <c r="AY70" s="293"/>
      <c r="AZ70" s="293"/>
      <c r="BA70" s="293"/>
      <c r="BB70" s="293">
        <f>H70</f>
        <v>1</v>
      </c>
      <c r="BC70" s="293"/>
      <c r="BD70" s="293"/>
      <c r="BE70" s="293"/>
      <c r="BF70" s="293"/>
      <c r="BG70" s="293"/>
      <c r="BH70" s="293"/>
      <c r="BI70" s="293"/>
      <c r="BJ70" s="293"/>
      <c r="BK70" s="293"/>
      <c r="BL70" s="293"/>
      <c r="BM70" s="293"/>
      <c r="BN70" s="293"/>
      <c r="BO70" s="293"/>
      <c r="BP70" s="293"/>
      <c r="BQ70" s="293"/>
      <c r="BR70" s="293"/>
      <c r="BS70" s="293"/>
      <c r="BT70" s="293"/>
      <c r="BU70" s="293"/>
      <c r="BV70" s="293"/>
      <c r="BW70" s="293"/>
      <c r="BX70" s="293"/>
      <c r="BY70" s="293"/>
      <c r="BZ70" s="293"/>
      <c r="CA70" s="293"/>
      <c r="CB70" s="293"/>
    </row>
    <row r="71" spans="1:80" ht="27.75" customHeight="1" x14ac:dyDescent="0.2">
      <c r="A71" s="427">
        <v>378</v>
      </c>
      <c r="B71" s="287" t="s">
        <v>174</v>
      </c>
      <c r="C71" s="226" t="s">
        <v>191</v>
      </c>
      <c r="D71" s="288">
        <v>8</v>
      </c>
      <c r="E71" s="291" t="str">
        <f>VLOOKUP('Risk Only'!A71,'Descriptor maps'!$A$1:$F$1654,6,0)</f>
        <v>Is there documented evidence that surface movement data was collected and reviewed appropriately and at the minimum required frequencies to achieve the objective of determining if the movements are in line with the expected performance of the structure?</v>
      </c>
      <c r="F71" s="296" t="s">
        <v>1193</v>
      </c>
      <c r="G71" s="291" cm="1">
        <f t="array" ref="G71">INDEX('Descriptor maps'!$H$2:$H$1658,MATCH(1,('Descriptor maps'!$A$2:$A$1658='Risk Only'!$A71)*('Descriptor maps'!$G$2:$G$1658='Risk Only'!$F71),0))</f>
        <v>2</v>
      </c>
      <c r="H71" s="292" cm="1">
        <f t="array" ref="H71">IF(ISNUMBER(F71)=TRUE,F71, INDEX('Descriptor maps'!$I$2:$I$1658,MATCH(1,('Descriptor maps'!$A$2:$A$1658='Risk Only'!$A71)*('Descriptor maps'!$G$2:$G$1658='Risk Only'!$F71),0)))</f>
        <v>2</v>
      </c>
      <c r="I71" s="292" cm="1">
        <f t="array" ref="I71">INDEX('Descriptor maps'!$J$2:$J$1658,MATCH(1,('Descriptor maps'!$A$2:$A$1658=A71)*('Descriptor maps'!$G$2:$G$1658=F71),0))</f>
        <v>0</v>
      </c>
      <c r="J71" s="442">
        <f t="shared" si="15"/>
        <v>3</v>
      </c>
      <c r="K71" s="293"/>
      <c r="L71" s="293"/>
      <c r="M71" s="293"/>
      <c r="N71" s="293"/>
      <c r="O71" s="293">
        <f t="shared" si="12"/>
        <v>2</v>
      </c>
      <c r="P71" s="293"/>
      <c r="Q71" s="293"/>
      <c r="R71" s="293"/>
      <c r="S71" s="293"/>
      <c r="T71" s="293"/>
      <c r="U71" s="293"/>
      <c r="V71" s="293">
        <f t="shared" si="13"/>
        <v>2</v>
      </c>
      <c r="W71" s="293"/>
      <c r="X71" s="293"/>
      <c r="Y71" s="293"/>
      <c r="Z71" s="293"/>
      <c r="AA71" s="293"/>
      <c r="AB71" s="293"/>
      <c r="AC71" s="293">
        <f t="shared" si="14"/>
        <v>2</v>
      </c>
      <c r="AD71" s="293"/>
      <c r="AE71" s="293"/>
      <c r="AF71" s="293"/>
      <c r="AG71" s="293"/>
      <c r="AH71" s="293"/>
      <c r="AI71" s="293"/>
      <c r="AJ71" s="293"/>
      <c r="AK71" s="293"/>
      <c r="AL71" s="293"/>
      <c r="AM71" s="293"/>
      <c r="AN71" s="293"/>
      <c r="AO71" s="293"/>
      <c r="AP71" s="293"/>
      <c r="AQ71" s="293"/>
      <c r="AR71" s="293"/>
      <c r="AS71" s="293"/>
      <c r="AT71" s="293"/>
      <c r="AU71" s="293"/>
      <c r="AV71" s="293"/>
      <c r="AW71" s="293"/>
      <c r="AX71" s="293"/>
      <c r="AY71" s="293"/>
      <c r="AZ71" s="293"/>
      <c r="BA71" s="293"/>
      <c r="BB71" s="293"/>
      <c r="BC71" s="293"/>
      <c r="BD71" s="293"/>
      <c r="BE71" s="293"/>
      <c r="BF71" s="293"/>
      <c r="BG71" s="293"/>
      <c r="BH71" s="293"/>
      <c r="BI71" s="293"/>
      <c r="BJ71" s="293"/>
      <c r="BK71" s="293"/>
      <c r="BL71" s="293"/>
      <c r="BM71" s="293"/>
      <c r="BN71" s="293"/>
      <c r="BO71" s="293"/>
      <c r="BP71" s="293"/>
      <c r="BQ71" s="293"/>
      <c r="BR71" s="293"/>
      <c r="BS71" s="293"/>
      <c r="BT71" s="293"/>
      <c r="BU71" s="293"/>
      <c r="BV71" s="293"/>
      <c r="BW71" s="293"/>
      <c r="BX71" s="293"/>
      <c r="BY71" s="293"/>
      <c r="BZ71" s="293"/>
      <c r="CA71" s="293"/>
      <c r="CB71" s="293"/>
    </row>
    <row r="72" spans="1:80" ht="27.75" customHeight="1" x14ac:dyDescent="0.2">
      <c r="A72" s="427">
        <v>379</v>
      </c>
      <c r="B72" s="287" t="s">
        <v>174</v>
      </c>
      <c r="C72" s="226" t="s">
        <v>191</v>
      </c>
      <c r="D72" s="288">
        <v>8</v>
      </c>
      <c r="E72" s="291" t="str">
        <f>VLOOKUP('Risk Only'!A72,'Descriptor maps'!$A$1:$F$1654,6,0)</f>
        <v>Is there a documented evidence that the analysed surface movement data confirmed that the embankment deformations were in line with the expected performance ?</v>
      </c>
      <c r="F72" s="296" t="s">
        <v>7</v>
      </c>
      <c r="G72" s="291" cm="1">
        <f t="array" ref="G72">INDEX('Descriptor maps'!$H$2:$H$1658,MATCH(1,('Descriptor maps'!$A$2:$A$1658='Risk Only'!$A72)*('Descriptor maps'!$G$2:$G$1658='Risk Only'!$F72),0))</f>
        <v>1</v>
      </c>
      <c r="H72" s="292" cm="1">
        <f t="array" ref="H72">IF(ISNUMBER(F72)=TRUE,F72, INDEX('Descriptor maps'!$I$2:$I$1658,MATCH(1,('Descriptor maps'!$A$2:$A$1658='Risk Only'!$A72)*('Descriptor maps'!$G$2:$G$1658='Risk Only'!$F72),0)))</f>
        <v>1</v>
      </c>
      <c r="I72" s="292" cm="1">
        <f t="array" ref="I72">INDEX('Descriptor maps'!$J$2:$J$1658,MATCH(1,('Descriptor maps'!$A$2:$A$1658=A72)*('Descriptor maps'!$G$2:$G$1658=F72),0))</f>
        <v>0</v>
      </c>
      <c r="J72" s="442">
        <f t="shared" si="15"/>
        <v>3</v>
      </c>
      <c r="K72" s="293"/>
      <c r="L72" s="293"/>
      <c r="M72" s="293"/>
      <c r="N72" s="293"/>
      <c r="O72" s="293">
        <f t="shared" si="12"/>
        <v>1</v>
      </c>
      <c r="P72" s="293"/>
      <c r="Q72" s="293"/>
      <c r="R72" s="293"/>
      <c r="S72" s="293"/>
      <c r="T72" s="293"/>
      <c r="U72" s="293"/>
      <c r="V72" s="293">
        <f t="shared" si="13"/>
        <v>1</v>
      </c>
      <c r="W72" s="293"/>
      <c r="X72" s="293"/>
      <c r="Y72" s="293"/>
      <c r="Z72" s="293"/>
      <c r="AA72" s="293"/>
      <c r="AB72" s="293"/>
      <c r="AC72" s="293">
        <f t="shared" si="14"/>
        <v>1</v>
      </c>
      <c r="AD72" s="293"/>
      <c r="AE72" s="293"/>
      <c r="AF72" s="293"/>
      <c r="AG72" s="293"/>
      <c r="AH72" s="293"/>
      <c r="AI72" s="293"/>
      <c r="AJ72" s="293"/>
      <c r="AK72" s="293"/>
      <c r="AL72" s="293"/>
      <c r="AM72" s="293"/>
      <c r="AN72" s="293"/>
      <c r="AO72" s="293"/>
      <c r="AP72" s="293"/>
      <c r="AQ72" s="293"/>
      <c r="AR72" s="293"/>
      <c r="AS72" s="293"/>
      <c r="AT72" s="293"/>
      <c r="AU72" s="293"/>
      <c r="AV72" s="293"/>
      <c r="AW72" s="293"/>
      <c r="AX72" s="293"/>
      <c r="AY72" s="293"/>
      <c r="AZ72" s="293"/>
      <c r="BA72" s="293"/>
      <c r="BB72" s="293"/>
      <c r="BC72" s="293"/>
      <c r="BD72" s="293"/>
      <c r="BE72" s="293"/>
      <c r="BF72" s="293"/>
      <c r="BG72" s="293"/>
      <c r="BH72" s="293"/>
      <c r="BI72" s="293"/>
      <c r="BJ72" s="293"/>
      <c r="BK72" s="293"/>
      <c r="BL72" s="293"/>
      <c r="BM72" s="293"/>
      <c r="BN72" s="293"/>
      <c r="BO72" s="293"/>
      <c r="BP72" s="293"/>
      <c r="BQ72" s="293"/>
      <c r="BR72" s="293"/>
      <c r="BS72" s="293"/>
      <c r="BT72" s="293"/>
      <c r="BU72" s="293"/>
      <c r="BV72" s="293"/>
      <c r="BW72" s="293"/>
      <c r="BX72" s="293"/>
      <c r="BY72" s="293"/>
      <c r="BZ72" s="293"/>
      <c r="CA72" s="293"/>
      <c r="CB72" s="293"/>
    </row>
    <row r="73" spans="1:80" ht="27.75" customHeight="1" x14ac:dyDescent="0.2">
      <c r="A73" s="427">
        <v>381</v>
      </c>
      <c r="B73" s="287" t="s">
        <v>174</v>
      </c>
      <c r="C73" s="226" t="s">
        <v>191</v>
      </c>
      <c r="D73" s="288">
        <v>8</v>
      </c>
      <c r="E73" s="291" t="str">
        <f>VLOOKUP('Risk Only'!A73,'Descriptor maps'!$A$1:$F$1654,6,0)</f>
        <v>Is there documented evidence that internal movement data was collected and reviewed appropriately and at the minimum required frequencies to achieve the objective determining if the movements are in line with the expected performance of the structure?</v>
      </c>
      <c r="F73" s="296" t="s">
        <v>1193</v>
      </c>
      <c r="G73" s="291" cm="1">
        <f t="array" ref="G73">INDEX('Descriptor maps'!$H$2:$H$1658,MATCH(1,('Descriptor maps'!$A$2:$A$1658='Risk Only'!$A73)*('Descriptor maps'!$G$2:$G$1658='Risk Only'!$F73),0))</f>
        <v>2</v>
      </c>
      <c r="H73" s="292" cm="1">
        <f t="array" ref="H73">IF(ISNUMBER(F73)=TRUE,F73, INDEX('Descriptor maps'!$I$2:$I$1658,MATCH(1,('Descriptor maps'!$A$2:$A$1658='Risk Only'!$A73)*('Descriptor maps'!$G$2:$G$1658='Risk Only'!$F73),0)))</f>
        <v>2</v>
      </c>
      <c r="I73" s="292" cm="1">
        <f t="array" ref="I73">INDEX('Descriptor maps'!$J$2:$J$1658,MATCH(1,('Descriptor maps'!$A$2:$A$1658=A73)*('Descriptor maps'!$G$2:$G$1658=F73),0))</f>
        <v>0</v>
      </c>
      <c r="J73" s="442">
        <f t="shared" si="15"/>
        <v>3</v>
      </c>
      <c r="K73" s="293"/>
      <c r="L73" s="293"/>
      <c r="M73" s="293"/>
      <c r="N73" s="293"/>
      <c r="O73" s="293">
        <f t="shared" si="12"/>
        <v>2</v>
      </c>
      <c r="P73" s="293"/>
      <c r="Q73" s="293"/>
      <c r="R73" s="293"/>
      <c r="S73" s="293"/>
      <c r="T73" s="293"/>
      <c r="U73" s="293"/>
      <c r="V73" s="293">
        <f t="shared" si="13"/>
        <v>2</v>
      </c>
      <c r="W73" s="293"/>
      <c r="X73" s="293"/>
      <c r="Y73" s="293"/>
      <c r="Z73" s="293"/>
      <c r="AA73" s="293"/>
      <c r="AB73" s="293"/>
      <c r="AC73" s="293">
        <f t="shared" si="14"/>
        <v>2</v>
      </c>
      <c r="AD73" s="293"/>
      <c r="AE73" s="293"/>
      <c r="AF73" s="293"/>
      <c r="AG73" s="293"/>
      <c r="AH73" s="293"/>
      <c r="AI73" s="293"/>
      <c r="AJ73" s="293"/>
      <c r="AK73" s="293"/>
      <c r="AL73" s="293"/>
      <c r="AM73" s="293"/>
      <c r="AN73" s="293"/>
      <c r="AO73" s="293"/>
      <c r="AP73" s="293"/>
      <c r="AQ73" s="293"/>
      <c r="AR73" s="293"/>
      <c r="AS73" s="293"/>
      <c r="AT73" s="293"/>
      <c r="AU73" s="293"/>
      <c r="AV73" s="293"/>
      <c r="AW73" s="293"/>
      <c r="AX73" s="293"/>
      <c r="AY73" s="293"/>
      <c r="AZ73" s="293"/>
      <c r="BA73" s="293"/>
      <c r="BB73" s="293"/>
      <c r="BC73" s="293"/>
      <c r="BD73" s="293"/>
      <c r="BE73" s="293"/>
      <c r="BF73" s="293"/>
      <c r="BG73" s="293"/>
      <c r="BH73" s="293"/>
      <c r="BI73" s="293"/>
      <c r="BJ73" s="293"/>
      <c r="BK73" s="293"/>
      <c r="BL73" s="293"/>
      <c r="BM73" s="293"/>
      <c r="BN73" s="293"/>
      <c r="BO73" s="293"/>
      <c r="BP73" s="293"/>
      <c r="BQ73" s="293"/>
      <c r="BR73" s="293"/>
      <c r="BS73" s="293"/>
      <c r="BT73" s="293"/>
      <c r="BU73" s="293"/>
      <c r="BV73" s="293"/>
      <c r="BW73" s="293"/>
      <c r="BX73" s="293"/>
      <c r="BY73" s="293"/>
      <c r="BZ73" s="293"/>
      <c r="CA73" s="293"/>
      <c r="CB73" s="293"/>
    </row>
    <row r="74" spans="1:80" ht="27.75" customHeight="1" x14ac:dyDescent="0.2">
      <c r="A74" s="427">
        <v>382</v>
      </c>
      <c r="B74" s="287" t="s">
        <v>174</v>
      </c>
      <c r="C74" s="226" t="s">
        <v>191</v>
      </c>
      <c r="D74" s="288">
        <v>8</v>
      </c>
      <c r="E74" s="291" t="str">
        <f>VLOOKUP('Risk Only'!A74,'Descriptor maps'!$A$1:$F$1654,6,0)</f>
        <v>Does the assessment of the  internal movement data shows that internal deformations are in line with the expected performance?</v>
      </c>
      <c r="F74" s="296" t="s">
        <v>7</v>
      </c>
      <c r="G74" s="291" cm="1">
        <f t="array" ref="G74">INDEX('Descriptor maps'!$H$2:$H$1658,MATCH(1,('Descriptor maps'!$A$2:$A$1658='Risk Only'!$A74)*('Descriptor maps'!$G$2:$G$1658='Risk Only'!$F74),0))</f>
        <v>1</v>
      </c>
      <c r="H74" s="292" cm="1">
        <f t="array" ref="H74">IF(ISNUMBER(F74)=TRUE,F74, INDEX('Descriptor maps'!$I$2:$I$1658,MATCH(1,('Descriptor maps'!$A$2:$A$1658='Risk Only'!$A74)*('Descriptor maps'!$G$2:$G$1658='Risk Only'!$F74),0)))</f>
        <v>1</v>
      </c>
      <c r="I74" s="292" cm="1">
        <f t="array" ref="I74">INDEX('Descriptor maps'!$J$2:$J$1658,MATCH(1,('Descriptor maps'!$A$2:$A$1658=A74)*('Descriptor maps'!$G$2:$G$1658=F74),0))</f>
        <v>0</v>
      </c>
      <c r="J74" s="442">
        <f t="shared" si="15"/>
        <v>3</v>
      </c>
      <c r="K74" s="293"/>
      <c r="L74" s="293"/>
      <c r="M74" s="293"/>
      <c r="N74" s="293"/>
      <c r="O74" s="293">
        <f t="shared" si="12"/>
        <v>1</v>
      </c>
      <c r="P74" s="293"/>
      <c r="Q74" s="293"/>
      <c r="R74" s="293"/>
      <c r="S74" s="293"/>
      <c r="T74" s="293"/>
      <c r="U74" s="293"/>
      <c r="V74" s="293">
        <f t="shared" si="13"/>
        <v>1</v>
      </c>
      <c r="W74" s="293"/>
      <c r="X74" s="293"/>
      <c r="Y74" s="293"/>
      <c r="Z74" s="293"/>
      <c r="AA74" s="293"/>
      <c r="AB74" s="293"/>
      <c r="AC74" s="293">
        <f t="shared" si="14"/>
        <v>1</v>
      </c>
      <c r="AD74" s="293"/>
      <c r="AE74" s="293"/>
      <c r="AF74" s="293"/>
      <c r="AG74" s="293"/>
      <c r="AH74" s="293"/>
      <c r="AI74" s="293"/>
      <c r="AJ74" s="293"/>
      <c r="AK74" s="293"/>
      <c r="AL74" s="293"/>
      <c r="AM74" s="293"/>
      <c r="AN74" s="293"/>
      <c r="AO74" s="293"/>
      <c r="AP74" s="293"/>
      <c r="AQ74" s="293"/>
      <c r="AR74" s="293"/>
      <c r="AS74" s="293"/>
      <c r="AT74" s="293"/>
      <c r="AU74" s="293"/>
      <c r="AV74" s="293"/>
      <c r="AW74" s="293"/>
      <c r="AX74" s="293"/>
      <c r="AY74" s="293"/>
      <c r="AZ74" s="293"/>
      <c r="BA74" s="293"/>
      <c r="BB74" s="293"/>
      <c r="BC74" s="293"/>
      <c r="BD74" s="293"/>
      <c r="BE74" s="293"/>
      <c r="BF74" s="293"/>
      <c r="BG74" s="293"/>
      <c r="BH74" s="293"/>
      <c r="BI74" s="293"/>
      <c r="BJ74" s="293"/>
      <c r="BK74" s="293"/>
      <c r="BL74" s="293"/>
      <c r="BM74" s="293"/>
      <c r="BN74" s="293"/>
      <c r="BO74" s="293"/>
      <c r="BP74" s="293"/>
      <c r="BQ74" s="293"/>
      <c r="BR74" s="293"/>
      <c r="BS74" s="293"/>
      <c r="BT74" s="293"/>
      <c r="BU74" s="293"/>
      <c r="BV74" s="293"/>
      <c r="BW74" s="293"/>
      <c r="BX74" s="293"/>
      <c r="BY74" s="293"/>
      <c r="BZ74" s="293"/>
      <c r="CA74" s="293"/>
      <c r="CB74" s="293"/>
    </row>
    <row r="75" spans="1:80" ht="27.75" customHeight="1" x14ac:dyDescent="0.2">
      <c r="A75" s="427">
        <v>384</v>
      </c>
      <c r="B75" s="287" t="s">
        <v>174</v>
      </c>
      <c r="C75" s="226" t="s">
        <v>191</v>
      </c>
      <c r="D75" s="288">
        <v>8</v>
      </c>
      <c r="E75" s="291" t="str">
        <f>VLOOKUP('Risk Only'!A75,'Descriptor maps'!$A$1:$F$1654,6,0)</f>
        <v>Is there documented evidence that seepage data was collected and reviewed appropriately and at the minimum required frequencies to achieve the objective determining if the seepage volumes and rates are in line with the expected performance of the structure?</v>
      </c>
      <c r="F75" s="296" t="s">
        <v>1195</v>
      </c>
      <c r="G75" s="291" cm="1">
        <f t="array" ref="G75">INDEX('Descriptor maps'!$H$2:$H$1658,MATCH(1,('Descriptor maps'!$A$2:$A$1658='Risk Only'!$A75)*('Descriptor maps'!$G$2:$G$1658='Risk Only'!$F75),0))</f>
        <v>4</v>
      </c>
      <c r="H75" s="292" cm="1">
        <f t="array" ref="H75">IF(ISNUMBER(F75)=TRUE,F75, INDEX('Descriptor maps'!$I$2:$I$1658,MATCH(1,('Descriptor maps'!$A$2:$A$1658='Risk Only'!$A75)*('Descriptor maps'!$G$2:$G$1658='Risk Only'!$F75),0)))</f>
        <v>4</v>
      </c>
      <c r="I75" s="292" cm="1">
        <f t="array" ref="I75">INDEX('Descriptor maps'!$J$2:$J$1658,MATCH(1,('Descriptor maps'!$A$2:$A$1658=A75)*('Descriptor maps'!$G$2:$G$1658=F75),0))</f>
        <v>0</v>
      </c>
      <c r="J75" s="442">
        <f t="shared" si="15"/>
        <v>3</v>
      </c>
      <c r="K75" s="293"/>
      <c r="L75" s="293"/>
      <c r="M75" s="293"/>
      <c r="N75" s="293"/>
      <c r="O75" s="293">
        <f t="shared" si="12"/>
        <v>4</v>
      </c>
      <c r="P75" s="293"/>
      <c r="Q75" s="293"/>
      <c r="R75" s="293"/>
      <c r="S75" s="293"/>
      <c r="T75" s="293"/>
      <c r="U75" s="293"/>
      <c r="V75" s="293">
        <f t="shared" si="13"/>
        <v>4</v>
      </c>
      <c r="W75" s="293"/>
      <c r="X75" s="293"/>
      <c r="Y75" s="293"/>
      <c r="Z75" s="293"/>
      <c r="AA75" s="293"/>
      <c r="AB75" s="293"/>
      <c r="AC75" s="293">
        <f t="shared" si="14"/>
        <v>4</v>
      </c>
      <c r="AD75" s="293"/>
      <c r="AE75" s="293"/>
      <c r="AF75" s="293"/>
      <c r="AG75" s="293"/>
      <c r="AH75" s="293"/>
      <c r="AI75" s="293"/>
      <c r="AJ75" s="293"/>
      <c r="AK75" s="293"/>
      <c r="AL75" s="293"/>
      <c r="AM75" s="293"/>
      <c r="AN75" s="293"/>
      <c r="AO75" s="293"/>
      <c r="AP75" s="293"/>
      <c r="AQ75" s="293"/>
      <c r="AR75" s="293"/>
      <c r="AS75" s="293"/>
      <c r="AT75" s="293"/>
      <c r="AU75" s="293"/>
      <c r="AV75" s="293"/>
      <c r="AW75" s="293"/>
      <c r="AX75" s="293"/>
      <c r="AY75" s="293"/>
      <c r="AZ75" s="293"/>
      <c r="BA75" s="293"/>
      <c r="BB75" s="293"/>
      <c r="BC75" s="293"/>
      <c r="BD75" s="293"/>
      <c r="BE75" s="293"/>
      <c r="BF75" s="293"/>
      <c r="BG75" s="293"/>
      <c r="BH75" s="293"/>
      <c r="BI75" s="293"/>
      <c r="BJ75" s="293"/>
      <c r="BK75" s="293"/>
      <c r="BL75" s="293"/>
      <c r="BM75" s="293"/>
      <c r="BN75" s="293"/>
      <c r="BO75" s="293"/>
      <c r="BP75" s="293"/>
      <c r="BQ75" s="293"/>
      <c r="BR75" s="293"/>
      <c r="BS75" s="293"/>
      <c r="BT75" s="293"/>
      <c r="BU75" s="293"/>
      <c r="BV75" s="293"/>
      <c r="BW75" s="293"/>
      <c r="BX75" s="293"/>
      <c r="BY75" s="293"/>
      <c r="BZ75" s="293"/>
      <c r="CA75" s="293"/>
      <c r="CB75" s="293"/>
    </row>
    <row r="76" spans="1:80" ht="27.75" customHeight="1" x14ac:dyDescent="0.2">
      <c r="A76" s="427">
        <v>385</v>
      </c>
      <c r="B76" s="287" t="s">
        <v>174</v>
      </c>
      <c r="C76" s="226" t="s">
        <v>191</v>
      </c>
      <c r="D76" s="288">
        <v>8</v>
      </c>
      <c r="E76" s="291" t="str">
        <f>VLOOKUP('Risk Only'!A76,'Descriptor maps'!$A$1:$F$1654,6,0)</f>
        <v>Does the assessment of the seepage data shows that seepage rates are in line with the expected performance?</v>
      </c>
      <c r="F76" s="296" t="s">
        <v>7</v>
      </c>
      <c r="G76" s="291" cm="1">
        <f t="array" ref="G76">INDEX('Descriptor maps'!$H$2:$H$1658,MATCH(1,('Descriptor maps'!$A$2:$A$1658='Risk Only'!$A76)*('Descriptor maps'!$G$2:$G$1658='Risk Only'!$F76),0))</f>
        <v>1</v>
      </c>
      <c r="H76" s="292" cm="1">
        <f t="array" ref="H76">IF(ISNUMBER(F76)=TRUE,F76, INDEX('Descriptor maps'!$I$2:$I$1658,MATCH(1,('Descriptor maps'!$A$2:$A$1658='Risk Only'!$A76)*('Descriptor maps'!$G$2:$G$1658='Risk Only'!$F76),0)))</f>
        <v>1</v>
      </c>
      <c r="I76" s="292" cm="1">
        <f t="array" ref="I76">INDEX('Descriptor maps'!$J$2:$J$1658,MATCH(1,('Descriptor maps'!$A$2:$A$1658=A76)*('Descriptor maps'!$G$2:$G$1658=F76),0))</f>
        <v>0</v>
      </c>
      <c r="J76" s="442">
        <f t="shared" si="15"/>
        <v>3</v>
      </c>
      <c r="K76" s="293"/>
      <c r="L76" s="293"/>
      <c r="M76" s="293"/>
      <c r="N76" s="293"/>
      <c r="O76" s="293">
        <f t="shared" si="12"/>
        <v>1</v>
      </c>
      <c r="P76" s="293"/>
      <c r="Q76" s="293"/>
      <c r="R76" s="293"/>
      <c r="S76" s="293"/>
      <c r="T76" s="293"/>
      <c r="U76" s="293"/>
      <c r="V76" s="293">
        <f t="shared" si="13"/>
        <v>1</v>
      </c>
      <c r="W76" s="293"/>
      <c r="X76" s="293"/>
      <c r="Y76" s="293"/>
      <c r="Z76" s="293"/>
      <c r="AA76" s="293"/>
      <c r="AB76" s="293"/>
      <c r="AC76" s="293">
        <f t="shared" si="14"/>
        <v>1</v>
      </c>
      <c r="AD76" s="293"/>
      <c r="AE76" s="293"/>
      <c r="AF76" s="293"/>
      <c r="AG76" s="293"/>
      <c r="AH76" s="293"/>
      <c r="AI76" s="293"/>
      <c r="AJ76" s="293"/>
      <c r="AK76" s="293"/>
      <c r="AL76" s="293"/>
      <c r="AM76" s="293"/>
      <c r="AN76" s="293"/>
      <c r="AO76" s="293"/>
      <c r="AP76" s="293"/>
      <c r="AQ76" s="293"/>
      <c r="AR76" s="293"/>
      <c r="AS76" s="293"/>
      <c r="AT76" s="293"/>
      <c r="AU76" s="293"/>
      <c r="AV76" s="293"/>
      <c r="AW76" s="293"/>
      <c r="AX76" s="293"/>
      <c r="AY76" s="293"/>
      <c r="AZ76" s="293"/>
      <c r="BA76" s="293"/>
      <c r="BB76" s="293"/>
      <c r="BC76" s="293"/>
      <c r="BD76" s="293"/>
      <c r="BE76" s="293"/>
      <c r="BF76" s="293"/>
      <c r="BG76" s="293"/>
      <c r="BH76" s="293"/>
      <c r="BI76" s="293"/>
      <c r="BJ76" s="293"/>
      <c r="BK76" s="293"/>
      <c r="BL76" s="293"/>
      <c r="BM76" s="293"/>
      <c r="BN76" s="293"/>
      <c r="BO76" s="293"/>
      <c r="BP76" s="293"/>
      <c r="BQ76" s="293"/>
      <c r="BR76" s="293"/>
      <c r="BS76" s="293"/>
      <c r="BT76" s="293"/>
      <c r="BU76" s="293"/>
      <c r="BV76" s="293"/>
      <c r="BW76" s="293"/>
      <c r="BX76" s="293"/>
      <c r="BY76" s="293"/>
      <c r="BZ76" s="293"/>
      <c r="CA76" s="293"/>
      <c r="CB76" s="293"/>
    </row>
    <row r="77" spans="1:80" ht="27.75" customHeight="1" x14ac:dyDescent="0.2">
      <c r="A77" s="427">
        <v>388</v>
      </c>
      <c r="B77" s="287" t="s">
        <v>174</v>
      </c>
      <c r="C77" s="226" t="s">
        <v>191</v>
      </c>
      <c r="D77" s="288">
        <v>8</v>
      </c>
      <c r="E77" s="291" t="str">
        <f>VLOOKUP('Risk Only'!A77,'Descriptor maps'!$A$1:$F$1654,6,0)</f>
        <v>Is there documented evidence that liquefaction assessment was completed for materials in the structural zone of the embankment and foundations with the objective of confirming the embankment stability under relevant loading conditions associated with the failure modes?</v>
      </c>
      <c r="F77" s="296" t="s">
        <v>1193</v>
      </c>
      <c r="G77" s="291" cm="1">
        <f t="array" ref="G77">INDEX('Descriptor maps'!$H$2:$H$1658,MATCH(1,('Descriptor maps'!$A$2:$A$1658='Risk Only'!$A77)*('Descriptor maps'!$G$2:$G$1658='Risk Only'!$F77),0))</f>
        <v>2</v>
      </c>
      <c r="H77" s="292" cm="1">
        <f t="array" ref="H77">IF(ISNUMBER(F77)=TRUE,F77, INDEX('Descriptor maps'!$I$2:$I$1658,MATCH(1,('Descriptor maps'!$A$2:$A$1658='Risk Only'!$A77)*('Descriptor maps'!$G$2:$G$1658='Risk Only'!$F77),0)))</f>
        <v>2</v>
      </c>
      <c r="I77" s="292" cm="1">
        <f t="array" ref="I77">INDEX('Descriptor maps'!$J$2:$J$1658,MATCH(1,('Descriptor maps'!$A$2:$A$1658=A77)*('Descriptor maps'!$G$2:$G$1658=F77),0))</f>
        <v>0</v>
      </c>
      <c r="J77" s="442">
        <f t="shared" si="15"/>
        <v>3</v>
      </c>
      <c r="K77" s="293"/>
      <c r="L77" s="293"/>
      <c r="M77" s="293"/>
      <c r="N77" s="293"/>
      <c r="O77" s="293"/>
      <c r="P77" s="293">
        <f>H77</f>
        <v>2</v>
      </c>
      <c r="Q77" s="293"/>
      <c r="R77" s="293"/>
      <c r="S77" s="293"/>
      <c r="T77" s="293"/>
      <c r="U77" s="293"/>
      <c r="V77" s="293"/>
      <c r="W77" s="293">
        <f>H77</f>
        <v>2</v>
      </c>
      <c r="X77" s="293"/>
      <c r="Y77" s="293"/>
      <c r="Z77" s="293"/>
      <c r="AA77" s="293"/>
      <c r="AB77" s="293"/>
      <c r="AC77" s="293"/>
      <c r="AD77" s="293">
        <f>H77</f>
        <v>2</v>
      </c>
      <c r="AE77" s="293"/>
      <c r="AF77" s="293"/>
      <c r="AG77" s="293"/>
      <c r="AH77" s="293"/>
      <c r="AI77" s="293"/>
      <c r="AJ77" s="293"/>
      <c r="AK77" s="293"/>
      <c r="AL77" s="293"/>
      <c r="AM77" s="293"/>
      <c r="AN77" s="293"/>
      <c r="AO77" s="293"/>
      <c r="AP77" s="293"/>
      <c r="AQ77" s="293"/>
      <c r="AR77" s="293"/>
      <c r="AS77" s="293"/>
      <c r="AT77" s="293"/>
      <c r="AU77" s="293"/>
      <c r="AV77" s="293"/>
      <c r="AW77" s="293"/>
      <c r="AX77" s="293"/>
      <c r="AY77" s="293"/>
      <c r="AZ77" s="293"/>
      <c r="BA77" s="293"/>
      <c r="BB77" s="293"/>
      <c r="BC77" s="293"/>
      <c r="BD77" s="293"/>
      <c r="BE77" s="293"/>
      <c r="BF77" s="293"/>
      <c r="BG77" s="293"/>
      <c r="BH77" s="293"/>
      <c r="BI77" s="293"/>
      <c r="BJ77" s="293"/>
      <c r="BK77" s="293"/>
      <c r="BL77" s="293"/>
      <c r="BM77" s="293"/>
      <c r="BN77" s="293"/>
      <c r="BO77" s="293"/>
      <c r="BP77" s="293"/>
      <c r="BQ77" s="293"/>
      <c r="BR77" s="293"/>
      <c r="BS77" s="293"/>
      <c r="BT77" s="293"/>
      <c r="BU77" s="293"/>
      <c r="BV77" s="293"/>
      <c r="BW77" s="293"/>
      <c r="BX77" s="293"/>
      <c r="BY77" s="293"/>
      <c r="BZ77" s="293"/>
      <c r="CA77" s="293"/>
      <c r="CB77" s="293"/>
    </row>
    <row r="78" spans="1:80" ht="27.75" customHeight="1" x14ac:dyDescent="0.2">
      <c r="A78" s="427">
        <v>389</v>
      </c>
      <c r="B78" s="287" t="s">
        <v>174</v>
      </c>
      <c r="C78" s="226" t="s">
        <v>191</v>
      </c>
      <c r="D78" s="288">
        <v>8</v>
      </c>
      <c r="E78" s="291" t="str">
        <f>VLOOKUP('Risk Only'!A78,'Descriptor maps'!$A$1:$F$1654,6,0)</f>
        <v>Is there documented evidence of any past slips or large movements of the embankment?</v>
      </c>
      <c r="F78" s="296" t="s">
        <v>542</v>
      </c>
      <c r="G78" s="291" cm="1">
        <f t="array" ref="G78">INDEX('Descriptor maps'!$H$2:$H$1658,MATCH(1,('Descriptor maps'!$A$2:$A$1658='Risk Only'!$A78)*('Descriptor maps'!$G$2:$G$1658='Risk Only'!$F78),0))</f>
        <v>1</v>
      </c>
      <c r="H78" s="292" cm="1">
        <f t="array" ref="H78">IF(ISNUMBER(F78)=TRUE,F78, INDEX('Descriptor maps'!$I$2:$I$1658,MATCH(1,('Descriptor maps'!$A$2:$A$1658='Risk Only'!$A78)*('Descriptor maps'!$G$2:$G$1658='Risk Only'!$F78),0)))</f>
        <v>1</v>
      </c>
      <c r="I78" s="292" cm="1">
        <f t="array" ref="I78">INDEX('Descriptor maps'!$J$2:$J$1658,MATCH(1,('Descriptor maps'!$A$2:$A$1658=A78)*('Descriptor maps'!$G$2:$G$1658=F78),0))</f>
        <v>0</v>
      </c>
      <c r="J78" s="442">
        <f t="shared" si="15"/>
        <v>3</v>
      </c>
      <c r="K78" s="293"/>
      <c r="L78" s="293"/>
      <c r="M78" s="293"/>
      <c r="N78" s="293"/>
      <c r="O78" s="293">
        <f>1*$H78</f>
        <v>1</v>
      </c>
      <c r="P78" s="293"/>
      <c r="Q78" s="293"/>
      <c r="R78" s="293"/>
      <c r="S78" s="293"/>
      <c r="T78" s="293"/>
      <c r="U78" s="293"/>
      <c r="V78" s="293">
        <f>1*$H78</f>
        <v>1</v>
      </c>
      <c r="W78" s="293"/>
      <c r="X78" s="293"/>
      <c r="Y78" s="293"/>
      <c r="Z78" s="293"/>
      <c r="AA78" s="293"/>
      <c r="AB78" s="293"/>
      <c r="AC78" s="293">
        <f>1*$H78</f>
        <v>1</v>
      </c>
      <c r="AD78" s="293"/>
      <c r="AE78" s="293"/>
      <c r="AF78" s="293"/>
      <c r="AG78" s="293"/>
      <c r="AH78" s="293"/>
      <c r="AI78" s="293"/>
      <c r="AJ78" s="293"/>
      <c r="AK78" s="293"/>
      <c r="AL78" s="293"/>
      <c r="AM78" s="293"/>
      <c r="AN78" s="293"/>
      <c r="AO78" s="293"/>
      <c r="AP78" s="293"/>
      <c r="AQ78" s="293"/>
      <c r="AR78" s="293"/>
      <c r="AS78" s="293"/>
      <c r="AT78" s="293"/>
      <c r="AU78" s="293"/>
      <c r="AV78" s="293"/>
      <c r="AW78" s="293"/>
      <c r="AX78" s="293"/>
      <c r="AY78" s="293"/>
      <c r="AZ78" s="293"/>
      <c r="BA78" s="293"/>
      <c r="BB78" s="293"/>
      <c r="BC78" s="293"/>
      <c r="BD78" s="293"/>
      <c r="BE78" s="293"/>
      <c r="BF78" s="293"/>
      <c r="BG78" s="293"/>
      <c r="BH78" s="293"/>
      <c r="BI78" s="293"/>
      <c r="BJ78" s="293"/>
      <c r="BK78" s="293"/>
      <c r="BL78" s="293"/>
      <c r="BM78" s="293"/>
      <c r="BN78" s="293"/>
      <c r="BO78" s="293"/>
      <c r="BP78" s="293"/>
      <c r="BQ78" s="293"/>
      <c r="BR78" s="293"/>
      <c r="BS78" s="293"/>
      <c r="BT78" s="293"/>
      <c r="BU78" s="293"/>
      <c r="BV78" s="293"/>
      <c r="BW78" s="293"/>
      <c r="BX78" s="293"/>
      <c r="BY78" s="293"/>
      <c r="BZ78" s="293"/>
      <c r="CA78" s="293"/>
      <c r="CB78" s="293"/>
    </row>
    <row r="79" spans="1:80" ht="27.75" customHeight="1" x14ac:dyDescent="0.2">
      <c r="A79" s="427">
        <v>390</v>
      </c>
      <c r="B79" s="287" t="s">
        <v>174</v>
      </c>
      <c r="C79" s="226" t="s">
        <v>191</v>
      </c>
      <c r="D79" s="288">
        <v>8</v>
      </c>
      <c r="E79" s="291" t="str">
        <f>VLOOKUP('Risk Only'!A79,'Descriptor maps'!$A$1:$F$1654,6,0)</f>
        <v>Is there documented evidence of seepage through the embankment?</v>
      </c>
      <c r="F79" s="296" t="s">
        <v>1201</v>
      </c>
      <c r="G79" s="291" cm="1">
        <f t="array" ref="G79">INDEX('Descriptor maps'!$H$2:$H$1658,MATCH(1,('Descriptor maps'!$A$2:$A$1658='Risk Only'!$A79)*('Descriptor maps'!$G$2:$G$1658='Risk Only'!$F79),0))</f>
        <v>1</v>
      </c>
      <c r="H79" s="292" cm="1">
        <f t="array" ref="H79">IF(ISNUMBER(F79)=TRUE,F79, INDEX('Descriptor maps'!$I$2:$I$1658,MATCH(1,('Descriptor maps'!$A$2:$A$1658='Risk Only'!$A79)*('Descriptor maps'!$G$2:$G$1658='Risk Only'!$F79),0)))</f>
        <v>1</v>
      </c>
      <c r="I79" s="292" cm="1">
        <f t="array" ref="I79">INDEX('Descriptor maps'!$J$2:$J$1658,MATCH(1,('Descriptor maps'!$A$2:$A$1658=A79)*('Descriptor maps'!$G$2:$G$1658=F79),0))</f>
        <v>0.5</v>
      </c>
      <c r="J79" s="442">
        <f t="shared" si="15"/>
        <v>5</v>
      </c>
      <c r="K79" s="293"/>
      <c r="L79" s="293"/>
      <c r="M79" s="293"/>
      <c r="N79" s="293"/>
      <c r="O79" s="293">
        <f>H79</f>
        <v>1</v>
      </c>
      <c r="P79" s="293"/>
      <c r="Q79" s="293"/>
      <c r="R79" s="293"/>
      <c r="S79" s="293"/>
      <c r="T79" s="293"/>
      <c r="U79" s="293"/>
      <c r="V79" s="293">
        <f>O79</f>
        <v>1</v>
      </c>
      <c r="W79" s="293"/>
      <c r="X79" s="293"/>
      <c r="Y79" s="293"/>
      <c r="Z79" s="293"/>
      <c r="AA79" s="293"/>
      <c r="AB79" s="293"/>
      <c r="AC79" s="293">
        <f>V79</f>
        <v>1</v>
      </c>
      <c r="AD79" s="293"/>
      <c r="AE79" s="293"/>
      <c r="AF79" s="293"/>
      <c r="AG79" s="293"/>
      <c r="AH79" s="293"/>
      <c r="AI79" s="293"/>
      <c r="AJ79" s="293"/>
      <c r="AK79" s="293"/>
      <c r="AL79" s="293"/>
      <c r="AM79" s="293"/>
      <c r="AN79" s="293">
        <f>I79</f>
        <v>0.5</v>
      </c>
      <c r="AO79" s="293"/>
      <c r="AP79" s="293"/>
      <c r="AQ79" s="293"/>
      <c r="AR79" s="293"/>
      <c r="AS79" s="293"/>
      <c r="AT79" s="293"/>
      <c r="AU79" s="293"/>
      <c r="AV79" s="293"/>
      <c r="AW79" s="293"/>
      <c r="AX79" s="293"/>
      <c r="AY79" s="293"/>
      <c r="AZ79" s="293"/>
      <c r="BA79" s="293"/>
      <c r="BB79" s="293"/>
      <c r="BC79" s="293"/>
      <c r="BD79" s="293"/>
      <c r="BE79" s="293"/>
      <c r="BF79" s="293"/>
      <c r="BG79" s="293"/>
      <c r="BH79" s="293"/>
      <c r="BI79" s="293"/>
      <c r="BJ79" s="293"/>
      <c r="BK79" s="293"/>
      <c r="BL79" s="293"/>
      <c r="BM79" s="293"/>
      <c r="BN79" s="293"/>
      <c r="BO79" s="293">
        <f>AN79</f>
        <v>0.5</v>
      </c>
      <c r="BP79" s="293"/>
      <c r="BQ79" s="293"/>
      <c r="BR79" s="293"/>
      <c r="BS79" s="293"/>
      <c r="BT79" s="293"/>
      <c r="BU79" s="293"/>
      <c r="BV79" s="293"/>
      <c r="BW79" s="293"/>
      <c r="BX79" s="293"/>
      <c r="BY79" s="293"/>
      <c r="BZ79" s="293"/>
      <c r="CA79" s="293"/>
      <c r="CB79" s="293"/>
    </row>
    <row r="80" spans="1:80" ht="27.75" customHeight="1" x14ac:dyDescent="0.2">
      <c r="A80" s="427">
        <v>391</v>
      </c>
      <c r="B80" s="287" t="s">
        <v>174</v>
      </c>
      <c r="C80" s="226" t="s">
        <v>191</v>
      </c>
      <c r="D80" s="288">
        <v>8</v>
      </c>
      <c r="E80" s="291" t="str">
        <f>VLOOKUP('Risk Only'!A80,'Descriptor maps'!$A$1:$F$1654,6,0)</f>
        <v>Is there documented evidence of seepage through the foundation?</v>
      </c>
      <c r="F80" s="296" t="s">
        <v>1201</v>
      </c>
      <c r="G80" s="291" cm="1">
        <f t="array" ref="G80">INDEX('Descriptor maps'!$H$2:$H$1658,MATCH(1,('Descriptor maps'!$A$2:$A$1658='Risk Only'!$A80)*('Descriptor maps'!$G$2:$G$1658='Risk Only'!$F80),0))</f>
        <v>1</v>
      </c>
      <c r="H80" s="292" cm="1">
        <f t="array" ref="H80">IF(ISNUMBER(F80)=TRUE,F80, INDEX('Descriptor maps'!$I$2:$I$1658,MATCH(1,('Descriptor maps'!$A$2:$A$1658='Risk Only'!$A80)*('Descriptor maps'!$G$2:$G$1658='Risk Only'!$F80),0)))</f>
        <v>1</v>
      </c>
      <c r="I80" s="292" cm="1">
        <f t="array" ref="I80">INDEX('Descriptor maps'!$J$2:$J$1658,MATCH(1,('Descriptor maps'!$A$2:$A$1658=A80)*('Descriptor maps'!$G$2:$G$1658=F80),0))</f>
        <v>0.5</v>
      </c>
      <c r="J80" s="442">
        <f t="shared" si="15"/>
        <v>5</v>
      </c>
      <c r="K80" s="293"/>
      <c r="L80" s="293"/>
      <c r="M80" s="293"/>
      <c r="N80" s="293"/>
      <c r="O80" s="293">
        <f>H80</f>
        <v>1</v>
      </c>
      <c r="P80" s="293"/>
      <c r="Q80" s="293"/>
      <c r="R80" s="293"/>
      <c r="S80" s="293"/>
      <c r="T80" s="293"/>
      <c r="U80" s="293"/>
      <c r="V80" s="293">
        <f>O80</f>
        <v>1</v>
      </c>
      <c r="W80" s="293"/>
      <c r="X80" s="293"/>
      <c r="Y80" s="293"/>
      <c r="Z80" s="293"/>
      <c r="AA80" s="293"/>
      <c r="AB80" s="293"/>
      <c r="AC80" s="293">
        <f>V80</f>
        <v>1</v>
      </c>
      <c r="AD80" s="293"/>
      <c r="AE80" s="293"/>
      <c r="AF80" s="293"/>
      <c r="AG80" s="293"/>
      <c r="AH80" s="293"/>
      <c r="AI80" s="293"/>
      <c r="AJ80" s="293"/>
      <c r="AK80" s="293"/>
      <c r="AL80" s="293"/>
      <c r="AM80" s="293"/>
      <c r="AN80" s="293"/>
      <c r="AO80" s="293"/>
      <c r="AP80" s="293"/>
      <c r="AQ80" s="293"/>
      <c r="AR80" s="293"/>
      <c r="AS80" s="293"/>
      <c r="AT80" s="293"/>
      <c r="AU80" s="293"/>
      <c r="AV80" s="293"/>
      <c r="AW80" s="293"/>
      <c r="AX80" s="293"/>
      <c r="AY80" s="293"/>
      <c r="AZ80" s="293"/>
      <c r="BA80" s="293">
        <f>I80</f>
        <v>0.5</v>
      </c>
      <c r="BB80" s="293"/>
      <c r="BC80" s="293"/>
      <c r="BD80" s="293"/>
      <c r="BE80" s="293"/>
      <c r="BF80" s="293"/>
      <c r="BG80" s="293"/>
      <c r="BH80" s="293"/>
      <c r="BI80" s="293"/>
      <c r="BJ80" s="293"/>
      <c r="BK80" s="293"/>
      <c r="BL80" s="293"/>
      <c r="BM80" s="293"/>
      <c r="BN80" s="293"/>
      <c r="BO80" s="293">
        <f>I80</f>
        <v>0.5</v>
      </c>
      <c r="BP80" s="293"/>
      <c r="BQ80" s="293"/>
      <c r="BR80" s="293"/>
      <c r="BS80" s="293"/>
      <c r="BT80" s="293"/>
      <c r="BU80" s="293"/>
      <c r="BV80" s="293"/>
      <c r="BW80" s="293"/>
      <c r="BX80" s="293"/>
      <c r="BY80" s="293"/>
      <c r="BZ80" s="293"/>
      <c r="CA80" s="293"/>
      <c r="CB80" s="293"/>
    </row>
    <row r="81" spans="1:80" ht="27.75" customHeight="1" x14ac:dyDescent="0.2">
      <c r="A81" s="427">
        <v>455</v>
      </c>
      <c r="B81" s="287" t="s">
        <v>412</v>
      </c>
      <c r="C81" s="226" t="s">
        <v>416</v>
      </c>
      <c r="D81" s="288"/>
      <c r="E81" s="291" t="str">
        <f>VLOOKUP('Risk Only'!A81,'Descriptor maps'!$A$1:$F$1654,6,0)</f>
        <v>Is there documented evidence that piping failure modes were assessed using current engineering practice to achieve the objective of confirming that piping failure controls are in place?</v>
      </c>
      <c r="F81" s="296" t="s">
        <v>1193</v>
      </c>
      <c r="G81" s="291" cm="1">
        <f t="array" ref="G81">INDEX('Descriptor maps'!$H$2:$H$1658,MATCH(1,('Descriptor maps'!$A$2:$A$1658='Risk Only'!$A81)*('Descriptor maps'!$G$2:$G$1658='Risk Only'!$F81),0))</f>
        <v>2</v>
      </c>
      <c r="H81" s="292" cm="1">
        <f t="array" ref="H81">IF(ISNUMBER(F81)=TRUE,F81, INDEX('Descriptor maps'!$I$2:$I$1658,MATCH(1,('Descriptor maps'!$A$2:$A$1658='Risk Only'!$A81)*('Descriptor maps'!$G$2:$G$1658='Risk Only'!$F81),0)))</f>
        <v>2</v>
      </c>
      <c r="I81" s="292" cm="1">
        <f t="array" ref="I81">INDEX('Descriptor maps'!$J$2:$J$1658,MATCH(1,('Descriptor maps'!$A$2:$A$1658=A81)*('Descriptor maps'!$G$2:$G$1658=F81),0))</f>
        <v>0</v>
      </c>
      <c r="J81" s="442">
        <f t="shared" si="15"/>
        <v>2</v>
      </c>
      <c r="K81" s="293"/>
      <c r="L81" s="293"/>
      <c r="M81" s="293"/>
      <c r="N81" s="293"/>
      <c r="O81" s="293"/>
      <c r="P81" s="293"/>
      <c r="Q81" s="293"/>
      <c r="R81" s="293"/>
      <c r="S81" s="293"/>
      <c r="T81" s="293"/>
      <c r="U81" s="293"/>
      <c r="V81" s="293"/>
      <c r="W81" s="293"/>
      <c r="X81" s="293"/>
      <c r="Y81" s="293"/>
      <c r="Z81" s="293"/>
      <c r="AA81" s="293"/>
      <c r="AB81" s="293"/>
      <c r="AC81" s="293"/>
      <c r="AD81" s="293"/>
      <c r="AE81" s="293"/>
      <c r="AF81" s="293"/>
      <c r="AG81" s="293"/>
      <c r="AH81" s="293">
        <f>H81</f>
        <v>2</v>
      </c>
      <c r="AI81" s="293"/>
      <c r="AJ81" s="293"/>
      <c r="AK81" s="293"/>
      <c r="AL81" s="293"/>
      <c r="AM81" s="293"/>
      <c r="AN81" s="293"/>
      <c r="AO81" s="293"/>
      <c r="AP81" s="293"/>
      <c r="AQ81" s="293"/>
      <c r="AR81" s="293"/>
      <c r="AS81" s="293"/>
      <c r="AT81" s="293"/>
      <c r="AU81" s="293">
        <f>H81</f>
        <v>2</v>
      </c>
      <c r="AV81" s="293"/>
      <c r="AW81" s="293"/>
      <c r="AX81" s="293"/>
      <c r="AY81" s="293"/>
      <c r="AZ81" s="293"/>
      <c r="BA81" s="293"/>
      <c r="BB81" s="293"/>
      <c r="BC81" s="293"/>
      <c r="BD81" s="293"/>
      <c r="BE81" s="293"/>
      <c r="BF81" s="293"/>
      <c r="BG81" s="293"/>
      <c r="BH81" s="293"/>
      <c r="BI81" s="293"/>
      <c r="BJ81" s="293"/>
      <c r="BK81" s="293"/>
      <c r="BL81" s="293"/>
      <c r="BM81" s="293"/>
      <c r="BN81" s="293"/>
      <c r="BO81" s="293"/>
      <c r="BP81" s="293"/>
      <c r="BQ81" s="293"/>
      <c r="BR81" s="293"/>
      <c r="BS81" s="293"/>
      <c r="BT81" s="293"/>
      <c r="BU81" s="293"/>
      <c r="BV81" s="293"/>
      <c r="BW81" s="293"/>
      <c r="BX81" s="293"/>
      <c r="BY81" s="293"/>
      <c r="BZ81" s="293"/>
      <c r="CA81" s="293"/>
      <c r="CB81" s="293"/>
    </row>
    <row r="82" spans="1:80" s="338" customFormat="1" ht="27.75" customHeight="1" x14ac:dyDescent="0.2">
      <c r="A82" s="452" t="s">
        <v>1367</v>
      </c>
      <c r="B82" s="453"/>
      <c r="C82" s="453"/>
      <c r="D82" s="454"/>
      <c r="E82" s="455"/>
      <c r="F82" s="456"/>
      <c r="G82" s="455"/>
      <c r="H82" s="457"/>
      <c r="I82" s="457"/>
      <c r="J82" s="457"/>
      <c r="K82" s="458">
        <f>AVERAGE(K3:K81)</f>
        <v>1.3333333333333333</v>
      </c>
      <c r="L82" s="458">
        <f t="shared" ref="L82:BS82" si="16">AVERAGE(L3:L81)</f>
        <v>1.5</v>
      </c>
      <c r="M82" s="458">
        <f t="shared" si="16"/>
        <v>1.5555555555555556</v>
      </c>
      <c r="N82" s="458">
        <f t="shared" si="16"/>
        <v>1</v>
      </c>
      <c r="O82" s="458">
        <f t="shared" si="16"/>
        <v>2.0476190476190474</v>
      </c>
      <c r="P82" s="458">
        <f t="shared" si="16"/>
        <v>2</v>
      </c>
      <c r="Q82" s="458">
        <f t="shared" si="16"/>
        <v>1.7</v>
      </c>
      <c r="R82" s="458">
        <f t="shared" si="16"/>
        <v>1.3333333333333333</v>
      </c>
      <c r="S82" s="458">
        <f t="shared" si="16"/>
        <v>1.5</v>
      </c>
      <c r="T82" s="458">
        <f t="shared" si="16"/>
        <v>1.5555555555555556</v>
      </c>
      <c r="U82" s="458">
        <f t="shared" si="16"/>
        <v>1</v>
      </c>
      <c r="V82" s="458">
        <f t="shared" si="16"/>
        <v>2.0476190476190474</v>
      </c>
      <c r="W82" s="458">
        <f t="shared" si="16"/>
        <v>2</v>
      </c>
      <c r="X82" s="458">
        <f t="shared" si="16"/>
        <v>1.7</v>
      </c>
      <c r="Y82" s="458">
        <f t="shared" si="16"/>
        <v>1.375</v>
      </c>
      <c r="Z82" s="458">
        <f t="shared" si="16"/>
        <v>1.5</v>
      </c>
      <c r="AA82" s="458">
        <f t="shared" si="16"/>
        <v>1.5555555555555556</v>
      </c>
      <c r="AB82" s="458">
        <f t="shared" si="16"/>
        <v>1</v>
      </c>
      <c r="AC82" s="458">
        <f t="shared" si="16"/>
        <v>2.0476190476190474</v>
      </c>
      <c r="AD82" s="458">
        <f t="shared" si="16"/>
        <v>2</v>
      </c>
      <c r="AE82" s="458">
        <f t="shared" si="16"/>
        <v>0.85000500000000001</v>
      </c>
      <c r="AF82" s="458">
        <f t="shared" si="16"/>
        <v>9.9999999999999995E-7</v>
      </c>
      <c r="AG82" s="458">
        <f t="shared" si="16"/>
        <v>13</v>
      </c>
      <c r="AH82" s="458">
        <f t="shared" si="16"/>
        <v>1.4</v>
      </c>
      <c r="AI82" s="458">
        <f t="shared" si="16"/>
        <v>1</v>
      </c>
      <c r="AJ82" s="458">
        <f t="shared" si="16"/>
        <v>0.8</v>
      </c>
      <c r="AK82" s="458">
        <f t="shared" si="16"/>
        <v>1</v>
      </c>
      <c r="AL82" s="458">
        <f t="shared" si="16"/>
        <v>0.5</v>
      </c>
      <c r="AM82" s="458">
        <f t="shared" si="16"/>
        <v>1</v>
      </c>
      <c r="AN82" s="458">
        <f t="shared" si="16"/>
        <v>0.5</v>
      </c>
      <c r="AO82" s="458">
        <f t="shared" si="16"/>
        <v>2</v>
      </c>
      <c r="AP82" s="458"/>
      <c r="AQ82" s="458">
        <f t="shared" si="16"/>
        <v>1040</v>
      </c>
      <c r="AR82" s="458">
        <f t="shared" si="16"/>
        <v>190</v>
      </c>
      <c r="AS82" s="458"/>
      <c r="AT82" s="458"/>
      <c r="AU82" s="458">
        <f t="shared" si="16"/>
        <v>1</v>
      </c>
      <c r="AV82" s="458">
        <f t="shared" si="16"/>
        <v>0.05</v>
      </c>
      <c r="AW82" s="458">
        <f t="shared" si="16"/>
        <v>0.59999999999999987</v>
      </c>
      <c r="AX82" s="458">
        <f t="shared" si="16"/>
        <v>0.10000000000000002</v>
      </c>
      <c r="AY82" s="458">
        <f t="shared" si="16"/>
        <v>1</v>
      </c>
      <c r="AZ82" s="458">
        <f t="shared" si="16"/>
        <v>1.2</v>
      </c>
      <c r="BA82" s="458">
        <f t="shared" si="16"/>
        <v>0.5</v>
      </c>
      <c r="BB82" s="458">
        <f t="shared" si="16"/>
        <v>1.5</v>
      </c>
      <c r="BC82" s="458">
        <f t="shared" si="16"/>
        <v>2</v>
      </c>
      <c r="BD82" s="458"/>
      <c r="BE82" s="458">
        <f t="shared" si="16"/>
        <v>0</v>
      </c>
      <c r="BF82" s="458"/>
      <c r="BG82" s="458">
        <f t="shared" si="16"/>
        <v>1</v>
      </c>
      <c r="BH82" s="458">
        <f t="shared" si="16"/>
        <v>0.4</v>
      </c>
      <c r="BI82" s="458">
        <f t="shared" si="16"/>
        <v>2.5</v>
      </c>
      <c r="BJ82" s="458">
        <f t="shared" si="16"/>
        <v>0.4</v>
      </c>
      <c r="BK82" s="458">
        <f t="shared" si="16"/>
        <v>1</v>
      </c>
      <c r="BL82" s="458">
        <f t="shared" si="16"/>
        <v>1</v>
      </c>
      <c r="BM82" s="458">
        <f t="shared" si="16"/>
        <v>0.8</v>
      </c>
      <c r="BN82" s="458">
        <f t="shared" si="16"/>
        <v>0.9</v>
      </c>
      <c r="BO82" s="458">
        <f t="shared" si="16"/>
        <v>0.5</v>
      </c>
      <c r="BP82" s="458">
        <f t="shared" si="16"/>
        <v>2</v>
      </c>
      <c r="BQ82" s="458"/>
      <c r="BR82" s="458"/>
      <c r="BS82" s="458">
        <f t="shared" si="16"/>
        <v>0</v>
      </c>
      <c r="BT82" s="458"/>
      <c r="BU82" s="458"/>
      <c r="BV82" s="458"/>
      <c r="BW82" s="458"/>
      <c r="BX82" s="458"/>
      <c r="BY82" s="458"/>
      <c r="BZ82" s="458"/>
      <c r="CA82" s="458"/>
      <c r="CB82" s="458"/>
    </row>
    <row r="83" spans="1:80" s="450" customFormat="1" ht="27.75" customHeight="1" thickBot="1" x14ac:dyDescent="0.25">
      <c r="A83" s="443"/>
      <c r="B83" s="444"/>
      <c r="C83" s="444"/>
      <c r="D83" s="445"/>
      <c r="E83" s="451" t="s">
        <v>1348</v>
      </c>
      <c r="F83" s="447"/>
      <c r="G83" s="446"/>
      <c r="H83" s="448"/>
      <c r="I83" s="448"/>
      <c r="J83" s="448"/>
      <c r="K83" s="449">
        <f t="shared" ref="K83:BT83" si="17">COUNT(K3:K81)</f>
        <v>6</v>
      </c>
      <c r="L83" s="449">
        <f t="shared" si="17"/>
        <v>4</v>
      </c>
      <c r="M83" s="449">
        <f t="shared" si="17"/>
        <v>9</v>
      </c>
      <c r="N83" s="449">
        <f t="shared" si="17"/>
        <v>6</v>
      </c>
      <c r="O83" s="449">
        <f t="shared" si="17"/>
        <v>21</v>
      </c>
      <c r="P83" s="449">
        <f t="shared" si="17"/>
        <v>1</v>
      </c>
      <c r="Q83" s="449">
        <f t="shared" si="17"/>
        <v>1</v>
      </c>
      <c r="R83" s="449">
        <f t="shared" si="17"/>
        <v>6</v>
      </c>
      <c r="S83" s="449">
        <f t="shared" si="17"/>
        <v>4</v>
      </c>
      <c r="T83" s="449">
        <f t="shared" si="17"/>
        <v>9</v>
      </c>
      <c r="U83" s="449">
        <f t="shared" si="17"/>
        <v>6</v>
      </c>
      <c r="V83" s="449">
        <f t="shared" si="17"/>
        <v>21</v>
      </c>
      <c r="W83" s="449">
        <f t="shared" si="17"/>
        <v>1</v>
      </c>
      <c r="X83" s="449">
        <f t="shared" si="17"/>
        <v>1</v>
      </c>
      <c r="Y83" s="449">
        <f t="shared" si="17"/>
        <v>8</v>
      </c>
      <c r="Z83" s="449">
        <f t="shared" si="17"/>
        <v>4</v>
      </c>
      <c r="AA83" s="449">
        <f t="shared" si="17"/>
        <v>9</v>
      </c>
      <c r="AB83" s="449">
        <f t="shared" si="17"/>
        <v>6</v>
      </c>
      <c r="AC83" s="449">
        <f t="shared" si="17"/>
        <v>21</v>
      </c>
      <c r="AD83" s="449">
        <f t="shared" si="17"/>
        <v>1</v>
      </c>
      <c r="AE83" s="449">
        <f t="shared" si="17"/>
        <v>2</v>
      </c>
      <c r="AF83" s="449">
        <f t="shared" si="17"/>
        <v>1</v>
      </c>
      <c r="AG83" s="449">
        <f t="shared" si="17"/>
        <v>2</v>
      </c>
      <c r="AH83" s="449">
        <f t="shared" si="17"/>
        <v>10</v>
      </c>
      <c r="AI83" s="449">
        <f t="shared" si="17"/>
        <v>1</v>
      </c>
      <c r="AJ83" s="449">
        <f t="shared" si="17"/>
        <v>1</v>
      </c>
      <c r="AK83" s="449">
        <f t="shared" si="17"/>
        <v>6</v>
      </c>
      <c r="AL83" s="449">
        <f t="shared" si="17"/>
        <v>1</v>
      </c>
      <c r="AM83" s="449">
        <f t="shared" si="17"/>
        <v>1</v>
      </c>
      <c r="AN83" s="449">
        <f t="shared" si="17"/>
        <v>1</v>
      </c>
      <c r="AO83" s="449">
        <f t="shared" si="17"/>
        <v>1</v>
      </c>
      <c r="AP83" s="449">
        <f t="shared" si="17"/>
        <v>0</v>
      </c>
      <c r="AQ83" s="449">
        <f t="shared" si="17"/>
        <v>2</v>
      </c>
      <c r="AR83" s="449">
        <f t="shared" si="17"/>
        <v>1</v>
      </c>
      <c r="AS83" s="449">
        <f t="shared" si="17"/>
        <v>0</v>
      </c>
      <c r="AT83" s="449">
        <f t="shared" si="17"/>
        <v>0</v>
      </c>
      <c r="AU83" s="449">
        <f t="shared" si="17"/>
        <v>2</v>
      </c>
      <c r="AV83" s="449">
        <f t="shared" si="17"/>
        <v>1</v>
      </c>
      <c r="AW83" s="449">
        <f t="shared" si="17"/>
        <v>1</v>
      </c>
      <c r="AX83" s="449">
        <f t="shared" si="17"/>
        <v>1</v>
      </c>
      <c r="AY83" s="449">
        <f t="shared" si="17"/>
        <v>6</v>
      </c>
      <c r="AZ83" s="449">
        <f t="shared" si="17"/>
        <v>1</v>
      </c>
      <c r="BA83" s="449">
        <f t="shared" si="17"/>
        <v>1</v>
      </c>
      <c r="BB83" s="449">
        <f t="shared" si="17"/>
        <v>2</v>
      </c>
      <c r="BC83" s="449">
        <f t="shared" si="17"/>
        <v>1</v>
      </c>
      <c r="BD83" s="449">
        <f t="shared" si="17"/>
        <v>0</v>
      </c>
      <c r="BE83" s="449">
        <f t="shared" si="17"/>
        <v>1</v>
      </c>
      <c r="BF83" s="449">
        <f t="shared" si="17"/>
        <v>0</v>
      </c>
      <c r="BG83" s="449">
        <f t="shared" si="17"/>
        <v>1</v>
      </c>
      <c r="BH83" s="449">
        <f t="shared" si="17"/>
        <v>1</v>
      </c>
      <c r="BI83" s="449">
        <f t="shared" si="17"/>
        <v>1</v>
      </c>
      <c r="BJ83" s="449">
        <f t="shared" si="17"/>
        <v>1</v>
      </c>
      <c r="BK83" s="449">
        <f t="shared" si="17"/>
        <v>1</v>
      </c>
      <c r="BL83" s="449">
        <f t="shared" si="17"/>
        <v>1</v>
      </c>
      <c r="BM83" s="449">
        <f t="shared" si="17"/>
        <v>1</v>
      </c>
      <c r="BN83" s="449">
        <f t="shared" si="17"/>
        <v>1</v>
      </c>
      <c r="BO83" s="449">
        <f t="shared" si="17"/>
        <v>2</v>
      </c>
      <c r="BP83" s="449">
        <f t="shared" si="17"/>
        <v>1</v>
      </c>
      <c r="BQ83" s="449">
        <f t="shared" si="17"/>
        <v>0</v>
      </c>
      <c r="BR83" s="449">
        <f t="shared" si="17"/>
        <v>0</v>
      </c>
      <c r="BS83" s="449">
        <f t="shared" si="17"/>
        <v>1</v>
      </c>
      <c r="BT83" s="449">
        <f t="shared" si="17"/>
        <v>0</v>
      </c>
      <c r="BU83" s="449"/>
      <c r="BV83" s="449"/>
      <c r="BW83" s="449"/>
      <c r="BX83" s="449"/>
      <c r="BY83" s="449"/>
      <c r="BZ83" s="449"/>
      <c r="CA83" s="449"/>
      <c r="CB83" s="449"/>
    </row>
    <row r="84" spans="1:80" ht="27.75" customHeight="1" thickBot="1" x14ac:dyDescent="0.25">
      <c r="A84" s="428"/>
      <c r="B84" s="313"/>
      <c r="C84" s="314"/>
      <c r="D84" s="313"/>
      <c r="E84" s="315" t="s">
        <v>20</v>
      </c>
      <c r="F84" s="315"/>
      <c r="G84" s="315"/>
      <c r="H84" s="315"/>
      <c r="I84" s="315"/>
      <c r="J84" s="315"/>
      <c r="K84" s="383">
        <f>AVERAGE(K3:K81)</f>
        <v>1.3333333333333333</v>
      </c>
      <c r="L84" s="383"/>
      <c r="M84" s="383"/>
      <c r="N84" s="383"/>
      <c r="O84" s="383"/>
      <c r="P84" s="383"/>
      <c r="Q84" s="383"/>
      <c r="R84" s="383"/>
      <c r="S84" s="383"/>
      <c r="T84" s="383"/>
      <c r="U84" s="383"/>
      <c r="V84" s="383"/>
      <c r="W84" s="383"/>
      <c r="X84" s="383"/>
      <c r="Y84" s="383"/>
      <c r="Z84" s="383"/>
      <c r="AA84" s="383"/>
      <c r="AB84" s="383"/>
      <c r="AC84" s="383"/>
      <c r="AD84" s="383"/>
      <c r="AE84" s="383"/>
      <c r="AF84" s="383"/>
      <c r="AG84" s="383"/>
      <c r="AH84" s="383"/>
      <c r="AI84" s="383"/>
      <c r="AJ84" s="383"/>
      <c r="AK84" s="383"/>
      <c r="AL84" s="383"/>
      <c r="AM84" s="383"/>
      <c r="AN84" s="383"/>
      <c r="AO84" s="383"/>
      <c r="AP84" s="383"/>
      <c r="AQ84" s="383"/>
      <c r="AR84" s="383"/>
      <c r="AS84" s="383"/>
      <c r="AT84" s="383"/>
      <c r="AU84" s="383"/>
      <c r="AV84" s="383"/>
      <c r="AW84" s="383"/>
      <c r="AX84" s="383"/>
      <c r="AY84" s="383"/>
      <c r="AZ84" s="383"/>
      <c r="BA84" s="383"/>
      <c r="BB84" s="383"/>
      <c r="BC84" s="383"/>
      <c r="BD84" s="383"/>
      <c r="BE84" s="383"/>
      <c r="BF84" s="383"/>
      <c r="BG84" s="383"/>
      <c r="BH84" s="383"/>
      <c r="BI84" s="383"/>
      <c r="BJ84" s="383"/>
      <c r="BK84" s="383"/>
      <c r="BL84" s="383"/>
      <c r="BM84" s="383"/>
      <c r="BN84" s="383"/>
      <c r="BO84" s="383"/>
      <c r="BP84" s="383"/>
      <c r="BQ84" s="383"/>
      <c r="BR84" s="383"/>
      <c r="BS84" s="383"/>
      <c r="BT84" s="383"/>
      <c r="BU84" s="383"/>
      <c r="BV84" s="383"/>
      <c r="BW84" s="383"/>
      <c r="BX84" s="383"/>
      <c r="BY84" s="383"/>
      <c r="BZ84" s="383"/>
      <c r="CA84" s="383"/>
      <c r="CB84" s="383"/>
    </row>
    <row r="85" spans="1:80" ht="27.75" customHeight="1" thickBot="1" x14ac:dyDescent="0.25">
      <c r="A85" s="428"/>
      <c r="B85" s="317"/>
      <c r="C85" s="317"/>
      <c r="D85" s="317"/>
      <c r="E85" s="318" t="s">
        <v>21</v>
      </c>
      <c r="F85" s="318"/>
      <c r="G85" s="318"/>
      <c r="H85" s="318"/>
      <c r="I85" s="318"/>
      <c r="J85" s="318"/>
      <c r="K85" s="323"/>
      <c r="L85" s="323">
        <f>AVERAGE(L3:L81)</f>
        <v>1.5</v>
      </c>
      <c r="M85" s="323"/>
      <c r="N85" s="323"/>
      <c r="O85" s="323"/>
      <c r="P85" s="323"/>
      <c r="Q85" s="323"/>
      <c r="R85" s="323"/>
      <c r="S85" s="323"/>
      <c r="T85" s="323"/>
      <c r="U85" s="323"/>
      <c r="V85" s="323"/>
      <c r="W85" s="323"/>
      <c r="X85" s="323"/>
      <c r="Y85" s="323"/>
      <c r="Z85" s="323"/>
      <c r="AA85" s="323"/>
      <c r="AB85" s="323"/>
      <c r="AC85" s="323"/>
      <c r="AD85" s="323"/>
      <c r="AE85" s="323"/>
      <c r="AF85" s="323"/>
      <c r="AG85" s="323"/>
      <c r="AH85" s="323"/>
      <c r="AI85" s="323"/>
      <c r="AJ85" s="323"/>
      <c r="AK85" s="323"/>
      <c r="AL85" s="323"/>
      <c r="AM85" s="323"/>
      <c r="AN85" s="323"/>
      <c r="AO85" s="323"/>
      <c r="AP85" s="323"/>
      <c r="AQ85" s="323"/>
      <c r="AR85" s="323"/>
      <c r="AS85" s="323"/>
      <c r="AT85" s="323"/>
      <c r="AU85" s="323"/>
      <c r="AV85" s="323"/>
      <c r="AW85" s="323"/>
      <c r="AX85" s="323"/>
      <c r="AY85" s="323"/>
      <c r="AZ85" s="323"/>
      <c r="BA85" s="323"/>
      <c r="BB85" s="323"/>
      <c r="BC85" s="323"/>
      <c r="BD85" s="323"/>
      <c r="BE85" s="323"/>
      <c r="BF85" s="323"/>
      <c r="BG85" s="323"/>
      <c r="BH85" s="323"/>
      <c r="BI85" s="323"/>
      <c r="BJ85" s="323"/>
      <c r="BK85" s="323"/>
      <c r="BL85" s="323"/>
      <c r="BM85" s="323"/>
      <c r="BN85" s="323"/>
      <c r="BO85" s="323"/>
      <c r="BP85" s="323"/>
      <c r="BQ85" s="323"/>
      <c r="BR85" s="323"/>
      <c r="BS85" s="323"/>
      <c r="BT85" s="323"/>
      <c r="BU85" s="323"/>
      <c r="BV85" s="323"/>
      <c r="BW85" s="323"/>
      <c r="BX85" s="323"/>
      <c r="BY85" s="323"/>
      <c r="BZ85" s="323"/>
      <c r="CA85" s="323"/>
      <c r="CB85" s="323"/>
    </row>
    <row r="86" spans="1:80" ht="27.75" customHeight="1" thickBot="1" x14ac:dyDescent="0.25">
      <c r="A86" s="428"/>
      <c r="B86" s="319"/>
      <c r="C86" s="319"/>
      <c r="D86" s="319"/>
      <c r="E86" s="318" t="s">
        <v>22</v>
      </c>
      <c r="F86" s="318"/>
      <c r="G86" s="318"/>
      <c r="H86" s="318"/>
      <c r="I86" s="318"/>
      <c r="J86" s="318"/>
      <c r="K86" s="384"/>
      <c r="L86" s="384"/>
      <c r="M86" s="384">
        <f>AVERAGE(M3:M81)</f>
        <v>1.5555555555555556</v>
      </c>
      <c r="N86" s="384"/>
      <c r="O86" s="384"/>
      <c r="P86" s="384"/>
      <c r="Q86" s="384"/>
      <c r="R86" s="384"/>
      <c r="S86" s="384"/>
      <c r="T86" s="384"/>
      <c r="U86" s="384"/>
      <c r="V86" s="384"/>
      <c r="W86" s="384"/>
      <c r="X86" s="384"/>
      <c r="Y86" s="384"/>
      <c r="Z86" s="384"/>
      <c r="AA86" s="384"/>
      <c r="AB86" s="384"/>
      <c r="AC86" s="384"/>
      <c r="AD86" s="384"/>
      <c r="AE86" s="384"/>
      <c r="AF86" s="384"/>
      <c r="AG86" s="384"/>
      <c r="AH86" s="384"/>
      <c r="AI86" s="384"/>
      <c r="AJ86" s="384"/>
      <c r="AK86" s="384"/>
      <c r="AL86" s="384"/>
      <c r="AM86" s="384"/>
      <c r="AN86" s="384"/>
      <c r="AO86" s="384"/>
      <c r="AP86" s="384"/>
      <c r="AQ86" s="384"/>
      <c r="AR86" s="384"/>
      <c r="AS86" s="384"/>
      <c r="AT86" s="384"/>
      <c r="AU86" s="384"/>
      <c r="AV86" s="384"/>
      <c r="AW86" s="384"/>
      <c r="AX86" s="384"/>
      <c r="AY86" s="384"/>
      <c r="AZ86" s="384"/>
      <c r="BA86" s="384"/>
      <c r="BB86" s="384"/>
      <c r="BC86" s="384"/>
      <c r="BD86" s="384"/>
      <c r="BE86" s="384"/>
      <c r="BF86" s="384"/>
      <c r="BG86" s="384"/>
      <c r="BH86" s="384"/>
      <c r="BI86" s="384"/>
      <c r="BJ86" s="384"/>
      <c r="BK86" s="384"/>
      <c r="BL86" s="384"/>
      <c r="BM86" s="384"/>
      <c r="BN86" s="384"/>
      <c r="BO86" s="384"/>
      <c r="BP86" s="384"/>
      <c r="BQ86" s="384"/>
      <c r="BR86" s="384"/>
      <c r="BS86" s="384"/>
      <c r="BT86" s="384"/>
      <c r="BU86" s="384"/>
      <c r="BV86" s="384"/>
      <c r="BW86" s="384"/>
      <c r="BX86" s="384"/>
      <c r="BY86" s="384"/>
      <c r="BZ86" s="384"/>
      <c r="CA86" s="384"/>
      <c r="CB86" s="384"/>
    </row>
    <row r="87" spans="1:80" ht="27.75" customHeight="1" thickBot="1" x14ac:dyDescent="0.25">
      <c r="A87" s="428"/>
      <c r="B87" s="317"/>
      <c r="C87" s="317"/>
      <c r="D87" s="317"/>
      <c r="E87" s="318" t="s">
        <v>23</v>
      </c>
      <c r="F87" s="318"/>
      <c r="G87" s="318"/>
      <c r="H87" s="318"/>
      <c r="I87" s="318"/>
      <c r="J87" s="318"/>
      <c r="K87" s="385"/>
      <c r="L87" s="385"/>
      <c r="M87" s="385"/>
      <c r="N87" s="385">
        <f>AVERAGE(N3:N81)</f>
        <v>1</v>
      </c>
      <c r="O87" s="385"/>
      <c r="P87" s="385"/>
      <c r="Q87" s="385"/>
      <c r="R87" s="385"/>
      <c r="S87" s="385"/>
      <c r="T87" s="385"/>
      <c r="U87" s="385"/>
      <c r="V87" s="385"/>
      <c r="W87" s="385"/>
      <c r="X87" s="385"/>
      <c r="Y87" s="385"/>
      <c r="Z87" s="385"/>
      <c r="AA87" s="385"/>
      <c r="AB87" s="385"/>
      <c r="AC87" s="385"/>
      <c r="AD87" s="385"/>
      <c r="AE87" s="385"/>
      <c r="AF87" s="385"/>
      <c r="AG87" s="385"/>
      <c r="AH87" s="385"/>
      <c r="AI87" s="385"/>
      <c r="AJ87" s="385"/>
      <c r="AK87" s="385"/>
      <c r="AL87" s="385"/>
      <c r="AM87" s="385"/>
      <c r="AN87" s="385"/>
      <c r="AO87" s="385"/>
      <c r="AP87" s="385"/>
      <c r="AQ87" s="385"/>
      <c r="AR87" s="385"/>
      <c r="AS87" s="385"/>
      <c r="AT87" s="385"/>
      <c r="AU87" s="385"/>
      <c r="AV87" s="385"/>
      <c r="AW87" s="385"/>
      <c r="AX87" s="385"/>
      <c r="AY87" s="385"/>
      <c r="AZ87" s="385"/>
      <c r="BA87" s="385"/>
      <c r="BB87" s="385"/>
      <c r="BC87" s="385"/>
      <c r="BD87" s="385"/>
      <c r="BE87" s="385"/>
      <c r="BF87" s="385"/>
      <c r="BG87" s="385"/>
      <c r="BH87" s="385"/>
      <c r="BI87" s="385"/>
      <c r="BJ87" s="385"/>
      <c r="BK87" s="385"/>
      <c r="BL87" s="385"/>
      <c r="BM87" s="385"/>
      <c r="BN87" s="385"/>
      <c r="BO87" s="385"/>
      <c r="BP87" s="385"/>
      <c r="BQ87" s="385"/>
      <c r="BR87" s="385"/>
      <c r="BS87" s="385"/>
      <c r="BT87" s="385"/>
      <c r="BU87" s="385"/>
      <c r="BV87" s="385"/>
      <c r="BW87" s="385"/>
      <c r="BX87" s="385"/>
      <c r="BY87" s="385"/>
      <c r="BZ87" s="385"/>
      <c r="CA87" s="385"/>
      <c r="CB87" s="385"/>
    </row>
    <row r="88" spans="1:80" ht="27.75" customHeight="1" thickBot="1" x14ac:dyDescent="0.25">
      <c r="A88" s="428"/>
      <c r="B88" s="319"/>
      <c r="C88" s="319"/>
      <c r="D88" s="319"/>
      <c r="E88" s="318" t="s">
        <v>24</v>
      </c>
      <c r="F88" s="318"/>
      <c r="G88" s="318"/>
      <c r="H88" s="318"/>
      <c r="I88" s="318"/>
      <c r="J88" s="318"/>
      <c r="K88" s="384"/>
      <c r="L88" s="384"/>
      <c r="M88" s="384"/>
      <c r="N88" s="384"/>
      <c r="O88" s="384">
        <f>AVERAGE(O3:O81)</f>
        <v>2.0476190476190474</v>
      </c>
      <c r="P88" s="384"/>
      <c r="Q88" s="384"/>
      <c r="R88" s="384"/>
      <c r="S88" s="384"/>
      <c r="T88" s="384"/>
      <c r="U88" s="384"/>
      <c r="V88" s="384"/>
      <c r="W88" s="384"/>
      <c r="X88" s="384"/>
      <c r="Y88" s="384"/>
      <c r="Z88" s="384"/>
      <c r="AA88" s="384"/>
      <c r="AB88" s="384"/>
      <c r="AC88" s="384"/>
      <c r="AD88" s="384"/>
      <c r="AE88" s="384"/>
      <c r="AF88" s="384"/>
      <c r="AG88" s="384"/>
      <c r="AH88" s="384"/>
      <c r="AI88" s="384"/>
      <c r="AJ88" s="384"/>
      <c r="AK88" s="384"/>
      <c r="AL88" s="384"/>
      <c r="AM88" s="384"/>
      <c r="AN88" s="384"/>
      <c r="AO88" s="384"/>
      <c r="AP88" s="384"/>
      <c r="AQ88" s="384"/>
      <c r="AR88" s="384"/>
      <c r="AS88" s="384"/>
      <c r="AT88" s="384"/>
      <c r="AU88" s="384"/>
      <c r="AV88" s="384"/>
      <c r="AW88" s="384"/>
      <c r="AX88" s="384"/>
      <c r="AY88" s="384"/>
      <c r="AZ88" s="384"/>
      <c r="BA88" s="384"/>
      <c r="BB88" s="384"/>
      <c r="BC88" s="384"/>
      <c r="BD88" s="384"/>
      <c r="BE88" s="384"/>
      <c r="BF88" s="384"/>
      <c r="BG88" s="384"/>
      <c r="BH88" s="384"/>
      <c r="BI88" s="384"/>
      <c r="BJ88" s="384"/>
      <c r="BK88" s="384"/>
      <c r="BL88" s="384"/>
      <c r="BM88" s="384"/>
      <c r="BN88" s="384"/>
      <c r="BO88" s="384"/>
      <c r="BP88" s="384"/>
      <c r="BQ88" s="384"/>
      <c r="BR88" s="384"/>
      <c r="BS88" s="384"/>
      <c r="BT88" s="384"/>
      <c r="BU88" s="384"/>
      <c r="BV88" s="384"/>
      <c r="BW88" s="384"/>
      <c r="BX88" s="384"/>
      <c r="BY88" s="384"/>
      <c r="BZ88" s="384"/>
      <c r="CA88" s="384"/>
      <c r="CB88" s="384"/>
    </row>
    <row r="89" spans="1:80" ht="27.75" customHeight="1" thickBot="1" x14ac:dyDescent="0.25">
      <c r="A89" s="428"/>
      <c r="B89" s="317"/>
      <c r="C89" s="317"/>
      <c r="D89" s="317"/>
      <c r="E89" s="318" t="s">
        <v>25</v>
      </c>
      <c r="F89" s="318"/>
      <c r="G89" s="318"/>
      <c r="H89" s="318"/>
      <c r="I89" s="318"/>
      <c r="J89" s="318"/>
      <c r="K89" s="385"/>
      <c r="L89" s="385"/>
      <c r="M89" s="385"/>
      <c r="N89" s="385"/>
      <c r="O89" s="385"/>
      <c r="P89" s="384">
        <f>IF(AVERAGE(P3:P81)=4,4,IF(AVERAGE(P3:P81)=3,MAX(3,AVERAGE(K84:O88)),AVERAGE(K84:O88)))</f>
        <v>1.4873015873015871</v>
      </c>
      <c r="Q89" s="385"/>
      <c r="R89" s="385"/>
      <c r="S89" s="385"/>
      <c r="T89" s="385"/>
      <c r="U89" s="385"/>
      <c r="V89" s="385"/>
      <c r="W89" s="385"/>
      <c r="X89" s="385"/>
      <c r="Y89" s="385"/>
      <c r="Z89" s="385"/>
      <c r="AA89" s="385"/>
      <c r="AB89" s="385"/>
      <c r="AC89" s="385"/>
      <c r="AD89" s="385"/>
      <c r="AE89" s="385"/>
      <c r="AF89" s="385"/>
      <c r="AG89" s="385"/>
      <c r="AH89" s="385"/>
      <c r="AI89" s="385"/>
      <c r="AJ89" s="385"/>
      <c r="AK89" s="385"/>
      <c r="AL89" s="385"/>
      <c r="AM89" s="385"/>
      <c r="AN89" s="385"/>
      <c r="AO89" s="385"/>
      <c r="AP89" s="385"/>
      <c r="AQ89" s="385"/>
      <c r="AR89" s="385"/>
      <c r="AS89" s="385"/>
      <c r="AT89" s="385"/>
      <c r="AU89" s="385"/>
      <c r="AV89" s="385"/>
      <c r="AW89" s="385"/>
      <c r="AX89" s="385"/>
      <c r="AY89" s="385"/>
      <c r="AZ89" s="385"/>
      <c r="BA89" s="385"/>
      <c r="BB89" s="385"/>
      <c r="BC89" s="385"/>
      <c r="BD89" s="385"/>
      <c r="BE89" s="385"/>
      <c r="BF89" s="385"/>
      <c r="BG89" s="385"/>
      <c r="BH89" s="385"/>
      <c r="BI89" s="385"/>
      <c r="BJ89" s="385"/>
      <c r="BK89" s="385"/>
      <c r="BL89" s="385"/>
      <c r="BM89" s="385"/>
      <c r="BN89" s="385"/>
      <c r="BO89" s="385"/>
      <c r="BP89" s="385"/>
      <c r="BQ89" s="385"/>
      <c r="BR89" s="385"/>
      <c r="BS89" s="385"/>
      <c r="BT89" s="385"/>
      <c r="BU89" s="385"/>
      <c r="BV89" s="385"/>
      <c r="BW89" s="385"/>
      <c r="BX89" s="385"/>
      <c r="BY89" s="385"/>
      <c r="BZ89" s="385"/>
      <c r="CA89" s="385"/>
      <c r="CB89" s="385"/>
    </row>
    <row r="90" spans="1:80" ht="27.75" customHeight="1" thickBot="1" x14ac:dyDescent="0.25">
      <c r="A90" s="428"/>
      <c r="B90" s="319"/>
      <c r="C90" s="319"/>
      <c r="D90" s="319"/>
      <c r="E90" s="318" t="s">
        <v>26</v>
      </c>
      <c r="F90" s="318"/>
      <c r="G90" s="318"/>
      <c r="H90" s="318"/>
      <c r="I90" s="318"/>
      <c r="J90" s="318"/>
      <c r="K90" s="384"/>
      <c r="L90" s="384"/>
      <c r="M90" s="384"/>
      <c r="N90" s="384"/>
      <c r="O90" s="384"/>
      <c r="P90" s="384"/>
      <c r="Q90" s="384">
        <f>LinLogIntp2D1('Slope stability'!E5:H5,'Slope stability'!D6:D24,'Slope stability'!E6:H24,P89,Q17)</f>
        <v>5.5824450226049267E-7</v>
      </c>
      <c r="R90" s="384"/>
      <c r="S90" s="384"/>
      <c r="T90" s="384"/>
      <c r="U90" s="384"/>
      <c r="V90" s="384"/>
      <c r="W90" s="384"/>
      <c r="X90" s="384"/>
      <c r="Y90" s="384"/>
      <c r="Z90" s="384"/>
      <c r="AA90" s="384"/>
      <c r="AB90" s="384"/>
      <c r="AC90" s="384"/>
      <c r="AD90" s="384"/>
      <c r="AE90" s="384"/>
      <c r="AF90" s="384"/>
      <c r="AG90" s="384"/>
      <c r="AH90" s="384"/>
      <c r="AI90" s="384"/>
      <c r="AJ90" s="384"/>
      <c r="AK90" s="384"/>
      <c r="AL90" s="384"/>
      <c r="AM90" s="384"/>
      <c r="AN90" s="384"/>
      <c r="AO90" s="384"/>
      <c r="AP90" s="384"/>
      <c r="AQ90" s="384"/>
      <c r="AR90" s="384"/>
      <c r="AS90" s="384"/>
      <c r="AT90" s="384"/>
      <c r="AU90" s="384"/>
      <c r="AV90" s="384"/>
      <c r="AW90" s="384"/>
      <c r="AX90" s="384"/>
      <c r="AY90" s="384"/>
      <c r="AZ90" s="384"/>
      <c r="BA90" s="384"/>
      <c r="BB90" s="384"/>
      <c r="BC90" s="384"/>
      <c r="BD90" s="384"/>
      <c r="BE90" s="384"/>
      <c r="BF90" s="384"/>
      <c r="BG90" s="384"/>
      <c r="BH90" s="384"/>
      <c r="BI90" s="384"/>
      <c r="BJ90" s="384"/>
      <c r="BK90" s="384"/>
      <c r="BL90" s="384"/>
      <c r="BM90" s="384"/>
      <c r="BN90" s="384"/>
      <c r="BO90" s="384"/>
      <c r="BP90" s="384"/>
      <c r="BQ90" s="384"/>
      <c r="BR90" s="384"/>
      <c r="BS90" s="384"/>
      <c r="BT90" s="384"/>
      <c r="BU90" s="384"/>
      <c r="BV90" s="384"/>
      <c r="BW90" s="384"/>
      <c r="BX90" s="384"/>
      <c r="BY90" s="384"/>
      <c r="BZ90" s="384"/>
      <c r="CA90" s="384"/>
      <c r="CB90" s="384"/>
    </row>
    <row r="91" spans="1:80" ht="27.75" customHeight="1" thickBot="1" x14ac:dyDescent="0.25">
      <c r="A91" s="428"/>
      <c r="B91" s="317"/>
      <c r="C91" s="317"/>
      <c r="D91" s="317"/>
      <c r="E91" s="320" t="s">
        <v>27</v>
      </c>
      <c r="F91" s="320"/>
      <c r="G91" s="320"/>
      <c r="H91" s="320"/>
      <c r="I91" s="320"/>
      <c r="J91" s="320"/>
      <c r="K91" s="385"/>
      <c r="L91" s="385"/>
      <c r="M91" s="385"/>
      <c r="N91" s="385"/>
      <c r="O91" s="385"/>
      <c r="P91" s="385"/>
      <c r="Q91" s="385"/>
      <c r="R91" s="385">
        <f>AVERAGE(R3:R81)</f>
        <v>1.3333333333333333</v>
      </c>
      <c r="S91" s="385"/>
      <c r="T91" s="385"/>
      <c r="U91" s="385"/>
      <c r="V91" s="385"/>
      <c r="W91" s="385"/>
      <c r="X91" s="385"/>
      <c r="Y91" s="385"/>
      <c r="Z91" s="385"/>
      <c r="AA91" s="385"/>
      <c r="AB91" s="385"/>
      <c r="AC91" s="385"/>
      <c r="AD91" s="385"/>
      <c r="AE91" s="385"/>
      <c r="AF91" s="385"/>
      <c r="AG91" s="385"/>
      <c r="AH91" s="385"/>
      <c r="AI91" s="385"/>
      <c r="AJ91" s="385"/>
      <c r="AK91" s="385"/>
      <c r="AL91" s="385"/>
      <c r="AM91" s="385"/>
      <c r="AN91" s="385"/>
      <c r="AO91" s="385"/>
      <c r="AP91" s="385"/>
      <c r="AQ91" s="385"/>
      <c r="AR91" s="385"/>
      <c r="AS91" s="385"/>
      <c r="AT91" s="385"/>
      <c r="AU91" s="385"/>
      <c r="AV91" s="385"/>
      <c r="AW91" s="385"/>
      <c r="AX91" s="385"/>
      <c r="AY91" s="385"/>
      <c r="AZ91" s="385"/>
      <c r="BA91" s="385"/>
      <c r="BB91" s="385"/>
      <c r="BC91" s="385"/>
      <c r="BD91" s="385"/>
      <c r="BE91" s="385"/>
      <c r="BF91" s="385"/>
      <c r="BG91" s="385"/>
      <c r="BH91" s="385"/>
      <c r="BI91" s="385"/>
      <c r="BJ91" s="385"/>
      <c r="BK91" s="385"/>
      <c r="BL91" s="385"/>
      <c r="BM91" s="385"/>
      <c r="BN91" s="385"/>
      <c r="BO91" s="385"/>
      <c r="BP91" s="385"/>
      <c r="BQ91" s="385"/>
      <c r="BR91" s="385"/>
      <c r="BS91" s="385"/>
      <c r="BT91" s="385"/>
      <c r="BU91" s="385"/>
      <c r="BV91" s="385"/>
      <c r="BW91" s="385"/>
      <c r="BX91" s="385"/>
      <c r="BY91" s="385"/>
      <c r="BZ91" s="385"/>
      <c r="CA91" s="385"/>
      <c r="CB91" s="385"/>
    </row>
    <row r="92" spans="1:80" ht="27.75" customHeight="1" thickBot="1" x14ac:dyDescent="0.25">
      <c r="A92" s="428"/>
      <c r="B92" s="319"/>
      <c r="C92" s="319"/>
      <c r="D92" s="319"/>
      <c r="E92" s="320" t="s">
        <v>28</v>
      </c>
      <c r="F92" s="320"/>
      <c r="G92" s="320"/>
      <c r="H92" s="320"/>
      <c r="I92" s="320"/>
      <c r="J92" s="320"/>
      <c r="K92" s="384"/>
      <c r="L92" s="384"/>
      <c r="M92" s="384"/>
      <c r="N92" s="384"/>
      <c r="O92" s="384"/>
      <c r="P92" s="384"/>
      <c r="Q92" s="384"/>
      <c r="R92" s="384"/>
      <c r="S92" s="384">
        <f>AVERAGE(S3:S81)</f>
        <v>1.5</v>
      </c>
      <c r="T92" s="384"/>
      <c r="U92" s="384"/>
      <c r="V92" s="384"/>
      <c r="W92" s="384"/>
      <c r="X92" s="384"/>
      <c r="Y92" s="384"/>
      <c r="Z92" s="384"/>
      <c r="AA92" s="384"/>
      <c r="AB92" s="384"/>
      <c r="AC92" s="384"/>
      <c r="AD92" s="384"/>
      <c r="AE92" s="384"/>
      <c r="AF92" s="384"/>
      <c r="AG92" s="384"/>
      <c r="AH92" s="384"/>
      <c r="AI92" s="384"/>
      <c r="AJ92" s="384"/>
      <c r="AK92" s="384"/>
      <c r="AL92" s="384"/>
      <c r="AM92" s="384"/>
      <c r="AN92" s="384"/>
      <c r="AO92" s="384"/>
      <c r="AP92" s="384"/>
      <c r="AQ92" s="384"/>
      <c r="AR92" s="384"/>
      <c r="AS92" s="384"/>
      <c r="AT92" s="384"/>
      <c r="AU92" s="384"/>
      <c r="AV92" s="384"/>
      <c r="AW92" s="384"/>
      <c r="AX92" s="384"/>
      <c r="AY92" s="384"/>
      <c r="AZ92" s="384"/>
      <c r="BA92" s="384"/>
      <c r="BB92" s="384"/>
      <c r="BC92" s="384"/>
      <c r="BD92" s="384"/>
      <c r="BE92" s="384"/>
      <c r="BF92" s="384"/>
      <c r="BG92" s="384"/>
      <c r="BH92" s="384"/>
      <c r="BI92" s="384"/>
      <c r="BJ92" s="384"/>
      <c r="BK92" s="384"/>
      <c r="BL92" s="384"/>
      <c r="BM92" s="384"/>
      <c r="BN92" s="384"/>
      <c r="BO92" s="384"/>
      <c r="BP92" s="384"/>
      <c r="BQ92" s="384"/>
      <c r="BR92" s="384"/>
      <c r="BS92" s="384"/>
      <c r="BT92" s="384"/>
      <c r="BU92" s="384"/>
      <c r="BV92" s="384"/>
      <c r="BW92" s="384"/>
      <c r="BX92" s="384"/>
      <c r="BY92" s="384"/>
      <c r="BZ92" s="384"/>
      <c r="CA92" s="384"/>
      <c r="CB92" s="384"/>
    </row>
    <row r="93" spans="1:80" ht="27.75" customHeight="1" thickBot="1" x14ac:dyDescent="0.25">
      <c r="A93" s="428"/>
      <c r="B93" s="317"/>
      <c r="C93" s="317"/>
      <c r="D93" s="317"/>
      <c r="E93" s="320" t="s">
        <v>29</v>
      </c>
      <c r="F93" s="320"/>
      <c r="G93" s="320"/>
      <c r="H93" s="320"/>
      <c r="I93" s="320"/>
      <c r="J93" s="320"/>
      <c r="K93" s="385"/>
      <c r="L93" s="385"/>
      <c r="M93" s="385"/>
      <c r="N93" s="385"/>
      <c r="O93" s="385"/>
      <c r="P93" s="385"/>
      <c r="Q93" s="385"/>
      <c r="R93" s="385"/>
      <c r="S93" s="385"/>
      <c r="T93" s="385">
        <f>AVERAGE(T3:T81)</f>
        <v>1.5555555555555556</v>
      </c>
      <c r="U93" s="385"/>
      <c r="V93" s="385"/>
      <c r="W93" s="385"/>
      <c r="X93" s="385"/>
      <c r="Y93" s="385"/>
      <c r="Z93" s="385"/>
      <c r="AA93" s="385"/>
      <c r="AB93" s="385"/>
      <c r="AC93" s="385"/>
      <c r="AD93" s="385"/>
      <c r="AE93" s="385"/>
      <c r="AF93" s="385"/>
      <c r="AG93" s="385"/>
      <c r="AH93" s="385"/>
      <c r="AI93" s="385"/>
      <c r="AJ93" s="385"/>
      <c r="AK93" s="385"/>
      <c r="AL93" s="385"/>
      <c r="AM93" s="385"/>
      <c r="AN93" s="385"/>
      <c r="AO93" s="385"/>
      <c r="AP93" s="385"/>
      <c r="AQ93" s="385"/>
      <c r="AR93" s="385"/>
      <c r="AS93" s="385"/>
      <c r="AT93" s="385"/>
      <c r="AU93" s="385"/>
      <c r="AV93" s="385"/>
      <c r="AW93" s="385"/>
      <c r="AX93" s="385"/>
      <c r="AY93" s="385"/>
      <c r="AZ93" s="385"/>
      <c r="BA93" s="385"/>
      <c r="BB93" s="385"/>
      <c r="BC93" s="385"/>
      <c r="BD93" s="385"/>
      <c r="BE93" s="385"/>
      <c r="BF93" s="385"/>
      <c r="BG93" s="385"/>
      <c r="BH93" s="385"/>
      <c r="BI93" s="385"/>
      <c r="BJ93" s="385"/>
      <c r="BK93" s="385"/>
      <c r="BL93" s="385"/>
      <c r="BM93" s="385"/>
      <c r="BN93" s="385"/>
      <c r="BO93" s="385"/>
      <c r="BP93" s="385"/>
      <c r="BQ93" s="385"/>
      <c r="BR93" s="385"/>
      <c r="BS93" s="385"/>
      <c r="BT93" s="385"/>
      <c r="BU93" s="385"/>
      <c r="BV93" s="385"/>
      <c r="BW93" s="385"/>
      <c r="BX93" s="385"/>
      <c r="BY93" s="385"/>
      <c r="BZ93" s="385"/>
      <c r="CA93" s="385"/>
      <c r="CB93" s="385"/>
    </row>
    <row r="94" spans="1:80" ht="27.75" customHeight="1" thickBot="1" x14ac:dyDescent="0.25">
      <c r="A94" s="428"/>
      <c r="B94" s="319"/>
      <c r="C94" s="319"/>
      <c r="D94" s="319"/>
      <c r="E94" s="320" t="s">
        <v>30</v>
      </c>
      <c r="F94" s="320"/>
      <c r="G94" s="320"/>
      <c r="H94" s="320"/>
      <c r="I94" s="320"/>
      <c r="J94" s="320"/>
      <c r="K94" s="384"/>
      <c r="L94" s="384"/>
      <c r="M94" s="384"/>
      <c r="N94" s="384"/>
      <c r="O94" s="384"/>
      <c r="P94" s="384"/>
      <c r="Q94" s="384"/>
      <c r="R94" s="384"/>
      <c r="S94" s="384"/>
      <c r="T94" s="384"/>
      <c r="U94" s="384">
        <f>AVERAGE(U3:U81)</f>
        <v>1</v>
      </c>
      <c r="V94" s="384"/>
      <c r="W94" s="384"/>
      <c r="X94" s="384"/>
      <c r="Y94" s="384"/>
      <c r="Z94" s="384"/>
      <c r="AA94" s="384"/>
      <c r="AB94" s="384"/>
      <c r="AC94" s="384"/>
      <c r="AD94" s="384"/>
      <c r="AE94" s="384"/>
      <c r="AF94" s="384"/>
      <c r="AG94" s="384"/>
      <c r="AH94" s="384"/>
      <c r="AI94" s="384"/>
      <c r="AJ94" s="384"/>
      <c r="AK94" s="384"/>
      <c r="AL94" s="384"/>
      <c r="AM94" s="384"/>
      <c r="AN94" s="384"/>
      <c r="AO94" s="384"/>
      <c r="AP94" s="384"/>
      <c r="AQ94" s="384"/>
      <c r="AR94" s="384"/>
      <c r="AS94" s="384"/>
      <c r="AT94" s="384"/>
      <c r="AU94" s="384"/>
      <c r="AV94" s="384"/>
      <c r="AW94" s="384"/>
      <c r="AX94" s="384"/>
      <c r="AY94" s="384"/>
      <c r="AZ94" s="384"/>
      <c r="BA94" s="384"/>
      <c r="BB94" s="384"/>
      <c r="BC94" s="384"/>
      <c r="BD94" s="384"/>
      <c r="BE94" s="384"/>
      <c r="BF94" s="384"/>
      <c r="BG94" s="384"/>
      <c r="BH94" s="384"/>
      <c r="BI94" s="384"/>
      <c r="BJ94" s="384"/>
      <c r="BK94" s="384"/>
      <c r="BL94" s="384"/>
      <c r="BM94" s="384"/>
      <c r="BN94" s="384"/>
      <c r="BO94" s="384"/>
      <c r="BP94" s="384"/>
      <c r="BQ94" s="384"/>
      <c r="BR94" s="384"/>
      <c r="BS94" s="384"/>
      <c r="BT94" s="384"/>
      <c r="BU94" s="384"/>
      <c r="BV94" s="384"/>
      <c r="BW94" s="384"/>
      <c r="BX94" s="384"/>
      <c r="BY94" s="384"/>
      <c r="BZ94" s="384"/>
      <c r="CA94" s="384"/>
      <c r="CB94" s="384"/>
    </row>
    <row r="95" spans="1:80" ht="27.75" customHeight="1" thickBot="1" x14ac:dyDescent="0.25">
      <c r="A95" s="428"/>
      <c r="B95" s="317"/>
      <c r="C95" s="317"/>
      <c r="D95" s="317"/>
      <c r="E95" s="320" t="s">
        <v>31</v>
      </c>
      <c r="F95" s="320"/>
      <c r="G95" s="320"/>
      <c r="H95" s="320"/>
      <c r="I95" s="320"/>
      <c r="J95" s="320"/>
      <c r="K95" s="385"/>
      <c r="L95" s="385"/>
      <c r="M95" s="385"/>
      <c r="N95" s="385"/>
      <c r="O95" s="385"/>
      <c r="P95" s="385"/>
      <c r="Q95" s="385"/>
      <c r="R95" s="385"/>
      <c r="S95" s="385"/>
      <c r="T95" s="385"/>
      <c r="U95" s="385"/>
      <c r="V95" s="385">
        <f>AVERAGE(V3:V81)</f>
        <v>2.0476190476190474</v>
      </c>
      <c r="W95" s="385"/>
      <c r="X95" s="385"/>
      <c r="Y95" s="385"/>
      <c r="Z95" s="385"/>
      <c r="AA95" s="385"/>
      <c r="AB95" s="385"/>
      <c r="AC95" s="385"/>
      <c r="AD95" s="385"/>
      <c r="AE95" s="385"/>
      <c r="AF95" s="385"/>
      <c r="AG95" s="385"/>
      <c r="AH95" s="385"/>
      <c r="AI95" s="385"/>
      <c r="AJ95" s="385"/>
      <c r="AK95" s="385"/>
      <c r="AL95" s="385"/>
      <c r="AM95" s="385"/>
      <c r="AN95" s="385"/>
      <c r="AO95" s="385"/>
      <c r="AP95" s="385"/>
      <c r="AQ95" s="385"/>
      <c r="AR95" s="385"/>
      <c r="AS95" s="385"/>
      <c r="AT95" s="385"/>
      <c r="AU95" s="385"/>
      <c r="AV95" s="385"/>
      <c r="AW95" s="385"/>
      <c r="AX95" s="385"/>
      <c r="AY95" s="385"/>
      <c r="AZ95" s="385"/>
      <c r="BA95" s="385"/>
      <c r="BB95" s="385"/>
      <c r="BC95" s="385"/>
      <c r="BD95" s="385"/>
      <c r="BE95" s="385"/>
      <c r="BF95" s="385"/>
      <c r="BG95" s="385"/>
      <c r="BH95" s="385"/>
      <c r="BI95" s="385"/>
      <c r="BJ95" s="385"/>
      <c r="BK95" s="385"/>
      <c r="BL95" s="385"/>
      <c r="BM95" s="385"/>
      <c r="BN95" s="385"/>
      <c r="BO95" s="385"/>
      <c r="BP95" s="385"/>
      <c r="BQ95" s="385"/>
      <c r="BR95" s="385"/>
      <c r="BS95" s="385"/>
      <c r="BT95" s="385"/>
      <c r="BU95" s="385"/>
      <c r="BV95" s="385"/>
      <c r="BW95" s="385"/>
      <c r="BX95" s="385"/>
      <c r="BY95" s="385"/>
      <c r="BZ95" s="385"/>
      <c r="CA95" s="385"/>
      <c r="CB95" s="385"/>
    </row>
    <row r="96" spans="1:80" ht="27.75" customHeight="1" thickBot="1" x14ac:dyDescent="0.25">
      <c r="A96" s="428"/>
      <c r="B96" s="319"/>
      <c r="C96" s="319"/>
      <c r="D96" s="319"/>
      <c r="E96" s="320" t="s">
        <v>32</v>
      </c>
      <c r="F96" s="320"/>
      <c r="G96" s="320"/>
      <c r="H96" s="320"/>
      <c r="I96" s="320"/>
      <c r="J96" s="320"/>
      <c r="K96" s="384"/>
      <c r="L96" s="384"/>
      <c r="M96" s="384"/>
      <c r="N96" s="384"/>
      <c r="O96" s="384"/>
      <c r="P96" s="384"/>
      <c r="Q96" s="384"/>
      <c r="R96" s="384"/>
      <c r="S96" s="384"/>
      <c r="T96" s="384"/>
      <c r="U96" s="384"/>
      <c r="V96" s="384"/>
      <c r="W96" s="384">
        <f>IF(AVERAGE(W4:W82)=4,4,IF(AVERAGE(W4:W82)=3,MAX(AVERAGE(W4:W82)),AVERAGE(R91:V95)))</f>
        <v>1.4873015873015871</v>
      </c>
      <c r="X96" s="384"/>
      <c r="Y96" s="384"/>
      <c r="Z96" s="384"/>
      <c r="AA96" s="384"/>
      <c r="AB96" s="384"/>
      <c r="AC96" s="384"/>
      <c r="AD96" s="384"/>
      <c r="AE96" s="384"/>
      <c r="AF96" s="384"/>
      <c r="AG96" s="384"/>
      <c r="AH96" s="384"/>
      <c r="AI96" s="384"/>
      <c r="AJ96" s="384"/>
      <c r="AK96" s="384"/>
      <c r="AL96" s="384"/>
      <c r="AM96" s="384"/>
      <c r="AN96" s="384"/>
      <c r="AO96" s="384"/>
      <c r="AP96" s="384"/>
      <c r="AQ96" s="384"/>
      <c r="AR96" s="384"/>
      <c r="AS96" s="384"/>
      <c r="AT96" s="384"/>
      <c r="AU96" s="384"/>
      <c r="AV96" s="384"/>
      <c r="AW96" s="384"/>
      <c r="AX96" s="384"/>
      <c r="AY96" s="384"/>
      <c r="AZ96" s="384"/>
      <c r="BA96" s="384"/>
      <c r="BB96" s="384"/>
      <c r="BC96" s="384"/>
      <c r="BD96" s="384"/>
      <c r="BE96" s="384"/>
      <c r="BF96" s="384"/>
      <c r="BG96" s="384"/>
      <c r="BH96" s="384"/>
      <c r="BI96" s="384"/>
      <c r="BJ96" s="384"/>
      <c r="BK96" s="384"/>
      <c r="BL96" s="384"/>
      <c r="BM96" s="384"/>
      <c r="BN96" s="384"/>
      <c r="BO96" s="384"/>
      <c r="BP96" s="384"/>
      <c r="BQ96" s="384"/>
      <c r="BR96" s="384"/>
      <c r="BS96" s="384"/>
      <c r="BT96" s="384"/>
      <c r="BU96" s="384"/>
      <c r="BV96" s="384"/>
      <c r="BW96" s="384"/>
      <c r="BX96" s="384"/>
      <c r="BY96" s="384"/>
      <c r="BZ96" s="384"/>
      <c r="CA96" s="384"/>
      <c r="CB96" s="384"/>
    </row>
    <row r="97" spans="1:80" ht="27.75" customHeight="1" thickBot="1" x14ac:dyDescent="0.25">
      <c r="A97" s="428"/>
      <c r="B97" s="317"/>
      <c r="C97" s="317"/>
      <c r="D97" s="317"/>
      <c r="E97" s="320" t="s">
        <v>33</v>
      </c>
      <c r="F97" s="320"/>
      <c r="G97" s="320"/>
      <c r="H97" s="320"/>
      <c r="I97" s="320"/>
      <c r="J97" s="320"/>
      <c r="K97" s="385"/>
      <c r="L97" s="385"/>
      <c r="M97" s="385"/>
      <c r="N97" s="385"/>
      <c r="O97" s="385"/>
      <c r="P97" s="385"/>
      <c r="Q97" s="385"/>
      <c r="R97" s="385"/>
      <c r="S97" s="385"/>
      <c r="T97" s="385"/>
      <c r="U97" s="385"/>
      <c r="V97" s="385"/>
      <c r="W97" s="385"/>
      <c r="X97" s="385" cm="1">
        <f t="array" ref="X97">LinLogIntp2D1('Slope stability'!$E$5:$H$5,'Slope stability'!D6:$D$24,'Slope stability'!$E$6:Y46,W96,X18)</f>
        <v>5.5824450226049267E-7</v>
      </c>
      <c r="Y97" s="385"/>
      <c r="Z97" s="385"/>
      <c r="AA97" s="385"/>
      <c r="AB97" s="385"/>
      <c r="AC97" s="385"/>
      <c r="AD97" s="385"/>
      <c r="AE97" s="385"/>
      <c r="AF97" s="385"/>
      <c r="AG97" s="385"/>
      <c r="AH97" s="385"/>
      <c r="AI97" s="385"/>
      <c r="AJ97" s="385"/>
      <c r="AK97" s="385"/>
      <c r="AL97" s="385"/>
      <c r="AM97" s="385"/>
      <c r="AN97" s="385"/>
      <c r="AO97" s="385"/>
      <c r="AP97" s="385"/>
      <c r="AQ97" s="385"/>
      <c r="AR97" s="385"/>
      <c r="AS97" s="385"/>
      <c r="AT97" s="385"/>
      <c r="AU97" s="385"/>
      <c r="AV97" s="385"/>
      <c r="AW97" s="385"/>
      <c r="AX97" s="385"/>
      <c r="AY97" s="385"/>
      <c r="AZ97" s="385"/>
      <c r="BA97" s="385"/>
      <c r="BB97" s="385"/>
      <c r="BC97" s="385"/>
      <c r="BD97" s="385"/>
      <c r="BE97" s="385"/>
      <c r="BF97" s="385"/>
      <c r="BG97" s="385"/>
      <c r="BH97" s="385"/>
      <c r="BI97" s="385"/>
      <c r="BJ97" s="385"/>
      <c r="BK97" s="385"/>
      <c r="BL97" s="385"/>
      <c r="BM97" s="385"/>
      <c r="BN97" s="385"/>
      <c r="BO97" s="385"/>
      <c r="BP97" s="385"/>
      <c r="BQ97" s="385"/>
      <c r="BR97" s="385"/>
      <c r="BS97" s="385"/>
      <c r="BT97" s="385"/>
      <c r="BU97" s="385"/>
      <c r="BV97" s="385"/>
      <c r="BW97" s="385"/>
      <c r="BX97" s="385"/>
      <c r="BY97" s="385"/>
      <c r="BZ97" s="385"/>
      <c r="CA97" s="385"/>
      <c r="CB97" s="385"/>
    </row>
    <row r="98" spans="1:80" ht="27.75" customHeight="1" thickBot="1" x14ac:dyDescent="0.25">
      <c r="A98" s="428"/>
      <c r="B98" s="319"/>
      <c r="C98" s="319"/>
      <c r="D98" s="319"/>
      <c r="E98" s="321" t="s">
        <v>34</v>
      </c>
      <c r="F98" s="321"/>
      <c r="G98" s="321"/>
      <c r="H98" s="321"/>
      <c r="I98" s="321"/>
      <c r="J98" s="321"/>
      <c r="K98" s="384"/>
      <c r="L98" s="384"/>
      <c r="M98" s="384"/>
      <c r="N98" s="384"/>
      <c r="O98" s="384"/>
      <c r="P98" s="384"/>
      <c r="Q98" s="384"/>
      <c r="R98" s="384"/>
      <c r="S98" s="384"/>
      <c r="T98" s="384"/>
      <c r="U98" s="384"/>
      <c r="V98" s="384"/>
      <c r="W98" s="384"/>
      <c r="X98" s="384"/>
      <c r="Y98" s="384">
        <f>AVERAGE(Y3:Y81)</f>
        <v>1.375</v>
      </c>
      <c r="Z98" s="384"/>
      <c r="AA98" s="384"/>
      <c r="AB98" s="384"/>
      <c r="AC98" s="384"/>
      <c r="AD98" s="384"/>
      <c r="AE98" s="384"/>
      <c r="AF98" s="384"/>
      <c r="AG98" s="384"/>
      <c r="AH98" s="384"/>
      <c r="AI98" s="384"/>
      <c r="AJ98" s="384"/>
      <c r="AK98" s="384"/>
      <c r="AL98" s="384"/>
      <c r="AM98" s="384"/>
      <c r="AN98" s="384"/>
      <c r="AO98" s="384"/>
      <c r="AP98" s="384"/>
      <c r="AQ98" s="384"/>
      <c r="AR98" s="384"/>
      <c r="AS98" s="384"/>
      <c r="AT98" s="384"/>
      <c r="AU98" s="384"/>
      <c r="AV98" s="384"/>
      <c r="AW98" s="384"/>
      <c r="AX98" s="384"/>
      <c r="AY98" s="384"/>
      <c r="AZ98" s="384"/>
      <c r="BA98" s="384"/>
      <c r="BB98" s="384"/>
      <c r="BC98" s="384"/>
      <c r="BD98" s="384"/>
      <c r="BE98" s="384"/>
      <c r="BF98" s="384"/>
      <c r="BG98" s="384"/>
      <c r="BH98" s="384"/>
      <c r="BI98" s="384"/>
      <c r="BJ98" s="384"/>
      <c r="BK98" s="384"/>
      <c r="BL98" s="384"/>
      <c r="BM98" s="384"/>
      <c r="BN98" s="384"/>
      <c r="BO98" s="384"/>
      <c r="BP98" s="384"/>
      <c r="BQ98" s="384"/>
      <c r="BR98" s="384"/>
      <c r="BS98" s="384"/>
      <c r="BT98" s="384"/>
      <c r="BU98" s="384"/>
      <c r="BV98" s="384"/>
      <c r="BW98" s="384"/>
      <c r="BX98" s="384"/>
      <c r="BY98" s="384"/>
      <c r="BZ98" s="384"/>
      <c r="CA98" s="384"/>
      <c r="CB98" s="384"/>
    </row>
    <row r="99" spans="1:80" ht="27.75" customHeight="1" thickBot="1" x14ac:dyDescent="0.25">
      <c r="A99" s="428"/>
      <c r="B99" s="317"/>
      <c r="C99" s="317"/>
      <c r="D99" s="317"/>
      <c r="E99" s="321" t="s">
        <v>35</v>
      </c>
      <c r="F99" s="321"/>
      <c r="G99" s="321"/>
      <c r="H99" s="321"/>
      <c r="I99" s="321"/>
      <c r="J99" s="321"/>
      <c r="K99" s="385"/>
      <c r="L99" s="385"/>
      <c r="M99" s="385"/>
      <c r="N99" s="385"/>
      <c r="O99" s="385"/>
      <c r="P99" s="385"/>
      <c r="Q99" s="385"/>
      <c r="R99" s="385"/>
      <c r="S99" s="385"/>
      <c r="T99" s="385"/>
      <c r="U99" s="385"/>
      <c r="V99" s="385"/>
      <c r="W99" s="385"/>
      <c r="X99" s="385"/>
      <c r="Y99" s="385"/>
      <c r="Z99" s="385">
        <f>AVERAGE(Z3:Z81)</f>
        <v>1.5</v>
      </c>
      <c r="AA99" s="385"/>
      <c r="AB99" s="385"/>
      <c r="AC99" s="385"/>
      <c r="AD99" s="385"/>
      <c r="AE99" s="385"/>
      <c r="AF99" s="385"/>
      <c r="AG99" s="385"/>
      <c r="AH99" s="385"/>
      <c r="AI99" s="385"/>
      <c r="AJ99" s="385"/>
      <c r="AK99" s="385"/>
      <c r="AL99" s="385"/>
      <c r="AM99" s="385"/>
      <c r="AN99" s="385"/>
      <c r="AO99" s="385"/>
      <c r="AP99" s="385"/>
      <c r="AQ99" s="385"/>
      <c r="AR99" s="385"/>
      <c r="AS99" s="385"/>
      <c r="AT99" s="385"/>
      <c r="AU99" s="385"/>
      <c r="AV99" s="385"/>
      <c r="AW99" s="385"/>
      <c r="AX99" s="385"/>
      <c r="AY99" s="385"/>
      <c r="AZ99" s="385"/>
      <c r="BA99" s="385"/>
      <c r="BB99" s="385"/>
      <c r="BC99" s="385"/>
      <c r="BD99" s="385"/>
      <c r="BE99" s="385"/>
      <c r="BF99" s="385"/>
      <c r="BG99" s="385"/>
      <c r="BH99" s="385"/>
      <c r="BI99" s="385"/>
      <c r="BJ99" s="385"/>
      <c r="BK99" s="385"/>
      <c r="BL99" s="385"/>
      <c r="BM99" s="385"/>
      <c r="BN99" s="385"/>
      <c r="BO99" s="385"/>
      <c r="BP99" s="385"/>
      <c r="BQ99" s="385"/>
      <c r="BR99" s="385"/>
      <c r="BS99" s="385"/>
      <c r="BT99" s="385"/>
      <c r="BU99" s="385"/>
      <c r="BV99" s="385"/>
      <c r="BW99" s="385"/>
      <c r="BX99" s="385"/>
      <c r="BY99" s="385"/>
      <c r="BZ99" s="385"/>
      <c r="CA99" s="385"/>
      <c r="CB99" s="385"/>
    </row>
    <row r="100" spans="1:80" ht="27.75" customHeight="1" thickBot="1" x14ac:dyDescent="0.25">
      <c r="A100" s="428"/>
      <c r="B100" s="319"/>
      <c r="C100" s="319"/>
      <c r="D100" s="319"/>
      <c r="E100" s="321" t="s">
        <v>36</v>
      </c>
      <c r="F100" s="321"/>
      <c r="G100" s="321"/>
      <c r="H100" s="321"/>
      <c r="I100" s="321"/>
      <c r="J100" s="321"/>
      <c r="K100" s="384"/>
      <c r="L100" s="384"/>
      <c r="M100" s="384"/>
      <c r="N100" s="384"/>
      <c r="O100" s="384"/>
      <c r="P100" s="384"/>
      <c r="Q100" s="384"/>
      <c r="R100" s="384"/>
      <c r="S100" s="384"/>
      <c r="T100" s="384"/>
      <c r="U100" s="384"/>
      <c r="V100" s="384"/>
      <c r="W100" s="384"/>
      <c r="X100" s="384"/>
      <c r="Y100" s="384"/>
      <c r="Z100" s="384"/>
      <c r="AA100" s="384">
        <f>AVERAGE(AA3:AA81)</f>
        <v>1.5555555555555556</v>
      </c>
      <c r="AB100" s="384"/>
      <c r="AC100" s="384"/>
      <c r="AD100" s="384"/>
      <c r="AE100" s="384"/>
      <c r="AF100" s="384"/>
      <c r="AG100" s="384"/>
      <c r="AH100" s="384"/>
      <c r="AI100" s="384"/>
      <c r="AJ100" s="384"/>
      <c r="AK100" s="384"/>
      <c r="AL100" s="384"/>
      <c r="AM100" s="384"/>
      <c r="AN100" s="384"/>
      <c r="AO100" s="384"/>
      <c r="AP100" s="384"/>
      <c r="AQ100" s="384"/>
      <c r="AR100" s="384"/>
      <c r="AS100" s="384"/>
      <c r="AT100" s="384"/>
      <c r="AU100" s="384"/>
      <c r="AV100" s="384"/>
      <c r="AW100" s="384"/>
      <c r="AX100" s="384"/>
      <c r="AY100" s="384"/>
      <c r="AZ100" s="384"/>
      <c r="BA100" s="384"/>
      <c r="BB100" s="384"/>
      <c r="BC100" s="384"/>
      <c r="BD100" s="384"/>
      <c r="BE100" s="384"/>
      <c r="BF100" s="384"/>
      <c r="BG100" s="384"/>
      <c r="BH100" s="384"/>
      <c r="BI100" s="384"/>
      <c r="BJ100" s="384"/>
      <c r="BK100" s="384"/>
      <c r="BL100" s="384"/>
      <c r="BM100" s="384"/>
      <c r="BN100" s="384"/>
      <c r="BO100" s="384"/>
      <c r="BP100" s="384"/>
      <c r="BQ100" s="384"/>
      <c r="BR100" s="384"/>
      <c r="BS100" s="384"/>
      <c r="BT100" s="384"/>
      <c r="BU100" s="384"/>
      <c r="BV100" s="384"/>
      <c r="BW100" s="384"/>
      <c r="BX100" s="384"/>
      <c r="BY100" s="384"/>
      <c r="BZ100" s="384"/>
      <c r="CA100" s="384"/>
      <c r="CB100" s="384"/>
    </row>
    <row r="101" spans="1:80" ht="27.75" customHeight="1" thickBot="1" x14ac:dyDescent="0.25">
      <c r="A101" s="428"/>
      <c r="B101" s="317"/>
      <c r="C101" s="317"/>
      <c r="D101" s="317"/>
      <c r="E101" s="321" t="s">
        <v>37</v>
      </c>
      <c r="F101" s="321"/>
      <c r="G101" s="321"/>
      <c r="H101" s="321"/>
      <c r="I101" s="321"/>
      <c r="J101" s="321"/>
      <c r="K101" s="385"/>
      <c r="L101" s="385"/>
      <c r="M101" s="385"/>
      <c r="N101" s="385"/>
      <c r="O101" s="385"/>
      <c r="P101" s="385"/>
      <c r="Q101" s="385"/>
      <c r="R101" s="385"/>
      <c r="S101" s="385"/>
      <c r="T101" s="385"/>
      <c r="U101" s="385"/>
      <c r="V101" s="385"/>
      <c r="W101" s="385"/>
      <c r="X101" s="385"/>
      <c r="Y101" s="385"/>
      <c r="Z101" s="385"/>
      <c r="AA101" s="385"/>
      <c r="AB101" s="385">
        <f>AVERAGE(AB3:AB81)</f>
        <v>1</v>
      </c>
      <c r="AC101" s="385"/>
      <c r="AD101" s="385"/>
      <c r="AE101" s="385"/>
      <c r="AF101" s="385"/>
      <c r="AG101" s="385"/>
      <c r="AH101" s="385"/>
      <c r="AI101" s="385"/>
      <c r="AJ101" s="385"/>
      <c r="AK101" s="385"/>
      <c r="AL101" s="385"/>
      <c r="AM101" s="385"/>
      <c r="AN101" s="385"/>
      <c r="AO101" s="385"/>
      <c r="AP101" s="385"/>
      <c r="AQ101" s="385"/>
      <c r="AR101" s="385"/>
      <c r="AS101" s="385"/>
      <c r="AT101" s="385"/>
      <c r="AU101" s="385"/>
      <c r="AV101" s="385"/>
      <c r="AW101" s="385"/>
      <c r="AX101" s="385"/>
      <c r="AY101" s="385"/>
      <c r="AZ101" s="385"/>
      <c r="BA101" s="385"/>
      <c r="BB101" s="385"/>
      <c r="BC101" s="385"/>
      <c r="BD101" s="385"/>
      <c r="BE101" s="385"/>
      <c r="BF101" s="385"/>
      <c r="BG101" s="385"/>
      <c r="BH101" s="385"/>
      <c r="BI101" s="385"/>
      <c r="BJ101" s="385"/>
      <c r="BK101" s="385"/>
      <c r="BL101" s="385"/>
      <c r="BM101" s="385"/>
      <c r="BN101" s="385"/>
      <c r="BO101" s="385"/>
      <c r="BP101" s="385"/>
      <c r="BQ101" s="385"/>
      <c r="BR101" s="385"/>
      <c r="BS101" s="385"/>
      <c r="BT101" s="385"/>
      <c r="BU101" s="385"/>
      <c r="BV101" s="385"/>
      <c r="BW101" s="385"/>
      <c r="BX101" s="385"/>
      <c r="BY101" s="385"/>
      <c r="BZ101" s="385"/>
      <c r="CA101" s="385"/>
      <c r="CB101" s="385"/>
    </row>
    <row r="102" spans="1:80" ht="27.75" customHeight="1" thickBot="1" x14ac:dyDescent="0.25">
      <c r="A102" s="428"/>
      <c r="B102" s="319"/>
      <c r="C102" s="319"/>
      <c r="D102" s="319"/>
      <c r="E102" s="321" t="s">
        <v>38</v>
      </c>
      <c r="F102" s="321"/>
      <c r="G102" s="321"/>
      <c r="H102" s="321"/>
      <c r="I102" s="321"/>
      <c r="J102" s="321"/>
      <c r="K102" s="384"/>
      <c r="L102" s="384"/>
      <c r="M102" s="384"/>
      <c r="N102" s="384"/>
      <c r="O102" s="384"/>
      <c r="P102" s="384"/>
      <c r="Q102" s="384"/>
      <c r="R102" s="384"/>
      <c r="S102" s="384"/>
      <c r="T102" s="384"/>
      <c r="U102" s="384"/>
      <c r="V102" s="384"/>
      <c r="W102" s="384"/>
      <c r="X102" s="384"/>
      <c r="Y102" s="384"/>
      <c r="Z102" s="384"/>
      <c r="AA102" s="384"/>
      <c r="AB102" s="384"/>
      <c r="AC102" s="384">
        <f>AVERAGE(AC3:AC81)</f>
        <v>2.0476190476190474</v>
      </c>
      <c r="AD102" s="384"/>
      <c r="AE102" s="384"/>
      <c r="AF102" s="384"/>
      <c r="AG102" s="384"/>
      <c r="AH102" s="384"/>
      <c r="AI102" s="384"/>
      <c r="AJ102" s="384"/>
      <c r="AK102" s="384"/>
      <c r="AL102" s="384"/>
      <c r="AM102" s="384"/>
      <c r="AN102" s="384"/>
      <c r="AO102" s="384"/>
      <c r="AP102" s="384"/>
      <c r="AQ102" s="384"/>
      <c r="AR102" s="384"/>
      <c r="AS102" s="384"/>
      <c r="AT102" s="384"/>
      <c r="AU102" s="384"/>
      <c r="AV102" s="384"/>
      <c r="AW102" s="384"/>
      <c r="AX102" s="384"/>
      <c r="AY102" s="384"/>
      <c r="AZ102" s="384"/>
      <c r="BA102" s="384"/>
      <c r="BB102" s="384"/>
      <c r="BC102" s="384"/>
      <c r="BD102" s="384"/>
      <c r="BE102" s="384"/>
      <c r="BF102" s="384"/>
      <c r="BG102" s="384"/>
      <c r="BH102" s="384"/>
      <c r="BI102" s="384"/>
      <c r="BJ102" s="384"/>
      <c r="BK102" s="384"/>
      <c r="BL102" s="384"/>
      <c r="BM102" s="384"/>
      <c r="BN102" s="384"/>
      <c r="BO102" s="384"/>
      <c r="BP102" s="384"/>
      <c r="BQ102" s="384"/>
      <c r="BR102" s="384"/>
      <c r="BS102" s="384"/>
      <c r="BT102" s="384"/>
      <c r="BU102" s="384"/>
      <c r="BV102" s="384"/>
      <c r="BW102" s="384"/>
      <c r="BX102" s="384"/>
      <c r="BY102" s="384"/>
      <c r="BZ102" s="384"/>
      <c r="CA102" s="384"/>
      <c r="CB102" s="384"/>
    </row>
    <row r="103" spans="1:80" ht="27.75" customHeight="1" thickBot="1" x14ac:dyDescent="0.25">
      <c r="A103" s="428"/>
      <c r="B103" s="317"/>
      <c r="C103" s="317"/>
      <c r="D103" s="317"/>
      <c r="E103" s="321" t="s">
        <v>39</v>
      </c>
      <c r="F103" s="321"/>
      <c r="G103" s="321"/>
      <c r="H103" s="321"/>
      <c r="I103" s="321"/>
      <c r="J103" s="321"/>
      <c r="K103" s="385"/>
      <c r="L103" s="385"/>
      <c r="M103" s="385"/>
      <c r="N103" s="385"/>
      <c r="O103" s="385"/>
      <c r="P103" s="385"/>
      <c r="Q103" s="385"/>
      <c r="R103" s="385"/>
      <c r="S103" s="385"/>
      <c r="T103" s="385"/>
      <c r="U103" s="385"/>
      <c r="V103" s="385"/>
      <c r="W103" s="385"/>
      <c r="X103" s="385"/>
      <c r="Y103" s="385"/>
      <c r="Z103" s="385"/>
      <c r="AA103" s="385"/>
      <c r="AB103" s="385"/>
      <c r="AC103" s="385"/>
      <c r="AD103" s="384">
        <f>IF(AVERAGE(AD4:AD82)=4,4,IF(AVERAGE(AD4:AD82)=3,MAX(AVERAGE(AD4:AD82)),AVERAGE(Y98:AC102)))</f>
        <v>1.4956349206349207</v>
      </c>
      <c r="AE103" s="385"/>
      <c r="AF103" s="385"/>
      <c r="AG103" s="385"/>
      <c r="AH103" s="385"/>
      <c r="AI103" s="385"/>
      <c r="AJ103" s="385"/>
      <c r="AK103" s="385"/>
      <c r="AL103" s="385"/>
      <c r="AM103" s="385"/>
      <c r="AN103" s="385"/>
      <c r="AO103" s="385"/>
      <c r="AP103" s="385"/>
      <c r="AQ103" s="385"/>
      <c r="AR103" s="385"/>
      <c r="AS103" s="385"/>
      <c r="AT103" s="385"/>
      <c r="AU103" s="385"/>
      <c r="AV103" s="385"/>
      <c r="AW103" s="385"/>
      <c r="AX103" s="385"/>
      <c r="AY103" s="385"/>
      <c r="AZ103" s="385"/>
      <c r="BA103" s="385"/>
      <c r="BB103" s="385"/>
      <c r="BC103" s="385"/>
      <c r="BD103" s="385"/>
      <c r="BE103" s="385"/>
      <c r="BF103" s="385"/>
      <c r="BG103" s="385"/>
      <c r="BH103" s="385"/>
      <c r="BI103" s="385"/>
      <c r="BJ103" s="385"/>
      <c r="BK103" s="385"/>
      <c r="BL103" s="385"/>
      <c r="BM103" s="385"/>
      <c r="BN103" s="385"/>
      <c r="BO103" s="385"/>
      <c r="BP103" s="385"/>
      <c r="BQ103" s="385"/>
      <c r="BR103" s="385"/>
      <c r="BS103" s="385"/>
      <c r="BT103" s="385"/>
      <c r="BU103" s="385"/>
      <c r="BV103" s="385"/>
      <c r="BW103" s="385"/>
      <c r="BX103" s="385"/>
      <c r="BY103" s="385"/>
      <c r="BZ103" s="385"/>
      <c r="CA103" s="385"/>
      <c r="CB103" s="385"/>
    </row>
    <row r="104" spans="1:80" ht="27.75" customHeight="1" thickBot="1" x14ac:dyDescent="0.25">
      <c r="A104" s="428"/>
      <c r="B104" s="319"/>
      <c r="C104" s="319"/>
      <c r="D104" s="319"/>
      <c r="E104" s="321" t="s">
        <v>40</v>
      </c>
      <c r="F104" s="321"/>
      <c r="G104" s="321"/>
      <c r="H104" s="321"/>
      <c r="I104" s="321"/>
      <c r="J104" s="321"/>
      <c r="K104" s="384"/>
      <c r="L104" s="384"/>
      <c r="M104" s="384"/>
      <c r="N104" s="384"/>
      <c r="O104" s="384"/>
      <c r="P104" s="384"/>
      <c r="Q104" s="384"/>
      <c r="R104" s="384"/>
      <c r="S104" s="384"/>
      <c r="T104" s="384"/>
      <c r="U104" s="384"/>
      <c r="V104" s="384"/>
      <c r="W104" s="384"/>
      <c r="X104" s="384"/>
      <c r="Y104" s="384"/>
      <c r="Z104" s="384"/>
      <c r="AA104" s="384"/>
      <c r="AB104" s="384"/>
      <c r="AC104" s="384"/>
      <c r="AD104" s="384"/>
      <c r="AE104" s="384" cm="1">
        <f t="array" ref="AE104">LinLogIntp2D1('Slope stability'!$E$5:$H$5,'Slope stability'!D6:$D$24,'Slope stability'!$E$6:Y46,AD103,AE19)*AE31</f>
        <v>5.768591026337009E-12</v>
      </c>
      <c r="AF104" s="384"/>
      <c r="AG104" s="384"/>
      <c r="AH104" s="384"/>
      <c r="AI104" s="384"/>
      <c r="AJ104" s="384"/>
      <c r="AK104" s="384"/>
      <c r="AL104" s="384"/>
      <c r="AM104" s="384"/>
      <c r="AN104" s="384"/>
      <c r="AO104" s="384"/>
      <c r="AP104" s="384"/>
      <c r="AQ104" s="384"/>
      <c r="AR104" s="384"/>
      <c r="AS104" s="384"/>
      <c r="AT104" s="384"/>
      <c r="AU104" s="384"/>
      <c r="AV104" s="384"/>
      <c r="AW104" s="384"/>
      <c r="AX104" s="384"/>
      <c r="AY104" s="384"/>
      <c r="AZ104" s="384"/>
      <c r="BA104" s="384"/>
      <c r="BB104" s="384"/>
      <c r="BC104" s="384"/>
      <c r="BD104" s="384"/>
      <c r="BE104" s="384"/>
      <c r="BF104" s="384"/>
      <c r="BG104" s="384"/>
      <c r="BH104" s="384"/>
      <c r="BI104" s="384"/>
      <c r="BJ104" s="384"/>
      <c r="BK104" s="384"/>
      <c r="BL104" s="384"/>
      <c r="BM104" s="384"/>
      <c r="BN104" s="384"/>
      <c r="BO104" s="384"/>
      <c r="BP104" s="384"/>
      <c r="BQ104" s="384"/>
      <c r="BR104" s="384"/>
      <c r="BS104" s="384"/>
      <c r="BT104" s="384"/>
      <c r="BU104" s="384"/>
      <c r="BV104" s="384"/>
      <c r="BW104" s="384"/>
      <c r="BX104" s="384"/>
      <c r="BY104" s="384"/>
      <c r="BZ104" s="384"/>
      <c r="CA104" s="384"/>
      <c r="CB104" s="384"/>
    </row>
    <row r="105" spans="1:80" ht="27.75" customHeight="1" thickBot="1" x14ac:dyDescent="0.25">
      <c r="A105" s="428"/>
      <c r="B105" s="317"/>
      <c r="C105" s="317"/>
      <c r="D105" s="317"/>
      <c r="E105" s="322" t="s">
        <v>41</v>
      </c>
      <c r="F105" s="322"/>
      <c r="G105" s="322"/>
      <c r="H105" s="322"/>
      <c r="I105" s="322"/>
      <c r="J105" s="322"/>
      <c r="K105" s="385"/>
      <c r="L105" s="385"/>
      <c r="M105" s="385"/>
      <c r="N105" s="385"/>
      <c r="O105" s="385"/>
      <c r="P105" s="385"/>
      <c r="Q105" s="385"/>
      <c r="R105" s="385"/>
      <c r="S105" s="385"/>
      <c r="T105" s="385"/>
      <c r="U105" s="385"/>
      <c r="V105" s="385"/>
      <c r="W105" s="385"/>
      <c r="X105" s="385"/>
      <c r="Y105" s="385"/>
      <c r="Z105" s="385"/>
      <c r="AA105" s="385"/>
      <c r="AB105" s="385"/>
      <c r="AC105" s="385"/>
      <c r="AD105" s="385"/>
      <c r="AE105" s="385"/>
      <c r="AF105" s="385">
        <f>AVERAGE(AF3:AF81)</f>
        <v>9.9999999999999995E-7</v>
      </c>
      <c r="AG105" s="385"/>
      <c r="AH105" s="385"/>
      <c r="AI105" s="385"/>
      <c r="AJ105" s="385"/>
      <c r="AK105" s="385"/>
      <c r="AL105" s="385"/>
      <c r="AM105" s="385"/>
      <c r="AN105" s="385"/>
      <c r="AO105" s="385"/>
      <c r="AP105" s="385"/>
      <c r="AQ105" s="385"/>
      <c r="AR105" s="385"/>
      <c r="AS105" s="385"/>
      <c r="AT105" s="385"/>
      <c r="AU105" s="385"/>
      <c r="AV105" s="385"/>
      <c r="AW105" s="385"/>
      <c r="AX105" s="385"/>
      <c r="AY105" s="385"/>
      <c r="AZ105" s="385"/>
      <c r="BA105" s="385"/>
      <c r="BB105" s="385"/>
      <c r="BC105" s="385"/>
      <c r="BD105" s="385"/>
      <c r="BE105" s="385"/>
      <c r="BF105" s="385"/>
      <c r="BG105" s="385"/>
      <c r="BH105" s="385"/>
      <c r="BI105" s="385"/>
      <c r="BJ105" s="385"/>
      <c r="BK105" s="385"/>
      <c r="BL105" s="385"/>
      <c r="BM105" s="385"/>
      <c r="BN105" s="385"/>
      <c r="BO105" s="385"/>
      <c r="BP105" s="385"/>
      <c r="BQ105" s="385"/>
      <c r="BR105" s="385"/>
      <c r="BS105" s="385"/>
      <c r="BT105" s="385"/>
      <c r="BU105" s="385"/>
      <c r="BV105" s="385"/>
      <c r="BW105" s="385"/>
      <c r="BX105" s="385"/>
      <c r="BY105" s="385"/>
      <c r="BZ105" s="385"/>
      <c r="CA105" s="385"/>
      <c r="CB105" s="385"/>
    </row>
    <row r="106" spans="1:80" ht="27.75" customHeight="1" thickBot="1" x14ac:dyDescent="0.25">
      <c r="A106" s="428"/>
      <c r="B106" s="319"/>
      <c r="C106" s="319"/>
      <c r="D106" s="319"/>
      <c r="E106" s="324" t="s">
        <v>42</v>
      </c>
      <c r="F106" s="324"/>
      <c r="G106" s="324"/>
      <c r="H106" s="324"/>
      <c r="I106" s="324"/>
      <c r="J106" s="324"/>
      <c r="K106" s="384"/>
      <c r="L106" s="384"/>
      <c r="M106" s="384"/>
      <c r="N106" s="384"/>
      <c r="O106" s="384"/>
      <c r="P106" s="384"/>
      <c r="Q106" s="384"/>
      <c r="R106" s="384"/>
      <c r="S106" s="384"/>
      <c r="T106" s="384"/>
      <c r="U106" s="384"/>
      <c r="V106" s="384"/>
      <c r="W106" s="384"/>
      <c r="X106" s="384"/>
      <c r="Y106" s="384"/>
      <c r="Z106" s="384"/>
      <c r="AA106" s="384"/>
      <c r="AB106" s="384"/>
      <c r="AC106" s="384"/>
      <c r="AD106" s="384"/>
      <c r="AE106" s="384"/>
      <c r="AF106" s="384"/>
      <c r="AG106" s="386">
        <f>MAX(1-AG34/AG16,0)</f>
        <v>0.81818181818181812</v>
      </c>
      <c r="AH106" s="384"/>
      <c r="AI106" s="384"/>
      <c r="AJ106" s="384"/>
      <c r="AK106" s="384"/>
      <c r="AL106" s="384"/>
      <c r="AM106" s="384"/>
      <c r="AN106" s="384"/>
      <c r="AO106" s="384"/>
      <c r="AP106" s="384"/>
      <c r="AQ106" s="384"/>
      <c r="AR106" s="384"/>
      <c r="AS106" s="384"/>
      <c r="AT106" s="384"/>
      <c r="AU106" s="384"/>
      <c r="AV106" s="384"/>
      <c r="AW106" s="384"/>
      <c r="AX106" s="384"/>
      <c r="AY106" s="384"/>
      <c r="AZ106" s="384"/>
      <c r="BA106" s="384"/>
      <c r="BB106" s="384"/>
      <c r="BC106" s="384"/>
      <c r="BD106" s="384"/>
      <c r="BE106" s="384"/>
      <c r="BF106" s="384"/>
      <c r="BG106" s="384"/>
      <c r="BH106" s="384"/>
      <c r="BI106" s="384"/>
      <c r="BJ106" s="384"/>
      <c r="BK106" s="384"/>
      <c r="BL106" s="384"/>
      <c r="BM106" s="384"/>
      <c r="BN106" s="384"/>
      <c r="BO106" s="384"/>
      <c r="BP106" s="384"/>
      <c r="BQ106" s="384"/>
      <c r="BR106" s="384"/>
      <c r="BS106" s="384"/>
      <c r="BT106" s="384"/>
      <c r="BU106" s="384"/>
      <c r="BV106" s="384"/>
      <c r="BW106" s="384"/>
      <c r="BX106" s="384"/>
      <c r="BY106" s="384"/>
      <c r="BZ106" s="384"/>
      <c r="CA106" s="384"/>
      <c r="CB106" s="384"/>
    </row>
    <row r="107" spans="1:80" ht="27.75" customHeight="1" thickBot="1" x14ac:dyDescent="0.25">
      <c r="A107" s="428"/>
      <c r="B107" s="317"/>
      <c r="C107" s="317"/>
      <c r="D107" s="317"/>
      <c r="E107" s="325" t="s">
        <v>43</v>
      </c>
      <c r="F107" s="325"/>
      <c r="G107" s="325"/>
      <c r="H107" s="325"/>
      <c r="I107" s="325"/>
      <c r="J107" s="325"/>
      <c r="K107" s="385"/>
      <c r="L107" s="385"/>
      <c r="M107" s="385"/>
      <c r="N107" s="385"/>
      <c r="O107" s="385"/>
      <c r="P107" s="385"/>
      <c r="Q107" s="385"/>
      <c r="R107" s="385"/>
      <c r="S107" s="385"/>
      <c r="T107" s="385"/>
      <c r="U107" s="385"/>
      <c r="V107" s="385"/>
      <c r="W107" s="385"/>
      <c r="X107" s="385"/>
      <c r="Y107" s="385"/>
      <c r="Z107" s="385"/>
      <c r="AA107" s="385"/>
      <c r="AB107" s="385"/>
      <c r="AC107" s="385"/>
      <c r="AD107" s="385"/>
      <c r="AE107" s="385"/>
      <c r="AF107" s="385"/>
      <c r="AG107" s="385"/>
      <c r="AH107" s="387">
        <f>IF(AND(AH20*AH81&lt;3,AH20*AH81&gt;0),0.2425*(AVERAGE(AH51:AH58))^2-0.5535*AVERAGE(AH51:AH58)+0.3325,IF(AH81&lt;3,1,2))</f>
        <v>1</v>
      </c>
      <c r="AI107" s="385"/>
      <c r="AJ107" s="385"/>
      <c r="AK107" s="385"/>
      <c r="AL107" s="385"/>
      <c r="AM107" s="385"/>
      <c r="AN107" s="385"/>
      <c r="AO107" s="385"/>
      <c r="AP107" s="385"/>
      <c r="AQ107" s="385"/>
      <c r="AR107" s="385"/>
      <c r="AS107" s="385"/>
      <c r="AT107" s="385"/>
      <c r="AU107" s="385"/>
      <c r="AV107" s="385"/>
      <c r="AW107" s="385"/>
      <c r="AX107" s="385"/>
      <c r="AY107" s="385"/>
      <c r="AZ107" s="385"/>
      <c r="BA107" s="385"/>
      <c r="BB107" s="385"/>
      <c r="BC107" s="385"/>
      <c r="BD107" s="385"/>
      <c r="BE107" s="385"/>
      <c r="BF107" s="385"/>
      <c r="BG107" s="385"/>
      <c r="BH107" s="385"/>
      <c r="BI107" s="385"/>
      <c r="BJ107" s="385"/>
      <c r="BK107" s="385"/>
      <c r="BL107" s="385"/>
      <c r="BM107" s="385"/>
      <c r="BN107" s="385"/>
      <c r="BO107" s="385"/>
      <c r="BP107" s="385"/>
      <c r="BQ107" s="385"/>
      <c r="BR107" s="385"/>
      <c r="BS107" s="385"/>
      <c r="BT107" s="385"/>
      <c r="BU107" s="385"/>
      <c r="BV107" s="385"/>
      <c r="BW107" s="385"/>
      <c r="BX107" s="385"/>
      <c r="BY107" s="385"/>
      <c r="BZ107" s="385"/>
      <c r="CA107" s="385"/>
      <c r="CB107" s="385"/>
    </row>
    <row r="108" spans="1:80" ht="27.75" customHeight="1" thickBot="1" x14ac:dyDescent="0.25">
      <c r="A108" s="428"/>
      <c r="B108" s="319"/>
      <c r="C108" s="319"/>
      <c r="D108" s="319"/>
      <c r="E108" s="325" t="s">
        <v>44</v>
      </c>
      <c r="F108" s="325"/>
      <c r="G108" s="325"/>
      <c r="H108" s="325"/>
      <c r="I108" s="325"/>
      <c r="J108" s="325"/>
      <c r="K108" s="384"/>
      <c r="L108" s="384"/>
      <c r="M108" s="384"/>
      <c r="N108" s="384"/>
      <c r="O108" s="384"/>
      <c r="P108" s="384"/>
      <c r="Q108" s="384"/>
      <c r="R108" s="384"/>
      <c r="S108" s="384"/>
      <c r="T108" s="384"/>
      <c r="U108" s="384"/>
      <c r="V108" s="384"/>
      <c r="W108" s="384"/>
      <c r="X108" s="384"/>
      <c r="Y108" s="384"/>
      <c r="Z108" s="384"/>
      <c r="AA108" s="384"/>
      <c r="AB108" s="384"/>
      <c r="AC108" s="384"/>
      <c r="AD108" s="384"/>
      <c r="AE108" s="384"/>
      <c r="AF108" s="384"/>
      <c r="AG108" s="384"/>
      <c r="AH108" s="384"/>
      <c r="AI108" s="384">
        <f>AVERAGE(AI3:AI81)</f>
        <v>1</v>
      </c>
      <c r="AJ108" s="384"/>
      <c r="AK108" s="384"/>
      <c r="AL108" s="384"/>
      <c r="AM108" s="384"/>
      <c r="AN108" s="384"/>
      <c r="AO108" s="384"/>
      <c r="AP108" s="384"/>
      <c r="AQ108" s="384"/>
      <c r="AR108" s="384"/>
      <c r="AS108" s="384"/>
      <c r="AT108" s="384"/>
      <c r="AU108" s="384"/>
      <c r="AV108" s="384"/>
      <c r="AW108" s="384"/>
      <c r="AX108" s="384"/>
      <c r="AY108" s="384"/>
      <c r="AZ108" s="384"/>
      <c r="BA108" s="384"/>
      <c r="BB108" s="384"/>
      <c r="BC108" s="384"/>
      <c r="BD108" s="384"/>
      <c r="BE108" s="384"/>
      <c r="BF108" s="384"/>
      <c r="BG108" s="384"/>
      <c r="BH108" s="384"/>
      <c r="BI108" s="384"/>
      <c r="BJ108" s="384"/>
      <c r="BK108" s="384"/>
      <c r="BL108" s="384"/>
      <c r="BM108" s="384"/>
      <c r="BN108" s="384"/>
      <c r="BO108" s="384"/>
      <c r="BP108" s="384"/>
      <c r="BQ108" s="384"/>
      <c r="BR108" s="384"/>
      <c r="BS108" s="384"/>
      <c r="BT108" s="384"/>
      <c r="BU108" s="384"/>
      <c r="BV108" s="384"/>
      <c r="BW108" s="384"/>
      <c r="BX108" s="384"/>
      <c r="BY108" s="384"/>
      <c r="BZ108" s="384"/>
      <c r="CA108" s="384"/>
      <c r="CB108" s="384"/>
    </row>
    <row r="109" spans="1:80" ht="27.75" customHeight="1" thickBot="1" x14ac:dyDescent="0.25">
      <c r="A109" s="428"/>
      <c r="B109" s="317"/>
      <c r="C109" s="317"/>
      <c r="D109" s="317"/>
      <c r="E109" s="325" t="s">
        <v>45</v>
      </c>
      <c r="F109" s="325"/>
      <c r="G109" s="325"/>
      <c r="H109" s="325"/>
      <c r="I109" s="325"/>
      <c r="J109" s="325"/>
      <c r="K109" s="385"/>
      <c r="L109" s="385"/>
      <c r="M109" s="385"/>
      <c r="N109" s="385"/>
      <c r="O109" s="385"/>
      <c r="P109" s="385"/>
      <c r="Q109" s="385"/>
      <c r="R109" s="385"/>
      <c r="S109" s="385"/>
      <c r="T109" s="385"/>
      <c r="U109" s="385"/>
      <c r="V109" s="385"/>
      <c r="W109" s="385"/>
      <c r="X109" s="385"/>
      <c r="Y109" s="385"/>
      <c r="Z109" s="385"/>
      <c r="AA109" s="385"/>
      <c r="AB109" s="385"/>
      <c r="AC109" s="385"/>
      <c r="AD109" s="385"/>
      <c r="AE109" s="385"/>
      <c r="AF109" s="385"/>
      <c r="AG109" s="385"/>
      <c r="AH109" s="385"/>
      <c r="AI109" s="385"/>
      <c r="AJ109" s="385">
        <f>AVERAGE(AJ4:AJ81)</f>
        <v>0.8</v>
      </c>
      <c r="AK109" s="385"/>
      <c r="AL109" s="385"/>
      <c r="AM109" s="385"/>
      <c r="AN109" s="385"/>
      <c r="AO109" s="385"/>
      <c r="AP109" s="385"/>
      <c r="AQ109" s="385"/>
      <c r="AR109" s="385"/>
      <c r="AS109" s="385"/>
      <c r="AT109" s="385"/>
      <c r="AU109" s="385"/>
      <c r="AV109" s="385"/>
      <c r="AW109" s="385"/>
      <c r="AX109" s="385"/>
      <c r="AY109" s="385"/>
      <c r="AZ109" s="385"/>
      <c r="BA109" s="385"/>
      <c r="BB109" s="385"/>
      <c r="BC109" s="385"/>
      <c r="BD109" s="385"/>
      <c r="BE109" s="385"/>
      <c r="BF109" s="385"/>
      <c r="BG109" s="385"/>
      <c r="BH109" s="385"/>
      <c r="BI109" s="385"/>
      <c r="BJ109" s="385"/>
      <c r="BK109" s="385"/>
      <c r="BL109" s="385"/>
      <c r="BM109" s="385"/>
      <c r="BN109" s="385"/>
      <c r="BO109" s="385"/>
      <c r="BP109" s="385"/>
      <c r="BQ109" s="385"/>
      <c r="BR109" s="385"/>
      <c r="BS109" s="385"/>
      <c r="BT109" s="385"/>
      <c r="BU109" s="385"/>
      <c r="BV109" s="385"/>
      <c r="BW109" s="385"/>
      <c r="BX109" s="385"/>
      <c r="BY109" s="385"/>
      <c r="BZ109" s="385"/>
      <c r="CA109" s="385"/>
      <c r="CB109" s="385"/>
    </row>
    <row r="110" spans="1:80" ht="27.75" customHeight="1" thickBot="1" x14ac:dyDescent="0.25">
      <c r="A110" s="428"/>
      <c r="B110" s="319"/>
      <c r="C110" s="319"/>
      <c r="D110" s="319"/>
      <c r="E110" s="325" t="s">
        <v>46</v>
      </c>
      <c r="F110" s="325"/>
      <c r="G110" s="325"/>
      <c r="H110" s="325"/>
      <c r="I110" s="325"/>
      <c r="J110" s="325"/>
      <c r="K110" s="384"/>
      <c r="L110" s="384"/>
      <c r="M110" s="384"/>
      <c r="N110" s="384"/>
      <c r="O110" s="384"/>
      <c r="P110" s="384"/>
      <c r="Q110" s="384"/>
      <c r="R110" s="384"/>
      <c r="S110" s="384"/>
      <c r="T110" s="384"/>
      <c r="U110" s="384"/>
      <c r="V110" s="384"/>
      <c r="W110" s="384"/>
      <c r="X110" s="384"/>
      <c r="Y110" s="384"/>
      <c r="Z110" s="384"/>
      <c r="AA110" s="384"/>
      <c r="AB110" s="384"/>
      <c r="AC110" s="384"/>
      <c r="AD110" s="384"/>
      <c r="AE110" s="384"/>
      <c r="AF110" s="384"/>
      <c r="AG110" s="384"/>
      <c r="AH110" s="384"/>
      <c r="AI110" s="384"/>
      <c r="AJ110" s="384"/>
      <c r="AK110" s="384">
        <f>0.5*(AVERAGE(AK3:AK81))^2-AVERAGE(AK3:AK81)+ 1</f>
        <v>0.5</v>
      </c>
      <c r="AL110" s="384"/>
      <c r="AM110" s="384"/>
      <c r="AN110" s="384"/>
      <c r="AO110" s="384"/>
      <c r="AP110" s="384"/>
      <c r="AQ110" s="384"/>
      <c r="AR110" s="384"/>
      <c r="AS110" s="384"/>
      <c r="AT110" s="384"/>
      <c r="AU110" s="384"/>
      <c r="AV110" s="384"/>
      <c r="AW110" s="384"/>
      <c r="AX110" s="384"/>
      <c r="AY110" s="384"/>
      <c r="AZ110" s="384"/>
      <c r="BA110" s="384"/>
      <c r="BB110" s="384"/>
      <c r="BC110" s="384"/>
      <c r="BD110" s="384"/>
      <c r="BE110" s="384"/>
      <c r="BF110" s="384"/>
      <c r="BG110" s="384"/>
      <c r="BH110" s="384"/>
      <c r="BI110" s="384"/>
      <c r="BJ110" s="384"/>
      <c r="BK110" s="384"/>
      <c r="BL110" s="384"/>
      <c r="BM110" s="384"/>
      <c r="BN110" s="384"/>
      <c r="BO110" s="384"/>
      <c r="BP110" s="384"/>
      <c r="BQ110" s="384"/>
      <c r="BR110" s="384"/>
      <c r="BS110" s="384"/>
      <c r="BT110" s="384"/>
      <c r="BU110" s="384"/>
      <c r="BV110" s="384"/>
      <c r="BW110" s="384"/>
      <c r="BX110" s="384"/>
      <c r="BY110" s="384"/>
      <c r="BZ110" s="384"/>
      <c r="CA110" s="384"/>
      <c r="CB110" s="384"/>
    </row>
    <row r="111" spans="1:80" ht="27.75" customHeight="1" thickBot="1" x14ac:dyDescent="0.25">
      <c r="A111" s="428"/>
      <c r="B111" s="317"/>
      <c r="C111" s="317"/>
      <c r="D111" s="317"/>
      <c r="E111" s="325" t="s">
        <v>47</v>
      </c>
      <c r="F111" s="325"/>
      <c r="G111" s="325"/>
      <c r="H111" s="325"/>
      <c r="I111" s="325"/>
      <c r="J111" s="325"/>
      <c r="K111" s="385"/>
      <c r="L111" s="385"/>
      <c r="M111" s="385"/>
      <c r="N111" s="385"/>
      <c r="O111" s="385"/>
      <c r="P111" s="385"/>
      <c r="Q111" s="385"/>
      <c r="R111" s="385"/>
      <c r="S111" s="385"/>
      <c r="T111" s="385"/>
      <c r="U111" s="385"/>
      <c r="V111" s="385"/>
      <c r="W111" s="385"/>
      <c r="X111" s="385"/>
      <c r="Y111" s="385"/>
      <c r="Z111" s="385"/>
      <c r="AA111" s="385"/>
      <c r="AB111" s="385"/>
      <c r="AC111" s="385"/>
      <c r="AD111" s="385"/>
      <c r="AE111" s="385"/>
      <c r="AF111" s="385"/>
      <c r="AG111" s="385"/>
      <c r="AH111" s="385"/>
      <c r="AI111" s="385"/>
      <c r="AJ111" s="385"/>
      <c r="AK111" s="385"/>
      <c r="AL111" s="385">
        <f>AVERAGE(AL17:AL81)</f>
        <v>0.5</v>
      </c>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5"/>
      <c r="BK111" s="385"/>
      <c r="BL111" s="385"/>
      <c r="BM111" s="385"/>
      <c r="BN111" s="385"/>
      <c r="BO111" s="385"/>
      <c r="BP111" s="385"/>
      <c r="BQ111" s="385"/>
      <c r="BR111" s="385"/>
      <c r="BS111" s="385"/>
      <c r="BT111" s="385"/>
      <c r="BU111" s="385"/>
      <c r="BV111" s="385"/>
      <c r="BW111" s="385"/>
      <c r="BX111" s="385"/>
      <c r="BY111" s="385"/>
      <c r="BZ111" s="385"/>
      <c r="CA111" s="385"/>
      <c r="CB111" s="385"/>
    </row>
    <row r="112" spans="1:80" ht="27.75" customHeight="1" thickBot="1" x14ac:dyDescent="0.25">
      <c r="A112" s="428"/>
      <c r="B112" s="319"/>
      <c r="C112" s="319"/>
      <c r="D112" s="319"/>
      <c r="E112" s="325" t="s">
        <v>1199</v>
      </c>
      <c r="F112" s="325"/>
      <c r="G112" s="325"/>
      <c r="H112" s="325"/>
      <c r="I112" s="325"/>
      <c r="J112" s="325"/>
      <c r="K112" s="384"/>
      <c r="L112" s="384"/>
      <c r="M112" s="384"/>
      <c r="N112" s="384"/>
      <c r="O112" s="384"/>
      <c r="P112" s="384"/>
      <c r="Q112" s="384"/>
      <c r="R112" s="384"/>
      <c r="S112" s="384"/>
      <c r="T112" s="384"/>
      <c r="U112" s="384"/>
      <c r="V112" s="384"/>
      <c r="W112" s="384"/>
      <c r="X112" s="384"/>
      <c r="Y112" s="384"/>
      <c r="Z112" s="384"/>
      <c r="AA112" s="384"/>
      <c r="AB112" s="384"/>
      <c r="AC112" s="384"/>
      <c r="AD112" s="384"/>
      <c r="AE112" s="384"/>
      <c r="AF112" s="384"/>
      <c r="AG112" s="384"/>
      <c r="AH112" s="384"/>
      <c r="AI112" s="384"/>
      <c r="AJ112" s="384"/>
      <c r="AK112" s="384"/>
      <c r="AL112" s="384"/>
      <c r="AM112" s="384">
        <f>AVERAGE(AM17:AM81)</f>
        <v>1</v>
      </c>
      <c r="AN112" s="384"/>
      <c r="AO112" s="384"/>
      <c r="AP112" s="384"/>
      <c r="AQ112" s="384"/>
      <c r="AR112" s="384"/>
      <c r="AS112" s="384"/>
      <c r="AT112" s="384"/>
      <c r="AU112" s="384"/>
      <c r="AV112" s="384"/>
      <c r="AW112" s="384"/>
      <c r="AX112" s="384"/>
      <c r="AY112" s="384"/>
      <c r="AZ112" s="384"/>
      <c r="BA112" s="384"/>
      <c r="BB112" s="384"/>
      <c r="BC112" s="384"/>
      <c r="BD112" s="384"/>
      <c r="BE112" s="384"/>
      <c r="BF112" s="384"/>
      <c r="BG112" s="384"/>
      <c r="BH112" s="384"/>
      <c r="BI112" s="384"/>
      <c r="BJ112" s="384"/>
      <c r="BK112" s="384"/>
      <c r="BL112" s="384"/>
      <c r="BM112" s="384"/>
      <c r="BN112" s="384"/>
      <c r="BO112" s="384"/>
      <c r="BP112" s="384"/>
      <c r="BQ112" s="384"/>
      <c r="BR112" s="384"/>
      <c r="BS112" s="384"/>
      <c r="BT112" s="384"/>
      <c r="BU112" s="384"/>
      <c r="BV112" s="384"/>
      <c r="BW112" s="384"/>
      <c r="BX112" s="384"/>
      <c r="BY112" s="384"/>
      <c r="BZ112" s="384"/>
      <c r="CA112" s="384"/>
      <c r="CB112" s="384"/>
    </row>
    <row r="113" spans="1:80" ht="27.75" customHeight="1" thickBot="1" x14ac:dyDescent="0.25">
      <c r="A113" s="428"/>
      <c r="B113" s="317"/>
      <c r="C113" s="317"/>
      <c r="D113" s="317"/>
      <c r="E113" s="325" t="s">
        <v>48</v>
      </c>
      <c r="F113" s="325"/>
      <c r="G113" s="325"/>
      <c r="H113" s="325"/>
      <c r="I113" s="325"/>
      <c r="J113" s="325"/>
      <c r="K113" s="385"/>
      <c r="L113" s="385"/>
      <c r="M113" s="385"/>
      <c r="N113" s="385"/>
      <c r="O113" s="385"/>
      <c r="P113" s="385"/>
      <c r="Q113" s="385"/>
      <c r="R113" s="385"/>
      <c r="S113" s="385"/>
      <c r="T113" s="385"/>
      <c r="U113" s="385"/>
      <c r="V113" s="385"/>
      <c r="W113" s="385"/>
      <c r="X113" s="385"/>
      <c r="Y113" s="385"/>
      <c r="Z113" s="385"/>
      <c r="AA113" s="385"/>
      <c r="AB113" s="385"/>
      <c r="AC113" s="385"/>
      <c r="AD113" s="385"/>
      <c r="AE113" s="385"/>
      <c r="AF113" s="385"/>
      <c r="AG113" s="385"/>
      <c r="AH113" s="385"/>
      <c r="AI113" s="385"/>
      <c r="AJ113" s="385"/>
      <c r="AK113" s="385"/>
      <c r="AL113" s="385"/>
      <c r="AM113" s="385"/>
      <c r="AN113" s="385">
        <f>AVERAGE(AN17:AN81)</f>
        <v>0.5</v>
      </c>
      <c r="AO113" s="385"/>
      <c r="AP113" s="385"/>
      <c r="AQ113" s="385"/>
      <c r="AR113" s="385"/>
      <c r="AS113" s="385"/>
      <c r="AT113" s="385"/>
      <c r="AU113" s="385"/>
      <c r="AV113" s="385"/>
      <c r="AW113" s="385"/>
      <c r="AX113" s="385"/>
      <c r="AY113" s="385"/>
      <c r="AZ113" s="385"/>
      <c r="BA113" s="385"/>
      <c r="BB113" s="385"/>
      <c r="BC113" s="385"/>
      <c r="BD113" s="385"/>
      <c r="BE113" s="385"/>
      <c r="BF113" s="385"/>
      <c r="BG113" s="385"/>
      <c r="BH113" s="385"/>
      <c r="BI113" s="385"/>
      <c r="BJ113" s="385"/>
      <c r="BK113" s="385"/>
      <c r="BL113" s="385"/>
      <c r="BM113" s="385"/>
      <c r="BN113" s="385"/>
      <c r="BO113" s="385"/>
      <c r="BP113" s="385"/>
      <c r="BQ113" s="385"/>
      <c r="BR113" s="385"/>
      <c r="BS113" s="385"/>
      <c r="BT113" s="385"/>
      <c r="BU113" s="385"/>
      <c r="BV113" s="385"/>
      <c r="BW113" s="385"/>
      <c r="BX113" s="385"/>
      <c r="BY113" s="385"/>
      <c r="BZ113" s="385"/>
      <c r="CA113" s="385"/>
      <c r="CB113" s="385"/>
    </row>
    <row r="114" spans="1:80" ht="27.75" customHeight="1" thickBot="1" x14ac:dyDescent="0.25">
      <c r="A114" s="428"/>
      <c r="B114" s="319"/>
      <c r="C114" s="319"/>
      <c r="D114" s="319"/>
      <c r="E114" s="325" t="s">
        <v>49</v>
      </c>
      <c r="F114" s="325"/>
      <c r="G114" s="325"/>
      <c r="H114" s="325"/>
      <c r="I114" s="325"/>
      <c r="J114" s="325"/>
      <c r="K114" s="384"/>
      <c r="L114" s="384"/>
      <c r="M114" s="384"/>
      <c r="N114" s="384"/>
      <c r="O114" s="384"/>
      <c r="P114" s="384"/>
      <c r="Q114" s="384"/>
      <c r="R114" s="384"/>
      <c r="S114" s="384"/>
      <c r="T114" s="384"/>
      <c r="U114" s="384"/>
      <c r="V114" s="384"/>
      <c r="W114" s="384"/>
      <c r="X114" s="384"/>
      <c r="Y114" s="384"/>
      <c r="Z114" s="384"/>
      <c r="AA114" s="384"/>
      <c r="AB114" s="384"/>
      <c r="AC114" s="384"/>
      <c r="AD114" s="384"/>
      <c r="AE114" s="384"/>
      <c r="AF114" s="384"/>
      <c r="AG114" s="384"/>
      <c r="AH114" s="384"/>
      <c r="AI114" s="384"/>
      <c r="AJ114" s="384"/>
      <c r="AK114" s="384"/>
      <c r="AL114" s="384"/>
      <c r="AM114" s="384"/>
      <c r="AN114" s="384"/>
      <c r="AO114" s="384">
        <f>0.1*AVERAGE(AO3:AO81)^2 + 0.4</f>
        <v>0.8</v>
      </c>
      <c r="AP114" s="384"/>
      <c r="AQ114" s="384"/>
      <c r="AR114" s="384"/>
      <c r="AS114" s="384"/>
      <c r="AT114" s="384"/>
      <c r="AU114" s="384"/>
      <c r="AV114" s="384"/>
      <c r="AW114" s="384"/>
      <c r="AX114" s="384"/>
      <c r="AY114" s="384"/>
      <c r="AZ114" s="384"/>
      <c r="BA114" s="384"/>
      <c r="BB114" s="384"/>
      <c r="BC114" s="384"/>
      <c r="BD114" s="384"/>
      <c r="BE114" s="384"/>
      <c r="BF114" s="384"/>
      <c r="BG114" s="384"/>
      <c r="BH114" s="384"/>
      <c r="BI114" s="384"/>
      <c r="BJ114" s="384"/>
      <c r="BK114" s="384"/>
      <c r="BL114" s="384"/>
      <c r="BM114" s="384"/>
      <c r="BN114" s="384"/>
      <c r="BO114" s="384"/>
      <c r="BP114" s="384"/>
      <c r="BQ114" s="384"/>
      <c r="BR114" s="384"/>
      <c r="BS114" s="384"/>
      <c r="BT114" s="384"/>
      <c r="BU114" s="384"/>
      <c r="BV114" s="384"/>
      <c r="BW114" s="384"/>
      <c r="BX114" s="384"/>
      <c r="BY114" s="384"/>
      <c r="BZ114" s="384"/>
      <c r="CA114" s="384"/>
      <c r="CB114" s="384"/>
    </row>
    <row r="115" spans="1:80" ht="27.75" customHeight="1" thickBot="1" x14ac:dyDescent="0.25">
      <c r="A115" s="428"/>
      <c r="B115" s="317"/>
      <c r="C115" s="317"/>
      <c r="D115" s="317"/>
      <c r="E115" s="326" t="s">
        <v>50</v>
      </c>
      <c r="F115" s="326"/>
      <c r="G115" s="326"/>
      <c r="H115" s="326"/>
      <c r="I115" s="326"/>
      <c r="J115" s="326"/>
      <c r="K115" s="385"/>
      <c r="L115" s="385"/>
      <c r="M115" s="385"/>
      <c r="N115" s="385"/>
      <c r="O115" s="385"/>
      <c r="P115" s="385"/>
      <c r="Q115" s="385"/>
      <c r="R115" s="385"/>
      <c r="S115" s="385"/>
      <c r="T115" s="385"/>
      <c r="U115" s="385"/>
      <c r="V115" s="385"/>
      <c r="W115" s="385"/>
      <c r="X115" s="385"/>
      <c r="Y115" s="385"/>
      <c r="Z115" s="385"/>
      <c r="AA115" s="385"/>
      <c r="AB115" s="385"/>
      <c r="AC115" s="385"/>
      <c r="AD115" s="385"/>
      <c r="AE115" s="385"/>
      <c r="AF115" s="385"/>
      <c r="AG115" s="385"/>
      <c r="AH115" s="385"/>
      <c r="AI115" s="385"/>
      <c r="AJ115" s="385"/>
      <c r="AK115" s="385"/>
      <c r="AL115" s="385"/>
      <c r="AM115" s="385"/>
      <c r="AN115" s="385"/>
      <c r="AO115" s="385"/>
      <c r="AP115" s="385">
        <f>AH107*AI108*AJ109*AK110*AL111*AM112*AN113*AO114</f>
        <v>8.0000000000000016E-2</v>
      </c>
      <c r="AQ115" s="385"/>
      <c r="AR115" s="385"/>
      <c r="AS115" s="385"/>
      <c r="AT115" s="385"/>
      <c r="AU115" s="385"/>
      <c r="AV115" s="385"/>
      <c r="AW115" s="385"/>
      <c r="AX115" s="385"/>
      <c r="AY115" s="385"/>
      <c r="AZ115" s="385"/>
      <c r="BA115" s="385"/>
      <c r="BB115" s="385"/>
      <c r="BC115" s="385"/>
      <c r="BD115" s="385"/>
      <c r="BE115" s="385"/>
      <c r="BF115" s="385"/>
      <c r="BG115" s="385"/>
      <c r="BH115" s="385"/>
      <c r="BI115" s="385"/>
      <c r="BJ115" s="385"/>
      <c r="BK115" s="385"/>
      <c r="BL115" s="385"/>
      <c r="BM115" s="385"/>
      <c r="BN115" s="385"/>
      <c r="BO115" s="385"/>
      <c r="BP115" s="385"/>
      <c r="BQ115" s="385"/>
      <c r="BR115" s="385"/>
      <c r="BS115" s="385"/>
      <c r="BT115" s="385"/>
      <c r="BU115" s="385"/>
      <c r="BV115" s="385"/>
      <c r="BW115" s="385"/>
      <c r="BX115" s="385"/>
      <c r="BY115" s="385"/>
      <c r="BZ115" s="385"/>
      <c r="CA115" s="385"/>
      <c r="CB115" s="385"/>
    </row>
    <row r="116" spans="1:80" ht="27.75" customHeight="1" thickBot="1" x14ac:dyDescent="0.25">
      <c r="A116" s="428"/>
      <c r="B116" s="317"/>
      <c r="C116" s="317"/>
      <c r="D116" s="317"/>
      <c r="E116" s="325" t="s">
        <v>1365</v>
      </c>
      <c r="F116" s="326"/>
      <c r="G116" s="326"/>
      <c r="H116" s="326"/>
      <c r="I116" s="326"/>
      <c r="J116" s="326"/>
      <c r="K116" s="385"/>
      <c r="L116" s="385"/>
      <c r="M116" s="385"/>
      <c r="N116" s="385"/>
      <c r="O116" s="385"/>
      <c r="P116" s="385"/>
      <c r="Q116" s="385"/>
      <c r="R116" s="385"/>
      <c r="S116" s="385"/>
      <c r="T116" s="385"/>
      <c r="U116" s="385"/>
      <c r="V116" s="385"/>
      <c r="W116" s="385"/>
      <c r="X116" s="385"/>
      <c r="Y116" s="385"/>
      <c r="Z116" s="385"/>
      <c r="AA116" s="385"/>
      <c r="AB116" s="385"/>
      <c r="AC116" s="385"/>
      <c r="AD116" s="385"/>
      <c r="AE116" s="385"/>
      <c r="AF116" s="385"/>
      <c r="AG116" s="385"/>
      <c r="AH116" s="385"/>
      <c r="AI116" s="385"/>
      <c r="AJ116" s="385"/>
      <c r="AK116" s="385"/>
      <c r="AL116" s="385"/>
      <c r="AM116" s="385"/>
      <c r="AN116" s="385"/>
      <c r="AO116" s="385"/>
      <c r="AP116" s="385"/>
      <c r="AQ116" s="385">
        <f>AQ13*AQ14/1000000</f>
        <v>0</v>
      </c>
      <c r="AR116" s="385"/>
      <c r="AS116" s="385"/>
      <c r="AT116" s="385"/>
      <c r="AU116" s="385"/>
      <c r="AV116" s="385"/>
      <c r="AW116" s="385"/>
      <c r="AX116" s="385"/>
      <c r="AY116" s="385"/>
      <c r="AZ116" s="385"/>
      <c r="BA116" s="385"/>
      <c r="BB116" s="385"/>
      <c r="BC116" s="385"/>
      <c r="BD116" s="385"/>
      <c r="BE116" s="385"/>
      <c r="BF116" s="385"/>
      <c r="BG116" s="385"/>
      <c r="BH116" s="385"/>
      <c r="BI116" s="385"/>
      <c r="BJ116" s="385"/>
      <c r="BK116" s="385"/>
      <c r="BL116" s="385"/>
      <c r="BM116" s="385"/>
      <c r="BN116" s="385"/>
      <c r="BO116" s="385"/>
      <c r="BP116" s="385"/>
      <c r="BQ116" s="385"/>
      <c r="BR116" s="385"/>
      <c r="BS116" s="385"/>
      <c r="BT116" s="385"/>
      <c r="BU116" s="385"/>
      <c r="BV116" s="385"/>
      <c r="BW116" s="385"/>
      <c r="BX116" s="385"/>
      <c r="BY116" s="385"/>
      <c r="BZ116" s="385"/>
      <c r="CA116" s="385"/>
      <c r="CB116" s="385"/>
    </row>
    <row r="117" spans="1:80" ht="27.75" customHeight="1" thickBot="1" x14ac:dyDescent="0.25">
      <c r="A117" s="428"/>
      <c r="B117" s="319"/>
      <c r="C117" s="319"/>
      <c r="D117" s="319"/>
      <c r="E117" s="325" t="s">
        <v>1366</v>
      </c>
      <c r="F117" s="325"/>
      <c r="G117" s="325"/>
      <c r="H117" s="325"/>
      <c r="I117" s="325"/>
      <c r="J117" s="325"/>
      <c r="K117" s="384"/>
      <c r="L117" s="384"/>
      <c r="M117" s="384"/>
      <c r="N117" s="384"/>
      <c r="O117" s="384"/>
      <c r="P117" s="384"/>
      <c r="Q117" s="384"/>
      <c r="R117" s="384"/>
      <c r="S117" s="384"/>
      <c r="T117" s="384"/>
      <c r="U117" s="384"/>
      <c r="V117" s="384"/>
      <c r="W117" s="384"/>
      <c r="X117" s="384"/>
      <c r="Y117" s="384"/>
      <c r="Z117" s="384"/>
      <c r="AA117" s="384"/>
      <c r="AB117" s="384"/>
      <c r="AC117" s="384"/>
      <c r="AD117" s="384"/>
      <c r="AE117" s="384"/>
      <c r="AF117" s="384"/>
      <c r="AG117" s="384"/>
      <c r="AH117" s="384"/>
      <c r="AI117" s="384"/>
      <c r="AJ117" s="384"/>
      <c r="AK117" s="384"/>
      <c r="AL117" s="384"/>
      <c r="AM117" s="384"/>
      <c r="AN117" s="384"/>
      <c r="AO117" s="384"/>
      <c r="AP117" s="384"/>
      <c r="AQ117" s="384"/>
      <c r="AR117" s="384">
        <f>AVERAGE(AR3:AR81)/1000000</f>
        <v>1.9000000000000001E-4</v>
      </c>
      <c r="AS117" s="384"/>
      <c r="AT117" s="384"/>
      <c r="AU117" s="384"/>
      <c r="AV117" s="384"/>
      <c r="AW117" s="384"/>
      <c r="AX117" s="384"/>
      <c r="AY117" s="384"/>
      <c r="AZ117" s="384"/>
      <c r="BA117" s="384"/>
      <c r="BB117" s="384"/>
      <c r="BC117" s="384"/>
      <c r="BD117" s="384"/>
      <c r="BE117" s="384"/>
      <c r="BF117" s="384"/>
      <c r="BG117" s="384"/>
      <c r="BH117" s="384"/>
      <c r="BI117" s="384"/>
      <c r="BJ117" s="384"/>
      <c r="BK117" s="384"/>
      <c r="BL117" s="384"/>
      <c r="BM117" s="384"/>
      <c r="BN117" s="384"/>
      <c r="BO117" s="384"/>
      <c r="BP117" s="384"/>
      <c r="BQ117" s="384"/>
      <c r="BR117" s="384"/>
      <c r="BS117" s="384"/>
      <c r="BT117" s="384"/>
      <c r="BU117" s="384"/>
      <c r="BV117" s="384"/>
      <c r="BW117" s="384"/>
      <c r="BX117" s="384"/>
      <c r="BY117" s="384"/>
      <c r="BZ117" s="384"/>
      <c r="CA117" s="384"/>
      <c r="CB117" s="384"/>
    </row>
    <row r="118" spans="1:80" ht="27.75" customHeight="1" thickBot="1" x14ac:dyDescent="0.25">
      <c r="A118" s="428"/>
      <c r="B118" s="317"/>
      <c r="C118" s="317"/>
      <c r="D118" s="317"/>
      <c r="E118" s="325" t="s">
        <v>1190</v>
      </c>
      <c r="F118" s="325"/>
      <c r="G118" s="325"/>
      <c r="H118" s="325"/>
      <c r="I118" s="325"/>
      <c r="J118" s="325"/>
      <c r="K118" s="385"/>
      <c r="L118" s="385"/>
      <c r="M118" s="385"/>
      <c r="N118" s="385"/>
      <c r="O118" s="385"/>
      <c r="P118" s="385"/>
      <c r="Q118" s="385"/>
      <c r="R118" s="385"/>
      <c r="S118" s="385"/>
      <c r="T118" s="385"/>
      <c r="U118" s="385"/>
      <c r="V118" s="385"/>
      <c r="W118" s="385"/>
      <c r="X118" s="385"/>
      <c r="Y118" s="385"/>
      <c r="Z118" s="385"/>
      <c r="AA118" s="385"/>
      <c r="AB118" s="385"/>
      <c r="AC118" s="385"/>
      <c r="AD118" s="385"/>
      <c r="AE118" s="385"/>
      <c r="AF118" s="385"/>
      <c r="AG118" s="385"/>
      <c r="AH118" s="385"/>
      <c r="AI118" s="385"/>
      <c r="AJ118" s="385"/>
      <c r="AK118" s="385"/>
      <c r="AL118" s="385"/>
      <c r="AM118" s="385"/>
      <c r="AN118" s="385"/>
      <c r="AO118" s="385"/>
      <c r="AP118" s="385"/>
      <c r="AQ118" s="385"/>
      <c r="AR118" s="385"/>
      <c r="AS118" s="385">
        <f>IF(AQ116=0,AR117,AQ116)</f>
        <v>1.9000000000000001E-4</v>
      </c>
      <c r="AT118" s="385"/>
      <c r="AU118" s="385"/>
      <c r="AV118" s="385"/>
      <c r="AW118" s="385"/>
      <c r="AX118" s="385"/>
      <c r="AY118" s="385"/>
      <c r="AZ118" s="385"/>
      <c r="BA118" s="385"/>
      <c r="BB118" s="385"/>
      <c r="BC118" s="385"/>
      <c r="BD118" s="385"/>
      <c r="BE118" s="385"/>
      <c r="BF118" s="385"/>
      <c r="BG118" s="385"/>
      <c r="BH118" s="385"/>
      <c r="BI118" s="385"/>
      <c r="BJ118" s="385"/>
      <c r="BK118" s="385"/>
      <c r="BL118" s="385"/>
      <c r="BM118" s="385"/>
      <c r="BN118" s="385"/>
      <c r="BO118" s="385"/>
      <c r="BP118" s="385"/>
      <c r="BQ118" s="385"/>
      <c r="BR118" s="385"/>
      <c r="BS118" s="385"/>
      <c r="BT118" s="385"/>
      <c r="BU118" s="385"/>
      <c r="BV118" s="385"/>
      <c r="BW118" s="385"/>
      <c r="BX118" s="385"/>
      <c r="BY118" s="385"/>
      <c r="BZ118" s="385"/>
      <c r="CA118" s="385"/>
      <c r="CB118" s="385"/>
    </row>
    <row r="119" spans="1:80" ht="27.75" customHeight="1" thickBot="1" x14ac:dyDescent="0.25">
      <c r="A119" s="428"/>
      <c r="B119" s="319"/>
      <c r="C119" s="319"/>
      <c r="D119" s="319"/>
      <c r="E119" s="326" t="s">
        <v>52</v>
      </c>
      <c r="F119" s="326"/>
      <c r="G119" s="326"/>
      <c r="H119" s="326"/>
      <c r="I119" s="326"/>
      <c r="J119" s="326"/>
      <c r="K119" s="384"/>
      <c r="L119" s="384"/>
      <c r="M119" s="384"/>
      <c r="N119" s="384"/>
      <c r="O119" s="384"/>
      <c r="P119" s="384"/>
      <c r="Q119" s="384"/>
      <c r="R119" s="384"/>
      <c r="S119" s="384"/>
      <c r="T119" s="384"/>
      <c r="U119" s="384"/>
      <c r="V119" s="384"/>
      <c r="W119" s="384"/>
      <c r="X119" s="384"/>
      <c r="Y119" s="384"/>
      <c r="Z119" s="384"/>
      <c r="AA119" s="384"/>
      <c r="AB119" s="384"/>
      <c r="AC119" s="384"/>
      <c r="AD119" s="384"/>
      <c r="AE119" s="384"/>
      <c r="AF119" s="384"/>
      <c r="AG119" s="384"/>
      <c r="AH119" s="384"/>
      <c r="AI119" s="384"/>
      <c r="AJ119" s="384"/>
      <c r="AK119" s="384"/>
      <c r="AL119" s="384"/>
      <c r="AM119" s="384"/>
      <c r="AN119" s="384"/>
      <c r="AO119" s="384"/>
      <c r="AP119" s="384"/>
      <c r="AQ119" s="384"/>
      <c r="AR119" s="384"/>
      <c r="AS119" s="384"/>
      <c r="AT119" s="386">
        <f>AS118*AP115</f>
        <v>1.5200000000000004E-5</v>
      </c>
      <c r="AU119" s="384"/>
      <c r="AV119" s="384"/>
      <c r="AW119" s="384"/>
      <c r="AX119" s="384"/>
      <c r="AY119" s="384"/>
      <c r="AZ119" s="384"/>
      <c r="BA119" s="384"/>
      <c r="BB119" s="384"/>
      <c r="BC119" s="384"/>
      <c r="BD119" s="384"/>
      <c r="BE119" s="384"/>
      <c r="BF119" s="384"/>
      <c r="BG119" s="384"/>
      <c r="BH119" s="384"/>
      <c r="BI119" s="384"/>
      <c r="BJ119" s="384"/>
      <c r="BK119" s="384"/>
      <c r="BL119" s="384"/>
      <c r="BM119" s="384"/>
      <c r="BN119" s="384"/>
      <c r="BO119" s="384"/>
      <c r="BP119" s="384"/>
      <c r="BQ119" s="384"/>
      <c r="BR119" s="384"/>
      <c r="BS119" s="384"/>
      <c r="BT119" s="384"/>
      <c r="BU119" s="384"/>
      <c r="BV119" s="384"/>
      <c r="BW119" s="384"/>
      <c r="BX119" s="384"/>
      <c r="BY119" s="384"/>
      <c r="BZ119" s="384"/>
      <c r="CA119" s="384"/>
      <c r="CB119" s="384"/>
    </row>
    <row r="120" spans="1:80" ht="27.75" customHeight="1" thickBot="1" x14ac:dyDescent="0.25">
      <c r="A120" s="428"/>
      <c r="B120" s="317"/>
      <c r="C120" s="317"/>
      <c r="D120" s="317"/>
      <c r="E120" s="327" t="s">
        <v>53</v>
      </c>
      <c r="F120" s="327"/>
      <c r="G120" s="327"/>
      <c r="H120" s="327"/>
      <c r="I120" s="327"/>
      <c r="J120" s="327"/>
      <c r="K120" s="385"/>
      <c r="L120" s="385"/>
      <c r="M120" s="385"/>
      <c r="N120" s="385"/>
      <c r="O120" s="385"/>
      <c r="P120" s="385"/>
      <c r="Q120" s="385"/>
      <c r="R120" s="385"/>
      <c r="S120" s="385"/>
      <c r="T120" s="385"/>
      <c r="U120" s="385"/>
      <c r="V120" s="385"/>
      <c r="W120" s="385"/>
      <c r="X120" s="385"/>
      <c r="Y120" s="385"/>
      <c r="Z120" s="385"/>
      <c r="AA120" s="385"/>
      <c r="AB120" s="385"/>
      <c r="AC120" s="385"/>
      <c r="AD120" s="385"/>
      <c r="AE120" s="385"/>
      <c r="AF120" s="385"/>
      <c r="AG120" s="385"/>
      <c r="AH120" s="385"/>
      <c r="AI120" s="385"/>
      <c r="AJ120" s="385"/>
      <c r="AK120" s="385"/>
      <c r="AL120" s="385"/>
      <c r="AM120" s="385"/>
      <c r="AN120" s="385"/>
      <c r="AO120" s="385"/>
      <c r="AP120" s="385"/>
      <c r="AQ120" s="385"/>
      <c r="AR120" s="385"/>
      <c r="AS120" s="385"/>
      <c r="AT120" s="385"/>
      <c r="AU120" s="385">
        <f>IF(AU21=1,0.8,IF(AU81&gt;2,1.2,1))</f>
        <v>1</v>
      </c>
      <c r="AV120" s="385"/>
      <c r="AW120" s="385"/>
      <c r="AX120" s="385"/>
      <c r="AY120" s="385"/>
      <c r="AZ120" s="385"/>
      <c r="BA120" s="385"/>
      <c r="BB120" s="385"/>
      <c r="BC120" s="385"/>
      <c r="BD120" s="385"/>
      <c r="BE120" s="385"/>
      <c r="BF120" s="385"/>
      <c r="BG120" s="385"/>
      <c r="BH120" s="385"/>
      <c r="BI120" s="385"/>
      <c r="BJ120" s="385"/>
      <c r="BK120" s="385"/>
      <c r="BL120" s="385"/>
      <c r="BM120" s="385"/>
      <c r="BN120" s="385"/>
      <c r="BO120" s="385"/>
      <c r="BP120" s="385"/>
      <c r="BQ120" s="385"/>
      <c r="BR120" s="385"/>
      <c r="BS120" s="385"/>
      <c r="BT120" s="385"/>
      <c r="BU120" s="385"/>
      <c r="BV120" s="385"/>
      <c r="BW120" s="385"/>
      <c r="BX120" s="385"/>
      <c r="BY120" s="385"/>
      <c r="BZ120" s="385"/>
      <c r="CA120" s="385"/>
      <c r="CB120" s="385"/>
    </row>
    <row r="121" spans="1:80" ht="27.75" customHeight="1" thickBot="1" x14ac:dyDescent="0.25">
      <c r="A121" s="428"/>
      <c r="B121" s="319"/>
      <c r="C121" s="319"/>
      <c r="D121" s="319"/>
      <c r="E121" s="327" t="s">
        <v>1226</v>
      </c>
      <c r="F121" s="327"/>
      <c r="G121" s="327"/>
      <c r="H121" s="327"/>
      <c r="I121" s="327"/>
      <c r="J121" s="327"/>
      <c r="K121" s="384"/>
      <c r="L121" s="384"/>
      <c r="M121" s="384"/>
      <c r="N121" s="384"/>
      <c r="O121" s="384"/>
      <c r="P121" s="384"/>
      <c r="Q121" s="384"/>
      <c r="R121" s="384"/>
      <c r="S121" s="384"/>
      <c r="T121" s="384"/>
      <c r="U121" s="384"/>
      <c r="V121" s="384"/>
      <c r="W121" s="384"/>
      <c r="X121" s="384"/>
      <c r="Y121" s="384"/>
      <c r="Z121" s="384"/>
      <c r="AA121" s="384"/>
      <c r="AB121" s="384"/>
      <c r="AC121" s="384"/>
      <c r="AD121" s="384"/>
      <c r="AE121" s="384"/>
      <c r="AF121" s="384"/>
      <c r="AG121" s="384"/>
      <c r="AH121" s="384"/>
      <c r="AI121" s="384"/>
      <c r="AJ121" s="384"/>
      <c r="AK121" s="384"/>
      <c r="AL121" s="384"/>
      <c r="AM121" s="384"/>
      <c r="AN121" s="384"/>
      <c r="AO121" s="384"/>
      <c r="AP121" s="384"/>
      <c r="AQ121" s="384"/>
      <c r="AR121" s="384"/>
      <c r="AS121" s="384"/>
      <c r="AT121" s="384"/>
      <c r="AU121" s="384"/>
      <c r="AV121" s="384">
        <f>AVERAGE(AV3:AV81)</f>
        <v>0.05</v>
      </c>
      <c r="AW121" s="384"/>
      <c r="AX121" s="384"/>
      <c r="AY121" s="384"/>
      <c r="AZ121" s="384"/>
      <c r="BA121" s="384"/>
      <c r="BB121" s="384"/>
      <c r="BC121" s="384"/>
      <c r="BD121" s="384"/>
      <c r="BE121" s="384"/>
      <c r="BF121" s="384"/>
      <c r="BG121" s="384"/>
      <c r="BH121" s="384"/>
      <c r="BI121" s="384"/>
      <c r="BJ121" s="384"/>
      <c r="BK121" s="384"/>
      <c r="BL121" s="384"/>
      <c r="BM121" s="384"/>
      <c r="BN121" s="384"/>
      <c r="BO121" s="384"/>
      <c r="BP121" s="384"/>
      <c r="BQ121" s="384"/>
      <c r="BR121" s="384"/>
      <c r="BS121" s="384"/>
      <c r="BT121" s="384"/>
      <c r="BU121" s="384"/>
      <c r="BV121" s="384"/>
      <c r="BW121" s="384"/>
      <c r="BX121" s="384"/>
      <c r="BY121" s="384"/>
      <c r="BZ121" s="384"/>
      <c r="CA121" s="384"/>
      <c r="CB121" s="384"/>
    </row>
    <row r="122" spans="1:80" ht="27.75" customHeight="1" thickBot="1" x14ac:dyDescent="0.25">
      <c r="A122" s="428"/>
      <c r="B122" s="319"/>
      <c r="C122" s="319"/>
      <c r="D122" s="319"/>
      <c r="E122" s="327" t="s">
        <v>1227</v>
      </c>
      <c r="F122" s="327"/>
      <c r="G122" s="327"/>
      <c r="H122" s="327"/>
      <c r="I122" s="327"/>
      <c r="J122" s="327"/>
      <c r="K122" s="385"/>
      <c r="L122" s="385"/>
      <c r="M122" s="385"/>
      <c r="N122" s="385"/>
      <c r="O122" s="385"/>
      <c r="P122" s="385"/>
      <c r="Q122" s="385"/>
      <c r="R122" s="385"/>
      <c r="S122" s="385"/>
      <c r="T122" s="385"/>
      <c r="U122" s="385"/>
      <c r="V122" s="385"/>
      <c r="W122" s="385"/>
      <c r="X122" s="385"/>
      <c r="Y122" s="385"/>
      <c r="Z122" s="385"/>
      <c r="AA122" s="385"/>
      <c r="AB122" s="385"/>
      <c r="AC122" s="385"/>
      <c r="AD122" s="385"/>
      <c r="AE122" s="385"/>
      <c r="AF122" s="385"/>
      <c r="AG122" s="385"/>
      <c r="AH122" s="385"/>
      <c r="AI122" s="385"/>
      <c r="AJ122" s="385"/>
      <c r="AK122" s="385"/>
      <c r="AL122" s="385"/>
      <c r="AM122" s="385"/>
      <c r="AN122" s="385"/>
      <c r="AO122" s="385"/>
      <c r="AP122" s="385"/>
      <c r="AQ122" s="385"/>
      <c r="AR122" s="385"/>
      <c r="AS122" s="385"/>
      <c r="AT122" s="385"/>
      <c r="AU122" s="385"/>
      <c r="AV122" s="385"/>
      <c r="AW122" s="385">
        <f>AVERAGE(AW3:AW81)</f>
        <v>0.59999999999999987</v>
      </c>
      <c r="AX122" s="385"/>
      <c r="AY122" s="385"/>
      <c r="AZ122" s="385"/>
      <c r="BA122" s="385"/>
      <c r="BB122" s="385"/>
      <c r="BC122" s="385"/>
      <c r="BD122" s="385"/>
      <c r="BE122" s="385"/>
      <c r="BF122" s="385"/>
      <c r="BG122" s="385"/>
      <c r="BH122" s="385"/>
      <c r="BI122" s="385"/>
      <c r="BJ122" s="385"/>
      <c r="BK122" s="385"/>
      <c r="BL122" s="385"/>
      <c r="BM122" s="385"/>
      <c r="BN122" s="385"/>
      <c r="BO122" s="385"/>
      <c r="BP122" s="385"/>
      <c r="BQ122" s="385"/>
      <c r="BR122" s="385"/>
      <c r="BS122" s="385"/>
      <c r="BT122" s="385"/>
      <c r="BU122" s="385"/>
      <c r="BV122" s="385"/>
      <c r="BW122" s="385"/>
      <c r="BX122" s="385"/>
      <c r="BY122" s="385"/>
      <c r="BZ122" s="385"/>
      <c r="CA122" s="385"/>
      <c r="CB122" s="385"/>
    </row>
    <row r="123" spans="1:80" ht="27.75" customHeight="1" thickBot="1" x14ac:dyDescent="0.25">
      <c r="A123" s="428"/>
      <c r="B123" s="319"/>
      <c r="C123" s="319"/>
      <c r="D123" s="319"/>
      <c r="E123" s="327" t="s">
        <v>1265</v>
      </c>
      <c r="F123" s="327"/>
      <c r="G123" s="327"/>
      <c r="H123" s="327"/>
      <c r="I123" s="327"/>
      <c r="J123" s="327"/>
      <c r="K123" s="384"/>
      <c r="L123" s="384"/>
      <c r="M123" s="384"/>
      <c r="N123" s="384"/>
      <c r="O123" s="384"/>
      <c r="P123" s="384"/>
      <c r="Q123" s="384"/>
      <c r="R123" s="384"/>
      <c r="S123" s="384"/>
      <c r="T123" s="384"/>
      <c r="U123" s="384"/>
      <c r="V123" s="384"/>
      <c r="W123" s="384"/>
      <c r="X123" s="384"/>
      <c r="Y123" s="384"/>
      <c r="Z123" s="384"/>
      <c r="AA123" s="384"/>
      <c r="AB123" s="384"/>
      <c r="AC123" s="384"/>
      <c r="AD123" s="384"/>
      <c r="AE123" s="384"/>
      <c r="AF123" s="384"/>
      <c r="AG123" s="384"/>
      <c r="AH123" s="384"/>
      <c r="AI123" s="384"/>
      <c r="AJ123" s="384"/>
      <c r="AK123" s="384"/>
      <c r="AL123" s="384"/>
      <c r="AM123" s="384"/>
      <c r="AN123" s="384"/>
      <c r="AO123" s="384"/>
      <c r="AP123" s="384"/>
      <c r="AQ123" s="384"/>
      <c r="AR123" s="384"/>
      <c r="AS123" s="384"/>
      <c r="AT123" s="384"/>
      <c r="AU123" s="384"/>
      <c r="AV123" s="384"/>
      <c r="AW123" s="384"/>
      <c r="AX123" s="384">
        <f>AVERAGE(AX17:AX81)</f>
        <v>0.10000000000000002</v>
      </c>
      <c r="AY123" s="384"/>
      <c r="AZ123" s="384"/>
      <c r="BA123" s="384"/>
      <c r="BB123" s="384"/>
      <c r="BC123" s="384"/>
      <c r="BD123" s="384"/>
      <c r="BE123" s="384"/>
      <c r="BF123" s="384"/>
      <c r="BG123" s="384"/>
      <c r="BH123" s="384"/>
      <c r="BI123" s="384"/>
      <c r="BJ123" s="384"/>
      <c r="BK123" s="384"/>
      <c r="BL123" s="384"/>
      <c r="BM123" s="384"/>
      <c r="BN123" s="384"/>
      <c r="BO123" s="384"/>
      <c r="BP123" s="384"/>
      <c r="BQ123" s="384"/>
      <c r="BR123" s="384"/>
      <c r="BS123" s="384"/>
      <c r="BT123" s="384"/>
      <c r="BU123" s="384"/>
      <c r="BV123" s="384"/>
      <c r="BW123" s="384"/>
      <c r="BX123" s="384"/>
      <c r="BY123" s="384"/>
      <c r="BZ123" s="384"/>
      <c r="CA123" s="384"/>
      <c r="CB123" s="384"/>
    </row>
    <row r="124" spans="1:80" ht="27.75" customHeight="1" thickBot="1" x14ac:dyDescent="0.25">
      <c r="A124" s="428"/>
      <c r="B124" s="317"/>
      <c r="C124" s="317"/>
      <c r="D124" s="317"/>
      <c r="E124" s="327" t="s">
        <v>651</v>
      </c>
      <c r="F124" s="327"/>
      <c r="G124" s="327"/>
      <c r="H124" s="327"/>
      <c r="I124" s="327"/>
      <c r="J124" s="327"/>
      <c r="K124" s="385"/>
      <c r="L124" s="385"/>
      <c r="M124" s="385"/>
      <c r="N124" s="385"/>
      <c r="O124" s="385"/>
      <c r="P124" s="385"/>
      <c r="Q124" s="385"/>
      <c r="R124" s="385"/>
      <c r="S124" s="385"/>
      <c r="T124" s="385"/>
      <c r="U124" s="385"/>
      <c r="V124" s="385"/>
      <c r="W124" s="385"/>
      <c r="X124" s="385"/>
      <c r="Y124" s="385"/>
      <c r="Z124" s="385"/>
      <c r="AA124" s="385"/>
      <c r="AB124" s="385"/>
      <c r="AC124" s="385"/>
      <c r="AD124" s="385"/>
      <c r="AE124" s="385"/>
      <c r="AF124" s="385"/>
      <c r="AG124" s="385"/>
      <c r="AH124" s="385"/>
      <c r="AI124" s="385"/>
      <c r="AJ124" s="385"/>
      <c r="AK124" s="385"/>
      <c r="AL124" s="385"/>
      <c r="AM124" s="385"/>
      <c r="AN124" s="385"/>
      <c r="AO124" s="385"/>
      <c r="AP124" s="385"/>
      <c r="AQ124" s="385"/>
      <c r="AR124" s="385"/>
      <c r="AS124" s="385"/>
      <c r="AT124" s="385"/>
      <c r="AU124" s="385"/>
      <c r="AV124" s="385"/>
      <c r="AW124" s="385"/>
      <c r="AX124" s="385"/>
      <c r="AY124" s="387">
        <f>AW122+AX123*AVERAGE(AY3:AY81)</f>
        <v>0.69999999999999984</v>
      </c>
      <c r="AZ124" s="385"/>
      <c r="BA124" s="385"/>
      <c r="BB124" s="385"/>
      <c r="BC124" s="385"/>
      <c r="BD124" s="385"/>
      <c r="BE124" s="385"/>
      <c r="BF124" s="385"/>
      <c r="BG124" s="385"/>
      <c r="BH124" s="385"/>
      <c r="BI124" s="385"/>
      <c r="BJ124" s="385"/>
      <c r="BK124" s="385"/>
      <c r="BL124" s="385"/>
      <c r="BM124" s="385"/>
      <c r="BN124" s="385"/>
      <c r="BO124" s="385"/>
      <c r="BP124" s="385"/>
      <c r="BQ124" s="385"/>
      <c r="BR124" s="385"/>
      <c r="BS124" s="385"/>
      <c r="BT124" s="385"/>
      <c r="BU124" s="385"/>
      <c r="BV124" s="385"/>
      <c r="BW124" s="385"/>
      <c r="BX124" s="385"/>
      <c r="BY124" s="385"/>
      <c r="BZ124" s="385"/>
      <c r="CA124" s="385"/>
      <c r="CB124" s="385"/>
    </row>
    <row r="125" spans="1:80" ht="27.75" customHeight="1" thickBot="1" x14ac:dyDescent="0.25">
      <c r="A125" s="428"/>
      <c r="B125" s="319"/>
      <c r="C125" s="319"/>
      <c r="D125" s="319"/>
      <c r="E125" s="327" t="s">
        <v>54</v>
      </c>
      <c r="F125" s="327"/>
      <c r="G125" s="327"/>
      <c r="H125" s="327"/>
      <c r="I125" s="327"/>
      <c r="J125" s="327"/>
      <c r="K125" s="384"/>
      <c r="L125" s="384"/>
      <c r="M125" s="384"/>
      <c r="N125" s="384"/>
      <c r="O125" s="384"/>
      <c r="P125" s="384"/>
      <c r="Q125" s="384"/>
      <c r="R125" s="384"/>
      <c r="S125" s="384"/>
      <c r="T125" s="384"/>
      <c r="U125" s="384"/>
      <c r="V125" s="384"/>
      <c r="W125" s="384"/>
      <c r="X125" s="384"/>
      <c r="Y125" s="384"/>
      <c r="Z125" s="384"/>
      <c r="AA125" s="384"/>
      <c r="AB125" s="384"/>
      <c r="AC125" s="384"/>
      <c r="AD125" s="384"/>
      <c r="AE125" s="384"/>
      <c r="AF125" s="384"/>
      <c r="AG125" s="384"/>
      <c r="AH125" s="384"/>
      <c r="AI125" s="384"/>
      <c r="AJ125" s="384"/>
      <c r="AK125" s="384"/>
      <c r="AL125" s="384"/>
      <c r="AM125" s="384"/>
      <c r="AN125" s="384"/>
      <c r="AO125" s="384"/>
      <c r="AP125" s="384"/>
      <c r="AQ125" s="384"/>
      <c r="AR125" s="384"/>
      <c r="AS125" s="384"/>
      <c r="AT125" s="384"/>
      <c r="AU125" s="384"/>
      <c r="AV125" s="384"/>
      <c r="AW125" s="384"/>
      <c r="AX125" s="384"/>
      <c r="AY125" s="384"/>
      <c r="AZ125" s="384">
        <f>AVERAGE(AZ3:AZ81)</f>
        <v>1.2</v>
      </c>
      <c r="BA125" s="384"/>
      <c r="BB125" s="384"/>
      <c r="BC125" s="384"/>
      <c r="BD125" s="384"/>
      <c r="BE125" s="384"/>
      <c r="BF125" s="384"/>
      <c r="BG125" s="384"/>
      <c r="BH125" s="384"/>
      <c r="BI125" s="384"/>
      <c r="BJ125" s="384"/>
      <c r="BK125" s="384"/>
      <c r="BL125" s="384"/>
      <c r="BM125" s="384"/>
      <c r="BN125" s="384"/>
      <c r="BO125" s="384"/>
      <c r="BP125" s="384"/>
      <c r="BQ125" s="384"/>
      <c r="BR125" s="384"/>
      <c r="BS125" s="384"/>
      <c r="BT125" s="384"/>
      <c r="BU125" s="384"/>
      <c r="BV125" s="384"/>
      <c r="BW125" s="384"/>
      <c r="BX125" s="384"/>
      <c r="BY125" s="384"/>
      <c r="BZ125" s="384"/>
      <c r="CA125" s="384"/>
      <c r="CB125" s="384"/>
    </row>
    <row r="126" spans="1:80" ht="27.75" customHeight="1" thickBot="1" x14ac:dyDescent="0.25">
      <c r="A126" s="428"/>
      <c r="B126" s="317"/>
      <c r="C126" s="317"/>
      <c r="D126" s="317"/>
      <c r="E126" s="327" t="s">
        <v>55</v>
      </c>
      <c r="F126" s="327"/>
      <c r="G126" s="327"/>
      <c r="H126" s="327"/>
      <c r="I126" s="327"/>
      <c r="J126" s="327"/>
      <c r="K126" s="385"/>
      <c r="L126" s="385"/>
      <c r="M126" s="385"/>
      <c r="N126" s="385"/>
      <c r="O126" s="385"/>
      <c r="P126" s="385"/>
      <c r="Q126" s="385"/>
      <c r="R126" s="385"/>
      <c r="S126" s="385"/>
      <c r="T126" s="385"/>
      <c r="U126" s="385"/>
      <c r="V126" s="385"/>
      <c r="W126" s="385"/>
      <c r="X126" s="385"/>
      <c r="Y126" s="385"/>
      <c r="Z126" s="385"/>
      <c r="AA126" s="385"/>
      <c r="AB126" s="385"/>
      <c r="AC126" s="385"/>
      <c r="AD126" s="385"/>
      <c r="AE126" s="385"/>
      <c r="AF126" s="385"/>
      <c r="AG126" s="385"/>
      <c r="AH126" s="385"/>
      <c r="AI126" s="385"/>
      <c r="AJ126" s="385"/>
      <c r="AK126" s="385"/>
      <c r="AL126" s="385"/>
      <c r="AM126" s="385"/>
      <c r="AN126" s="385"/>
      <c r="AO126" s="385"/>
      <c r="AP126" s="385"/>
      <c r="AQ126" s="385"/>
      <c r="AR126" s="385"/>
      <c r="AS126" s="385"/>
      <c r="AT126" s="385"/>
      <c r="AU126" s="385"/>
      <c r="AV126" s="385"/>
      <c r="AW126" s="385"/>
      <c r="AX126" s="385"/>
      <c r="AY126" s="385"/>
      <c r="AZ126" s="385"/>
      <c r="BA126" s="385">
        <f>AVERAGE(BA4:BA81)</f>
        <v>0.5</v>
      </c>
      <c r="BB126" s="385"/>
      <c r="BC126" s="385"/>
      <c r="BD126" s="385"/>
      <c r="BE126" s="385"/>
      <c r="BF126" s="385"/>
      <c r="BG126" s="385"/>
      <c r="BH126" s="385"/>
      <c r="BI126" s="385"/>
      <c r="BJ126" s="385"/>
      <c r="BK126" s="385"/>
      <c r="BL126" s="385"/>
      <c r="BM126" s="385"/>
      <c r="BN126" s="385"/>
      <c r="BO126" s="385"/>
      <c r="BP126" s="385"/>
      <c r="BQ126" s="385"/>
      <c r="BR126" s="385"/>
      <c r="BS126" s="385"/>
      <c r="BT126" s="385"/>
      <c r="BU126" s="385"/>
      <c r="BV126" s="385"/>
      <c r="BW126" s="385"/>
      <c r="BX126" s="385"/>
      <c r="BY126" s="385"/>
      <c r="BZ126" s="385"/>
      <c r="CA126" s="385"/>
      <c r="CB126" s="385"/>
    </row>
    <row r="127" spans="1:80" ht="27.75" customHeight="1" thickBot="1" x14ac:dyDescent="0.25">
      <c r="A127" s="428"/>
      <c r="B127" s="319"/>
      <c r="C127" s="319"/>
      <c r="D127" s="319"/>
      <c r="E127" s="327" t="s">
        <v>56</v>
      </c>
      <c r="F127" s="327"/>
      <c r="G127" s="327"/>
      <c r="H127" s="327"/>
      <c r="I127" s="327"/>
      <c r="J127" s="327"/>
      <c r="K127" s="384"/>
      <c r="L127" s="384"/>
      <c r="M127" s="384"/>
      <c r="N127" s="384"/>
      <c r="O127" s="384"/>
      <c r="P127" s="384"/>
      <c r="Q127" s="384"/>
      <c r="R127" s="384"/>
      <c r="S127" s="384"/>
      <c r="T127" s="384"/>
      <c r="U127" s="384"/>
      <c r="V127" s="384"/>
      <c r="W127" s="384"/>
      <c r="X127" s="384"/>
      <c r="Y127" s="384"/>
      <c r="Z127" s="384"/>
      <c r="AA127" s="384"/>
      <c r="AB127" s="384"/>
      <c r="AC127" s="384"/>
      <c r="AD127" s="384"/>
      <c r="AE127" s="384"/>
      <c r="AF127" s="384"/>
      <c r="AG127" s="384"/>
      <c r="AH127" s="384"/>
      <c r="AI127" s="384"/>
      <c r="AJ127" s="384"/>
      <c r="AK127" s="384"/>
      <c r="AL127" s="384"/>
      <c r="AM127" s="384"/>
      <c r="AN127" s="384"/>
      <c r="AO127" s="384"/>
      <c r="AP127" s="384"/>
      <c r="AQ127" s="384"/>
      <c r="AR127" s="384"/>
      <c r="AS127" s="384"/>
      <c r="AT127" s="384"/>
      <c r="AU127" s="384"/>
      <c r="AV127" s="384"/>
      <c r="AW127" s="384"/>
      <c r="AX127" s="384"/>
      <c r="AY127" s="384"/>
      <c r="AZ127" s="384"/>
      <c r="BA127" s="384"/>
      <c r="BB127" s="384">
        <f>AVERAGE('Risk Only'!BB3:BB81)</f>
        <v>1.5</v>
      </c>
      <c r="BC127" s="384"/>
      <c r="BD127" s="384"/>
      <c r="BE127" s="384"/>
      <c r="BF127" s="384"/>
      <c r="BG127" s="384"/>
      <c r="BH127" s="384"/>
      <c r="BI127" s="384"/>
      <c r="BJ127" s="384"/>
      <c r="BK127" s="384"/>
      <c r="BL127" s="384"/>
      <c r="BM127" s="384"/>
      <c r="BN127" s="384"/>
      <c r="BO127" s="384"/>
      <c r="BP127" s="384"/>
      <c r="BQ127" s="384"/>
      <c r="BR127" s="384"/>
      <c r="BS127" s="384"/>
      <c r="BT127" s="384"/>
      <c r="BU127" s="384"/>
      <c r="BV127" s="384"/>
      <c r="BW127" s="384"/>
      <c r="BX127" s="384"/>
      <c r="BY127" s="384"/>
      <c r="BZ127" s="384"/>
      <c r="CA127" s="384"/>
      <c r="CB127" s="384"/>
    </row>
    <row r="128" spans="1:80" ht="27.75" customHeight="1" thickBot="1" x14ac:dyDescent="0.25">
      <c r="A128" s="428"/>
      <c r="B128" s="317"/>
      <c r="C128" s="317"/>
      <c r="D128" s="317"/>
      <c r="E128" s="327" t="s">
        <v>57</v>
      </c>
      <c r="F128" s="327"/>
      <c r="G128" s="327"/>
      <c r="H128" s="327"/>
      <c r="I128" s="327"/>
      <c r="J128" s="327"/>
      <c r="K128" s="385"/>
      <c r="L128" s="385"/>
      <c r="M128" s="385"/>
      <c r="N128" s="385"/>
      <c r="O128" s="385"/>
      <c r="P128" s="385"/>
      <c r="Q128" s="385"/>
      <c r="R128" s="385"/>
      <c r="S128" s="385"/>
      <c r="T128" s="385"/>
      <c r="U128" s="385"/>
      <c r="V128" s="385"/>
      <c r="W128" s="385"/>
      <c r="X128" s="385"/>
      <c r="Y128" s="385"/>
      <c r="Z128" s="385"/>
      <c r="AA128" s="385"/>
      <c r="AB128" s="385"/>
      <c r="AC128" s="385"/>
      <c r="AD128" s="385"/>
      <c r="AE128" s="385"/>
      <c r="AF128" s="385"/>
      <c r="AG128" s="385"/>
      <c r="AH128" s="385"/>
      <c r="AI128" s="385"/>
      <c r="AJ128" s="385"/>
      <c r="AK128" s="385"/>
      <c r="AL128" s="385"/>
      <c r="AM128" s="385"/>
      <c r="AN128" s="385"/>
      <c r="AO128" s="385"/>
      <c r="AP128" s="385"/>
      <c r="AQ128" s="385"/>
      <c r="AR128" s="385"/>
      <c r="AS128" s="385"/>
      <c r="AT128" s="385"/>
      <c r="AU128" s="385"/>
      <c r="AV128" s="385"/>
      <c r="AW128" s="385"/>
      <c r="AX128" s="385"/>
      <c r="AY128" s="385"/>
      <c r="AZ128" s="385"/>
      <c r="BA128" s="385"/>
      <c r="BB128" s="385"/>
      <c r="BC128" s="385">
        <f>0.1*AVERAGE(BC3:BC81)^2 + 0.4</f>
        <v>0.8</v>
      </c>
      <c r="BD128" s="385"/>
      <c r="BE128" s="385"/>
      <c r="BF128" s="385"/>
      <c r="BG128" s="385"/>
      <c r="BH128" s="385"/>
      <c r="BI128" s="385"/>
      <c r="BJ128" s="385"/>
      <c r="BK128" s="385"/>
      <c r="BL128" s="385"/>
      <c r="BM128" s="385"/>
      <c r="BN128" s="385"/>
      <c r="BO128" s="385"/>
      <c r="BP128" s="385"/>
      <c r="BQ128" s="385"/>
      <c r="BR128" s="385"/>
      <c r="BS128" s="385"/>
      <c r="BT128" s="385"/>
      <c r="BU128" s="385"/>
      <c r="BV128" s="385"/>
      <c r="BW128" s="385"/>
      <c r="BX128" s="385"/>
      <c r="BY128" s="385"/>
      <c r="BZ128" s="385"/>
      <c r="CA128" s="385"/>
      <c r="CB128" s="385"/>
    </row>
    <row r="129" spans="1:80" ht="27.75" customHeight="1" thickBot="1" x14ac:dyDescent="0.25">
      <c r="A129" s="428"/>
      <c r="B129" s="319"/>
      <c r="C129" s="319"/>
      <c r="D129" s="319"/>
      <c r="E129" s="328" t="s">
        <v>58</v>
      </c>
      <c r="F129" s="328"/>
      <c r="G129" s="328"/>
      <c r="H129" s="328"/>
      <c r="I129" s="328"/>
      <c r="J129" s="328"/>
      <c r="K129" s="384"/>
      <c r="L129" s="384"/>
      <c r="M129" s="384"/>
      <c r="N129" s="384"/>
      <c r="O129" s="384"/>
      <c r="P129" s="384"/>
      <c r="Q129" s="384"/>
      <c r="R129" s="384"/>
      <c r="S129" s="384"/>
      <c r="T129" s="384"/>
      <c r="U129" s="384"/>
      <c r="V129" s="384"/>
      <c r="W129" s="384"/>
      <c r="X129" s="384"/>
      <c r="Y129" s="384"/>
      <c r="Z129" s="384"/>
      <c r="AA129" s="384"/>
      <c r="AB129" s="384"/>
      <c r="AC129" s="384"/>
      <c r="AD129" s="384"/>
      <c r="AE129" s="384"/>
      <c r="AF129" s="384"/>
      <c r="AG129" s="384"/>
      <c r="AH129" s="384"/>
      <c r="AI129" s="384"/>
      <c r="AJ129" s="384"/>
      <c r="AK129" s="384"/>
      <c r="AL129" s="384"/>
      <c r="AM129" s="384"/>
      <c r="AN129" s="384"/>
      <c r="AO129" s="384"/>
      <c r="AP129" s="384"/>
      <c r="AQ129" s="384"/>
      <c r="AR129" s="384"/>
      <c r="AS129" s="384"/>
      <c r="AT129" s="384"/>
      <c r="AU129" s="384"/>
      <c r="AV129" s="384"/>
      <c r="AW129" s="384"/>
      <c r="AX129" s="384"/>
      <c r="AY129" s="384"/>
      <c r="AZ129" s="384"/>
      <c r="BA129" s="384"/>
      <c r="BB129" s="384"/>
      <c r="BC129" s="384"/>
      <c r="BD129" s="386">
        <f>AU120*AV121*AY124*AZ125*BA126*BB127*BC128</f>
        <v>2.52E-2</v>
      </c>
      <c r="BE129" s="384"/>
      <c r="BF129" s="384"/>
      <c r="BG129" s="384"/>
      <c r="BH129" s="384"/>
      <c r="BI129" s="384"/>
      <c r="BJ129" s="384"/>
      <c r="BK129" s="384"/>
      <c r="BL129" s="384"/>
      <c r="BM129" s="384"/>
      <c r="BN129" s="384"/>
      <c r="BO129" s="384"/>
      <c r="BP129" s="384"/>
      <c r="BQ129" s="384"/>
      <c r="BR129" s="384"/>
      <c r="BS129" s="384"/>
      <c r="BT129" s="384"/>
      <c r="BU129" s="384"/>
      <c r="BV129" s="384"/>
      <c r="BW129" s="384"/>
      <c r="BX129" s="384"/>
      <c r="BY129" s="384"/>
      <c r="BZ129" s="384"/>
      <c r="CA129" s="384"/>
      <c r="CB129" s="384"/>
    </row>
    <row r="130" spans="1:80" ht="27.75" customHeight="1" thickBot="1" x14ac:dyDescent="0.25">
      <c r="A130" s="428"/>
      <c r="B130" s="319"/>
      <c r="C130" s="319"/>
      <c r="D130" s="319"/>
      <c r="E130" s="327" t="s">
        <v>59</v>
      </c>
      <c r="F130" s="327"/>
      <c r="G130" s="327"/>
      <c r="H130" s="327"/>
      <c r="I130" s="327"/>
      <c r="J130" s="327"/>
      <c r="K130" s="385"/>
      <c r="L130" s="385"/>
      <c r="M130" s="385"/>
      <c r="N130" s="385"/>
      <c r="O130" s="385"/>
      <c r="P130" s="385"/>
      <c r="Q130" s="385"/>
      <c r="R130" s="385"/>
      <c r="S130" s="385"/>
      <c r="T130" s="385"/>
      <c r="U130" s="385"/>
      <c r="V130" s="385"/>
      <c r="W130" s="385"/>
      <c r="X130" s="385"/>
      <c r="Y130" s="385"/>
      <c r="Z130" s="385"/>
      <c r="AA130" s="385"/>
      <c r="AB130" s="385"/>
      <c r="AC130" s="385"/>
      <c r="AD130" s="385"/>
      <c r="AE130" s="385"/>
      <c r="AF130" s="385"/>
      <c r="AG130" s="385"/>
      <c r="AH130" s="385"/>
      <c r="AI130" s="385"/>
      <c r="AJ130" s="385"/>
      <c r="AK130" s="385"/>
      <c r="AL130" s="385"/>
      <c r="AM130" s="385"/>
      <c r="AN130" s="385"/>
      <c r="AO130" s="385"/>
      <c r="AP130" s="385"/>
      <c r="AQ130" s="385"/>
      <c r="AR130" s="385"/>
      <c r="AS130" s="385"/>
      <c r="AT130" s="385"/>
      <c r="AU130" s="385"/>
      <c r="AV130" s="385"/>
      <c r="AW130" s="385"/>
      <c r="AX130" s="385"/>
      <c r="AY130" s="385"/>
      <c r="AZ130" s="385"/>
      <c r="BA130" s="385"/>
      <c r="BB130" s="385"/>
      <c r="BC130" s="385"/>
      <c r="BD130" s="385"/>
      <c r="BE130" s="385">
        <f>19*(1+AVERAGE(BE3:BE81)*12.42)/1000000</f>
        <v>1.9000000000000001E-5</v>
      </c>
      <c r="BF130" s="385"/>
      <c r="BG130" s="385"/>
      <c r="BH130" s="385"/>
      <c r="BI130" s="385"/>
      <c r="BJ130" s="385"/>
      <c r="BK130" s="385"/>
      <c r="BL130" s="385"/>
      <c r="BM130" s="385"/>
      <c r="BN130" s="385"/>
      <c r="BO130" s="385"/>
      <c r="BP130" s="385"/>
      <c r="BQ130" s="385"/>
      <c r="BR130" s="385"/>
      <c r="BS130" s="385"/>
      <c r="BT130" s="385"/>
      <c r="BU130" s="385"/>
      <c r="BV130" s="385"/>
      <c r="BW130" s="385"/>
      <c r="BX130" s="385"/>
      <c r="BY130" s="385"/>
      <c r="BZ130" s="385"/>
      <c r="CA130" s="385"/>
      <c r="CB130" s="385"/>
    </row>
    <row r="131" spans="1:80" ht="27.75" customHeight="1" thickBot="1" x14ac:dyDescent="0.25">
      <c r="A131" s="428"/>
      <c r="B131" s="317"/>
      <c r="C131" s="317"/>
      <c r="D131" s="317"/>
      <c r="E131" s="328" t="s">
        <v>60</v>
      </c>
      <c r="F131" s="328"/>
      <c r="G131" s="328"/>
      <c r="H131" s="328"/>
      <c r="I131" s="328"/>
      <c r="J131" s="328"/>
      <c r="K131" s="384"/>
      <c r="L131" s="384"/>
      <c r="M131" s="384"/>
      <c r="N131" s="384"/>
      <c r="O131" s="384"/>
      <c r="P131" s="384"/>
      <c r="Q131" s="384"/>
      <c r="R131" s="384"/>
      <c r="S131" s="384"/>
      <c r="T131" s="384"/>
      <c r="U131" s="384"/>
      <c r="V131" s="384"/>
      <c r="W131" s="384"/>
      <c r="X131" s="384"/>
      <c r="Y131" s="384"/>
      <c r="Z131" s="384"/>
      <c r="AA131" s="384"/>
      <c r="AB131" s="384"/>
      <c r="AC131" s="384"/>
      <c r="AD131" s="384"/>
      <c r="AE131" s="384"/>
      <c r="AF131" s="384"/>
      <c r="AG131" s="384"/>
      <c r="AH131" s="384"/>
      <c r="AI131" s="384"/>
      <c r="AJ131" s="384"/>
      <c r="AK131" s="384"/>
      <c r="AL131" s="384"/>
      <c r="AM131" s="384"/>
      <c r="AN131" s="384"/>
      <c r="AO131" s="384"/>
      <c r="AP131" s="384"/>
      <c r="AQ131" s="384"/>
      <c r="AR131" s="384"/>
      <c r="AS131" s="384"/>
      <c r="AT131" s="384"/>
      <c r="AU131" s="384"/>
      <c r="AV131" s="384"/>
      <c r="AW131" s="384"/>
      <c r="AX131" s="384"/>
      <c r="AY131" s="384"/>
      <c r="AZ131" s="384"/>
      <c r="BA131" s="384"/>
      <c r="BB131" s="384"/>
      <c r="BC131" s="384"/>
      <c r="BD131" s="384"/>
      <c r="BE131" s="384"/>
      <c r="BF131" s="384">
        <f>BE130*BD129</f>
        <v>4.7880000000000008E-7</v>
      </c>
      <c r="BG131" s="384"/>
      <c r="BH131" s="384"/>
      <c r="BI131" s="384"/>
      <c r="BJ131" s="384"/>
      <c r="BK131" s="384"/>
      <c r="BL131" s="384"/>
      <c r="BM131" s="384"/>
      <c r="BN131" s="384"/>
      <c r="BO131" s="384"/>
      <c r="BP131" s="384"/>
      <c r="BQ131" s="384"/>
      <c r="BR131" s="384"/>
      <c r="BS131" s="384"/>
      <c r="BT131" s="384"/>
      <c r="BU131" s="384"/>
      <c r="BV131" s="384"/>
      <c r="BW131" s="384"/>
      <c r="BX131" s="384"/>
      <c r="BY131" s="384"/>
      <c r="BZ131" s="384"/>
      <c r="CA131" s="384"/>
      <c r="CB131" s="384"/>
    </row>
    <row r="132" spans="1:80" ht="27.75" customHeight="1" thickBot="1" x14ac:dyDescent="0.25">
      <c r="A132" s="428"/>
      <c r="B132" s="319"/>
      <c r="C132" s="319"/>
      <c r="D132" s="319"/>
      <c r="E132" s="329" t="s">
        <v>61</v>
      </c>
      <c r="F132" s="329"/>
      <c r="G132" s="329"/>
      <c r="H132" s="329"/>
      <c r="I132" s="329"/>
      <c r="J132" s="329"/>
      <c r="K132" s="385"/>
      <c r="L132" s="385"/>
      <c r="M132" s="385"/>
      <c r="N132" s="385"/>
      <c r="O132" s="385"/>
      <c r="P132" s="385"/>
      <c r="Q132" s="385"/>
      <c r="R132" s="385"/>
      <c r="S132" s="385"/>
      <c r="T132" s="385"/>
      <c r="U132" s="385"/>
      <c r="V132" s="385"/>
      <c r="W132" s="385"/>
      <c r="X132" s="385"/>
      <c r="Y132" s="385"/>
      <c r="Z132" s="385"/>
      <c r="AA132" s="385"/>
      <c r="AB132" s="385"/>
      <c r="AC132" s="385"/>
      <c r="AD132" s="385"/>
      <c r="AE132" s="385"/>
      <c r="AF132" s="385"/>
      <c r="AG132" s="385"/>
      <c r="AH132" s="385"/>
      <c r="AI132" s="385"/>
      <c r="AJ132" s="385"/>
      <c r="AK132" s="385"/>
      <c r="AL132" s="385"/>
      <c r="AM132" s="385"/>
      <c r="AN132" s="385"/>
      <c r="AO132" s="385"/>
      <c r="AP132" s="385"/>
      <c r="AQ132" s="385"/>
      <c r="AR132" s="385"/>
      <c r="AS132" s="385"/>
      <c r="AT132" s="385"/>
      <c r="AU132" s="385"/>
      <c r="AV132" s="385"/>
      <c r="AW132" s="385"/>
      <c r="AX132" s="385"/>
      <c r="AY132" s="385"/>
      <c r="AZ132" s="385"/>
      <c r="BA132" s="385"/>
      <c r="BB132" s="385"/>
      <c r="BC132" s="385"/>
      <c r="BD132" s="385"/>
      <c r="BE132" s="385"/>
      <c r="BF132" s="385"/>
      <c r="BG132" s="385">
        <f>AVERAGE(BG3:BG81)</f>
        <v>1</v>
      </c>
      <c r="BH132" s="385"/>
      <c r="BI132" s="385"/>
      <c r="BJ132" s="385"/>
      <c r="BK132" s="385"/>
      <c r="BL132" s="385"/>
      <c r="BM132" s="385"/>
      <c r="BN132" s="385"/>
      <c r="BO132" s="385"/>
      <c r="BP132" s="385"/>
      <c r="BQ132" s="385"/>
      <c r="BR132" s="385"/>
      <c r="BS132" s="385"/>
      <c r="BT132" s="385"/>
      <c r="BU132" s="385"/>
      <c r="BV132" s="385"/>
      <c r="BW132" s="385"/>
      <c r="BX132" s="385"/>
      <c r="BY132" s="385"/>
      <c r="BZ132" s="385"/>
      <c r="CA132" s="385"/>
      <c r="CB132" s="385"/>
    </row>
    <row r="133" spans="1:80" ht="27.75" customHeight="1" thickBot="1" x14ac:dyDescent="0.25">
      <c r="A133" s="428"/>
      <c r="B133" s="317"/>
      <c r="C133" s="317"/>
      <c r="D133" s="317"/>
      <c r="E133" s="329" t="s">
        <v>62</v>
      </c>
      <c r="F133" s="329"/>
      <c r="G133" s="329"/>
      <c r="H133" s="329"/>
      <c r="I133" s="329"/>
      <c r="J133" s="329"/>
      <c r="K133" s="384"/>
      <c r="L133" s="384"/>
      <c r="M133" s="384"/>
      <c r="N133" s="384"/>
      <c r="O133" s="384"/>
      <c r="P133" s="384"/>
      <c r="Q133" s="384"/>
      <c r="R133" s="384"/>
      <c r="S133" s="384"/>
      <c r="T133" s="384"/>
      <c r="U133" s="384"/>
      <c r="V133" s="384"/>
      <c r="W133" s="384"/>
      <c r="X133" s="384"/>
      <c r="Y133" s="384"/>
      <c r="Z133" s="384"/>
      <c r="AA133" s="384"/>
      <c r="AB133" s="384"/>
      <c r="AC133" s="384"/>
      <c r="AD133" s="384"/>
      <c r="AE133" s="384"/>
      <c r="AF133" s="384"/>
      <c r="AG133" s="384"/>
      <c r="AH133" s="384"/>
      <c r="AI133" s="384"/>
      <c r="AJ133" s="384"/>
      <c r="AK133" s="384"/>
      <c r="AL133" s="384"/>
      <c r="AM133" s="384"/>
      <c r="AN133" s="384"/>
      <c r="AO133" s="384"/>
      <c r="AP133" s="384"/>
      <c r="AQ133" s="384"/>
      <c r="AR133" s="384"/>
      <c r="AS133" s="384"/>
      <c r="AT133" s="384"/>
      <c r="AU133" s="384"/>
      <c r="AV133" s="384"/>
      <c r="AW133" s="384"/>
      <c r="AX133" s="384"/>
      <c r="AY133" s="384"/>
      <c r="AZ133" s="384"/>
      <c r="BA133" s="384"/>
      <c r="BB133" s="384"/>
      <c r="BC133" s="384"/>
      <c r="BD133" s="384"/>
      <c r="BE133" s="384"/>
      <c r="BF133" s="384"/>
      <c r="BG133" s="384"/>
      <c r="BH133" s="384">
        <f>AVERAGE(BH3:BH81)</f>
        <v>0.4</v>
      </c>
      <c r="BI133" s="384"/>
      <c r="BJ133" s="384"/>
      <c r="BK133" s="384"/>
      <c r="BL133" s="384"/>
      <c r="BM133" s="384"/>
      <c r="BN133" s="384"/>
      <c r="BO133" s="384"/>
      <c r="BP133" s="384"/>
      <c r="BQ133" s="384"/>
      <c r="BR133" s="384"/>
      <c r="BS133" s="384"/>
      <c r="BT133" s="384"/>
      <c r="BU133" s="384"/>
      <c r="BV133" s="384"/>
      <c r="BW133" s="384"/>
      <c r="BX133" s="384"/>
      <c r="BY133" s="384"/>
      <c r="BZ133" s="384"/>
      <c r="CA133" s="384"/>
      <c r="CB133" s="384"/>
    </row>
    <row r="134" spans="1:80" ht="27.75" customHeight="1" thickBot="1" x14ac:dyDescent="0.25">
      <c r="A134" s="428"/>
      <c r="B134" s="317"/>
      <c r="C134" s="317"/>
      <c r="D134" s="317"/>
      <c r="E134" s="264" t="s">
        <v>1234</v>
      </c>
      <c r="F134" s="329"/>
      <c r="G134" s="329"/>
      <c r="H134" s="329"/>
      <c r="I134" s="329"/>
      <c r="J134" s="329"/>
      <c r="K134" s="385"/>
      <c r="L134" s="385"/>
      <c r="M134" s="385"/>
      <c r="N134" s="385"/>
      <c r="O134" s="385"/>
      <c r="P134" s="385"/>
      <c r="Q134" s="385"/>
      <c r="R134" s="385"/>
      <c r="S134" s="385"/>
      <c r="T134" s="385"/>
      <c r="U134" s="385"/>
      <c r="V134" s="385"/>
      <c r="W134" s="385"/>
      <c r="X134" s="385"/>
      <c r="Y134" s="385"/>
      <c r="Z134" s="385"/>
      <c r="AA134" s="385"/>
      <c r="AB134" s="385"/>
      <c r="AC134" s="385"/>
      <c r="AD134" s="385"/>
      <c r="AE134" s="385"/>
      <c r="AF134" s="385"/>
      <c r="AG134" s="385"/>
      <c r="AH134" s="385"/>
      <c r="AI134" s="385"/>
      <c r="AJ134" s="385"/>
      <c r="AK134" s="385"/>
      <c r="AL134" s="385"/>
      <c r="AM134" s="385"/>
      <c r="AN134" s="385"/>
      <c r="AO134" s="385"/>
      <c r="AP134" s="385"/>
      <c r="AQ134" s="385"/>
      <c r="AR134" s="385"/>
      <c r="AS134" s="385"/>
      <c r="AT134" s="385"/>
      <c r="AU134" s="385"/>
      <c r="AV134" s="385"/>
      <c r="AW134" s="385"/>
      <c r="AX134" s="385"/>
      <c r="AY134" s="385"/>
      <c r="AZ134" s="385"/>
      <c r="BA134" s="385"/>
      <c r="BB134" s="385"/>
      <c r="BC134" s="385"/>
      <c r="BD134" s="385"/>
      <c r="BE134" s="385"/>
      <c r="BF134" s="385"/>
      <c r="BG134" s="385"/>
      <c r="BH134" s="385"/>
      <c r="BI134" s="385">
        <f>AVERAGE(BI3:BI81)</f>
        <v>2.5</v>
      </c>
      <c r="BJ134" s="385"/>
      <c r="BK134" s="385"/>
      <c r="BL134" s="385"/>
      <c r="BM134" s="385"/>
      <c r="BN134" s="385"/>
      <c r="BO134" s="385"/>
      <c r="BP134" s="385"/>
      <c r="BQ134" s="385"/>
      <c r="BR134" s="385"/>
      <c r="BS134" s="385"/>
      <c r="BT134" s="385"/>
      <c r="BU134" s="385"/>
      <c r="BV134" s="385"/>
      <c r="BW134" s="385"/>
      <c r="BX134" s="385"/>
      <c r="BY134" s="385"/>
      <c r="BZ134" s="385"/>
      <c r="CA134" s="385"/>
      <c r="CB134" s="385"/>
    </row>
    <row r="135" spans="1:80" ht="27.75" customHeight="1" thickBot="1" x14ac:dyDescent="0.25">
      <c r="A135" s="428"/>
      <c r="B135" s="319"/>
      <c r="C135" s="319"/>
      <c r="D135" s="319"/>
      <c r="E135" s="329" t="s">
        <v>63</v>
      </c>
      <c r="F135" s="329"/>
      <c r="G135" s="329"/>
      <c r="H135" s="329"/>
      <c r="I135" s="329"/>
      <c r="J135" s="329"/>
      <c r="K135" s="384"/>
      <c r="L135" s="384"/>
      <c r="M135" s="384"/>
      <c r="N135" s="384"/>
      <c r="O135" s="384"/>
      <c r="P135" s="384"/>
      <c r="Q135" s="384"/>
      <c r="R135" s="384"/>
      <c r="S135" s="384"/>
      <c r="T135" s="384"/>
      <c r="U135" s="384"/>
      <c r="V135" s="384"/>
      <c r="W135" s="384"/>
      <c r="X135" s="384"/>
      <c r="Y135" s="384"/>
      <c r="Z135" s="384"/>
      <c r="AA135" s="384"/>
      <c r="AB135" s="384"/>
      <c r="AC135" s="384"/>
      <c r="AD135" s="384"/>
      <c r="AE135" s="384"/>
      <c r="AF135" s="384"/>
      <c r="AG135" s="384"/>
      <c r="AH135" s="384"/>
      <c r="AI135" s="384"/>
      <c r="AJ135" s="384"/>
      <c r="AK135" s="384"/>
      <c r="AL135" s="384"/>
      <c r="AM135" s="384"/>
      <c r="AN135" s="384"/>
      <c r="AO135" s="384"/>
      <c r="AP135" s="384"/>
      <c r="AQ135" s="384"/>
      <c r="AR135" s="384"/>
      <c r="AS135" s="384"/>
      <c r="AT135" s="384"/>
      <c r="AU135" s="384"/>
      <c r="AV135" s="384"/>
      <c r="AW135" s="384"/>
      <c r="AX135" s="384"/>
      <c r="AY135" s="384"/>
      <c r="AZ135" s="384"/>
      <c r="BA135" s="384"/>
      <c r="BB135" s="384"/>
      <c r="BC135" s="384"/>
      <c r="BD135" s="384"/>
      <c r="BE135" s="384"/>
      <c r="BF135" s="384"/>
      <c r="BG135" s="384"/>
      <c r="BH135" s="384"/>
      <c r="BI135" s="384"/>
      <c r="BJ135" s="384">
        <f>AVERAGE(BJ3:BJ81)</f>
        <v>0.4</v>
      </c>
      <c r="BK135" s="384"/>
      <c r="BL135" s="384"/>
      <c r="BM135" s="384"/>
      <c r="BN135" s="384"/>
      <c r="BO135" s="384"/>
      <c r="BP135" s="384"/>
      <c r="BQ135" s="384"/>
      <c r="BR135" s="384"/>
      <c r="BS135" s="384"/>
      <c r="BT135" s="384"/>
      <c r="BU135" s="384"/>
      <c r="BV135" s="384"/>
      <c r="BW135" s="384"/>
      <c r="BX135" s="384"/>
      <c r="BY135" s="384"/>
      <c r="BZ135" s="384"/>
      <c r="CA135" s="384"/>
      <c r="CB135" s="384"/>
    </row>
    <row r="136" spans="1:80" ht="27.75" customHeight="1" thickBot="1" x14ac:dyDescent="0.25">
      <c r="A136" s="428"/>
      <c r="B136" s="317"/>
      <c r="C136" s="317"/>
      <c r="D136" s="317"/>
      <c r="E136" s="329" t="s">
        <v>64</v>
      </c>
      <c r="F136" s="329"/>
      <c r="G136" s="329"/>
      <c r="H136" s="329"/>
      <c r="I136" s="329"/>
      <c r="J136" s="329"/>
      <c r="K136" s="385"/>
      <c r="L136" s="385"/>
      <c r="M136" s="385"/>
      <c r="N136" s="385"/>
      <c r="O136" s="385"/>
      <c r="P136" s="385"/>
      <c r="Q136" s="385"/>
      <c r="R136" s="385"/>
      <c r="S136" s="385"/>
      <c r="T136" s="385"/>
      <c r="U136" s="385"/>
      <c r="V136" s="385"/>
      <c r="W136" s="385"/>
      <c r="X136" s="385"/>
      <c r="Y136" s="385"/>
      <c r="Z136" s="385"/>
      <c r="AA136" s="385"/>
      <c r="AB136" s="385"/>
      <c r="AC136" s="385"/>
      <c r="AD136" s="385"/>
      <c r="AE136" s="385"/>
      <c r="AF136" s="385"/>
      <c r="AG136" s="385"/>
      <c r="AH136" s="385"/>
      <c r="AI136" s="385"/>
      <c r="AJ136" s="385"/>
      <c r="AK136" s="385"/>
      <c r="AL136" s="385"/>
      <c r="AM136" s="385"/>
      <c r="AN136" s="385"/>
      <c r="AO136" s="385"/>
      <c r="AP136" s="385"/>
      <c r="AQ136" s="385"/>
      <c r="AR136" s="385"/>
      <c r="AS136" s="385"/>
      <c r="AT136" s="385"/>
      <c r="AU136" s="385"/>
      <c r="AV136" s="385"/>
      <c r="AW136" s="385"/>
      <c r="AX136" s="385"/>
      <c r="AY136" s="385"/>
      <c r="AZ136" s="385"/>
      <c r="BA136" s="385"/>
      <c r="BB136" s="385"/>
      <c r="BC136" s="385"/>
      <c r="BD136" s="385"/>
      <c r="BE136" s="385"/>
      <c r="BF136" s="385"/>
      <c r="BG136" s="385"/>
      <c r="BH136" s="385"/>
      <c r="BI136" s="385"/>
      <c r="BJ136" s="385"/>
      <c r="BK136" s="385">
        <f>AVERAGE(BK3:BK81)</f>
        <v>1</v>
      </c>
      <c r="BL136" s="385"/>
      <c r="BM136" s="385"/>
      <c r="BN136" s="385"/>
      <c r="BO136" s="385"/>
      <c r="BP136" s="385"/>
      <c r="BQ136" s="385"/>
      <c r="BR136" s="385"/>
      <c r="BS136" s="385"/>
      <c r="BT136" s="385"/>
      <c r="BU136" s="385"/>
      <c r="BV136" s="385"/>
      <c r="BW136" s="385"/>
      <c r="BX136" s="385"/>
      <c r="BY136" s="385"/>
      <c r="BZ136" s="385"/>
      <c r="CA136" s="385"/>
      <c r="CB136" s="385"/>
    </row>
    <row r="137" spans="1:80" ht="27.75" customHeight="1" thickBot="1" x14ac:dyDescent="0.25">
      <c r="A137" s="428"/>
      <c r="B137" s="317"/>
      <c r="C137" s="317"/>
      <c r="D137" s="317"/>
      <c r="E137" s="329" t="s">
        <v>65</v>
      </c>
      <c r="F137" s="329"/>
      <c r="G137" s="329"/>
      <c r="H137" s="329"/>
      <c r="I137" s="329"/>
      <c r="J137" s="329"/>
      <c r="K137" s="384"/>
      <c r="L137" s="384"/>
      <c r="M137" s="384"/>
      <c r="N137" s="384"/>
      <c r="O137" s="384"/>
      <c r="P137" s="384"/>
      <c r="Q137" s="384"/>
      <c r="R137" s="384"/>
      <c r="S137" s="384"/>
      <c r="T137" s="384"/>
      <c r="U137" s="384"/>
      <c r="V137" s="384"/>
      <c r="W137" s="384"/>
      <c r="X137" s="384"/>
      <c r="Y137" s="384"/>
      <c r="Z137" s="384"/>
      <c r="AA137" s="384"/>
      <c r="AB137" s="384"/>
      <c r="AC137" s="384"/>
      <c r="AD137" s="384"/>
      <c r="AE137" s="384"/>
      <c r="AF137" s="384"/>
      <c r="AG137" s="384"/>
      <c r="AH137" s="384"/>
      <c r="AI137" s="384"/>
      <c r="AJ137" s="384"/>
      <c r="AK137" s="384"/>
      <c r="AL137" s="384"/>
      <c r="AM137" s="384"/>
      <c r="AN137" s="384"/>
      <c r="AO137" s="384"/>
      <c r="AP137" s="384"/>
      <c r="AQ137" s="384"/>
      <c r="AR137" s="384"/>
      <c r="AS137" s="384"/>
      <c r="AT137" s="384"/>
      <c r="AU137" s="384"/>
      <c r="AV137" s="384"/>
      <c r="AW137" s="384"/>
      <c r="AX137" s="384"/>
      <c r="AY137" s="384"/>
      <c r="AZ137" s="384"/>
      <c r="BA137" s="384"/>
      <c r="BB137" s="384"/>
      <c r="BC137" s="384"/>
      <c r="BD137" s="384"/>
      <c r="BE137" s="384"/>
      <c r="BF137" s="384"/>
      <c r="BG137" s="384"/>
      <c r="BH137" s="384"/>
      <c r="BI137" s="384"/>
      <c r="BJ137" s="384"/>
      <c r="BK137" s="384"/>
      <c r="BL137" s="384">
        <f>AVERAGE(BL3:BL81)</f>
        <v>1</v>
      </c>
      <c r="BM137" s="384"/>
      <c r="BN137" s="384"/>
      <c r="BO137" s="384"/>
      <c r="BP137" s="384"/>
      <c r="BQ137" s="384"/>
      <c r="BR137" s="384"/>
      <c r="BS137" s="384"/>
      <c r="BT137" s="384"/>
      <c r="BU137" s="384"/>
      <c r="BV137" s="384"/>
      <c r="BW137" s="384"/>
      <c r="BX137" s="384"/>
      <c r="BY137" s="384"/>
      <c r="BZ137" s="384"/>
      <c r="CA137" s="384"/>
      <c r="CB137" s="384"/>
    </row>
    <row r="138" spans="1:80" ht="27.75" customHeight="1" thickBot="1" x14ac:dyDescent="0.25">
      <c r="A138" s="428"/>
      <c r="B138" s="319"/>
      <c r="C138" s="319"/>
      <c r="D138" s="319"/>
      <c r="E138" s="329" t="s">
        <v>66</v>
      </c>
      <c r="F138" s="329"/>
      <c r="G138" s="329"/>
      <c r="H138" s="329"/>
      <c r="I138" s="329"/>
      <c r="J138" s="329"/>
      <c r="K138" s="385"/>
      <c r="L138" s="385"/>
      <c r="M138" s="385"/>
      <c r="N138" s="385"/>
      <c r="O138" s="385"/>
      <c r="P138" s="385"/>
      <c r="Q138" s="385"/>
      <c r="R138" s="385"/>
      <c r="S138" s="385"/>
      <c r="T138" s="385"/>
      <c r="U138" s="385"/>
      <c r="V138" s="385"/>
      <c r="W138" s="385"/>
      <c r="X138" s="385"/>
      <c r="Y138" s="385"/>
      <c r="Z138" s="385"/>
      <c r="AA138" s="385"/>
      <c r="AB138" s="385"/>
      <c r="AC138" s="385"/>
      <c r="AD138" s="385"/>
      <c r="AE138" s="385"/>
      <c r="AF138" s="385"/>
      <c r="AG138" s="385"/>
      <c r="AH138" s="385"/>
      <c r="AI138" s="385"/>
      <c r="AJ138" s="385"/>
      <c r="AK138" s="385"/>
      <c r="AL138" s="385"/>
      <c r="AM138" s="385"/>
      <c r="AN138" s="385"/>
      <c r="AO138" s="385"/>
      <c r="AP138" s="385"/>
      <c r="AQ138" s="385"/>
      <c r="AR138" s="385"/>
      <c r="AS138" s="385"/>
      <c r="AT138" s="385"/>
      <c r="AU138" s="385"/>
      <c r="AV138" s="385"/>
      <c r="AW138" s="385"/>
      <c r="AX138" s="385"/>
      <c r="AY138" s="385"/>
      <c r="AZ138" s="385"/>
      <c r="BA138" s="385"/>
      <c r="BB138" s="385"/>
      <c r="BC138" s="385"/>
      <c r="BD138" s="385"/>
      <c r="BE138" s="385"/>
      <c r="BF138" s="385"/>
      <c r="BG138" s="385"/>
      <c r="BH138" s="385"/>
      <c r="BI138" s="385"/>
      <c r="BJ138" s="385"/>
      <c r="BK138" s="385"/>
      <c r="BL138" s="385"/>
      <c r="BM138" s="385">
        <f>AVERAGE(BM3:BM81)</f>
        <v>0.8</v>
      </c>
      <c r="BN138" s="385"/>
      <c r="BO138" s="385"/>
      <c r="BP138" s="385"/>
      <c r="BQ138" s="385"/>
      <c r="BR138" s="385"/>
      <c r="BS138" s="385"/>
      <c r="BT138" s="385"/>
      <c r="BU138" s="385"/>
      <c r="BV138" s="385"/>
      <c r="BW138" s="385"/>
      <c r="BX138" s="385"/>
      <c r="BY138" s="385"/>
      <c r="BZ138" s="385"/>
      <c r="CA138" s="385"/>
      <c r="CB138" s="385"/>
    </row>
    <row r="139" spans="1:80" ht="27.75" customHeight="1" thickBot="1" x14ac:dyDescent="0.25">
      <c r="A139" s="428"/>
      <c r="B139" s="317"/>
      <c r="C139" s="317"/>
      <c r="D139" s="317"/>
      <c r="E139" s="329" t="s">
        <v>67</v>
      </c>
      <c r="F139" s="329"/>
      <c r="G139" s="329"/>
      <c r="H139" s="329"/>
      <c r="I139" s="329"/>
      <c r="J139" s="329"/>
      <c r="K139" s="384"/>
      <c r="L139" s="384"/>
      <c r="M139" s="384"/>
      <c r="N139" s="384"/>
      <c r="O139" s="384"/>
      <c r="P139" s="384"/>
      <c r="Q139" s="384"/>
      <c r="R139" s="384"/>
      <c r="S139" s="384"/>
      <c r="T139" s="384"/>
      <c r="U139" s="384"/>
      <c r="V139" s="384"/>
      <c r="W139" s="384"/>
      <c r="X139" s="384"/>
      <c r="Y139" s="384"/>
      <c r="Z139" s="384"/>
      <c r="AA139" s="384"/>
      <c r="AB139" s="384"/>
      <c r="AC139" s="384"/>
      <c r="AD139" s="384"/>
      <c r="AE139" s="384"/>
      <c r="AF139" s="384"/>
      <c r="AG139" s="384"/>
      <c r="AH139" s="384"/>
      <c r="AI139" s="384"/>
      <c r="AJ139" s="384"/>
      <c r="AK139" s="384"/>
      <c r="AL139" s="384"/>
      <c r="AM139" s="384"/>
      <c r="AN139" s="384"/>
      <c r="AO139" s="384"/>
      <c r="AP139" s="384"/>
      <c r="AQ139" s="384"/>
      <c r="AR139" s="384"/>
      <c r="AS139" s="384"/>
      <c r="AT139" s="384"/>
      <c r="AU139" s="384"/>
      <c r="AV139" s="384"/>
      <c r="AW139" s="384"/>
      <c r="AX139" s="384"/>
      <c r="AY139" s="384"/>
      <c r="AZ139" s="384"/>
      <c r="BA139" s="384"/>
      <c r="BB139" s="384"/>
      <c r="BC139" s="384"/>
      <c r="BD139" s="384"/>
      <c r="BE139" s="384"/>
      <c r="BF139" s="384"/>
      <c r="BG139" s="384"/>
      <c r="BH139" s="384"/>
      <c r="BI139" s="384"/>
      <c r="BJ139" s="384"/>
      <c r="BK139" s="384"/>
      <c r="BL139" s="384"/>
      <c r="BM139" s="384"/>
      <c r="BN139" s="384">
        <f>AVERAGE(BN3:BN81)</f>
        <v>0.9</v>
      </c>
      <c r="BO139" s="384"/>
      <c r="BP139" s="384"/>
      <c r="BQ139" s="384"/>
      <c r="BR139" s="384"/>
      <c r="BS139" s="384"/>
      <c r="BT139" s="384"/>
      <c r="BU139" s="384"/>
      <c r="BV139" s="384"/>
      <c r="BW139" s="384"/>
      <c r="BX139" s="384"/>
      <c r="BY139" s="384"/>
      <c r="BZ139" s="384"/>
      <c r="CA139" s="384"/>
      <c r="CB139" s="384"/>
    </row>
    <row r="140" spans="1:80" ht="27.75" customHeight="1" thickBot="1" x14ac:dyDescent="0.25">
      <c r="A140" s="428"/>
      <c r="B140" s="319"/>
      <c r="C140" s="319"/>
      <c r="D140" s="319"/>
      <c r="E140" s="329" t="s">
        <v>68</v>
      </c>
      <c r="F140" s="329"/>
      <c r="G140" s="329"/>
      <c r="H140" s="329"/>
      <c r="I140" s="329"/>
      <c r="J140" s="329"/>
      <c r="K140" s="385"/>
      <c r="L140" s="385"/>
      <c r="M140" s="385"/>
      <c r="N140" s="385"/>
      <c r="O140" s="385"/>
      <c r="P140" s="385"/>
      <c r="Q140" s="385"/>
      <c r="R140" s="385"/>
      <c r="S140" s="385"/>
      <c r="T140" s="385"/>
      <c r="U140" s="385"/>
      <c r="V140" s="385"/>
      <c r="W140" s="385"/>
      <c r="X140" s="385"/>
      <c r="Y140" s="385"/>
      <c r="Z140" s="385"/>
      <c r="AA140" s="385"/>
      <c r="AB140" s="385"/>
      <c r="AC140" s="385"/>
      <c r="AD140" s="385"/>
      <c r="AE140" s="385"/>
      <c r="AF140" s="385"/>
      <c r="AG140" s="385"/>
      <c r="AH140" s="385"/>
      <c r="AI140" s="385"/>
      <c r="AJ140" s="385"/>
      <c r="AK140" s="385"/>
      <c r="AL140" s="385"/>
      <c r="AM140" s="385"/>
      <c r="AN140" s="385"/>
      <c r="AO140" s="385"/>
      <c r="AP140" s="385"/>
      <c r="AQ140" s="385"/>
      <c r="AR140" s="385"/>
      <c r="AS140" s="385"/>
      <c r="AT140" s="385"/>
      <c r="AU140" s="385"/>
      <c r="AV140" s="385"/>
      <c r="AW140" s="385"/>
      <c r="AX140" s="385"/>
      <c r="AY140" s="385"/>
      <c r="AZ140" s="385"/>
      <c r="BA140" s="385"/>
      <c r="BB140" s="385"/>
      <c r="BC140" s="385"/>
      <c r="BD140" s="385"/>
      <c r="BE140" s="385"/>
      <c r="BF140" s="385"/>
      <c r="BG140" s="385"/>
      <c r="BH140" s="385"/>
      <c r="BI140" s="385"/>
      <c r="BJ140" s="385"/>
      <c r="BK140" s="385"/>
      <c r="BL140" s="385"/>
      <c r="BM140" s="385"/>
      <c r="BN140" s="385"/>
      <c r="BO140" s="385">
        <f>AVERAGE(BO3:BO81)</f>
        <v>0.5</v>
      </c>
      <c r="BP140" s="385"/>
      <c r="BQ140" s="385"/>
      <c r="BR140" s="385"/>
      <c r="BS140" s="385"/>
      <c r="BT140" s="385"/>
      <c r="BU140" s="385"/>
      <c r="BV140" s="385"/>
      <c r="BW140" s="385"/>
      <c r="BX140" s="385"/>
      <c r="BY140" s="385"/>
      <c r="BZ140" s="385"/>
      <c r="CA140" s="385"/>
      <c r="CB140" s="385"/>
    </row>
    <row r="141" spans="1:80" ht="27.75" customHeight="1" thickBot="1" x14ac:dyDescent="0.25">
      <c r="A141" s="428"/>
      <c r="B141" s="317"/>
      <c r="C141" s="317"/>
      <c r="D141" s="317"/>
      <c r="E141" s="329" t="s">
        <v>69</v>
      </c>
      <c r="F141" s="329"/>
      <c r="G141" s="329"/>
      <c r="H141" s="329"/>
      <c r="I141" s="329"/>
      <c r="J141" s="329"/>
      <c r="K141" s="384"/>
      <c r="L141" s="384"/>
      <c r="M141" s="384"/>
      <c r="N141" s="384"/>
      <c r="O141" s="384"/>
      <c r="P141" s="384"/>
      <c r="Q141" s="384"/>
      <c r="R141" s="384"/>
      <c r="S141" s="384"/>
      <c r="T141" s="384"/>
      <c r="U141" s="384"/>
      <c r="V141" s="384"/>
      <c r="W141" s="384"/>
      <c r="X141" s="384"/>
      <c r="Y141" s="384"/>
      <c r="Z141" s="384"/>
      <c r="AA141" s="384"/>
      <c r="AB141" s="384"/>
      <c r="AC141" s="384"/>
      <c r="AD141" s="384"/>
      <c r="AE141" s="384"/>
      <c r="AF141" s="384"/>
      <c r="AG141" s="384"/>
      <c r="AH141" s="384"/>
      <c r="AI141" s="384"/>
      <c r="AJ141" s="384"/>
      <c r="AK141" s="384"/>
      <c r="AL141" s="384"/>
      <c r="AM141" s="384"/>
      <c r="AN141" s="384"/>
      <c r="AO141" s="384"/>
      <c r="AP141" s="384"/>
      <c r="AQ141" s="384"/>
      <c r="AR141" s="384"/>
      <c r="AS141" s="384"/>
      <c r="AT141" s="384"/>
      <c r="AU141" s="384"/>
      <c r="AV141" s="384"/>
      <c r="AW141" s="384"/>
      <c r="AX141" s="384"/>
      <c r="AY141" s="384"/>
      <c r="AZ141" s="384"/>
      <c r="BA141" s="384"/>
      <c r="BB141" s="384"/>
      <c r="BC141" s="384"/>
      <c r="BD141" s="384"/>
      <c r="BE141" s="384"/>
      <c r="BF141" s="384"/>
      <c r="BG141" s="384"/>
      <c r="BH141" s="384"/>
      <c r="BI141" s="384"/>
      <c r="BJ141" s="384"/>
      <c r="BK141" s="384"/>
      <c r="BL141" s="384"/>
      <c r="BM141" s="384"/>
      <c r="BN141" s="384"/>
      <c r="BO141" s="384"/>
      <c r="BP141" s="384">
        <f>0.1*AVERAGE(BP3:BP81)^2 + 0.4</f>
        <v>0.8</v>
      </c>
      <c r="BQ141" s="384"/>
      <c r="BR141" s="384"/>
      <c r="BS141" s="384"/>
      <c r="BT141" s="384"/>
      <c r="BU141" s="384"/>
      <c r="BV141" s="384"/>
      <c r="BW141" s="384"/>
      <c r="BX141" s="384"/>
      <c r="BY141" s="384"/>
      <c r="BZ141" s="384"/>
      <c r="CA141" s="384"/>
      <c r="CB141" s="384"/>
    </row>
    <row r="142" spans="1:80" ht="27.75" customHeight="1" thickBot="1" x14ac:dyDescent="0.25">
      <c r="A142" s="428"/>
      <c r="B142" s="319"/>
      <c r="C142" s="319"/>
      <c r="D142" s="319"/>
      <c r="E142" s="330" t="s">
        <v>1248</v>
      </c>
      <c r="F142" s="330"/>
      <c r="G142" s="330"/>
      <c r="H142" s="330"/>
      <c r="I142" s="330"/>
      <c r="J142" s="330"/>
      <c r="K142" s="385"/>
      <c r="L142" s="385"/>
      <c r="M142" s="385"/>
      <c r="N142" s="385"/>
      <c r="O142" s="385"/>
      <c r="P142" s="385"/>
      <c r="Q142" s="385"/>
      <c r="R142" s="385"/>
      <c r="S142" s="385"/>
      <c r="T142" s="385"/>
      <c r="U142" s="385"/>
      <c r="V142" s="385"/>
      <c r="W142" s="385"/>
      <c r="X142" s="385"/>
      <c r="Y142" s="385"/>
      <c r="Z142" s="385"/>
      <c r="AA142" s="385"/>
      <c r="AB142" s="385"/>
      <c r="AC142" s="385"/>
      <c r="AD142" s="385"/>
      <c r="AE142" s="385"/>
      <c r="AF142" s="385"/>
      <c r="AG142" s="385"/>
      <c r="AH142" s="385"/>
      <c r="AI142" s="385"/>
      <c r="AJ142" s="385"/>
      <c r="AK142" s="385"/>
      <c r="AL142" s="385"/>
      <c r="AM142" s="385"/>
      <c r="AN142" s="385"/>
      <c r="AO142" s="385"/>
      <c r="AP142" s="385"/>
      <c r="AQ142" s="385"/>
      <c r="AR142" s="385"/>
      <c r="AS142" s="385"/>
      <c r="AT142" s="385"/>
      <c r="AU142" s="385"/>
      <c r="AV142" s="385"/>
      <c r="AW142" s="385"/>
      <c r="AX142" s="385"/>
      <c r="AY142" s="385"/>
      <c r="AZ142" s="385"/>
      <c r="BA142" s="385"/>
      <c r="BB142" s="385"/>
      <c r="BC142" s="385"/>
      <c r="BD142" s="385"/>
      <c r="BE142" s="385"/>
      <c r="BF142" s="385"/>
      <c r="BG142" s="385"/>
      <c r="BH142" s="385"/>
      <c r="BI142" s="385"/>
      <c r="BJ142" s="385"/>
      <c r="BK142" s="385"/>
      <c r="BL142" s="385"/>
      <c r="BM142" s="385"/>
      <c r="BN142" s="385"/>
      <c r="BO142" s="385"/>
      <c r="BP142" s="385"/>
      <c r="BQ142" s="385">
        <f>BP141*BO140*BN139*BM138*BL137*BK136*BJ135*BH133*BG132</f>
        <v>4.608000000000001E-2</v>
      </c>
      <c r="BR142" s="385"/>
      <c r="BS142" s="385"/>
      <c r="BT142" s="385"/>
      <c r="BU142" s="385"/>
      <c r="BV142" s="385"/>
      <c r="BW142" s="385"/>
      <c r="BX142" s="385"/>
      <c r="BY142" s="385"/>
      <c r="BZ142" s="385"/>
      <c r="CA142" s="385"/>
      <c r="CB142" s="385"/>
    </row>
    <row r="143" spans="1:80" ht="27.75" customHeight="1" thickBot="1" x14ac:dyDescent="0.25">
      <c r="A143" s="428"/>
      <c r="B143" s="317"/>
      <c r="C143" s="317"/>
      <c r="D143" s="317"/>
      <c r="E143" s="265" t="s">
        <v>1249</v>
      </c>
      <c r="F143" s="329"/>
      <c r="G143" s="329"/>
      <c r="H143" s="329"/>
      <c r="I143" s="329"/>
      <c r="J143" s="329"/>
      <c r="K143" s="384"/>
      <c r="L143" s="384"/>
      <c r="M143" s="384"/>
      <c r="N143" s="384"/>
      <c r="O143" s="384"/>
      <c r="P143" s="384"/>
      <c r="Q143" s="384"/>
      <c r="R143" s="384"/>
      <c r="S143" s="384"/>
      <c r="T143" s="384"/>
      <c r="U143" s="384"/>
      <c r="V143" s="384"/>
      <c r="W143" s="384"/>
      <c r="X143" s="384"/>
      <c r="Y143" s="384"/>
      <c r="Z143" s="384"/>
      <c r="AA143" s="384"/>
      <c r="AB143" s="384"/>
      <c r="AC143" s="384"/>
      <c r="AD143" s="384"/>
      <c r="AE143" s="384"/>
      <c r="AF143" s="384"/>
      <c r="AG143" s="384"/>
      <c r="AH143" s="384"/>
      <c r="AI143" s="384"/>
      <c r="AJ143" s="384"/>
      <c r="AK143" s="384"/>
      <c r="AL143" s="384"/>
      <c r="AM143" s="384"/>
      <c r="AN143" s="384"/>
      <c r="AO143" s="384"/>
      <c r="AP143" s="384"/>
      <c r="AQ143" s="384"/>
      <c r="AR143" s="384"/>
      <c r="AS143" s="384"/>
      <c r="AT143" s="384"/>
      <c r="AU143" s="384"/>
      <c r="AV143" s="384"/>
      <c r="AW143" s="384"/>
      <c r="AX143" s="384"/>
      <c r="AY143" s="384"/>
      <c r="AZ143" s="384"/>
      <c r="BA143" s="384"/>
      <c r="BB143" s="384"/>
      <c r="BC143" s="384"/>
      <c r="BD143" s="384"/>
      <c r="BE143" s="384"/>
      <c r="BF143" s="384"/>
      <c r="BG143" s="384"/>
      <c r="BH143" s="384"/>
      <c r="BI143" s="384"/>
      <c r="BJ143" s="384"/>
      <c r="BK143" s="384"/>
      <c r="BL143" s="384"/>
      <c r="BM143" s="384"/>
      <c r="BN143" s="384"/>
      <c r="BO143" s="384"/>
      <c r="BP143" s="384"/>
      <c r="BQ143" s="384"/>
      <c r="BR143" s="384">
        <f>BP141*BO140*BN139*BM138*BL137*BK136*BJ135*BI134*BG132</f>
        <v>0.28800000000000003</v>
      </c>
      <c r="BS143" s="384"/>
      <c r="BT143" s="384"/>
      <c r="BU143" s="384"/>
      <c r="BV143" s="384"/>
      <c r="BW143" s="384"/>
      <c r="BX143" s="384"/>
      <c r="BY143" s="384"/>
      <c r="BZ143" s="384"/>
      <c r="CA143" s="384"/>
      <c r="CB143" s="384"/>
    </row>
    <row r="144" spans="1:80" ht="27.75" customHeight="1" thickBot="1" x14ac:dyDescent="0.25">
      <c r="A144" s="428"/>
      <c r="B144" s="319"/>
      <c r="C144" s="319"/>
      <c r="D144" s="319"/>
      <c r="E144" s="330" t="s">
        <v>70</v>
      </c>
      <c r="F144" s="330"/>
      <c r="G144" s="330"/>
      <c r="H144" s="330"/>
      <c r="I144" s="330"/>
      <c r="J144" s="330"/>
      <c r="K144" s="385"/>
      <c r="L144" s="385"/>
      <c r="M144" s="385"/>
      <c r="N144" s="385"/>
      <c r="O144" s="385"/>
      <c r="P144" s="385"/>
      <c r="Q144" s="385"/>
      <c r="R144" s="385"/>
      <c r="S144" s="385"/>
      <c r="T144" s="385"/>
      <c r="U144" s="385"/>
      <c r="V144" s="385"/>
      <c r="W144" s="385"/>
      <c r="X144" s="385"/>
      <c r="Y144" s="385"/>
      <c r="Z144" s="385"/>
      <c r="AA144" s="385"/>
      <c r="AB144" s="385"/>
      <c r="AC144" s="385"/>
      <c r="AD144" s="385"/>
      <c r="AE144" s="385"/>
      <c r="AF144" s="385"/>
      <c r="AG144" s="385"/>
      <c r="AH144" s="385"/>
      <c r="AI144" s="385"/>
      <c r="AJ144" s="385"/>
      <c r="AK144" s="385"/>
      <c r="AL144" s="385"/>
      <c r="AM144" s="385"/>
      <c r="AN144" s="385"/>
      <c r="AO144" s="385"/>
      <c r="AP144" s="385"/>
      <c r="AQ144" s="385"/>
      <c r="AR144" s="385"/>
      <c r="AS144" s="385"/>
      <c r="AT144" s="385"/>
      <c r="AU144" s="385"/>
      <c r="AV144" s="385"/>
      <c r="AW144" s="385"/>
      <c r="AX144" s="385"/>
      <c r="AY144" s="385"/>
      <c r="AZ144" s="385"/>
      <c r="BA144" s="385"/>
      <c r="BB144" s="385"/>
      <c r="BC144" s="385"/>
      <c r="BD144" s="385"/>
      <c r="BE144" s="385"/>
      <c r="BF144" s="385"/>
      <c r="BG144" s="385"/>
      <c r="BH144" s="385"/>
      <c r="BI144" s="385"/>
      <c r="BJ144" s="385"/>
      <c r="BK144" s="385"/>
      <c r="BL144" s="385"/>
      <c r="BM144" s="385"/>
      <c r="BN144" s="385"/>
      <c r="BO144" s="385"/>
      <c r="BP144" s="385"/>
      <c r="BQ144" s="385"/>
      <c r="BR144" s="385"/>
      <c r="BS144" s="385">
        <f>(4+SUM(BS3:BS81)*4.75)/1000000</f>
        <v>3.9999999999999998E-6</v>
      </c>
      <c r="BT144" s="385"/>
      <c r="BU144" s="385"/>
      <c r="BV144" s="385"/>
      <c r="BW144" s="385"/>
      <c r="BX144" s="385"/>
      <c r="BY144" s="385"/>
      <c r="BZ144" s="385"/>
      <c r="CA144" s="385"/>
      <c r="CB144" s="385"/>
    </row>
    <row r="145" spans="1:80" ht="27.75" customHeight="1" thickBot="1" x14ac:dyDescent="0.25">
      <c r="A145" s="428"/>
      <c r="B145" s="319"/>
      <c r="C145" s="319"/>
      <c r="D145" s="319"/>
      <c r="E145" s="330" t="s">
        <v>70</v>
      </c>
      <c r="F145" s="330"/>
      <c r="G145" s="330"/>
      <c r="H145" s="330"/>
      <c r="I145" s="330"/>
      <c r="J145" s="330"/>
      <c r="K145" s="384"/>
      <c r="L145" s="384"/>
      <c r="M145" s="384"/>
      <c r="N145" s="384"/>
      <c r="O145" s="384"/>
      <c r="P145" s="384"/>
      <c r="Q145" s="384"/>
      <c r="R145" s="384"/>
      <c r="S145" s="384"/>
      <c r="T145" s="384"/>
      <c r="U145" s="384"/>
      <c r="V145" s="384"/>
      <c r="W145" s="384"/>
      <c r="X145" s="384"/>
      <c r="Y145" s="384"/>
      <c r="Z145" s="384"/>
      <c r="AA145" s="384"/>
      <c r="AB145" s="384"/>
      <c r="AC145" s="384"/>
      <c r="AD145" s="384"/>
      <c r="AE145" s="384"/>
      <c r="AF145" s="384"/>
      <c r="AG145" s="384"/>
      <c r="AH145" s="384"/>
      <c r="AI145" s="384"/>
      <c r="AJ145" s="384"/>
      <c r="AK145" s="384"/>
      <c r="AL145" s="384"/>
      <c r="AM145" s="384"/>
      <c r="AN145" s="384"/>
      <c r="AO145" s="384"/>
      <c r="AP145" s="384"/>
      <c r="AQ145" s="384"/>
      <c r="AR145" s="384"/>
      <c r="AS145" s="384"/>
      <c r="AT145" s="384"/>
      <c r="AU145" s="384"/>
      <c r="AV145" s="384"/>
      <c r="AW145" s="384"/>
      <c r="AX145" s="384"/>
      <c r="AY145" s="384"/>
      <c r="AZ145" s="384"/>
      <c r="BA145" s="384"/>
      <c r="BB145" s="384"/>
      <c r="BC145" s="384"/>
      <c r="BD145" s="384"/>
      <c r="BE145" s="384"/>
      <c r="BF145" s="384"/>
      <c r="BG145" s="384"/>
      <c r="BH145" s="384"/>
      <c r="BI145" s="384"/>
      <c r="BJ145" s="384"/>
      <c r="BK145" s="384"/>
      <c r="BL145" s="384"/>
      <c r="BM145" s="384"/>
      <c r="BN145" s="384"/>
      <c r="BO145" s="384"/>
      <c r="BP145" s="384"/>
      <c r="BQ145" s="384"/>
      <c r="BR145" s="384"/>
      <c r="BS145" s="384"/>
      <c r="BT145" s="384">
        <f>1-(1-BS144*BQ142)*(1-BS144*BR143)</f>
        <v>1.3363197876037347E-6</v>
      </c>
      <c r="BU145" s="384"/>
      <c r="BV145" s="384"/>
      <c r="BW145" s="384"/>
      <c r="BX145" s="384"/>
      <c r="BY145" s="384"/>
      <c r="BZ145" s="384"/>
      <c r="CA145" s="384"/>
      <c r="CB145" s="384"/>
    </row>
    <row r="146" spans="1:80" ht="27.75" customHeight="1" thickBot="1" x14ac:dyDescent="0.25">
      <c r="A146" s="428"/>
      <c r="B146" s="317"/>
      <c r="C146" s="317"/>
      <c r="D146" s="317"/>
      <c r="E146" s="331" t="s">
        <v>71</v>
      </c>
      <c r="F146" s="331"/>
      <c r="G146" s="331"/>
      <c r="H146" s="331"/>
      <c r="I146" s="331"/>
      <c r="J146" s="331"/>
      <c r="K146" s="385"/>
      <c r="L146" s="385"/>
      <c r="M146" s="385"/>
      <c r="N146" s="385"/>
      <c r="O146" s="385"/>
      <c r="P146" s="385"/>
      <c r="Q146" s="385"/>
      <c r="R146" s="385"/>
      <c r="S146" s="385"/>
      <c r="T146" s="385"/>
      <c r="U146" s="385"/>
      <c r="V146" s="385"/>
      <c r="W146" s="385"/>
      <c r="X146" s="385"/>
      <c r="Y146" s="385"/>
      <c r="Z146" s="385"/>
      <c r="AA146" s="385"/>
      <c r="AB146" s="385"/>
      <c r="AC146" s="385"/>
      <c r="AD146" s="385"/>
      <c r="AE146" s="385"/>
      <c r="AF146" s="385"/>
      <c r="AG146" s="385"/>
      <c r="AH146" s="385"/>
      <c r="AI146" s="385"/>
      <c r="AJ146" s="385"/>
      <c r="AK146" s="385"/>
      <c r="AL146" s="385"/>
      <c r="AM146" s="385"/>
      <c r="AN146" s="385"/>
      <c r="AO146" s="385"/>
      <c r="AP146" s="385"/>
      <c r="AQ146" s="385"/>
      <c r="AR146" s="385"/>
      <c r="AS146" s="385"/>
      <c r="AT146" s="385"/>
      <c r="AU146" s="385"/>
      <c r="AV146" s="385"/>
      <c r="AW146" s="385"/>
      <c r="AX146" s="385"/>
      <c r="AY146" s="385"/>
      <c r="AZ146" s="385"/>
      <c r="BA146" s="385"/>
      <c r="BB146" s="385"/>
      <c r="BC146" s="385"/>
      <c r="BD146" s="385"/>
      <c r="BE146" s="385"/>
      <c r="BF146" s="385"/>
      <c r="BG146" s="385"/>
      <c r="BH146" s="385"/>
      <c r="BI146" s="385"/>
      <c r="BJ146" s="385"/>
      <c r="BK146" s="385"/>
      <c r="BL146" s="385"/>
      <c r="BM146" s="385"/>
      <c r="BN146" s="385"/>
      <c r="BO146" s="385"/>
      <c r="BP146" s="385"/>
      <c r="BQ146" s="385"/>
      <c r="BR146" s="385"/>
      <c r="BS146" s="385"/>
      <c r="BT146" s="385"/>
      <c r="BU146" s="385">
        <f>Q90</f>
        <v>5.5824450226049267E-7</v>
      </c>
      <c r="BV146" s="385"/>
      <c r="BW146" s="385"/>
      <c r="BX146" s="385"/>
      <c r="BY146" s="385"/>
      <c r="BZ146" s="385"/>
      <c r="CA146" s="385"/>
      <c r="CB146" s="385"/>
    </row>
    <row r="147" spans="1:80" ht="27.75" customHeight="1" thickBot="1" x14ac:dyDescent="0.25">
      <c r="A147" s="428"/>
      <c r="B147" s="319"/>
      <c r="C147" s="319"/>
      <c r="D147" s="319"/>
      <c r="E147" s="331" t="s">
        <v>72</v>
      </c>
      <c r="F147" s="331"/>
      <c r="G147" s="331"/>
      <c r="H147" s="331"/>
      <c r="I147" s="331"/>
      <c r="J147" s="331"/>
      <c r="K147" s="384"/>
      <c r="L147" s="384"/>
      <c r="M147" s="384"/>
      <c r="N147" s="384"/>
      <c r="O147" s="384"/>
      <c r="P147" s="384"/>
      <c r="Q147" s="384"/>
      <c r="R147" s="384"/>
      <c r="S147" s="384"/>
      <c r="T147" s="384"/>
      <c r="U147" s="384"/>
      <c r="V147" s="384"/>
      <c r="W147" s="384"/>
      <c r="X147" s="384"/>
      <c r="Y147" s="384"/>
      <c r="Z147" s="384"/>
      <c r="AA147" s="384"/>
      <c r="AB147" s="384"/>
      <c r="AC147" s="384"/>
      <c r="AD147" s="384"/>
      <c r="AE147" s="384"/>
      <c r="AF147" s="384"/>
      <c r="AG147" s="384"/>
      <c r="AH147" s="384"/>
      <c r="AI147" s="384"/>
      <c r="AJ147" s="384"/>
      <c r="AK147" s="384"/>
      <c r="AL147" s="384"/>
      <c r="AM147" s="384"/>
      <c r="AN147" s="384"/>
      <c r="AO147" s="384"/>
      <c r="AP147" s="384"/>
      <c r="AQ147" s="384"/>
      <c r="AR147" s="384"/>
      <c r="AS147" s="384"/>
      <c r="AT147" s="384"/>
      <c r="AU147" s="384"/>
      <c r="AV147" s="384"/>
      <c r="AW147" s="384"/>
      <c r="AX147" s="384"/>
      <c r="AY147" s="384"/>
      <c r="AZ147" s="384"/>
      <c r="BA147" s="384"/>
      <c r="BB147" s="384"/>
      <c r="BC147" s="384"/>
      <c r="BD147" s="384"/>
      <c r="BE147" s="384"/>
      <c r="BF147" s="384"/>
      <c r="BG147" s="384"/>
      <c r="BH147" s="384"/>
      <c r="BI147" s="384"/>
      <c r="BJ147" s="384"/>
      <c r="BK147" s="384"/>
      <c r="BL147" s="384"/>
      <c r="BM147" s="384"/>
      <c r="BN147" s="384"/>
      <c r="BO147" s="384"/>
      <c r="BP147" s="384"/>
      <c r="BQ147" s="384"/>
      <c r="BR147" s="384"/>
      <c r="BS147" s="384"/>
      <c r="BT147" s="384"/>
      <c r="BU147" s="384"/>
      <c r="BV147" s="384">
        <f>X97</f>
        <v>5.5824450226049267E-7</v>
      </c>
      <c r="BW147" s="384"/>
      <c r="BX147" s="384"/>
      <c r="BY147" s="384"/>
      <c r="BZ147" s="384"/>
      <c r="CA147" s="384"/>
      <c r="CB147" s="384"/>
    </row>
    <row r="148" spans="1:80" ht="27.75" customHeight="1" thickBot="1" x14ac:dyDescent="0.25">
      <c r="A148" s="428"/>
      <c r="B148" s="317"/>
      <c r="C148" s="317"/>
      <c r="D148" s="317"/>
      <c r="E148" s="331" t="s">
        <v>73</v>
      </c>
      <c r="F148" s="331"/>
      <c r="G148" s="331"/>
      <c r="H148" s="331"/>
      <c r="I148" s="331"/>
      <c r="J148" s="331"/>
      <c r="K148" s="385"/>
      <c r="L148" s="385"/>
      <c r="M148" s="385"/>
      <c r="N148" s="385"/>
      <c r="O148" s="385"/>
      <c r="P148" s="385"/>
      <c r="Q148" s="385"/>
      <c r="R148" s="385"/>
      <c r="S148" s="385"/>
      <c r="T148" s="385"/>
      <c r="U148" s="385"/>
      <c r="V148" s="385"/>
      <c r="W148" s="385"/>
      <c r="X148" s="385"/>
      <c r="Y148" s="385"/>
      <c r="Z148" s="385"/>
      <c r="AA148" s="385"/>
      <c r="AB148" s="385"/>
      <c r="AC148" s="385"/>
      <c r="AD148" s="385"/>
      <c r="AE148" s="385"/>
      <c r="AF148" s="385"/>
      <c r="AG148" s="385"/>
      <c r="AH148" s="385"/>
      <c r="AI148" s="385"/>
      <c r="AJ148" s="385"/>
      <c r="AK148" s="385"/>
      <c r="AL148" s="385"/>
      <c r="AM148" s="385"/>
      <c r="AN148" s="385"/>
      <c r="AO148" s="385"/>
      <c r="AP148" s="385"/>
      <c r="AQ148" s="385"/>
      <c r="AR148" s="385"/>
      <c r="AS148" s="385"/>
      <c r="AT148" s="385"/>
      <c r="AU148" s="385"/>
      <c r="AV148" s="385"/>
      <c r="AW148" s="385"/>
      <c r="AX148" s="385"/>
      <c r="AY148" s="385"/>
      <c r="AZ148" s="385"/>
      <c r="BA148" s="385"/>
      <c r="BB148" s="385"/>
      <c r="BC148" s="385"/>
      <c r="BD148" s="385"/>
      <c r="BE148" s="385"/>
      <c r="BF148" s="385"/>
      <c r="BG148" s="385"/>
      <c r="BH148" s="385"/>
      <c r="BI148" s="385"/>
      <c r="BJ148" s="385"/>
      <c r="BK148" s="385"/>
      <c r="BL148" s="385"/>
      <c r="BM148" s="385"/>
      <c r="BN148" s="385"/>
      <c r="BO148" s="385"/>
      <c r="BP148" s="385"/>
      <c r="BQ148" s="385"/>
      <c r="BR148" s="385"/>
      <c r="BS148" s="385"/>
      <c r="BT148" s="385"/>
      <c r="BU148" s="385"/>
      <c r="BV148" s="385"/>
      <c r="BW148" s="385">
        <f>AE104</f>
        <v>5.768591026337009E-12</v>
      </c>
      <c r="BX148" s="385"/>
      <c r="BY148" s="385"/>
      <c r="BZ148" s="385"/>
      <c r="CA148" s="385"/>
      <c r="CB148" s="385"/>
    </row>
    <row r="149" spans="1:80" ht="27.75" customHeight="1" thickBot="1" x14ac:dyDescent="0.25">
      <c r="A149" s="428"/>
      <c r="B149" s="319"/>
      <c r="C149" s="319"/>
      <c r="D149" s="319"/>
      <c r="E149" s="331" t="s">
        <v>74</v>
      </c>
      <c r="F149" s="331"/>
      <c r="G149" s="331"/>
      <c r="H149" s="331"/>
      <c r="I149" s="331"/>
      <c r="J149" s="331"/>
      <c r="K149" s="384"/>
      <c r="L149" s="384"/>
      <c r="M149" s="384"/>
      <c r="N149" s="384"/>
      <c r="O149" s="384"/>
      <c r="P149" s="384"/>
      <c r="Q149" s="384"/>
      <c r="R149" s="384"/>
      <c r="S149" s="384"/>
      <c r="T149" s="384"/>
      <c r="U149" s="384"/>
      <c r="V149" s="384"/>
      <c r="W149" s="384"/>
      <c r="X149" s="384"/>
      <c r="Y149" s="384"/>
      <c r="Z149" s="384"/>
      <c r="AA149" s="384"/>
      <c r="AB149" s="384"/>
      <c r="AC149" s="384"/>
      <c r="AD149" s="384"/>
      <c r="AE149" s="384"/>
      <c r="AF149" s="384"/>
      <c r="AG149" s="384"/>
      <c r="AH149" s="384"/>
      <c r="AI149" s="384"/>
      <c r="AJ149" s="384"/>
      <c r="AK149" s="384"/>
      <c r="AL149" s="384"/>
      <c r="AM149" s="384"/>
      <c r="AN149" s="384"/>
      <c r="AO149" s="384"/>
      <c r="AP149" s="384"/>
      <c r="AQ149" s="384"/>
      <c r="AR149" s="384"/>
      <c r="AS149" s="384"/>
      <c r="AT149" s="384"/>
      <c r="AU149" s="384"/>
      <c r="AV149" s="384"/>
      <c r="AW149" s="384"/>
      <c r="AX149" s="384"/>
      <c r="AY149" s="384"/>
      <c r="AZ149" s="384"/>
      <c r="BA149" s="384"/>
      <c r="BB149" s="384"/>
      <c r="BC149" s="384"/>
      <c r="BD149" s="384"/>
      <c r="BE149" s="384"/>
      <c r="BF149" s="384"/>
      <c r="BG149" s="384"/>
      <c r="BH149" s="384"/>
      <c r="BI149" s="384"/>
      <c r="BJ149" s="384"/>
      <c r="BK149" s="384"/>
      <c r="BL149" s="384"/>
      <c r="BM149" s="384"/>
      <c r="BN149" s="384"/>
      <c r="BO149" s="384"/>
      <c r="BP149" s="384"/>
      <c r="BQ149" s="384"/>
      <c r="BR149" s="384"/>
      <c r="BS149" s="384"/>
      <c r="BT149" s="384"/>
      <c r="BU149" s="384"/>
      <c r="BV149" s="384"/>
      <c r="BW149" s="384"/>
      <c r="BX149" s="384">
        <f>AF105</f>
        <v>9.9999999999999995E-7</v>
      </c>
      <c r="BY149" s="384"/>
      <c r="BZ149" s="384"/>
      <c r="CA149" s="384"/>
      <c r="CB149" s="384"/>
    </row>
    <row r="150" spans="1:80" ht="27.75" customHeight="1" thickBot="1" x14ac:dyDescent="0.25">
      <c r="A150" s="428"/>
      <c r="B150" s="317"/>
      <c r="C150" s="317"/>
      <c r="D150" s="317"/>
      <c r="E150" s="331" t="s">
        <v>75</v>
      </c>
      <c r="F150" s="331"/>
      <c r="G150" s="331"/>
      <c r="H150" s="331"/>
      <c r="I150" s="331"/>
      <c r="J150" s="331"/>
      <c r="K150" s="385"/>
      <c r="L150" s="385"/>
      <c r="M150" s="385"/>
      <c r="N150" s="385"/>
      <c r="O150" s="385"/>
      <c r="P150" s="385"/>
      <c r="Q150" s="385"/>
      <c r="R150" s="385"/>
      <c r="S150" s="385"/>
      <c r="T150" s="385"/>
      <c r="U150" s="385"/>
      <c r="V150" s="385"/>
      <c r="W150" s="385"/>
      <c r="X150" s="385"/>
      <c r="Y150" s="385"/>
      <c r="Z150" s="385"/>
      <c r="AA150" s="385"/>
      <c r="AB150" s="385"/>
      <c r="AC150" s="385"/>
      <c r="AD150" s="385"/>
      <c r="AE150" s="385"/>
      <c r="AF150" s="385"/>
      <c r="AG150" s="385"/>
      <c r="AH150" s="385"/>
      <c r="AI150" s="385"/>
      <c r="AJ150" s="385"/>
      <c r="AK150" s="385"/>
      <c r="AL150" s="385"/>
      <c r="AM150" s="385"/>
      <c r="AN150" s="385"/>
      <c r="AO150" s="385"/>
      <c r="AP150" s="385"/>
      <c r="AQ150" s="385"/>
      <c r="AR150" s="385"/>
      <c r="AS150" s="385"/>
      <c r="AT150" s="385"/>
      <c r="AU150" s="385"/>
      <c r="AV150" s="385"/>
      <c r="AW150" s="385"/>
      <c r="AX150" s="385"/>
      <c r="AY150" s="385"/>
      <c r="AZ150" s="385"/>
      <c r="BA150" s="385"/>
      <c r="BB150" s="385"/>
      <c r="BC150" s="385"/>
      <c r="BD150" s="385"/>
      <c r="BE150" s="385"/>
      <c r="BF150" s="385"/>
      <c r="BG150" s="385"/>
      <c r="BH150" s="385"/>
      <c r="BI150" s="385"/>
      <c r="BJ150" s="385"/>
      <c r="BK150" s="385"/>
      <c r="BL150" s="385"/>
      <c r="BM150" s="385"/>
      <c r="BN150" s="385"/>
      <c r="BO150" s="385"/>
      <c r="BP150" s="385"/>
      <c r="BQ150" s="385"/>
      <c r="BR150" s="385"/>
      <c r="BS150" s="385"/>
      <c r="BT150" s="385"/>
      <c r="BU150" s="385"/>
      <c r="BV150" s="385"/>
      <c r="BW150" s="385"/>
      <c r="BX150" s="385"/>
      <c r="BY150" s="385">
        <f>AT119</f>
        <v>1.5200000000000004E-5</v>
      </c>
      <c r="BZ150" s="385"/>
      <c r="CA150" s="385"/>
      <c r="CB150" s="385"/>
    </row>
    <row r="151" spans="1:80" ht="27.75" customHeight="1" thickBot="1" x14ac:dyDescent="0.25">
      <c r="A151" s="428"/>
      <c r="B151" s="319"/>
      <c r="C151" s="319"/>
      <c r="D151" s="319"/>
      <c r="E151" s="331" t="s">
        <v>76</v>
      </c>
      <c r="F151" s="331"/>
      <c r="G151" s="331"/>
      <c r="H151" s="331"/>
      <c r="I151" s="331"/>
      <c r="J151" s="331"/>
      <c r="K151" s="384"/>
      <c r="L151" s="384"/>
      <c r="M151" s="384"/>
      <c r="N151" s="384"/>
      <c r="O151" s="384"/>
      <c r="P151" s="384"/>
      <c r="Q151" s="384"/>
      <c r="R151" s="384"/>
      <c r="S151" s="384"/>
      <c r="T151" s="384"/>
      <c r="U151" s="384"/>
      <c r="V151" s="384"/>
      <c r="W151" s="384"/>
      <c r="X151" s="384"/>
      <c r="Y151" s="384"/>
      <c r="Z151" s="384"/>
      <c r="AA151" s="384"/>
      <c r="AB151" s="384"/>
      <c r="AC151" s="384"/>
      <c r="AD151" s="384"/>
      <c r="AE151" s="384"/>
      <c r="AF151" s="384"/>
      <c r="AG151" s="384"/>
      <c r="AH151" s="384"/>
      <c r="AI151" s="384"/>
      <c r="AJ151" s="384"/>
      <c r="AK151" s="384"/>
      <c r="AL151" s="384"/>
      <c r="AM151" s="384"/>
      <c r="AN151" s="384"/>
      <c r="AO151" s="384"/>
      <c r="AP151" s="384"/>
      <c r="AQ151" s="384"/>
      <c r="AR151" s="384"/>
      <c r="AS151" s="384"/>
      <c r="AT151" s="384"/>
      <c r="AU151" s="384"/>
      <c r="AV151" s="384"/>
      <c r="AW151" s="384"/>
      <c r="AX151" s="384"/>
      <c r="AY151" s="384"/>
      <c r="AZ151" s="384"/>
      <c r="BA151" s="384"/>
      <c r="BB151" s="384"/>
      <c r="BC151" s="384"/>
      <c r="BD151" s="384"/>
      <c r="BE151" s="384"/>
      <c r="BF151" s="384"/>
      <c r="BG151" s="384"/>
      <c r="BH151" s="384"/>
      <c r="BI151" s="384"/>
      <c r="BJ151" s="384"/>
      <c r="BK151" s="384"/>
      <c r="BL151" s="384"/>
      <c r="BM151" s="384"/>
      <c r="BN151" s="384"/>
      <c r="BO151" s="384"/>
      <c r="BP151" s="384"/>
      <c r="BQ151" s="384"/>
      <c r="BR151" s="384"/>
      <c r="BS151" s="384"/>
      <c r="BT151" s="384"/>
      <c r="BU151" s="384"/>
      <c r="BV151" s="384"/>
      <c r="BW151" s="384"/>
      <c r="BX151" s="384"/>
      <c r="BY151" s="384"/>
      <c r="BZ151" s="384">
        <f>BF131</f>
        <v>4.7880000000000008E-7</v>
      </c>
      <c r="CA151" s="384"/>
      <c r="CB151" s="384"/>
    </row>
    <row r="152" spans="1:80" ht="27.75" customHeight="1" thickBot="1" x14ac:dyDescent="0.25">
      <c r="A152" s="428"/>
      <c r="B152" s="317"/>
      <c r="C152" s="317"/>
      <c r="D152" s="317"/>
      <c r="E152" s="331" t="s">
        <v>77</v>
      </c>
      <c r="F152" s="331"/>
      <c r="G152" s="331"/>
      <c r="H152" s="331"/>
      <c r="I152" s="331"/>
      <c r="J152" s="331"/>
      <c r="K152" s="385"/>
      <c r="L152" s="385"/>
      <c r="M152" s="385"/>
      <c r="N152" s="385"/>
      <c r="O152" s="385"/>
      <c r="P152" s="385"/>
      <c r="Q152" s="385"/>
      <c r="R152" s="385"/>
      <c r="S152" s="385"/>
      <c r="T152" s="385"/>
      <c r="U152" s="385"/>
      <c r="V152" s="385"/>
      <c r="W152" s="385"/>
      <c r="X152" s="385"/>
      <c r="Y152" s="385"/>
      <c r="Z152" s="385"/>
      <c r="AA152" s="385"/>
      <c r="AB152" s="385"/>
      <c r="AC152" s="385"/>
      <c r="AD152" s="385"/>
      <c r="AE152" s="385"/>
      <c r="AF152" s="385"/>
      <c r="AG152" s="385"/>
      <c r="AH152" s="385"/>
      <c r="AI152" s="385"/>
      <c r="AJ152" s="385"/>
      <c r="AK152" s="385"/>
      <c r="AL152" s="385"/>
      <c r="AM152" s="385"/>
      <c r="AN152" s="385"/>
      <c r="AO152" s="385"/>
      <c r="AP152" s="385"/>
      <c r="AQ152" s="385"/>
      <c r="AR152" s="385"/>
      <c r="AS152" s="385"/>
      <c r="AT152" s="385"/>
      <c r="AU152" s="385"/>
      <c r="AV152" s="385"/>
      <c r="AW152" s="385"/>
      <c r="AX152" s="385"/>
      <c r="AY152" s="385"/>
      <c r="AZ152" s="385"/>
      <c r="BA152" s="385"/>
      <c r="BB152" s="385"/>
      <c r="BC152" s="385"/>
      <c r="BD152" s="385"/>
      <c r="BE152" s="385"/>
      <c r="BF152" s="385"/>
      <c r="BG152" s="385"/>
      <c r="BH152" s="385"/>
      <c r="BI152" s="385"/>
      <c r="BJ152" s="385"/>
      <c r="BK152" s="385"/>
      <c r="BL152" s="385"/>
      <c r="BM152" s="385"/>
      <c r="BN152" s="385"/>
      <c r="BO152" s="385"/>
      <c r="BP152" s="385"/>
      <c r="BQ152" s="385"/>
      <c r="BR152" s="385"/>
      <c r="BS152" s="385"/>
      <c r="BT152" s="385"/>
      <c r="BU152" s="385"/>
      <c r="BV152" s="385"/>
      <c r="BW152" s="385"/>
      <c r="BX152" s="385"/>
      <c r="BY152" s="385"/>
      <c r="BZ152" s="385"/>
      <c r="CA152" s="385">
        <f>BT145</f>
        <v>1.3363197876037347E-6</v>
      </c>
      <c r="CB152" s="385"/>
    </row>
    <row r="153" spans="1:80" ht="27.75" customHeight="1" x14ac:dyDescent="0.2">
      <c r="A153" s="428"/>
      <c r="B153" s="319"/>
      <c r="C153" s="319"/>
      <c r="D153" s="319"/>
      <c r="E153" s="331" t="s">
        <v>78</v>
      </c>
      <c r="F153" s="331"/>
      <c r="G153" s="331"/>
      <c r="H153" s="331"/>
      <c r="I153" s="331"/>
      <c r="J153" s="331"/>
      <c r="K153" s="384"/>
      <c r="L153" s="384"/>
      <c r="M153" s="384"/>
      <c r="N153" s="384"/>
      <c r="O153" s="384"/>
      <c r="P153" s="384"/>
      <c r="Q153" s="384"/>
      <c r="R153" s="384"/>
      <c r="S153" s="384"/>
      <c r="T153" s="384"/>
      <c r="U153" s="384"/>
      <c r="V153" s="384"/>
      <c r="W153" s="384"/>
      <c r="X153" s="384"/>
      <c r="Y153" s="384"/>
      <c r="Z153" s="384"/>
      <c r="AA153" s="384"/>
      <c r="AB153" s="384"/>
      <c r="AC153" s="384"/>
      <c r="AD153" s="384"/>
      <c r="AE153" s="384"/>
      <c r="AF153" s="384"/>
      <c r="AG153" s="384"/>
      <c r="AH153" s="384"/>
      <c r="AI153" s="384"/>
      <c r="AJ153" s="384"/>
      <c r="AK153" s="384"/>
      <c r="AL153" s="384"/>
      <c r="AM153" s="384"/>
      <c r="AN153" s="384"/>
      <c r="AO153" s="384"/>
      <c r="AP153" s="384"/>
      <c r="AQ153" s="384"/>
      <c r="AR153" s="384"/>
      <c r="AS153" s="384"/>
      <c r="AT153" s="384"/>
      <c r="AU153" s="384"/>
      <c r="AV153" s="384"/>
      <c r="AW153" s="384"/>
      <c r="AX153" s="384"/>
      <c r="AY153" s="384"/>
      <c r="AZ153" s="384"/>
      <c r="BA153" s="384"/>
      <c r="BB153" s="384"/>
      <c r="BC153" s="384"/>
      <c r="BD153" s="384"/>
      <c r="BE153" s="384"/>
      <c r="BF153" s="384"/>
      <c r="BG153" s="384"/>
      <c r="BH153" s="384"/>
      <c r="BI153" s="384"/>
      <c r="BJ153" s="384"/>
      <c r="BK153" s="384"/>
      <c r="BL153" s="384"/>
      <c r="BM153" s="384"/>
      <c r="BN153" s="384"/>
      <c r="BO153" s="384"/>
      <c r="BP153" s="384"/>
      <c r="BQ153" s="384"/>
      <c r="BR153" s="384"/>
      <c r="BS153" s="384"/>
      <c r="BT153" s="384"/>
      <c r="BU153" s="384"/>
      <c r="BV153" s="384"/>
      <c r="BW153" s="384"/>
      <c r="BX153" s="384"/>
      <c r="BY153" s="384"/>
      <c r="BZ153" s="384"/>
      <c r="CA153" s="384"/>
      <c r="CB153" s="384">
        <f>1-(1-MAX(CA152,BZ151))*(1-BY150)*(1-BX149)*(1-BW148)*(1-MAX(BV147,BU146))</f>
        <v>1.8094523420497666E-5</v>
      </c>
    </row>
    <row r="154" spans="1:80" ht="27.75" customHeight="1" x14ac:dyDescent="0.2">
      <c r="A154" s="429"/>
      <c r="B154" s="317"/>
      <c r="C154" s="317"/>
      <c r="D154" s="317"/>
      <c r="E154" s="317"/>
      <c r="F154" s="323"/>
      <c r="G154" s="323"/>
      <c r="H154" s="323"/>
      <c r="I154" s="323"/>
      <c r="J154" s="323"/>
      <c r="K154" s="323"/>
      <c r="L154" s="323"/>
      <c r="M154" s="323"/>
      <c r="N154" s="323"/>
      <c r="O154" s="323"/>
      <c r="P154" s="323"/>
      <c r="Q154" s="323"/>
      <c r="R154" s="323"/>
      <c r="S154" s="323"/>
      <c r="T154" s="323"/>
      <c r="U154" s="323"/>
      <c r="V154" s="323"/>
      <c r="W154" s="323"/>
      <c r="X154" s="323"/>
      <c r="Y154" s="323"/>
      <c r="Z154" s="323"/>
      <c r="AA154" s="323"/>
      <c r="AB154" s="323"/>
      <c r="AC154" s="323"/>
      <c r="AD154" s="323"/>
      <c r="AE154" s="323"/>
      <c r="AF154" s="323"/>
      <c r="AG154" s="323"/>
      <c r="AH154" s="323"/>
      <c r="AI154" s="323"/>
      <c r="AJ154" s="323"/>
      <c r="AK154" s="323"/>
      <c r="AL154" s="323"/>
      <c r="AM154" s="323"/>
      <c r="AN154" s="323"/>
      <c r="AO154" s="323"/>
      <c r="AP154" s="323"/>
      <c r="AQ154" s="323"/>
      <c r="AR154" s="323"/>
      <c r="AS154" s="323"/>
      <c r="AT154" s="323"/>
      <c r="AU154" s="323"/>
      <c r="AV154" s="323"/>
      <c r="AW154" s="323"/>
      <c r="AX154" s="323"/>
      <c r="AY154" s="323"/>
      <c r="AZ154" s="323"/>
      <c r="BA154" s="323"/>
      <c r="BB154" s="323"/>
      <c r="BC154" s="323"/>
      <c r="BD154" s="323"/>
      <c r="BE154" s="323"/>
      <c r="BF154" s="323"/>
      <c r="BG154" s="323"/>
      <c r="BH154" s="323"/>
      <c r="BI154" s="323"/>
      <c r="BJ154" s="323"/>
      <c r="BK154" s="323"/>
      <c r="BL154" s="323"/>
      <c r="BM154" s="323"/>
      <c r="BN154" s="323"/>
      <c r="BO154" s="323"/>
      <c r="BP154" s="323"/>
      <c r="BQ154" s="323"/>
      <c r="BR154" s="323"/>
      <c r="BS154" s="323"/>
      <c r="BT154" s="323"/>
      <c r="BU154" s="323"/>
      <c r="BV154" s="323"/>
      <c r="BW154" s="323"/>
      <c r="BX154" s="323"/>
      <c r="BY154" s="323"/>
      <c r="BZ154" s="323"/>
      <c r="CA154" s="323"/>
      <c r="CB154" s="323"/>
    </row>
    <row r="155" spans="1:80" ht="27.75" customHeight="1" x14ac:dyDescent="0.2">
      <c r="BZ155" s="1"/>
      <c r="CB155" s="1"/>
    </row>
    <row r="156" spans="1:80" ht="27.75" customHeight="1" x14ac:dyDescent="0.2">
      <c r="CB156" s="1"/>
    </row>
    <row r="157" spans="1:80" ht="27.75" customHeight="1" x14ac:dyDescent="0.2">
      <c r="CB157" s="1"/>
    </row>
    <row r="158" spans="1:80" ht="27.75" customHeight="1" x14ac:dyDescent="0.2">
      <c r="BT158" s="179"/>
      <c r="BU158" s="1"/>
    </row>
    <row r="159" spans="1:80" ht="27.75" customHeight="1" x14ac:dyDescent="0.2">
      <c r="BT159" s="182"/>
      <c r="BU159" s="1"/>
    </row>
    <row r="160" spans="1:80" ht="27.75" customHeight="1" x14ac:dyDescent="0.2">
      <c r="BT160" s="182"/>
      <c r="BU160" s="1"/>
    </row>
    <row r="161" spans="72:73" ht="27.75" customHeight="1" x14ac:dyDescent="0.2">
      <c r="BT161" s="182"/>
      <c r="BU161" s="1"/>
    </row>
    <row r="162" spans="72:73" ht="27.75" customHeight="1" x14ac:dyDescent="0.2">
      <c r="BT162" s="182"/>
      <c r="BU162" s="1"/>
    </row>
    <row r="163" spans="72:73" ht="27.75" customHeight="1" x14ac:dyDescent="0.2">
      <c r="BT163" s="182"/>
      <c r="BU163" s="1"/>
    </row>
  </sheetData>
  <autoFilter ref="A2:CB153" xr:uid="{A4812D55-A597-41C2-93F0-1EDD75987B18}"/>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3D322AF-508B-4538-8689-E45B6E85F4A7}">
          <x14:formula1>
            <xm:f>OFFSET('Descriptor maps'!$G$2,MATCH($A8,'Descriptor maps'!$A$2:$A$1658,0)-1,0,COUNTIF('Descriptor maps'!$A$2:$A$1658,"="&amp;$A8))</xm:f>
          </x14:formula1>
          <xm:sqref>F8 F32:F33 F13:F15 F20:F30 F36:F83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Client xmlns="6731ed66-8674-466b-92d4-ca45a621ab82">Rio Tinto Asset Management &amp; Engineering Services</Client>
    <Discipline xmlns="6731ed66-8674-466b-92d4-ca45a621ab82">Civil</Discipline>
    <EnglishversionPDF_x003f_ xmlns="6731ed66-8674-466b-92d4-ca45a621ab82">true</EnglishversionPDF_x003f_>
    <Project_x0020_Type xmlns="6731ed66-8674-466b-92d4-ca45a621ab82">Audit</Project_x0020_Type>
    <Asset xmlns="6731ed66-8674-466b-92d4-ca45a621ab82">Marandoo SWFSF</Asset>
    <Number xmlns="6731ed66-8674-466b-92d4-ca45a621ab82">RAM-MS-01-02-211.412.1</Number>
    <DocumentNumber xmlns="6731ed66-8674-466b-92d4-ca45a621ab82" xsi:nil="true"/>
    <Date xmlns="6731ed66-8674-466b-92d4-ca45a621ab82"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3287A69EFBEC44EB16E41CB7B99D911" ma:contentTypeVersion="21" ma:contentTypeDescription="Create a new document." ma:contentTypeScope="" ma:versionID="85d666a45e510883f47a8f66bcc71d33">
  <xsd:schema xmlns:xsd="http://www.w3.org/2001/XMLSchema" xmlns:xs="http://www.w3.org/2001/XMLSchema" xmlns:p="http://schemas.microsoft.com/office/2006/metadata/properties" xmlns:ns2="6731ed66-8674-466b-92d4-ca45a621ab82" xmlns:ns3="b648ac86-54af-4bf2-8176-244bc14f9141" targetNamespace="http://schemas.microsoft.com/office/2006/metadata/properties" ma:root="true" ma:fieldsID="b78dbcf4a741c917570a4e877f771c5c" ns2:_="" ns3:_="">
    <xsd:import namespace="6731ed66-8674-466b-92d4-ca45a621ab82"/>
    <xsd:import namespace="b648ac86-54af-4bf2-8176-244bc14f9141"/>
    <xsd:element name="properties">
      <xsd:complexType>
        <xsd:sequence>
          <xsd:element name="documentManagement">
            <xsd:complexType>
              <xsd:all>
                <xsd:element ref="ns2:Client" minOccurs="0"/>
                <xsd:element ref="ns2:Asset" minOccurs="0"/>
                <xsd:element ref="ns2:Discipline" minOccurs="0"/>
                <xsd:element ref="ns2:Project_x0020_Type" minOccurs="0"/>
                <xsd:element ref="ns2:Number" minOccurs="0"/>
                <xsd:element ref="ns2:DocumentNumber" minOccurs="0"/>
                <xsd:element ref="ns2:MediaServiceMetadata" minOccurs="0"/>
                <xsd:element ref="ns2:MediaServiceFastMetadata" minOccurs="0"/>
                <xsd:element ref="ns2:MediaServiceAutoKeyPoints" minOccurs="0"/>
                <xsd:element ref="ns2:MediaServiceKeyPoints" minOccurs="0"/>
                <xsd:element ref="ns2:EnglishversionPDF_x003f_" minOccurs="0"/>
                <xsd:element ref="ns2:MediaServiceDateTaken" minOccurs="0"/>
                <xsd:element ref="ns2:MediaServiceAutoTags" minOccurs="0"/>
                <xsd:element ref="ns2:MediaServiceGenerationTime" minOccurs="0"/>
                <xsd:element ref="ns2:MediaServiceEventHashCode" minOccurs="0"/>
                <xsd:element ref="ns3:SharedWithUsers" minOccurs="0"/>
                <xsd:element ref="ns3:SharedWithDetails" minOccurs="0"/>
                <xsd:element ref="ns2:MediaServiceLocation" minOccurs="0"/>
                <xsd:element ref="ns2:MediaServiceOCR" minOccurs="0"/>
                <xsd:element ref="ns2:MediaLengthInSeconds" minOccurs="0"/>
                <xsd:element ref="ns2: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31ed66-8674-466b-92d4-ca45a621ab82" elementFormDefault="qualified">
    <xsd:import namespace="http://schemas.microsoft.com/office/2006/documentManagement/types"/>
    <xsd:import namespace="http://schemas.microsoft.com/office/infopath/2007/PartnerControls"/>
    <xsd:element name="Client" ma:index="8" nillable="true" ma:displayName="Client" ma:internalName="Client">
      <xsd:simpleType>
        <xsd:restriction base="dms:Text">
          <xsd:maxLength value="255"/>
        </xsd:restriction>
      </xsd:simpleType>
    </xsd:element>
    <xsd:element name="Asset" ma:index="9" nillable="true" ma:displayName="Asset" ma:internalName="Asset">
      <xsd:simpleType>
        <xsd:restriction base="dms:Text">
          <xsd:maxLength value="255"/>
        </xsd:restriction>
      </xsd:simpleType>
    </xsd:element>
    <xsd:element name="Discipline" ma:index="10" nillable="true" ma:displayName="Discipline" ma:internalName="Discipline">
      <xsd:simpleType>
        <xsd:restriction base="dms:Text">
          <xsd:maxLength value="255"/>
        </xsd:restriction>
      </xsd:simpleType>
    </xsd:element>
    <xsd:element name="Project_x0020_Type" ma:index="11" nillable="true" ma:displayName="Project Type" ma:internalName="Project_x0020_Type">
      <xsd:simpleType>
        <xsd:restriction base="dms:Text">
          <xsd:maxLength value="255"/>
        </xsd:restriction>
      </xsd:simpleType>
    </xsd:element>
    <xsd:element name="Number" ma:index="12" nillable="true" ma:displayName="Number" ma:internalName="Number">
      <xsd:simpleType>
        <xsd:restriction base="dms:Text">
          <xsd:maxLength value="255"/>
        </xsd:restriction>
      </xsd:simpleType>
    </xsd:element>
    <xsd:element name="DocumentNumber" ma:index="13" nillable="true" ma:displayName="Document Number" ma:format="Dropdown" ma:internalName="DocumentNumber">
      <xsd:simpleType>
        <xsd:restriction base="dms:Text">
          <xsd:maxLength value="255"/>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EnglishversionPDF_x003f_" ma:index="18" nillable="true" ma:displayName="English version PDF?" ma:default="1" ma:format="Dropdown" ma:internalName="EnglishversionPDF_x003f_">
      <xsd:simpleType>
        <xsd:restriction base="dms:Boolean"/>
      </xsd:simpleType>
    </xsd:element>
    <xsd:element name="MediaServiceDateTaken" ma:index="19" nillable="true" ma:displayName="MediaServiceDateTaken" ma:hidden="true" ma:internalName="MediaServiceDateTaken" ma:readOnly="true">
      <xsd:simpleType>
        <xsd:restriction base="dms:Text"/>
      </xsd:simpleType>
    </xsd:element>
    <xsd:element name="MediaServiceAutoTags" ma:index="20" nillable="true" ma:displayName="Tags" ma:internalName="MediaServiceAutoTags" ma:readOnly="true">
      <xsd:simpleType>
        <xsd:restriction base="dms:Text"/>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element name="MediaServiceLocation" ma:index="25" nillable="true" ma:displayName="Location" ma:internalName="MediaServiceLocation" ma:readOnly="true">
      <xsd:simpleType>
        <xsd:restriction base="dms:Text"/>
      </xsd:simpleType>
    </xsd:element>
    <xsd:element name="MediaServiceOCR" ma:index="26" nillable="true" ma:displayName="Extracted Text" ma:internalName="MediaServiceOCR" ma:readOnly="true">
      <xsd:simpleType>
        <xsd:restriction base="dms:Note">
          <xsd:maxLength value="255"/>
        </xsd:restriction>
      </xsd:simpleType>
    </xsd:element>
    <xsd:element name="MediaLengthInSeconds" ma:index="27" nillable="true" ma:displayName="MediaLengthInSeconds" ma:hidden="true" ma:internalName="MediaLengthInSeconds" ma:readOnly="true">
      <xsd:simpleType>
        <xsd:restriction base="dms:Unknown"/>
      </xsd:simpleType>
    </xsd:element>
    <xsd:element name="Date" ma:index="28" nillable="true" ma:displayName="Date" ma:format="DateOnly" ma:internalName="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648ac86-54af-4bf2-8176-244bc14f9141" elementFormDefault="qualified">
    <xsd:import namespace="http://schemas.microsoft.com/office/2006/documentManagement/types"/>
    <xsd:import namespace="http://schemas.microsoft.com/office/infopath/2007/PartnerControls"/>
    <xsd:element name="SharedWithUsers" ma:index="2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FEA17EB1-56F0-40C2-ABD2-E2F5BEFA887B}">
  <ds:schemaRefs>
    <ds:schemaRef ds:uri="http://schemas.microsoft.com/sharepoint/v3/contenttype/forms"/>
  </ds:schemaRefs>
</ds:datastoreItem>
</file>

<file path=customXml/itemProps2.xml><?xml version="1.0" encoding="utf-8"?>
<ds:datastoreItem xmlns:ds="http://schemas.openxmlformats.org/officeDocument/2006/customXml" ds:itemID="{59F4298E-89E1-460D-9B75-8ECA97872672}">
  <ds:schemaRefs>
    <ds:schemaRef ds:uri="http://schemas.microsoft.com/office/2006/documentManagement/types"/>
    <ds:schemaRef ds:uri="http://schemas.microsoft.com/office/infopath/2007/PartnerControls"/>
    <ds:schemaRef ds:uri="http://purl.org/dc/dcmitype/"/>
    <ds:schemaRef ds:uri="http://purl.org/dc/elements/1.1/"/>
    <ds:schemaRef ds:uri="6731ed66-8674-466b-92d4-ca45a621ab82"/>
    <ds:schemaRef ds:uri="http://purl.org/dc/terms/"/>
    <ds:schemaRef ds:uri="http://schemas.microsoft.com/office/2006/metadata/properties"/>
    <ds:schemaRef ds:uri="http://schemas.openxmlformats.org/package/2006/metadata/core-properties"/>
    <ds:schemaRef ds:uri="b648ac86-54af-4bf2-8176-244bc14f9141"/>
    <ds:schemaRef ds:uri="http://www.w3.org/XML/1998/namespace"/>
  </ds:schemaRefs>
</ds:datastoreItem>
</file>

<file path=customXml/itemProps3.xml><?xml version="1.0" encoding="utf-8"?>
<ds:datastoreItem xmlns:ds="http://schemas.openxmlformats.org/officeDocument/2006/customXml" ds:itemID="{0C08525A-80FC-48A4-9DA8-A184CD073F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31ed66-8674-466b-92d4-ca45a621ab82"/>
    <ds:schemaRef ds:uri="b648ac86-54af-4bf2-8176-244bc14f91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B601195-F19B-4212-9339-8CBE45E41E1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Listy</vt:lpstr>
      </vt:variant>
      <vt:variant>
        <vt:i4>12</vt:i4>
      </vt:variant>
      <vt:variant>
        <vt:lpstr>Pojmenované oblasti</vt:lpstr>
      </vt:variant>
      <vt:variant>
        <vt:i4>3</vt:i4>
      </vt:variant>
    </vt:vector>
  </HeadingPairs>
  <TitlesOfParts>
    <vt:vector size="15" baseType="lpstr">
      <vt:lpstr>GISTM Consequences</vt:lpstr>
      <vt:lpstr>numbering</vt:lpstr>
      <vt:lpstr>Calculation</vt:lpstr>
      <vt:lpstr>Descriptor maps</vt:lpstr>
      <vt:lpstr>Slope stability</vt:lpstr>
      <vt:lpstr>Fdn piping</vt:lpstr>
      <vt:lpstr>Emb-Fdn piping</vt:lpstr>
      <vt:lpstr>Embankment piping</vt:lpstr>
      <vt:lpstr>FMEA Trees</vt:lpstr>
      <vt:lpstr>Outputs</vt:lpstr>
      <vt:lpstr>Audit Characteristic Mapping</vt:lpstr>
      <vt:lpstr>Risk Only</vt:lpstr>
      <vt:lpstr>A</vt:lpstr>
      <vt:lpstr>ID_1</vt:lpstr>
      <vt:lpstr>seismiczone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Benjamin Cook</dc:creator>
  <cp:keywords/>
  <dc:description/>
  <cp:lastModifiedBy>Jan Marcis</cp:lastModifiedBy>
  <cp:revision/>
  <dcterms:created xsi:type="dcterms:W3CDTF">2021-03-07T15:11:34Z</dcterms:created>
  <dcterms:modified xsi:type="dcterms:W3CDTF">2022-06-03T09:00:45Z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0x010100D3287A69EFBEC44EB16E41CB7B99D911</vt:lpwstr>
  </property>
</Properties>
</file>